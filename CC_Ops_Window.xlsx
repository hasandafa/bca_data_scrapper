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O:\BS\SCM\FMLE\06. MARINE\1A_OPERATION KAPAL\BCA\2025\am_25Nov-24Dec_25\"/>
    </mc:Choice>
  </mc:AlternateContent>
  <bookViews>
    <workbookView xWindow="-108" yWindow="-108" windowWidth="26304" windowHeight="14172" activeTab="1"/>
  </bookViews>
  <sheets>
    <sheet name="Ops" sheetId="1" r:id="rId1"/>
    <sheet name="Distribute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IDS">"Rectangle 3"</definedName>
    <definedName name="_xlnm.Print_Area" localSheetId="1">Distribute!$L$2:$W$43</definedName>
    <definedName name="_xlnm.Print_Area" localSheetId="0">Ops!$A$1:$R$27</definedName>
    <definedName name="_xlnm.Print_Titles" localSheetId="1">Distribute!$A:$A,Distribute!$2:$8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2" l="1"/>
  <c r="C50" i="2" s="1"/>
  <c r="F9" i="2"/>
  <c r="F50" i="2" s="1"/>
  <c r="I9" i="2"/>
  <c r="I50" i="2" s="1"/>
  <c r="L9" i="2"/>
  <c r="L50" i="2" s="1"/>
  <c r="O9" i="2"/>
  <c r="A17" i="1" s="1"/>
  <c r="R9" i="2"/>
  <c r="R50" i="2" s="1"/>
  <c r="U9" i="2"/>
  <c r="U50" i="2" s="1"/>
  <c r="AC9" i="2"/>
  <c r="AF9" i="2"/>
  <c r="AI9" i="2"/>
  <c r="AL9" i="2"/>
  <c r="AO9" i="2"/>
  <c r="AR9" i="2"/>
  <c r="AU9" i="2"/>
  <c r="A82" i="2"/>
  <c r="L5" i="1"/>
  <c r="AG5" i="1" s="1"/>
  <c r="A41" i="2"/>
  <c r="A81" i="2" s="1"/>
  <c r="AA41" i="2"/>
  <c r="AA32" i="2"/>
  <c r="A32" i="2"/>
  <c r="A72" i="2" s="1"/>
  <c r="A12" i="2"/>
  <c r="A52" i="2" s="1"/>
  <c r="AA12" i="2"/>
  <c r="A31" i="2"/>
  <c r="A71" i="2" s="1"/>
  <c r="AA31" i="2"/>
  <c r="AA39" i="2"/>
  <c r="A39" i="2"/>
  <c r="A79" i="2" s="1"/>
  <c r="AA15" i="2"/>
  <c r="A15" i="2"/>
  <c r="A55" i="2" s="1"/>
  <c r="A34" i="2"/>
  <c r="A74" i="2" s="1"/>
  <c r="AA34" i="2"/>
  <c r="AA29" i="2"/>
  <c r="A29" i="2"/>
  <c r="A69" i="2" s="1"/>
  <c r="AA24" i="2"/>
  <c r="A24" i="2"/>
  <c r="A64" i="2" s="1"/>
  <c r="AA19" i="2"/>
  <c r="A19" i="2"/>
  <c r="A59" i="2" s="1"/>
  <c r="AA38" i="2"/>
  <c r="A38" i="2"/>
  <c r="A78" i="2" s="1"/>
  <c r="A14" i="2"/>
  <c r="A54" i="2" s="1"/>
  <c r="AA14" i="2"/>
  <c r="AA33" i="2"/>
  <c r="A33" i="2"/>
  <c r="A73" i="2" s="1"/>
  <c r="A28" i="2"/>
  <c r="A68" i="2" s="1"/>
  <c r="AA28" i="2"/>
  <c r="A23" i="2"/>
  <c r="A63" i="2" s="1"/>
  <c r="AA23" i="2"/>
  <c r="AA18" i="2"/>
  <c r="A18" i="2"/>
  <c r="A58" i="2" s="1"/>
  <c r="AA37" i="2"/>
  <c r="A37" i="2"/>
  <c r="A77" i="2" s="1"/>
  <c r="A13" i="2"/>
  <c r="A53" i="2" s="1"/>
  <c r="AA13" i="2"/>
  <c r="A17" i="2"/>
  <c r="A57" i="2" s="1"/>
  <c r="AA17" i="2"/>
  <c r="A26" i="2"/>
  <c r="A66" i="2" s="1"/>
  <c r="AA26" i="2"/>
  <c r="A40" i="2"/>
  <c r="A80" i="2" s="1"/>
  <c r="AA40" i="2"/>
  <c r="AA16" i="2"/>
  <c r="A16" i="2"/>
  <c r="A56" i="2" s="1"/>
  <c r="AA22" i="2"/>
  <c r="A22" i="2"/>
  <c r="A62" i="2" s="1"/>
  <c r="A35" i="2"/>
  <c r="A75" i="2" s="1"/>
  <c r="AA35" i="2"/>
  <c r="A27" i="2"/>
  <c r="A67" i="2" s="1"/>
  <c r="AA27" i="2"/>
  <c r="A36" i="2"/>
  <c r="A76" i="2" s="1"/>
  <c r="AA36" i="2"/>
  <c r="AA30" i="2"/>
  <c r="A30" i="2"/>
  <c r="A70" i="2" s="1"/>
  <c r="A21" i="2"/>
  <c r="A61" i="2" s="1"/>
  <c r="AA21" i="2"/>
  <c r="AA25" i="2"/>
  <c r="A25" i="2"/>
  <c r="A65" i="2" s="1"/>
  <c r="A20" i="2"/>
  <c r="A60" i="2" s="1"/>
  <c r="AA20" i="2"/>
  <c r="AA11" i="2"/>
  <c r="A11" i="2"/>
  <c r="A51" i="2" s="1"/>
  <c r="A19" i="1" l="1"/>
  <c r="V19" i="1" s="1"/>
  <c r="A9" i="1"/>
  <c r="V9" i="1" s="1"/>
  <c r="A11" i="1"/>
  <c r="A48" i="1" s="1"/>
  <c r="A13" i="1"/>
  <c r="V13" i="1" s="1"/>
  <c r="A15" i="1"/>
  <c r="V15" i="1" s="1"/>
  <c r="A46" i="1"/>
  <c r="A21" i="1"/>
  <c r="O50" i="2"/>
  <c r="A51" i="1"/>
  <c r="V17" i="1"/>
  <c r="A49" i="1" l="1"/>
  <c r="A47" i="1"/>
  <c r="A52" i="1"/>
  <c r="V11" i="1"/>
  <c r="A50" i="1"/>
  <c r="V21" i="1"/>
  <c r="A53" i="1"/>
  <c r="AO31" i="2" l="1"/>
  <c r="AF14" i="2" l="1"/>
  <c r="L21" i="2"/>
  <c r="D20" i="2"/>
  <c r="F22" i="2"/>
  <c r="I40" i="2"/>
  <c r="J19" i="2"/>
  <c r="U13" i="2"/>
  <c r="S34" i="2"/>
  <c r="D34" i="2"/>
  <c r="AO16" i="2"/>
  <c r="AG34" i="2"/>
  <c r="V12" i="2"/>
  <c r="AJ21" i="2"/>
  <c r="L31" i="2"/>
  <c r="AJ27" i="2"/>
  <c r="R34" i="2"/>
  <c r="AM11" i="2"/>
  <c r="U20" i="2"/>
  <c r="AL20" i="2"/>
  <c r="AJ32" i="2"/>
  <c r="D23" i="2"/>
  <c r="P21" i="2"/>
  <c r="R37" i="2"/>
  <c r="AR17" i="2"/>
  <c r="AS26" i="2"/>
  <c r="AL22" i="2"/>
  <c r="G24" i="2"/>
  <c r="AF34" i="2"/>
  <c r="AC23" i="2"/>
  <c r="V16" i="2"/>
  <c r="R16" i="2"/>
  <c r="U11" i="2"/>
  <c r="AG11" i="2"/>
  <c r="AD26" i="2"/>
  <c r="AI34" i="2"/>
  <c r="R15" i="2"/>
  <c r="AC26" i="2"/>
  <c r="AL26" i="2"/>
  <c r="D18" i="2"/>
  <c r="F39" i="2"/>
  <c r="V39" i="2"/>
  <c r="AL16" i="2"/>
  <c r="AD34" i="2"/>
  <c r="G34" i="2"/>
  <c r="AJ19" i="2"/>
  <c r="AS19" i="2"/>
  <c r="D19" i="2"/>
  <c r="S37" i="2"/>
  <c r="AG33" i="2"/>
  <c r="AP30" i="2"/>
  <c r="D21" i="2"/>
  <c r="R22" i="2"/>
  <c r="AP22" i="2"/>
  <c r="P25" i="2"/>
  <c r="R25" i="2"/>
  <c r="AR25" i="2"/>
  <c r="D22" i="2"/>
  <c r="J21" i="2"/>
  <c r="C19" i="2"/>
  <c r="P23" i="2"/>
  <c r="AV13" i="2"/>
  <c r="AV34" i="2"/>
  <c r="O19" i="2"/>
  <c r="D41" i="2"/>
  <c r="M30" i="2"/>
  <c r="AS23" i="2"/>
  <c r="R29" i="2"/>
  <c r="AI22" i="2"/>
  <c r="AD21" i="2"/>
  <c r="M23" i="2"/>
  <c r="M27" i="2"/>
  <c r="O27" i="2"/>
  <c r="AU34" i="2"/>
  <c r="AG12" i="2"/>
  <c r="G18" i="2"/>
  <c r="J13" i="2"/>
  <c r="AG19" i="2"/>
  <c r="AJ37" i="2"/>
  <c r="AM34" i="2"/>
  <c r="AP34" i="2"/>
  <c r="AO34" i="2"/>
  <c r="C34" i="2"/>
  <c r="AG38" i="2"/>
  <c r="R38" i="2"/>
  <c r="AS29" i="2"/>
  <c r="AG13" i="2"/>
  <c r="AS30" i="2"/>
  <c r="R30" i="2"/>
  <c r="AP33" i="2"/>
  <c r="AM33" i="2"/>
  <c r="AJ33" i="2"/>
  <c r="U31" i="2"/>
  <c r="AJ31" i="2"/>
  <c r="AM31" i="2"/>
  <c r="AG31" i="2"/>
  <c r="AC31" i="2"/>
  <c r="AS21" i="2"/>
  <c r="AR21" i="2"/>
  <c r="AC33" i="2"/>
  <c r="AO12" i="2"/>
  <c r="C36" i="2"/>
  <c r="U36" i="2"/>
  <c r="AC37" i="2"/>
  <c r="I37" i="2"/>
  <c r="AO19" i="2"/>
  <c r="J18" i="2"/>
  <c r="V22" i="2"/>
  <c r="F30" i="2"/>
  <c r="I21" i="2"/>
  <c r="C20" i="2"/>
  <c r="AU22" i="2"/>
  <c r="AS37" i="2"/>
  <c r="U34" i="2"/>
  <c r="AI26" i="2"/>
  <c r="AG26" i="2"/>
  <c r="O22" i="2"/>
  <c r="I22" i="2"/>
  <c r="I34" i="2"/>
  <c r="AC34" i="2"/>
  <c r="AP21" i="2"/>
  <c r="L34" i="2"/>
  <c r="V13" i="2"/>
  <c r="AO21" i="2"/>
  <c r="AC21" i="2"/>
  <c r="O32" i="2"/>
  <c r="R32" i="2"/>
  <c r="S22" i="2"/>
  <c r="AI16" i="2"/>
  <c r="AG22" i="2"/>
  <c r="C14" i="2"/>
  <c r="AV14" i="2"/>
  <c r="AM14" i="2"/>
  <c r="F37" i="2"/>
  <c r="L28" i="2"/>
  <c r="V34" i="2"/>
  <c r="C17" i="2"/>
  <c r="O17" i="2"/>
  <c r="M34" i="2"/>
  <c r="AD13" i="2"/>
  <c r="AM21" i="2"/>
  <c r="AI40" i="2"/>
  <c r="U28" i="2"/>
  <c r="P19" i="2"/>
  <c r="AU18" i="2"/>
  <c r="AJ17" i="2"/>
  <c r="F21" i="2"/>
  <c r="AL41" i="2"/>
  <c r="G39" i="2"/>
  <c r="M11" i="2"/>
  <c r="AF25" i="2"/>
  <c r="AS25" i="2"/>
  <c r="O28" i="2"/>
  <c r="C18" i="2"/>
  <c r="I26" i="2"/>
  <c r="J34" i="2"/>
  <c r="AL29" i="2"/>
  <c r="AJ29" i="2"/>
  <c r="AS33" i="2"/>
  <c r="AL25" i="2"/>
  <c r="M32" i="2"/>
  <c r="AR32" i="2"/>
  <c r="S32" i="2"/>
  <c r="AM13" i="2"/>
  <c r="L16" i="2"/>
  <c r="J24" i="2"/>
  <c r="AG24" i="2"/>
  <c r="G40" i="2"/>
  <c r="AL40" i="2"/>
  <c r="AL34" i="2"/>
  <c r="O21" i="2"/>
  <c r="AR22" i="2"/>
  <c r="AO22" i="2"/>
  <c r="F34" i="2"/>
  <c r="O34" i="2"/>
  <c r="F17" i="2"/>
  <c r="AG17" i="2"/>
  <c r="AJ16" i="2"/>
  <c r="S26" i="2"/>
  <c r="AR29" i="2"/>
  <c r="P34" i="2"/>
  <c r="AI18" i="2"/>
  <c r="G33" i="2"/>
  <c r="R31" i="2"/>
  <c r="G22" i="2"/>
  <c r="AV24" i="2"/>
  <c r="AD27" i="2"/>
  <c r="D29" i="2"/>
  <c r="I32" i="2"/>
  <c r="S30" i="2"/>
  <c r="AG21" i="2"/>
  <c r="G26" i="2"/>
  <c r="AF26" i="2"/>
  <c r="L22" i="2"/>
  <c r="S41" i="2"/>
  <c r="M16" i="2"/>
  <c r="AD22" i="2"/>
  <c r="AV26" i="2"/>
  <c r="AS22" i="2"/>
  <c r="AR34" i="2"/>
  <c r="V41" i="2"/>
  <c r="AU21" i="2"/>
  <c r="AM22" i="2"/>
  <c r="AS40" i="2"/>
  <c r="AJ12" i="2"/>
  <c r="C24" i="2"/>
  <c r="O14" i="2"/>
  <c r="AI28" i="2"/>
  <c r="J36" i="2"/>
  <c r="D37" i="2"/>
  <c r="P35" i="2"/>
  <c r="I13" i="2"/>
  <c r="J26" i="2"/>
  <c r="I16" i="2"/>
  <c r="I29" i="2"/>
  <c r="AF30" i="2"/>
  <c r="G12" i="2"/>
  <c r="AM30" i="2"/>
  <c r="D16" i="2"/>
  <c r="AG27" i="2"/>
  <c r="J28" i="2"/>
  <c r="AO36" i="2"/>
  <c r="AR36" i="2"/>
  <c r="AS36" i="2"/>
  <c r="R19" i="2"/>
  <c r="L19" i="2"/>
  <c r="L38" i="2"/>
  <c r="L15" i="2"/>
  <c r="AR15" i="2"/>
  <c r="J29" i="2"/>
  <c r="AF39" i="2"/>
  <c r="P22" i="2"/>
  <c r="C26" i="2"/>
  <c r="AF13" i="2"/>
  <c r="AR12" i="2"/>
  <c r="D30" i="2"/>
  <c r="AC30" i="2"/>
  <c r="R33" i="2"/>
  <c r="P16" i="2"/>
  <c r="AC11" i="2"/>
  <c r="G25" i="2"/>
  <c r="I18" i="2"/>
  <c r="I23" i="2"/>
  <c r="AI23" i="2"/>
  <c r="M14" i="2"/>
  <c r="F27" i="2"/>
  <c r="R36" i="2"/>
  <c r="AJ36" i="2"/>
  <c r="AD19" i="2"/>
  <c r="AS38" i="2"/>
  <c r="AL15" i="2"/>
  <c r="AR35" i="2"/>
  <c r="AJ41" i="2"/>
  <c r="P39" i="2"/>
  <c r="J22" i="2"/>
  <c r="AS13" i="2"/>
  <c r="AJ14" i="2"/>
  <c r="D25" i="2"/>
  <c r="AD33" i="2"/>
  <c r="C30" i="2"/>
  <c r="O30" i="2"/>
  <c r="U25" i="2"/>
  <c r="AD18" i="2"/>
  <c r="U23" i="2"/>
  <c r="AS27" i="2"/>
  <c r="R28" i="2"/>
  <c r="AM19" i="2"/>
  <c r="M20" i="2"/>
  <c r="AS20" i="2"/>
  <c r="AU37" i="2"/>
  <c r="AP17" i="2"/>
  <c r="V38" i="2"/>
  <c r="V15" i="2"/>
  <c r="U15" i="2"/>
  <c r="AS39" i="2"/>
  <c r="L29" i="2"/>
  <c r="AU35" i="2"/>
  <c r="L35" i="2"/>
  <c r="AF41" i="2"/>
  <c r="C41" i="2"/>
  <c r="AL39" i="2"/>
  <c r="M12" i="2"/>
  <c r="AO30" i="2"/>
  <c r="AG16" i="2"/>
  <c r="C11" i="2"/>
  <c r="L25" i="2"/>
  <c r="AC32" i="2"/>
  <c r="V31" i="2"/>
  <c r="AU24" i="2"/>
  <c r="AS18" i="2"/>
  <c r="M40" i="2"/>
  <c r="C23" i="2"/>
  <c r="AR14" i="2"/>
  <c r="AU14" i="2"/>
  <c r="S27" i="2"/>
  <c r="AR27" i="2"/>
  <c r="D28" i="2"/>
  <c r="P36" i="2"/>
  <c r="AP19" i="2"/>
  <c r="AI20" i="2"/>
  <c r="L37" i="2"/>
  <c r="S17" i="2"/>
  <c r="AC35" i="2"/>
  <c r="AP35" i="2"/>
  <c r="AJ34" i="2"/>
  <c r="U26" i="2"/>
  <c r="I14" i="2"/>
  <c r="U30" i="2"/>
  <c r="F33" i="2"/>
  <c r="L30" i="2"/>
  <c r="AP27" i="2"/>
  <c r="G11" i="2"/>
  <c r="AJ11" i="2"/>
  <c r="F11" i="2"/>
  <c r="D32" i="2"/>
  <c r="AV31" i="2"/>
  <c r="D24" i="2"/>
  <c r="AL18" i="2"/>
  <c r="AM36" i="2"/>
  <c r="V19" i="2"/>
  <c r="G20" i="2"/>
  <c r="G37" i="2"/>
  <c r="F29" i="2"/>
  <c r="M29" i="2"/>
  <c r="AL35" i="2"/>
  <c r="AD41" i="2"/>
  <c r="AV41" i="2"/>
  <c r="P13" i="2"/>
  <c r="V21" i="2"/>
  <c r="AI14" i="2"/>
  <c r="P30" i="2"/>
  <c r="J12" i="2"/>
  <c r="AO33" i="2"/>
  <c r="I33" i="2"/>
  <c r="G16" i="2"/>
  <c r="AU11" i="2"/>
  <c r="AC19" i="2"/>
  <c r="AU25" i="2"/>
  <c r="O31" i="2"/>
  <c r="AG37" i="2"/>
  <c r="M24" i="2"/>
  <c r="AV40" i="2"/>
  <c r="G14" i="2"/>
  <c r="S28" i="2"/>
  <c r="AD36" i="2"/>
  <c r="AU20" i="2"/>
  <c r="AL11" i="2"/>
  <c r="U17" i="2"/>
  <c r="AD17" i="2"/>
  <c r="F38" i="2"/>
  <c r="D15" i="2"/>
  <c r="AF29" i="2"/>
  <c r="AF35" i="2"/>
  <c r="J41" i="2"/>
  <c r="P41" i="2"/>
  <c r="L39" i="2"/>
  <c r="C25" i="2"/>
  <c r="J40" i="2"/>
  <c r="J30" i="2"/>
  <c r="AU16" i="2"/>
  <c r="AD32" i="2"/>
  <c r="G31" i="2"/>
  <c r="AJ24" i="2"/>
  <c r="AP24" i="2"/>
  <c r="AC18" i="2"/>
  <c r="F40" i="2"/>
  <c r="AC40" i="2"/>
  <c r="G23" i="2"/>
  <c r="AJ23" i="2"/>
  <c r="D14" i="2"/>
  <c r="AF27" i="2"/>
  <c r="R27" i="2"/>
  <c r="AI35" i="2"/>
  <c r="V36" i="2"/>
  <c r="G36" i="2"/>
  <c r="D36" i="2"/>
  <c r="AP20" i="2"/>
  <c r="AL38" i="2"/>
  <c r="D38" i="2"/>
  <c r="AU29" i="2"/>
  <c r="G29" i="2"/>
  <c r="AM41" i="2"/>
  <c r="D39" i="2"/>
  <c r="AJ26" i="2"/>
  <c r="C33" i="2"/>
  <c r="D12" i="2"/>
  <c r="AL33" i="2"/>
  <c r="L33" i="2"/>
  <c r="F16" i="2"/>
  <c r="AS11" i="2"/>
  <c r="M25" i="2"/>
  <c r="L40" i="2"/>
  <c r="P14" i="2"/>
  <c r="R14" i="2"/>
  <c r="AO27" i="2"/>
  <c r="AR28" i="2"/>
  <c r="AP36" i="2"/>
  <c r="M19" i="2"/>
  <c r="O20" i="2"/>
  <c r="M37" i="2"/>
  <c r="G17" i="2"/>
  <c r="I17" i="2"/>
  <c r="G15" i="2"/>
  <c r="AD29" i="2"/>
  <c r="V35" i="2"/>
  <c r="L41" i="2"/>
  <c r="AU39" i="2"/>
  <c r="AO26" i="2"/>
  <c r="O26" i="2"/>
  <c r="AG30" i="2"/>
  <c r="AD30" i="2"/>
  <c r="AV30" i="2"/>
  <c r="AF16" i="2"/>
  <c r="AG25" i="2"/>
  <c r="L32" i="2"/>
  <c r="V32" i="2"/>
  <c r="D31" i="2"/>
  <c r="F24" i="2"/>
  <c r="AS24" i="2"/>
  <c r="V23" i="2"/>
  <c r="C27" i="2"/>
  <c r="AC28" i="2"/>
  <c r="AM28" i="2"/>
  <c r="G19" i="2"/>
  <c r="AO20" i="2"/>
  <c r="C37" i="2"/>
  <c r="P17" i="2"/>
  <c r="I15" i="2"/>
  <c r="O35" i="2"/>
  <c r="U35" i="2"/>
  <c r="AC41" i="2"/>
  <c r="AD39" i="2"/>
  <c r="U22" i="2"/>
  <c r="M26" i="2"/>
  <c r="F13" i="2"/>
  <c r="AD23" i="2"/>
  <c r="AP12" i="2"/>
  <c r="AL12" i="2"/>
  <c r="AU12" i="2"/>
  <c r="AU30" i="2"/>
  <c r="P27" i="2"/>
  <c r="R12" i="2"/>
  <c r="AJ30" i="2"/>
  <c r="M33" i="2"/>
  <c r="AD16" i="2"/>
  <c r="P32" i="2"/>
  <c r="AS32" i="2"/>
  <c r="S31" i="2"/>
  <c r="AF31" i="2"/>
  <c r="AL24" i="2"/>
  <c r="AJ18" i="2"/>
  <c r="R18" i="2"/>
  <c r="AM23" i="2"/>
  <c r="AL23" i="2"/>
  <c r="AL14" i="2"/>
  <c r="U27" i="2"/>
  <c r="L27" i="2"/>
  <c r="F28" i="2"/>
  <c r="G28" i="2"/>
  <c r="C28" i="2"/>
  <c r="I36" i="2"/>
  <c r="AR20" i="2"/>
  <c r="AM20" i="2"/>
  <c r="AG20" i="2"/>
  <c r="P37" i="2"/>
  <c r="AR37" i="2"/>
  <c r="J37" i="2"/>
  <c r="AM17" i="2"/>
  <c r="V17" i="2"/>
  <c r="I38" i="2"/>
  <c r="G38" i="2"/>
  <c r="S38" i="2"/>
  <c r="S15" i="2"/>
  <c r="AO15" i="2"/>
  <c r="S35" i="2"/>
  <c r="AU41" i="2"/>
  <c r="AG41" i="2"/>
  <c r="O41" i="2"/>
  <c r="AO41" i="2"/>
  <c r="AC39" i="2"/>
  <c r="AJ39" i="2"/>
  <c r="AV22" i="2"/>
  <c r="F26" i="2"/>
  <c r="R26" i="2"/>
  <c r="D13" i="2"/>
  <c r="M21" i="2"/>
  <c r="AO28" i="2"/>
  <c r="P12" i="2"/>
  <c r="AL30" i="2"/>
  <c r="V20" i="2"/>
  <c r="R20" i="2"/>
  <c r="AL17" i="2"/>
  <c r="D17" i="2"/>
  <c r="J38" i="2"/>
  <c r="AG15" i="2"/>
  <c r="F15" i="2"/>
  <c r="AO35" i="2"/>
  <c r="AO13" i="2"/>
  <c r="AS17" i="2"/>
  <c r="J11" i="2"/>
  <c r="O11" i="2"/>
  <c r="V11" i="2"/>
  <c r="AO37" i="2"/>
  <c r="O24" i="2"/>
  <c r="AV18" i="2"/>
  <c r="AP18" i="2"/>
  <c r="AG40" i="2"/>
  <c r="AP40" i="2"/>
  <c r="O40" i="2"/>
  <c r="AO23" i="2"/>
  <c r="J23" i="2"/>
  <c r="O23" i="2"/>
  <c r="AS14" i="2"/>
  <c r="AP14" i="2"/>
  <c r="AL27" i="2"/>
  <c r="AR19" i="2"/>
  <c r="L20" i="2"/>
  <c r="AP37" i="2"/>
  <c r="AF17" i="2"/>
  <c r="AC17" i="2"/>
  <c r="R24" i="2"/>
  <c r="AS15" i="2"/>
  <c r="U29" i="2"/>
  <c r="C35" i="2"/>
  <c r="AS41" i="2"/>
  <c r="AP39" i="2"/>
  <c r="C13" i="2"/>
  <c r="C21" i="2"/>
  <c r="U21" i="2"/>
  <c r="V30" i="2"/>
  <c r="O33" i="2"/>
  <c r="AV11" i="2"/>
  <c r="J32" i="2"/>
  <c r="AO32" i="2"/>
  <c r="AF24" i="2"/>
  <c r="S18" i="2"/>
  <c r="V18" i="2"/>
  <c r="AR40" i="2"/>
  <c r="G27" i="2"/>
  <c r="D27" i="2"/>
  <c r="AG28" i="2"/>
  <c r="AJ20" i="2"/>
  <c r="S20" i="2"/>
  <c r="O38" i="2"/>
  <c r="AP15" i="2"/>
  <c r="AU15" i="2"/>
  <c r="AD15" i="2"/>
  <c r="J35" i="2"/>
  <c r="G35" i="2"/>
  <c r="AP13" i="2"/>
  <c r="G21" i="2"/>
  <c r="D26" i="2"/>
  <c r="V26" i="2"/>
  <c r="F12" i="2"/>
  <c r="AI12" i="2"/>
  <c r="C12" i="2"/>
  <c r="G30" i="2"/>
  <c r="AU33" i="2"/>
  <c r="AR16" i="2"/>
  <c r="V24" i="2"/>
  <c r="U32" i="2"/>
  <c r="AF32" i="2"/>
  <c r="AP32" i="2"/>
  <c r="AP31" i="2"/>
  <c r="M18" i="2"/>
  <c r="AF23" i="2"/>
  <c r="AR24" i="2"/>
  <c r="AD14" i="2"/>
  <c r="I27" i="2"/>
  <c r="L36" i="2"/>
  <c r="AI19" i="2"/>
  <c r="AU19" i="2"/>
  <c r="AF20" i="2"/>
  <c r="AM37" i="2"/>
  <c r="AC15" i="2"/>
  <c r="AI15" i="2"/>
  <c r="AG29" i="2"/>
  <c r="D35" i="2"/>
  <c r="AS35" i="2"/>
  <c r="I41" i="2"/>
  <c r="J39" i="2"/>
  <c r="M39" i="2"/>
  <c r="AS34" i="2"/>
  <c r="AJ13" i="2"/>
  <c r="L26" i="2"/>
  <c r="AP26" i="2"/>
  <c r="I12" i="2"/>
  <c r="AV12" i="2"/>
  <c r="O12" i="2"/>
  <c r="AM16" i="2"/>
  <c r="S33" i="2"/>
  <c r="S16" i="2"/>
  <c r="D11" i="2"/>
  <c r="AP25" i="2"/>
  <c r="AJ25" i="2"/>
  <c r="AV25" i="2"/>
  <c r="F32" i="2"/>
  <c r="M31" i="2"/>
  <c r="AI24" i="2"/>
  <c r="AD40" i="2"/>
  <c r="C40" i="2"/>
  <c r="AM27" i="2"/>
  <c r="AJ28" i="2"/>
  <c r="AF36" i="2"/>
  <c r="AI36" i="2"/>
  <c r="F20" i="2"/>
  <c r="I20" i="2"/>
  <c r="S39" i="2"/>
  <c r="AI17" i="2"/>
  <c r="AR38" i="2"/>
  <c r="AI38" i="2"/>
  <c r="AJ38" i="2"/>
  <c r="O15" i="2"/>
  <c r="S29" i="2"/>
  <c r="V29" i="2"/>
  <c r="AJ35" i="2"/>
  <c r="AP41" i="2"/>
  <c r="U39" i="2"/>
  <c r="R13" i="2"/>
  <c r="AL21" i="2"/>
  <c r="AU26" i="2"/>
  <c r="I30" i="2"/>
  <c r="AV33" i="2"/>
  <c r="AP16" i="2"/>
  <c r="AS16" i="2"/>
  <c r="I11" i="2"/>
  <c r="AI11" i="2"/>
  <c r="AP11" i="2"/>
  <c r="AO25" i="2"/>
  <c r="AV32" i="2"/>
  <c r="AL31" i="2"/>
  <c r="V37" i="2"/>
  <c r="P24" i="2"/>
  <c r="J14" i="2"/>
  <c r="F18" i="2"/>
  <c r="O18" i="2"/>
  <c r="R40" i="2"/>
  <c r="V40" i="2"/>
  <c r="AG23" i="2"/>
  <c r="AR23" i="2"/>
  <c r="AO14" i="2"/>
  <c r="S14" i="2"/>
  <c r="L14" i="2"/>
  <c r="V14" i="2"/>
  <c r="S24" i="2"/>
  <c r="AL28" i="2"/>
  <c r="AF37" i="2"/>
  <c r="AO38" i="2"/>
  <c r="P15" i="2"/>
  <c r="O29" i="2"/>
  <c r="AI29" i="2"/>
  <c r="AM35" i="2"/>
  <c r="AM39" i="2"/>
  <c r="O39" i="2"/>
  <c r="AR26" i="2"/>
  <c r="AC13" i="2"/>
  <c r="L13" i="2"/>
  <c r="AI21" i="2"/>
  <c r="AC12" i="2"/>
  <c r="AM12" i="2"/>
  <c r="U12" i="2"/>
  <c r="V33" i="2"/>
  <c r="U33" i="2"/>
  <c r="AF11" i="2"/>
  <c r="J25" i="2"/>
  <c r="G32" i="2"/>
  <c r="AR31" i="2"/>
  <c r="F31" i="2"/>
  <c r="AO24" i="2"/>
  <c r="D40" i="2"/>
  <c r="AP23" i="2"/>
  <c r="L23" i="2"/>
  <c r="AV19" i="2"/>
  <c r="AG14" i="2"/>
  <c r="AI27" i="2"/>
  <c r="AU28" i="2"/>
  <c r="P28" i="2"/>
  <c r="S36" i="2"/>
  <c r="P20" i="2"/>
  <c r="AI37" i="2"/>
  <c r="O37" i="2"/>
  <c r="J31" i="2"/>
  <c r="AF38" i="2"/>
  <c r="AU38" i="2"/>
  <c r="AO29" i="2"/>
  <c r="AR41" i="2"/>
  <c r="M41" i="2"/>
  <c r="AM26" i="2"/>
  <c r="M13" i="2"/>
  <c r="AL13" i="2"/>
  <c r="R21" i="2"/>
  <c r="R17" i="2"/>
  <c r="AM32" i="2"/>
  <c r="AF12" i="2"/>
  <c r="L12" i="2"/>
  <c r="AF33" i="2"/>
  <c r="AV16" i="2"/>
  <c r="U16" i="2"/>
  <c r="AD11" i="2"/>
  <c r="S25" i="2"/>
  <c r="AI25" i="2"/>
  <c r="AG32" i="2"/>
  <c r="AS31" i="2"/>
  <c r="AI31" i="2"/>
  <c r="AC24" i="2"/>
  <c r="L24" i="2"/>
  <c r="AD24" i="2"/>
  <c r="U18" i="2"/>
  <c r="AF40" i="2"/>
  <c r="U40" i="2"/>
  <c r="R23" i="2"/>
  <c r="AC14" i="2"/>
  <c r="F14" i="2"/>
  <c r="J27" i="2"/>
  <c r="AD28" i="2"/>
  <c r="AG36" i="2"/>
  <c r="AC36" i="2"/>
  <c r="U19" i="2"/>
  <c r="AF19" i="2"/>
  <c r="J20" i="2"/>
  <c r="AV37" i="2"/>
  <c r="U37" i="2"/>
  <c r="AU17" i="2"/>
  <c r="J17" i="2"/>
  <c r="AM38" i="2"/>
  <c r="AV38" i="2"/>
  <c r="AM15" i="2"/>
  <c r="C29" i="2"/>
  <c r="P29" i="2"/>
  <c r="C39" i="2"/>
  <c r="AI39" i="2"/>
  <c r="M22" i="2"/>
  <c r="AR13" i="2"/>
  <c r="C22" i="2"/>
  <c r="AJ40" i="2"/>
  <c r="AS12" i="2"/>
  <c r="AI33" i="2"/>
  <c r="O16" i="2"/>
  <c r="F25" i="2"/>
  <c r="C32" i="2"/>
  <c r="I35" i="2"/>
  <c r="P31" i="2"/>
  <c r="I24" i="2"/>
  <c r="AM18" i="2"/>
  <c r="AO18" i="2"/>
  <c r="S40" i="2"/>
  <c r="U14" i="2"/>
  <c r="AV27" i="2"/>
  <c r="AC27" i="2"/>
  <c r="I31" i="2"/>
  <c r="AS28" i="2"/>
  <c r="AP28" i="2"/>
  <c r="AV36" i="2"/>
  <c r="F36" i="2"/>
  <c r="AL19" i="2"/>
  <c r="S19" i="2"/>
  <c r="AO17" i="2"/>
  <c r="P38" i="2"/>
  <c r="U38" i="2"/>
  <c r="AV15" i="2"/>
  <c r="AM29" i="2"/>
  <c r="AV35" i="2"/>
  <c r="AG35" i="2"/>
  <c r="AI41" i="2"/>
  <c r="G41" i="2"/>
  <c r="I39" i="2"/>
  <c r="S13" i="2"/>
  <c r="AF21" i="2"/>
  <c r="AI30" i="2"/>
  <c r="S12" i="2"/>
  <c r="AR33" i="2"/>
  <c r="AC16" i="2"/>
  <c r="V25" i="2"/>
  <c r="O25" i="2"/>
  <c r="AL32" i="2"/>
  <c r="AD31" i="2"/>
  <c r="L18" i="2"/>
  <c r="AR18" i="2"/>
  <c r="AU40" i="2"/>
  <c r="AM40" i="2"/>
  <c r="AU23" i="2"/>
  <c r="AU27" i="2"/>
  <c r="V27" i="2"/>
  <c r="AV28" i="2"/>
  <c r="V28" i="2"/>
  <c r="M36" i="2"/>
  <c r="AV20" i="2"/>
  <c r="AV17" i="2"/>
  <c r="C38" i="2"/>
  <c r="M38" i="2"/>
  <c r="M15" i="2"/>
  <c r="AF15" i="2"/>
  <c r="C15" i="2"/>
  <c r="AC29" i="2"/>
  <c r="R35" i="2"/>
  <c r="U41" i="2"/>
  <c r="AO39" i="2"/>
  <c r="AJ22" i="2"/>
  <c r="P26" i="2"/>
  <c r="AI13" i="2"/>
  <c r="O13" i="2"/>
  <c r="L11" i="2"/>
  <c r="AD25" i="2"/>
  <c r="J33" i="2"/>
  <c r="P11" i="2"/>
  <c r="AO11" i="2"/>
  <c r="S11" i="2"/>
  <c r="I25" i="2"/>
  <c r="P33" i="2"/>
  <c r="J16" i="2"/>
  <c r="C16" i="2"/>
  <c r="R11" i="2"/>
  <c r="AR11" i="2"/>
  <c r="AC20" i="2"/>
  <c r="AC25" i="2"/>
  <c r="AM25" i="2"/>
  <c r="AI32" i="2"/>
  <c r="AU32" i="2"/>
  <c r="R39" i="2"/>
  <c r="AU31" i="2"/>
  <c r="C31" i="2"/>
  <c r="U24" i="2"/>
  <c r="AM24" i="2"/>
  <c r="P18" i="2"/>
  <c r="AF18" i="2"/>
  <c r="AG18" i="2"/>
  <c r="P40" i="2"/>
  <c r="AO40" i="2"/>
  <c r="F23" i="2"/>
  <c r="S23" i="2"/>
  <c r="AV23" i="2"/>
  <c r="I28" i="2"/>
  <c r="AF28" i="2"/>
  <c r="M28" i="2"/>
  <c r="O36" i="2"/>
  <c r="AL36" i="2"/>
  <c r="AU36" i="2"/>
  <c r="I19" i="2"/>
  <c r="F19" i="2"/>
  <c r="AD37" i="2"/>
  <c r="AL37" i="2"/>
  <c r="L17" i="2"/>
  <c r="M17" i="2"/>
  <c r="AC38" i="2"/>
  <c r="AD38" i="2"/>
  <c r="AP38" i="2"/>
  <c r="AR39" i="2"/>
  <c r="AJ15" i="2"/>
  <c r="J15" i="2"/>
  <c r="AV29" i="2"/>
  <c r="AP29" i="2"/>
  <c r="AD35" i="2"/>
  <c r="M35" i="2"/>
  <c r="F35" i="2"/>
  <c r="R41" i="2"/>
  <c r="F41" i="2"/>
  <c r="AV39" i="2"/>
  <c r="AG39" i="2"/>
  <c r="AF22" i="2"/>
  <c r="AC22" i="2"/>
  <c r="AU13" i="2"/>
  <c r="G13" i="2"/>
  <c r="S21" i="2"/>
  <c r="AV21" i="2"/>
  <c r="D33" i="2"/>
  <c r="AD12" i="2"/>
  <c r="AD20" i="2"/>
  <c r="AR30" i="2"/>
  <c r="F62" i="2"/>
  <c r="C70" i="2" l="1"/>
  <c r="U51" i="2"/>
  <c r="AN21" i="2"/>
  <c r="I75" i="2"/>
  <c r="AE26" i="2"/>
  <c r="O55" i="2"/>
  <c r="R74" i="2"/>
  <c r="Q27" i="2"/>
  <c r="F68" i="2"/>
  <c r="K23" i="2"/>
  <c r="T11" i="2"/>
  <c r="AE22" i="2"/>
  <c r="R62" i="2"/>
  <c r="AQ38" i="2"/>
  <c r="C76" i="2"/>
  <c r="C69" i="2"/>
  <c r="AE21" i="2"/>
  <c r="O54" i="2"/>
  <c r="U68" i="2"/>
  <c r="R52" i="2"/>
  <c r="Q30" i="2"/>
  <c r="D42" i="2"/>
  <c r="E9" i="1" s="1"/>
  <c r="F81" i="2"/>
  <c r="L62" i="2"/>
  <c r="R59" i="2"/>
  <c r="U62" i="2"/>
  <c r="H23" i="2"/>
  <c r="U42" i="2"/>
  <c r="C21" i="1" s="1"/>
  <c r="F63" i="2"/>
  <c r="R51" i="2"/>
  <c r="AM42" i="2"/>
  <c r="Z15" i="1" s="1"/>
  <c r="U54" i="2"/>
  <c r="O61" i="2"/>
  <c r="R64" i="2"/>
  <c r="I51" i="2"/>
  <c r="AH17" i="2"/>
  <c r="C71" i="2"/>
  <c r="L72" i="2"/>
  <c r="R69" i="2"/>
  <c r="C73" i="2"/>
  <c r="I68" i="2"/>
  <c r="R75" i="2"/>
  <c r="AQ21" i="2"/>
  <c r="AN38" i="2"/>
  <c r="U57" i="2"/>
  <c r="F75" i="2"/>
  <c r="O56" i="2"/>
  <c r="N12" i="2"/>
  <c r="O63" i="2"/>
  <c r="I80" i="2"/>
  <c r="R76" i="2"/>
  <c r="AT30" i="2"/>
  <c r="AK22" i="2"/>
  <c r="W18" i="2"/>
  <c r="I72" i="2"/>
  <c r="L61" i="2"/>
  <c r="AW37" i="2"/>
  <c r="O72" i="2"/>
  <c r="N40" i="2"/>
  <c r="N22" i="2"/>
  <c r="K19" i="2"/>
  <c r="F77" i="2"/>
  <c r="F52" i="2"/>
  <c r="I69" i="2"/>
  <c r="AH29" i="2"/>
  <c r="H33" i="2"/>
  <c r="AT34" i="2"/>
  <c r="K38" i="2"/>
  <c r="U71" i="2"/>
  <c r="R65" i="2"/>
  <c r="K13" i="2"/>
  <c r="AQ16" i="2"/>
  <c r="AE38" i="2"/>
  <c r="AE25" i="2"/>
  <c r="I62" i="2"/>
  <c r="N21" i="2"/>
  <c r="AH33" i="2"/>
  <c r="AK31" i="2"/>
  <c r="H17" i="2"/>
  <c r="AQ14" i="2"/>
  <c r="AQ39" i="2"/>
  <c r="C55" i="2"/>
  <c r="AW25" i="2"/>
  <c r="W21" i="2"/>
  <c r="AT15" i="2"/>
  <c r="L76" i="2"/>
  <c r="H16" i="2"/>
  <c r="Q14" i="2"/>
  <c r="Q23" i="2"/>
  <c r="F76" i="2"/>
  <c r="U75" i="2"/>
  <c r="U67" i="2"/>
  <c r="K30" i="2"/>
  <c r="AH26" i="2"/>
  <c r="T15" i="2"/>
  <c r="O68" i="2"/>
  <c r="AQ24" i="2"/>
  <c r="AW41" i="2"/>
  <c r="AN20" i="2"/>
  <c r="AN35" i="2"/>
  <c r="W39" i="2"/>
  <c r="AQ19" i="2"/>
  <c r="AT36" i="2"/>
  <c r="R79" i="2"/>
  <c r="AN22" i="2"/>
  <c r="I76" i="2"/>
  <c r="F56" i="2"/>
  <c r="T37" i="2"/>
  <c r="C66" i="2"/>
  <c r="K22" i="2"/>
  <c r="T14" i="2"/>
  <c r="U58" i="2"/>
  <c r="AK12" i="2"/>
  <c r="C54" i="2"/>
  <c r="L67" i="2"/>
  <c r="AG42" i="2"/>
  <c r="AT41" i="2"/>
  <c r="E25" i="2"/>
  <c r="E24" i="2"/>
  <c r="O80" i="2"/>
  <c r="O79" i="2"/>
  <c r="O74" i="2"/>
  <c r="AH30" i="2"/>
  <c r="AK15" i="2"/>
  <c r="H24" i="2"/>
  <c r="H21" i="2"/>
  <c r="H37" i="2"/>
  <c r="T22" i="2"/>
  <c r="K20" i="2"/>
  <c r="R56" i="2"/>
  <c r="R78" i="2"/>
  <c r="AE34" i="2"/>
  <c r="AE24" i="2"/>
  <c r="C81" i="2"/>
  <c r="AK17" i="2"/>
  <c r="C58" i="2"/>
  <c r="C60" i="2"/>
  <c r="C77" i="2"/>
  <c r="H32" i="2"/>
  <c r="Q17" i="2"/>
  <c r="F74" i="2"/>
  <c r="F55" i="2"/>
  <c r="AH34" i="2"/>
  <c r="E29" i="2"/>
  <c r="K29" i="2"/>
  <c r="K15" i="2"/>
  <c r="AH24" i="2"/>
  <c r="AE19" i="2"/>
  <c r="AQ18" i="2"/>
  <c r="U60" i="2"/>
  <c r="T30" i="2"/>
  <c r="AC42" i="2"/>
  <c r="AE39" i="2"/>
  <c r="AT27" i="2"/>
  <c r="T29" i="2"/>
  <c r="H26" i="2"/>
  <c r="N19" i="2"/>
  <c r="T27" i="2"/>
  <c r="F54" i="2"/>
  <c r="U76" i="2"/>
  <c r="L55" i="2"/>
  <c r="K31" i="2"/>
  <c r="T33" i="2"/>
  <c r="AQ22" i="2"/>
  <c r="AN19" i="2"/>
  <c r="E21" i="2"/>
  <c r="AW14" i="2"/>
  <c r="T23" i="2"/>
  <c r="AK21" i="2"/>
  <c r="N33" i="2"/>
  <c r="AN40" i="2"/>
  <c r="N39" i="2"/>
  <c r="O69" i="2"/>
  <c r="T25" i="2"/>
  <c r="Q38" i="2"/>
  <c r="N38" i="2"/>
  <c r="AN29" i="2"/>
  <c r="M42" i="2"/>
  <c r="AK36" i="2"/>
  <c r="AN33" i="2"/>
  <c r="Q24" i="2"/>
  <c r="N35" i="2"/>
  <c r="O62" i="2"/>
  <c r="AN39" i="2"/>
  <c r="AT40" i="2"/>
  <c r="K18" i="2"/>
  <c r="N29" i="2"/>
  <c r="E12" i="2"/>
  <c r="K36" i="2"/>
  <c r="Q12" i="2"/>
  <c r="R54" i="2"/>
  <c r="T40" i="2"/>
  <c r="AQ12" i="2"/>
  <c r="AH11" i="2"/>
  <c r="AW39" i="2"/>
  <c r="R81" i="2"/>
  <c r="H12" i="2"/>
  <c r="C74" i="2"/>
  <c r="E27" i="2"/>
  <c r="AD42" i="2"/>
  <c r="T41" i="2"/>
  <c r="H11" i="2"/>
  <c r="Q41" i="2"/>
  <c r="AT37" i="2"/>
  <c r="AH36" i="2"/>
  <c r="N23" i="2"/>
  <c r="AH21" i="2"/>
  <c r="O51" i="2"/>
  <c r="I81" i="2"/>
  <c r="O65" i="2"/>
  <c r="R68" i="2"/>
  <c r="Q15" i="2"/>
  <c r="AH37" i="2"/>
  <c r="AT22" i="2"/>
  <c r="AK20" i="2"/>
  <c r="C56" i="2"/>
  <c r="E34" i="2"/>
  <c r="C64" i="2"/>
  <c r="K17" i="2"/>
  <c r="AE15" i="2"/>
  <c r="K35" i="2"/>
  <c r="I74" i="2"/>
  <c r="AE29" i="2"/>
  <c r="AQ29" i="2"/>
  <c r="U63" i="2"/>
  <c r="I63" i="2"/>
  <c r="I64" i="2"/>
  <c r="I78" i="2"/>
  <c r="AK24" i="2"/>
  <c r="N27" i="2"/>
  <c r="E14" i="2"/>
  <c r="R73" i="2"/>
  <c r="T21" i="2"/>
  <c r="N34" i="2"/>
  <c r="AK26" i="2"/>
  <c r="E23" i="2"/>
  <c r="AQ26" i="2"/>
  <c r="Q22" i="2"/>
  <c r="AN32" i="2"/>
  <c r="AT29" i="2"/>
  <c r="Q31" i="2"/>
  <c r="AE17" i="2"/>
  <c r="I77" i="2"/>
  <c r="U69" i="2"/>
  <c r="AQ31" i="2"/>
  <c r="R63" i="2"/>
  <c r="L70" i="2"/>
  <c r="N41" i="2"/>
  <c r="AH16" i="2"/>
  <c r="W15" i="2"/>
  <c r="I54" i="2"/>
  <c r="AK18" i="2"/>
  <c r="N16" i="2"/>
  <c r="C79" i="2"/>
  <c r="AT20" i="2"/>
  <c r="U73" i="2"/>
  <c r="F79" i="2"/>
  <c r="AQ23" i="2"/>
  <c r="F64" i="2"/>
  <c r="AE31" i="2"/>
  <c r="T39" i="2"/>
  <c r="H36" i="2"/>
  <c r="AE27" i="2"/>
  <c r="W19" i="2"/>
  <c r="I42" i="2"/>
  <c r="W41" i="2"/>
  <c r="AQ41" i="2"/>
  <c r="AK37" i="2"/>
  <c r="L60" i="2"/>
  <c r="H31" i="2"/>
  <c r="AT39" i="2"/>
  <c r="T36" i="2"/>
  <c r="AW20" i="2"/>
  <c r="AK32" i="2"/>
  <c r="R58" i="2"/>
  <c r="Q34" i="2"/>
  <c r="W27" i="2"/>
  <c r="O71" i="2"/>
  <c r="AH31" i="2"/>
  <c r="E37" i="2"/>
  <c r="AT14" i="2"/>
  <c r="E33" i="2"/>
  <c r="AN34" i="2"/>
  <c r="AH32" i="2"/>
  <c r="F66" i="2"/>
  <c r="H15" i="2"/>
  <c r="AK29" i="2"/>
  <c r="E39" i="2"/>
  <c r="H35" i="2"/>
  <c r="C62" i="2"/>
  <c r="H19" i="2"/>
  <c r="E28" i="2"/>
  <c r="U55" i="2"/>
  <c r="L75" i="2"/>
  <c r="O70" i="2"/>
  <c r="AQ17" i="2"/>
  <c r="AH39" i="2"/>
  <c r="Q29" i="2"/>
  <c r="AE23" i="2"/>
  <c r="AQ37" i="2"/>
  <c r="AN27" i="2"/>
  <c r="AH27" i="2"/>
  <c r="F72" i="2"/>
  <c r="AE20" i="2"/>
  <c r="E26" i="2"/>
  <c r="Q26" i="2"/>
  <c r="K26" i="2"/>
  <c r="I79" i="2"/>
  <c r="C80" i="2"/>
  <c r="AE28" i="2"/>
  <c r="H34" i="2"/>
  <c r="T34" i="2"/>
  <c r="W31" i="2"/>
  <c r="AW33" i="2"/>
  <c r="AW24" i="2"/>
  <c r="R80" i="2"/>
  <c r="AH25" i="2"/>
  <c r="N11" i="2"/>
  <c r="K41" i="2"/>
  <c r="I71" i="2"/>
  <c r="AT17" i="2"/>
  <c r="O59" i="2"/>
  <c r="AT18" i="2"/>
  <c r="W34" i="2"/>
  <c r="AH18" i="2"/>
  <c r="O81" i="2"/>
  <c r="AH41" i="2"/>
  <c r="K16" i="2"/>
  <c r="AN15" i="2"/>
  <c r="AK28" i="2"/>
  <c r="N18" i="2"/>
  <c r="U64" i="2"/>
  <c r="F60" i="2"/>
  <c r="E35" i="2"/>
  <c r="L68" i="2"/>
  <c r="F69" i="2"/>
  <c r="L69" i="2"/>
  <c r="AW31" i="2"/>
  <c r="W35" i="2"/>
  <c r="W32" i="2"/>
  <c r="C67" i="2"/>
  <c r="W16" i="2"/>
  <c r="W33" i="2"/>
  <c r="Q35" i="2"/>
  <c r="Q20" i="2"/>
  <c r="O67" i="2"/>
  <c r="AT38" i="2"/>
  <c r="U70" i="2"/>
  <c r="I58" i="2"/>
  <c r="AQ27" i="2"/>
  <c r="AQ13" i="2"/>
  <c r="W13" i="2"/>
  <c r="L53" i="2"/>
  <c r="AT11" i="2"/>
  <c r="I65" i="2"/>
  <c r="H25" i="2"/>
  <c r="T18" i="2"/>
  <c r="AW34" i="2"/>
  <c r="AH35" i="2"/>
  <c r="AH19" i="2"/>
  <c r="AN18" i="2"/>
  <c r="I60" i="2"/>
  <c r="F65" i="2"/>
  <c r="E30" i="2"/>
  <c r="U79" i="2"/>
  <c r="AE37" i="2"/>
  <c r="F61" i="2"/>
  <c r="U56" i="2"/>
  <c r="AQ20" i="2"/>
  <c r="AH14" i="2"/>
  <c r="AE41" i="2"/>
  <c r="AK34" i="2"/>
  <c r="W24" i="2"/>
  <c r="K34" i="2"/>
  <c r="T16" i="2"/>
  <c r="AN11" i="2"/>
  <c r="AK41" i="2"/>
  <c r="H29" i="2"/>
  <c r="T17" i="2"/>
  <c r="O76" i="2"/>
  <c r="F67" i="2"/>
  <c r="H18" i="2"/>
  <c r="AK16" i="2"/>
  <c r="AK38" i="2"/>
  <c r="K28" i="2"/>
  <c r="AW27" i="2"/>
  <c r="W11" i="2"/>
  <c r="N17" i="2"/>
  <c r="N36" i="2"/>
  <c r="AE35" i="2"/>
  <c r="Q28" i="2"/>
  <c r="W29" i="2"/>
  <c r="C68" i="2"/>
  <c r="AW35" i="2"/>
  <c r="T19" i="2"/>
  <c r="H38" i="2"/>
  <c r="AQ35" i="2"/>
  <c r="O60" i="2"/>
  <c r="T38" i="2"/>
  <c r="E32" i="2"/>
  <c r="F78" i="2"/>
  <c r="P42" i="2"/>
  <c r="I67" i="2"/>
  <c r="N20" i="2"/>
  <c r="AH22" i="2"/>
  <c r="AW15" i="2"/>
  <c r="AN26" i="2"/>
  <c r="AQ15" i="2"/>
  <c r="U53" i="2"/>
  <c r="Q18" i="2"/>
  <c r="U78" i="2"/>
  <c r="AW12" i="2"/>
  <c r="C59" i="2"/>
  <c r="W37" i="2"/>
  <c r="AT16" i="2"/>
  <c r="AT33" i="2"/>
  <c r="L73" i="2"/>
  <c r="AQ34" i="2"/>
  <c r="AN41" i="2"/>
  <c r="H41" i="2"/>
  <c r="N15" i="2"/>
  <c r="L58" i="2"/>
  <c r="H20" i="2"/>
  <c r="AW11" i="2"/>
  <c r="K27" i="2"/>
  <c r="AN17" i="2"/>
  <c r="AN36" i="2"/>
  <c r="U59" i="2"/>
  <c r="R71" i="2"/>
  <c r="AQ28" i="2"/>
  <c r="R57" i="2"/>
  <c r="AH12" i="2"/>
  <c r="AH15" i="2"/>
  <c r="AW29" i="2"/>
  <c r="C63" i="2"/>
  <c r="E22" i="2"/>
  <c r="L59" i="2"/>
  <c r="K24" i="2"/>
  <c r="K21" i="2"/>
  <c r="Q37" i="2"/>
  <c r="O77" i="2"/>
  <c r="L63" i="2"/>
  <c r="E38" i="2"/>
  <c r="N25" i="2"/>
  <c r="AE14" i="2"/>
  <c r="AV42" i="2"/>
  <c r="V42" i="2"/>
  <c r="AE18" i="2"/>
  <c r="AT32" i="2"/>
  <c r="C75" i="2"/>
  <c r="AN14" i="2"/>
  <c r="AE33" i="2"/>
  <c r="L79" i="2"/>
  <c r="AK23" i="2"/>
  <c r="AT35" i="2"/>
  <c r="O78" i="2"/>
  <c r="L74" i="2"/>
  <c r="K37" i="2"/>
  <c r="Q36" i="2"/>
  <c r="H22" i="2"/>
  <c r="H39" i="2"/>
  <c r="R55" i="2"/>
  <c r="H30" i="2"/>
  <c r="AN24" i="2"/>
  <c r="U65" i="2"/>
  <c r="AW40" i="2"/>
  <c r="O75" i="2"/>
  <c r="W23" i="2"/>
  <c r="L64" i="2"/>
  <c r="Q11" i="2"/>
  <c r="AW38" i="2"/>
  <c r="H14" i="2"/>
  <c r="E11" i="2"/>
  <c r="L57" i="2"/>
  <c r="AW36" i="2"/>
  <c r="AK33" i="2"/>
  <c r="AN16" i="2"/>
  <c r="T32" i="2"/>
  <c r="AE16" i="2"/>
  <c r="N14" i="2"/>
  <c r="E40" i="2"/>
  <c r="T35" i="2"/>
  <c r="AQ36" i="2"/>
  <c r="R72" i="2"/>
  <c r="R77" i="2"/>
  <c r="AN31" i="2"/>
  <c r="O58" i="2"/>
  <c r="C52" i="2"/>
  <c r="N24" i="2"/>
  <c r="K39" i="2"/>
  <c r="AT28" i="2"/>
  <c r="I55" i="2"/>
  <c r="H28" i="2"/>
  <c r="AK14" i="2"/>
  <c r="AH40" i="2"/>
  <c r="AE11" i="2"/>
  <c r="AE36" i="2"/>
  <c r="S42" i="2"/>
  <c r="L66" i="2"/>
  <c r="O52" i="2"/>
  <c r="AJ42" i="2"/>
  <c r="E18" i="2"/>
  <c r="L78" i="2"/>
  <c r="N32" i="2"/>
  <c r="E16" i="2"/>
  <c r="AH20" i="2"/>
  <c r="I73" i="2"/>
  <c r="AK27" i="2"/>
  <c r="AE40" i="2"/>
  <c r="W14" i="2"/>
  <c r="F57" i="2"/>
  <c r="O64" i="2"/>
  <c r="N31" i="2"/>
  <c r="AT23" i="2"/>
  <c r="F58" i="2"/>
  <c r="W12" i="2"/>
  <c r="Q39" i="2"/>
  <c r="E15" i="2"/>
  <c r="AK35" i="2"/>
  <c r="I66" i="2"/>
  <c r="F71" i="2"/>
  <c r="AK39" i="2"/>
  <c r="T28" i="2"/>
  <c r="E31" i="2"/>
  <c r="L56" i="2"/>
  <c r="W40" i="2"/>
  <c r="K14" i="2"/>
  <c r="AW23" i="2"/>
  <c r="L77" i="2"/>
  <c r="W38" i="2"/>
  <c r="N26" i="2"/>
  <c r="AK19" i="2"/>
  <c r="W25" i="2"/>
  <c r="Q25" i="2"/>
  <c r="L51" i="2"/>
  <c r="AO42" i="2"/>
  <c r="I70" i="2"/>
  <c r="AF42" i="2"/>
  <c r="R53" i="2"/>
  <c r="O66" i="2"/>
  <c r="AH28" i="2"/>
  <c r="U80" i="2"/>
  <c r="AW16" i="2"/>
  <c r="AW18" i="2"/>
  <c r="AH38" i="2"/>
  <c r="W20" i="2"/>
  <c r="I59" i="2"/>
  <c r="AT25" i="2"/>
  <c r="AK13" i="2"/>
  <c r="AT24" i="2"/>
  <c r="AE32" i="2"/>
  <c r="R67" i="2"/>
  <c r="L80" i="2"/>
  <c r="W36" i="2"/>
  <c r="K33" i="2"/>
  <c r="Q13" i="2"/>
  <c r="R61" i="2"/>
  <c r="AW13" i="2"/>
  <c r="I56" i="2"/>
  <c r="AW21" i="2"/>
  <c r="C42" i="2"/>
  <c r="AN30" i="2"/>
  <c r="F53" i="2"/>
  <c r="AW30" i="2"/>
  <c r="N30" i="2"/>
  <c r="AT12" i="2"/>
  <c r="T20" i="2"/>
  <c r="Q40" i="2"/>
  <c r="I57" i="2"/>
  <c r="U81" i="2"/>
  <c r="AK11" i="2"/>
  <c r="AW28" i="2"/>
  <c r="Q21" i="2"/>
  <c r="AQ32" i="2"/>
  <c r="AN37" i="2"/>
  <c r="F80" i="2"/>
  <c r="AN28" i="2"/>
  <c r="K25" i="2"/>
  <c r="L71" i="2"/>
  <c r="R60" i="2"/>
  <c r="AN12" i="2"/>
  <c r="R70" i="2"/>
  <c r="AS42" i="2"/>
  <c r="AW32" i="2"/>
  <c r="C51" i="2"/>
  <c r="AQ40" i="2"/>
  <c r="AT19" i="2"/>
  <c r="U74" i="2"/>
  <c r="E19" i="2"/>
  <c r="Q16" i="2"/>
  <c r="K11" i="2"/>
  <c r="H40" i="2"/>
  <c r="O57" i="2"/>
  <c r="H27" i="2"/>
  <c r="C72" i="2"/>
  <c r="F51" i="2"/>
  <c r="Q32" i="2"/>
  <c r="N37" i="2"/>
  <c r="N28" i="2"/>
  <c r="AK25" i="2"/>
  <c r="E36" i="2"/>
  <c r="AR42" i="2"/>
  <c r="T13" i="2"/>
  <c r="I52" i="2"/>
  <c r="U61" i="2"/>
  <c r="K12" i="2"/>
  <c r="W30" i="2"/>
  <c r="AU42" i="2"/>
  <c r="F42" i="2"/>
  <c r="C78" i="2"/>
  <c r="W17" i="2"/>
  <c r="E17" i="2"/>
  <c r="AT31" i="2"/>
  <c r="AK40" i="2"/>
  <c r="O53" i="2"/>
  <c r="L52" i="2"/>
  <c r="U52" i="2"/>
  <c r="O42" i="2"/>
  <c r="N13" i="2"/>
  <c r="AQ30" i="2"/>
  <c r="AE13" i="2"/>
  <c r="G42" i="2"/>
  <c r="AH13" i="2"/>
  <c r="U72" i="2"/>
  <c r="F59" i="2"/>
  <c r="L54" i="2"/>
  <c r="AQ11" i="2"/>
  <c r="U77" i="2"/>
  <c r="W28" i="2"/>
  <c r="AW17" i="2"/>
  <c r="AN25" i="2"/>
  <c r="T31" i="2"/>
  <c r="E41" i="2"/>
  <c r="Q33" i="2"/>
  <c r="K40" i="2"/>
  <c r="AQ25" i="2"/>
  <c r="AT21" i="2"/>
  <c r="AT13" i="2"/>
  <c r="C61" i="2"/>
  <c r="J42" i="2"/>
  <c r="AN13" i="2"/>
  <c r="AL42" i="2"/>
  <c r="W26" i="2"/>
  <c r="AT26" i="2"/>
  <c r="AH23" i="2"/>
  <c r="C57" i="2"/>
  <c r="T24" i="2"/>
  <c r="AN23" i="2"/>
  <c r="Q19" i="2"/>
  <c r="L81" i="2"/>
  <c r="AQ33" i="2"/>
  <c r="I61" i="2"/>
  <c r="AW19" i="2"/>
  <c r="O73" i="2"/>
  <c r="L65" i="2"/>
  <c r="E20" i="2"/>
  <c r="R42" i="2"/>
  <c r="L42" i="2"/>
  <c r="AE12" i="2"/>
  <c r="K32" i="2"/>
  <c r="F70" i="2"/>
  <c r="R66" i="2"/>
  <c r="AW26" i="2"/>
  <c r="C53" i="2"/>
  <c r="F73" i="2"/>
  <c r="C65" i="2"/>
  <c r="E13" i="2"/>
  <c r="U66" i="2"/>
  <c r="H13" i="2"/>
  <c r="I53" i="2"/>
  <c r="AP42" i="2"/>
  <c r="AW22" i="2"/>
  <c r="AE30" i="2"/>
  <c r="AK30" i="2"/>
  <c r="T12" i="2"/>
  <c r="T26" i="2"/>
  <c r="AI42" i="2"/>
  <c r="W22" i="2"/>
  <c r="U43" i="2" l="1"/>
  <c r="D43" i="2"/>
  <c r="AM43" i="2"/>
  <c r="U82" i="2"/>
  <c r="C53" i="1" s="1"/>
  <c r="T42" i="2"/>
  <c r="T43" i="2" s="1"/>
  <c r="Q42" i="2"/>
  <c r="G17" i="1" s="1"/>
  <c r="R82" i="2"/>
  <c r="C52" i="1" s="1"/>
  <c r="I82" i="2"/>
  <c r="C49" i="1" s="1"/>
  <c r="C82" i="2"/>
  <c r="C47" i="1" s="1"/>
  <c r="AV43" i="2"/>
  <c r="Z21" i="1"/>
  <c r="AT42" i="2"/>
  <c r="Z19" i="1"/>
  <c r="AS43" i="2"/>
  <c r="C19" i="1"/>
  <c r="R43" i="2"/>
  <c r="L82" i="2"/>
  <c r="C50" i="1" s="1"/>
  <c r="X9" i="1"/>
  <c r="AC43" i="2"/>
  <c r="X19" i="1"/>
  <c r="AR43" i="2"/>
  <c r="AD43" i="2"/>
  <c r="Z9" i="1"/>
  <c r="AG43" i="2"/>
  <c r="Z11" i="1"/>
  <c r="O43" i="2"/>
  <c r="C17" i="1"/>
  <c r="AF43" i="2"/>
  <c r="X11" i="1"/>
  <c r="L43" i="2"/>
  <c r="C15" i="1"/>
  <c r="F43" i="2"/>
  <c r="C11" i="1"/>
  <c r="E11" i="1"/>
  <c r="G43" i="2"/>
  <c r="C9" i="1"/>
  <c r="C43" i="2"/>
  <c r="AE42" i="2"/>
  <c r="AL43" i="2"/>
  <c r="X15" i="1"/>
  <c r="E21" i="1"/>
  <c r="V43" i="2"/>
  <c r="X13" i="1"/>
  <c r="AI43" i="2"/>
  <c r="J43" i="2"/>
  <c r="E13" i="1"/>
  <c r="I43" i="2"/>
  <c r="C13" i="1"/>
  <c r="AJ43" i="2"/>
  <c r="Z13" i="1"/>
  <c r="AW42" i="2"/>
  <c r="X17" i="1"/>
  <c r="AO43" i="2"/>
  <c r="E17" i="1"/>
  <c r="P43" i="2"/>
  <c r="AH42" i="2"/>
  <c r="AU43" i="2"/>
  <c r="X21" i="1"/>
  <c r="AP43" i="2"/>
  <c r="Z17" i="1"/>
  <c r="AQ42" i="2"/>
  <c r="AK42" i="2"/>
  <c r="N42" i="2"/>
  <c r="H42" i="2"/>
  <c r="K42" i="2"/>
  <c r="E19" i="1"/>
  <c r="S43" i="2"/>
  <c r="O82" i="2"/>
  <c r="C51" i="1" s="1"/>
  <c r="E42" i="2"/>
  <c r="AN42" i="2"/>
  <c r="M43" i="2"/>
  <c r="E15" i="1"/>
  <c r="F82" i="2"/>
  <c r="C48" i="1" s="1"/>
  <c r="W42" i="2"/>
  <c r="G19" i="1" l="1"/>
  <c r="I19" i="1" s="1"/>
  <c r="Q43" i="2"/>
  <c r="C54" i="1"/>
  <c r="E23" i="1"/>
  <c r="AH43" i="2"/>
  <c r="AB11" i="1"/>
  <c r="AD11" i="1" s="1"/>
  <c r="L13" i="1"/>
  <c r="AG13" i="1"/>
  <c r="AW43" i="2"/>
  <c r="AB21" i="1"/>
  <c r="AD21" i="1" s="1"/>
  <c r="AB19" i="1"/>
  <c r="AD19" i="1" s="1"/>
  <c r="AT43" i="2"/>
  <c r="AB17" i="1"/>
  <c r="AD17" i="1" s="1"/>
  <c r="AQ43" i="2"/>
  <c r="L15" i="1"/>
  <c r="AG15" i="1"/>
  <c r="C23" i="1"/>
  <c r="L21" i="1"/>
  <c r="AG21" i="1"/>
  <c r="L19" i="1"/>
  <c r="AG19" i="1"/>
  <c r="AB9" i="1"/>
  <c r="AE43" i="2"/>
  <c r="G9" i="1"/>
  <c r="I9" i="1" s="1"/>
  <c r="E43" i="2"/>
  <c r="X23" i="1"/>
  <c r="H43" i="2"/>
  <c r="G11" i="1"/>
  <c r="I11" i="1" s="1"/>
  <c r="L9" i="1"/>
  <c r="AG9" i="1"/>
  <c r="N43" i="2"/>
  <c r="G15" i="1"/>
  <c r="I15" i="1" s="1"/>
  <c r="AK43" i="2"/>
  <c r="AB13" i="1"/>
  <c r="AD13" i="1" s="1"/>
  <c r="G21" i="1"/>
  <c r="I21" i="1" s="1"/>
  <c r="W43" i="2"/>
  <c r="K43" i="2"/>
  <c r="G13" i="1"/>
  <c r="I13" i="1" s="1"/>
  <c r="I17" i="1"/>
  <c r="Z23" i="1"/>
  <c r="L11" i="1"/>
  <c r="AG11" i="1"/>
  <c r="L17" i="1"/>
  <c r="AG17" i="1"/>
  <c r="AB15" i="1"/>
  <c r="AD15" i="1" s="1"/>
  <c r="AN43" i="2"/>
  <c r="G23" i="1" l="1"/>
  <c r="AG23" i="1"/>
  <c r="I23" i="1"/>
  <c r="L23" i="1"/>
  <c r="AD9" i="1"/>
  <c r="AD23" i="1" s="1"/>
  <c r="AB23" i="1"/>
  <c r="AE9" i="1" l="1"/>
  <c r="M11" i="1"/>
  <c r="J9" i="1"/>
  <c r="AH21" i="1"/>
  <c r="AH15" i="1"/>
  <c r="AH17" i="1"/>
  <c r="J13" i="1"/>
  <c r="AE11" i="1"/>
  <c r="AE17" i="1"/>
  <c r="AH11" i="1"/>
  <c r="AH9" i="1"/>
  <c r="AE19" i="1"/>
  <c r="AE15" i="1"/>
  <c r="M9" i="1"/>
  <c r="AE21" i="1"/>
  <c r="M13" i="1"/>
  <c r="M19" i="1"/>
  <c r="J19" i="1"/>
  <c r="M21" i="1"/>
  <c r="J21" i="1"/>
  <c r="AH19" i="1"/>
  <c r="J11" i="1"/>
  <c r="AE13" i="1"/>
  <c r="AH13" i="1"/>
  <c r="J17" i="1"/>
  <c r="M17" i="1"/>
  <c r="M15" i="1"/>
  <c r="J15" i="1"/>
  <c r="AH23" i="1" l="1"/>
  <c r="AE23" i="1"/>
  <c r="J23" i="1"/>
  <c r="M23" i="1"/>
</calcChain>
</file>

<file path=xl/sharedStrings.xml><?xml version="1.0" encoding="utf-8"?>
<sst xmlns="http://schemas.openxmlformats.org/spreadsheetml/2006/main" count="75" uniqueCount="18">
  <si>
    <t>CHARTER
RATE</t>
  </si>
  <si>
    <t>TOTAL
COST</t>
  </si>
  <si>
    <t>FUEL
COST</t>
  </si>
  <si>
    <t>TOTAL COST</t>
  </si>
  <si>
    <t>MOB /
DEMOB</t>
  </si>
  <si>
    <t>Summary</t>
  </si>
  <si>
    <t>PCT</t>
  </si>
  <si>
    <t>BOAT
HOURS</t>
  </si>
  <si>
    <t>Logistics Cost Sharing</t>
  </si>
  <si>
    <t>Operations Boat Cost Analysis</t>
  </si>
  <si>
    <t>DATE</t>
  </si>
  <si>
    <t>FUEL</t>
  </si>
  <si>
    <t>DAYRATE</t>
  </si>
  <si>
    <t>SUM</t>
  </si>
  <si>
    <t>This Month Daily AVG</t>
  </si>
  <si>
    <t>Daily Boat Cost Distribution to each Operations Area</t>
  </si>
  <si>
    <t>Fuel (liter)</t>
  </si>
  <si>
    <t>TOTAL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</si>
</sst>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(&quot;$&quot;* #,##0_);_(&quot;$&quot;* \(#,##0\);_(&quot;$&quot;* &quot;-&quot;_);_(@_)"/>
    <numFmt numFmtId="164" formatCode="_-* #,##0.00_-;\-* #,##0.00_-;_-* &quot;-&quot;??_-;_-@_-"/>
    <numFmt numFmtId="165" formatCode="_-&quot;$&quot;* #,##0_-;\-&quot;$&quot;* #,##0_-;_-&quot;$&quot;* &quot;-&quot;_-;_-@_-"/>
    <numFmt numFmtId="166" formatCode="_(* #,##0.0_);_(* \(#,##0.0\);_(* &quot;-&quot;??_);_(@_)"/>
    <numFmt numFmtId="167" formatCode="0.0"/>
    <numFmt numFmtId="168" formatCode="_-* #,##0_-;\-* #,##0_-;_-* &quot;-&quot;??_-;_-@_-"/>
    <numFmt numFmtId="169" formatCode="_([$$-409]* #,##0.00_);_([$$-409]* \(#,##0.00\);_([$$-409]* &quot;-&quot;??_);_(@_)"/>
    <numFmt numFmtId="170" formatCode="_([$Rp-421]* #,##0.00_);_([$Rp-421]* \(#,##0.00\);_([$Rp-421]* &quot;-&quot;??_);_(@_)"/>
  </numFmts>
  <fonts count="41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10"/>
      <name val="Arial Narrow"/>
      <family val="2"/>
    </font>
    <font>
      <b/>
      <sz val="12"/>
      <color indexed="13"/>
      <name val="Arial Narrow"/>
      <family val="2"/>
    </font>
    <font>
      <b/>
      <sz val="12"/>
      <name val="Arial Narrow"/>
      <family val="2"/>
    </font>
    <font>
      <sz val="12"/>
      <color indexed="13"/>
      <name val="Arial Narrow"/>
      <family val="2"/>
    </font>
    <font>
      <b/>
      <sz val="12"/>
      <color indexed="18"/>
      <name val="Arial Narrow"/>
      <family val="2"/>
    </font>
    <font>
      <b/>
      <sz val="12"/>
      <color indexed="13"/>
      <name val="Arial"/>
      <family val="2"/>
    </font>
    <font>
      <sz val="10"/>
      <name val="Arial Narrow"/>
      <family val="2"/>
    </font>
    <font>
      <sz val="10"/>
      <color indexed="13"/>
      <name val="Arial Narrow"/>
      <family val="2"/>
    </font>
    <font>
      <b/>
      <sz val="10"/>
      <color indexed="13"/>
      <name val="Arial"/>
      <family val="2"/>
    </font>
    <font>
      <b/>
      <sz val="10"/>
      <name val="Arial"/>
      <family val="2"/>
    </font>
    <font>
      <b/>
      <u/>
      <sz val="10"/>
      <color indexed="13"/>
      <name val="Arial"/>
      <family val="2"/>
    </font>
    <font>
      <b/>
      <u/>
      <sz val="12"/>
      <color indexed="13"/>
      <name val="Arial Narrow"/>
      <family val="2"/>
    </font>
    <font>
      <b/>
      <sz val="12"/>
      <color indexed="12"/>
      <name val="Arial Narrow"/>
      <family val="2"/>
    </font>
    <font>
      <b/>
      <sz val="10"/>
      <color indexed="43"/>
      <name val="Arial Narrow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13"/>
      <name val="Arial"/>
      <family val="2"/>
    </font>
    <font>
      <sz val="26"/>
      <color indexed="10"/>
      <name val="Arial Narrow"/>
      <family val="2"/>
    </font>
    <font>
      <sz val="8"/>
      <color indexed="18"/>
      <name val="Arial Narrow"/>
      <family val="2"/>
    </font>
    <font>
      <sz val="10"/>
      <color indexed="11"/>
      <name val="Arial"/>
      <family val="2"/>
    </font>
    <font>
      <vertAlign val="superscript"/>
      <sz val="10"/>
      <color indexed="13"/>
      <name val="Arial"/>
      <family val="2"/>
    </font>
    <font>
      <b/>
      <sz val="9"/>
      <color indexed="13"/>
      <name val="Arial"/>
      <family val="2"/>
    </font>
    <font>
      <sz val="10"/>
      <name val="Arial"/>
      <family val="2"/>
    </font>
    <font>
      <b/>
      <sz val="9"/>
      <color indexed="13"/>
      <name val="Arial Narrow"/>
      <family val="2"/>
    </font>
    <font>
      <b/>
      <sz val="14"/>
      <color indexed="13"/>
      <name val="Arial Narrow"/>
      <family val="2"/>
    </font>
    <font>
      <b/>
      <sz val="12"/>
      <color theme="3"/>
      <name val="Arial Narrow"/>
      <family val="2"/>
    </font>
    <font>
      <b/>
      <sz val="12"/>
      <color theme="5" tint="-0.499984740745262"/>
      <name val="Arial Narrow"/>
      <family val="2"/>
    </font>
    <font>
      <b/>
      <sz val="12"/>
      <color theme="3" tint="-0.499984740745262"/>
      <name val="Arial Narrow"/>
      <family val="2"/>
    </font>
    <font>
      <b/>
      <sz val="12"/>
      <color theme="0"/>
      <name val="Arial Narrow"/>
      <family val="2"/>
    </font>
    <font>
      <sz val="10"/>
      <color theme="0"/>
      <name val="Arial"/>
      <family val="2"/>
    </font>
    <font>
      <sz val="9"/>
      <color theme="0"/>
      <name val="Arial Narrow"/>
      <family val="2"/>
    </font>
    <font>
      <b/>
      <sz val="8"/>
      <color theme="3"/>
      <name val="Arial Narrow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8"/>
      <color theme="0"/>
      <name val="Arial Narrow"/>
      <family val="2"/>
    </font>
    <font>
      <b/>
      <sz val="9"/>
      <color theme="0"/>
      <name val="Arial Narrow"/>
      <family val="2"/>
    </font>
    <font>
      <b/>
      <sz val="18"/>
      <color rgb="FFCC0000"/>
      <name val="Arial Narrow"/>
      <family val="2"/>
    </font>
    <font>
      <b/>
      <sz val="14"/>
      <color rgb="FFFFFF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medium">
        <color indexed="10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rgb="FFFF0000"/>
      </left>
      <right style="medium">
        <color indexed="10"/>
      </right>
      <top style="medium">
        <color indexed="10"/>
      </top>
      <bottom style="thin">
        <color rgb="FF00FFFF"/>
      </bottom>
      <diagonal/>
    </border>
    <border>
      <left style="medium">
        <color rgb="FFFF0000"/>
      </left>
      <right style="medium">
        <color indexed="10"/>
      </right>
      <top style="thin">
        <color rgb="FF00FFFF"/>
      </top>
      <bottom style="thin">
        <color rgb="FF00FFFF"/>
      </bottom>
      <diagonal/>
    </border>
    <border>
      <left style="medium">
        <color rgb="FFFF0000"/>
      </left>
      <right style="medium">
        <color indexed="10"/>
      </right>
      <top style="thin">
        <color rgb="FF00FFFF"/>
      </top>
      <bottom style="medium">
        <color indexed="10"/>
      </bottom>
      <diagonal/>
    </border>
    <border>
      <left style="medium">
        <color indexed="1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indexed="10"/>
      </right>
      <top style="thin">
        <color rgb="FF00B0F0"/>
      </top>
      <bottom style="thin">
        <color rgb="FF00B0F0"/>
      </bottom>
      <diagonal/>
    </border>
    <border>
      <left style="medium">
        <color rgb="FFC00000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medium">
        <color rgb="FFC00000"/>
      </right>
      <top style="thin">
        <color indexed="15"/>
      </top>
      <bottom style="thin">
        <color indexed="15"/>
      </bottom>
      <diagonal/>
    </border>
    <border>
      <left style="medium">
        <color indexed="1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medium">
        <color indexed="1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/>
      <top style="medium">
        <color rgb="FFC00000"/>
      </top>
      <bottom style="medium">
        <color indexed="10"/>
      </bottom>
      <diagonal/>
    </border>
    <border>
      <left style="medium">
        <color rgb="FFC00000"/>
      </left>
      <right style="thin">
        <color rgb="FF00B0F0"/>
      </right>
      <top style="medium">
        <color rgb="FFC00000"/>
      </top>
      <bottom style="medium">
        <color indexed="10"/>
      </bottom>
      <diagonal/>
    </border>
    <border>
      <left style="thin">
        <color rgb="FF00B0F0"/>
      </left>
      <right style="medium">
        <color rgb="FFC00000"/>
      </right>
      <top style="medium">
        <color rgb="FFC00000"/>
      </top>
      <bottom style="medium">
        <color indexed="1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95">
    <xf numFmtId="0" fontId="0" fillId="0" borderId="0" xfId="0"/>
    <xf numFmtId="0" fontId="0" fillId="0" borderId="0" xfId="0" applyFill="1" applyProtection="1">
      <protection hidden="1"/>
    </xf>
    <xf numFmtId="0" fontId="0" fillId="0" borderId="0" xfId="0" applyProtection="1">
      <protection hidden="1"/>
    </xf>
    <xf numFmtId="0" fontId="0" fillId="2" borderId="0" xfId="0" applyFill="1" applyBorder="1" applyAlignment="1" applyProtection="1">
      <alignment vertical="center"/>
      <protection hidden="1"/>
    </xf>
    <xf numFmtId="0" fontId="0" fillId="0" borderId="0" xfId="0" applyFill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3" fillId="2" borderId="0" xfId="0" applyFont="1" applyFill="1" applyBorder="1" applyAlignment="1" applyProtection="1">
      <alignment vertical="center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6" fillId="2" borderId="0" xfId="0" applyFont="1" applyFill="1" applyBorder="1" applyAlignment="1" applyProtection="1">
      <alignment vertical="center"/>
      <protection hidden="1"/>
    </xf>
    <xf numFmtId="9" fontId="8" fillId="3" borderId="1" xfId="1" applyNumberFormat="1" applyFont="1" applyFill="1" applyBorder="1" applyAlignment="1" applyProtection="1">
      <alignment horizontal="center" vertical="center"/>
      <protection hidden="1"/>
    </xf>
    <xf numFmtId="0" fontId="6" fillId="0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8" fillId="2" borderId="0" xfId="1" applyNumberFormat="1" applyFont="1" applyFill="1" applyBorder="1" applyAlignment="1" applyProtection="1">
      <alignment horizontal="center" vertical="center"/>
      <protection hidden="1"/>
    </xf>
    <xf numFmtId="166" fontId="6" fillId="2" borderId="0" xfId="1" applyNumberFormat="1" applyFont="1" applyFill="1" applyBorder="1" applyAlignment="1" applyProtection="1">
      <alignment vertical="center"/>
      <protection hidden="1"/>
    </xf>
    <xf numFmtId="9" fontId="11" fillId="3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0" xfId="2" applyFont="1" applyFill="1" applyBorder="1" applyAlignment="1" applyProtection="1">
      <alignment vertical="center"/>
      <protection hidden="1"/>
    </xf>
    <xf numFmtId="0" fontId="11" fillId="2" borderId="0" xfId="0" applyFont="1" applyFill="1" applyBorder="1" applyAlignment="1" applyProtection="1">
      <alignment vertical="center"/>
      <protection hidden="1"/>
    </xf>
    <xf numFmtId="0" fontId="13" fillId="2" borderId="0" xfId="2" applyFont="1" applyFill="1" applyBorder="1" applyAlignment="1" applyProtection="1">
      <protection hidden="1"/>
    </xf>
    <xf numFmtId="0" fontId="2" fillId="2" borderId="0" xfId="2" applyFill="1" applyBorder="1" applyAlignment="1" applyProtection="1">
      <protection hidden="1"/>
    </xf>
    <xf numFmtId="0" fontId="0" fillId="4" borderId="0" xfId="0" applyFill="1" applyBorder="1" applyProtection="1">
      <protection hidden="1"/>
    </xf>
    <xf numFmtId="0" fontId="0" fillId="4" borderId="0" xfId="0" applyFill="1" applyBorder="1" applyAlignment="1" applyProtection="1">
      <alignment vertical="center"/>
      <protection hidden="1"/>
    </xf>
    <xf numFmtId="0" fontId="0" fillId="11" borderId="2" xfId="0" applyFill="1" applyBorder="1" applyProtection="1">
      <protection hidden="1"/>
    </xf>
    <xf numFmtId="0" fontId="0" fillId="11" borderId="0" xfId="0" applyFill="1" applyBorder="1" applyProtection="1">
      <protection hidden="1"/>
    </xf>
    <xf numFmtId="0" fontId="0" fillId="11" borderId="0" xfId="0" applyFill="1" applyBorder="1" applyAlignment="1" applyProtection="1">
      <alignment vertical="center"/>
      <protection hidden="1"/>
    </xf>
    <xf numFmtId="0" fontId="4" fillId="11" borderId="3" xfId="0" applyFont="1" applyFill="1" applyBorder="1" applyAlignment="1" applyProtection="1">
      <alignment horizontal="center" vertical="center"/>
      <protection hidden="1"/>
    </xf>
    <xf numFmtId="0" fontId="3" fillId="11" borderId="3" xfId="0" applyFont="1" applyFill="1" applyBorder="1" applyAlignment="1" applyProtection="1">
      <alignment vertical="center"/>
      <protection hidden="1"/>
    </xf>
    <xf numFmtId="0" fontId="0" fillId="11" borderId="3" xfId="0" applyFill="1" applyBorder="1" applyAlignment="1" applyProtection="1">
      <alignment vertical="center"/>
      <protection hidden="1"/>
    </xf>
    <xf numFmtId="0" fontId="0" fillId="11" borderId="0" xfId="0" applyFill="1" applyAlignment="1" applyProtection="1">
      <alignment vertical="center"/>
      <protection hidden="1"/>
    </xf>
    <xf numFmtId="0" fontId="13" fillId="11" borderId="0" xfId="2" applyFont="1" applyFill="1" applyBorder="1" applyAlignment="1" applyProtection="1">
      <alignment vertical="center"/>
      <protection hidden="1"/>
    </xf>
    <xf numFmtId="0" fontId="14" fillId="11" borderId="0" xfId="2" applyFont="1" applyFill="1" applyBorder="1" applyAlignment="1" applyProtection="1">
      <alignment vertical="center"/>
      <protection hidden="1"/>
    </xf>
    <xf numFmtId="0" fontId="15" fillId="11" borderId="0" xfId="2" applyFont="1" applyFill="1" applyBorder="1" applyAlignment="1" applyProtection="1">
      <alignment vertical="center"/>
      <protection hidden="1"/>
    </xf>
    <xf numFmtId="42" fontId="7" fillId="5" borderId="4" xfId="1" applyNumberFormat="1" applyFont="1" applyFill="1" applyBorder="1" applyAlignment="1" applyProtection="1">
      <alignment vertical="center"/>
      <protection hidden="1"/>
    </xf>
    <xf numFmtId="166" fontId="5" fillId="12" borderId="1" xfId="1" applyNumberFormat="1" applyFont="1" applyFill="1" applyBorder="1" applyAlignment="1" applyProtection="1">
      <alignment vertical="center"/>
      <protection hidden="1"/>
    </xf>
    <xf numFmtId="166" fontId="12" fillId="13" borderId="1" xfId="1" applyNumberFormat="1" applyFont="1" applyFill="1" applyBorder="1" applyAlignment="1" applyProtection="1">
      <alignment vertical="center"/>
      <protection hidden="1"/>
    </xf>
    <xf numFmtId="0" fontId="28" fillId="11" borderId="3" xfId="0" applyFont="1" applyFill="1" applyBorder="1" applyAlignment="1" applyProtection="1">
      <alignment horizontal="right" vertical="center"/>
      <protection hidden="1"/>
    </xf>
    <xf numFmtId="0" fontId="6" fillId="11" borderId="3" xfId="0" applyFont="1" applyFill="1" applyBorder="1" applyAlignment="1" applyProtection="1">
      <alignment horizontal="right" vertical="center"/>
      <protection hidden="1"/>
    </xf>
    <xf numFmtId="0" fontId="11" fillId="11" borderId="0" xfId="0" applyFont="1" applyFill="1" applyBorder="1" applyAlignment="1" applyProtection="1">
      <alignment vertical="center"/>
      <protection hidden="1"/>
    </xf>
    <xf numFmtId="0" fontId="29" fillId="11" borderId="3" xfId="0" applyFont="1" applyFill="1" applyBorder="1" applyAlignment="1" applyProtection="1">
      <alignment horizontal="right" vertical="center"/>
      <protection hidden="1"/>
    </xf>
    <xf numFmtId="0" fontId="3" fillId="11" borderId="0" xfId="0" applyFont="1" applyFill="1" applyBorder="1" applyAlignment="1" applyProtection="1">
      <alignment vertical="center"/>
      <protection hidden="1"/>
    </xf>
    <xf numFmtId="0" fontId="30" fillId="14" borderId="3" xfId="0" applyFont="1" applyFill="1" applyBorder="1" applyAlignment="1" applyProtection="1">
      <alignment horizontal="center" vertical="center" wrapText="1"/>
      <protection hidden="1"/>
    </xf>
    <xf numFmtId="0" fontId="4" fillId="7" borderId="1" xfId="0" applyFont="1" applyFill="1" applyBorder="1" applyAlignment="1" applyProtection="1">
      <alignment horizontal="center" vertical="center" wrapText="1"/>
      <protection hidden="1"/>
    </xf>
    <xf numFmtId="0" fontId="4" fillId="12" borderId="1" xfId="0" applyFont="1" applyFill="1" applyBorder="1" applyAlignment="1" applyProtection="1">
      <alignment horizontal="center" vertical="center" wrapText="1"/>
      <protection hidden="1"/>
    </xf>
    <xf numFmtId="0" fontId="0" fillId="8" borderId="0" xfId="0" applyFill="1" applyProtection="1">
      <protection hidden="1"/>
    </xf>
    <xf numFmtId="0" fontId="0" fillId="4" borderId="5" xfId="0" applyFill="1" applyBorder="1" applyProtection="1">
      <protection hidden="1"/>
    </xf>
    <xf numFmtId="0" fontId="0" fillId="4" borderId="2" xfId="0" applyFill="1" applyBorder="1" applyProtection="1">
      <protection hidden="1"/>
    </xf>
    <xf numFmtId="0" fontId="0" fillId="15" borderId="2" xfId="0" applyFill="1" applyBorder="1" applyProtection="1">
      <protection hidden="1"/>
    </xf>
    <xf numFmtId="0" fontId="0" fillId="15" borderId="0" xfId="0" applyFill="1" applyProtection="1">
      <protection hidden="1"/>
    </xf>
    <xf numFmtId="0" fontId="0" fillId="4" borderId="3" xfId="0" applyFill="1" applyBorder="1" applyProtection="1">
      <protection hidden="1"/>
    </xf>
    <xf numFmtId="0" fontId="0" fillId="15" borderId="0" xfId="0" applyFill="1" applyBorder="1" applyProtection="1">
      <protection hidden="1"/>
    </xf>
    <xf numFmtId="0" fontId="19" fillId="15" borderId="0" xfId="0" applyFont="1" applyFill="1" applyBorder="1" applyProtection="1">
      <protection hidden="1"/>
    </xf>
    <xf numFmtId="0" fontId="13" fillId="15" borderId="0" xfId="2" applyFont="1" applyFill="1" applyBorder="1" applyAlignment="1" applyProtection="1">
      <protection hidden="1"/>
    </xf>
    <xf numFmtId="0" fontId="0" fillId="4" borderId="3" xfId="0" applyFill="1" applyBorder="1" applyAlignment="1" applyProtection="1">
      <alignment vertical="center"/>
      <protection hidden="1"/>
    </xf>
    <xf numFmtId="0" fontId="0" fillId="15" borderId="0" xfId="0" applyFill="1" applyBorder="1" applyAlignment="1" applyProtection="1">
      <alignment vertical="center"/>
      <protection hidden="1"/>
    </xf>
    <xf numFmtId="0" fontId="0" fillId="15" borderId="0" xfId="0" applyFill="1" applyAlignment="1" applyProtection="1">
      <alignment vertical="center"/>
      <protection hidden="1"/>
    </xf>
    <xf numFmtId="0" fontId="0" fillId="8" borderId="0" xfId="0" applyFill="1" applyAlignment="1" applyProtection="1">
      <alignment vertical="center"/>
      <protection hidden="1"/>
    </xf>
    <xf numFmtId="20" fontId="20" fillId="15" borderId="0" xfId="0" applyNumberFormat="1" applyFont="1" applyFill="1" applyBorder="1" applyAlignment="1" applyProtection="1">
      <alignment vertical="center"/>
      <protection hidden="1"/>
    </xf>
    <xf numFmtId="0" fontId="13" fillId="15" borderId="0" xfId="2" applyFont="1" applyFill="1" applyBorder="1" applyAlignment="1" applyProtection="1">
      <alignment vertical="center"/>
      <protection hidden="1"/>
    </xf>
    <xf numFmtId="0" fontId="3" fillId="14" borderId="3" xfId="0" applyFont="1" applyFill="1" applyBorder="1" applyAlignment="1" applyProtection="1">
      <alignment vertical="center"/>
      <protection hidden="1"/>
    </xf>
    <xf numFmtId="0" fontId="3" fillId="14" borderId="0" xfId="0" applyFont="1" applyFill="1" applyBorder="1" applyAlignment="1" applyProtection="1">
      <alignment vertical="center"/>
      <protection hidden="1"/>
    </xf>
    <xf numFmtId="0" fontId="3" fillId="15" borderId="0" xfId="0" applyFont="1" applyFill="1" applyBorder="1" applyAlignment="1" applyProtection="1">
      <alignment vertical="center"/>
      <protection hidden="1"/>
    </xf>
    <xf numFmtId="0" fontId="3" fillId="15" borderId="0" xfId="0" applyFont="1" applyFill="1" applyAlignment="1" applyProtection="1">
      <alignment vertical="center"/>
      <protection hidden="1"/>
    </xf>
    <xf numFmtId="0" fontId="3" fillId="8" borderId="0" xfId="0" applyFont="1" applyFill="1" applyAlignment="1" applyProtection="1">
      <alignment vertical="center"/>
      <protection hidden="1"/>
    </xf>
    <xf numFmtId="0" fontId="10" fillId="2" borderId="0" xfId="0" applyFont="1" applyFill="1" applyBorder="1" applyAlignment="1" applyProtection="1">
      <alignment vertical="center"/>
      <protection hidden="1"/>
    </xf>
    <xf numFmtId="0" fontId="10" fillId="15" borderId="0" xfId="0" applyFont="1" applyFill="1" applyAlignment="1" applyProtection="1">
      <alignment vertical="center"/>
      <protection hidden="1"/>
    </xf>
    <xf numFmtId="0" fontId="10" fillId="8" borderId="0" xfId="0" applyFont="1" applyFill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31" fillId="9" borderId="6" xfId="0" applyFont="1" applyFill="1" applyBorder="1" applyAlignment="1" applyProtection="1">
      <alignment horizontal="center" vertical="center" wrapText="1"/>
      <protection hidden="1"/>
    </xf>
    <xf numFmtId="0" fontId="32" fillId="2" borderId="0" xfId="0" applyFont="1" applyFill="1" applyBorder="1" applyAlignment="1" applyProtection="1">
      <alignment vertical="center"/>
      <protection hidden="1"/>
    </xf>
    <xf numFmtId="0" fontId="22" fillId="15" borderId="0" xfId="0" applyFont="1" applyFill="1" applyAlignment="1" applyProtection="1">
      <alignment vertical="center"/>
      <protection hidden="1"/>
    </xf>
    <xf numFmtId="0" fontId="22" fillId="8" borderId="0" xfId="0" applyFont="1" applyFill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33" fillId="9" borderId="6" xfId="0" applyFont="1" applyFill="1" applyBorder="1" applyAlignment="1" applyProtection="1">
      <alignment horizontal="right" vertical="center" wrapText="1"/>
      <protection hidden="1"/>
    </xf>
    <xf numFmtId="0" fontId="23" fillId="2" borderId="3" xfId="0" applyFont="1" applyFill="1" applyBorder="1" applyAlignment="1" applyProtection="1">
      <alignment horizontal="right" vertical="center"/>
      <protection hidden="1"/>
    </xf>
    <xf numFmtId="0" fontId="18" fillId="2" borderId="3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Alignment="1" applyProtection="1">
      <alignment vertical="center"/>
      <protection hidden="1"/>
    </xf>
    <xf numFmtId="0" fontId="18" fillId="2" borderId="0" xfId="0" applyFont="1" applyFill="1" applyBorder="1" applyProtection="1">
      <protection hidden="1"/>
    </xf>
    <xf numFmtId="0" fontId="11" fillId="2" borderId="0" xfId="0" applyFont="1" applyFill="1" applyBorder="1" applyProtection="1">
      <protection hidden="1"/>
    </xf>
    <xf numFmtId="0" fontId="18" fillId="15" borderId="0" xfId="0" applyFont="1" applyFill="1" applyAlignment="1" applyProtection="1">
      <alignment vertical="center"/>
      <protection hidden="1"/>
    </xf>
    <xf numFmtId="0" fontId="18" fillId="8" borderId="0" xfId="0" applyFont="1" applyFill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0" fillId="2" borderId="3" xfId="0" applyFill="1" applyBorder="1" applyAlignment="1" applyProtection="1">
      <alignment vertical="center"/>
      <protection hidden="1"/>
    </xf>
    <xf numFmtId="0" fontId="0" fillId="15" borderId="3" xfId="0" applyFill="1" applyBorder="1" applyAlignment="1" applyProtection="1">
      <alignment vertical="center"/>
      <protection hidden="1"/>
    </xf>
    <xf numFmtId="165" fontId="10" fillId="15" borderId="0" xfId="0" applyNumberFormat="1" applyFont="1" applyFill="1" applyBorder="1" applyAlignment="1" applyProtection="1">
      <alignment horizontal="center" vertical="center" wrapText="1"/>
      <protection hidden="1"/>
    </xf>
    <xf numFmtId="0" fontId="10" fillId="15" borderId="0" xfId="0" applyNumberFormat="1" applyFont="1" applyFill="1" applyBorder="1" applyAlignment="1" applyProtection="1">
      <alignment horizontal="center" vertical="center" wrapText="1"/>
      <protection hidden="1"/>
    </xf>
    <xf numFmtId="0" fontId="0" fillId="15" borderId="7" xfId="0" applyFill="1" applyBorder="1" applyAlignment="1" applyProtection="1">
      <alignment vertical="center"/>
      <protection hidden="1"/>
    </xf>
    <xf numFmtId="0" fontId="0" fillId="15" borderId="8" xfId="0" applyFill="1" applyBorder="1" applyAlignment="1" applyProtection="1">
      <alignment vertical="center"/>
      <protection hidden="1"/>
    </xf>
    <xf numFmtId="0" fontId="18" fillId="0" borderId="0" xfId="0" applyFont="1" applyFill="1" applyAlignment="1" applyProtection="1">
      <alignment vertical="center"/>
      <protection hidden="1"/>
    </xf>
    <xf numFmtId="0" fontId="18" fillId="0" borderId="0" xfId="0" applyFont="1" applyFill="1" applyProtection="1">
      <protection hidden="1"/>
    </xf>
    <xf numFmtId="0" fontId="18" fillId="8" borderId="0" xfId="0" applyFont="1" applyFill="1" applyProtection="1">
      <protection hidden="1"/>
    </xf>
    <xf numFmtId="0" fontId="24" fillId="2" borderId="0" xfId="2" applyFont="1" applyFill="1" applyBorder="1" applyAlignment="1" applyProtection="1">
      <alignment vertical="center"/>
      <protection hidden="1"/>
    </xf>
    <xf numFmtId="0" fontId="34" fillId="14" borderId="3" xfId="0" applyFont="1" applyFill="1" applyBorder="1" applyAlignment="1" applyProtection="1">
      <alignment horizontal="center" vertical="top" wrapText="1"/>
      <protection hidden="1"/>
    </xf>
    <xf numFmtId="0" fontId="34" fillId="14" borderId="0" xfId="0" applyFont="1" applyFill="1" applyBorder="1" applyAlignment="1" applyProtection="1">
      <alignment horizontal="center" vertical="top"/>
      <protection hidden="1"/>
    </xf>
    <xf numFmtId="0" fontId="34" fillId="15" borderId="0" xfId="0" applyFont="1" applyFill="1" applyBorder="1" applyAlignment="1" applyProtection="1">
      <alignment horizontal="center" vertical="top" wrapText="1"/>
      <protection hidden="1"/>
    </xf>
    <xf numFmtId="0" fontId="34" fillId="15" borderId="0" xfId="0" applyFont="1" applyFill="1" applyBorder="1" applyAlignment="1" applyProtection="1">
      <alignment horizontal="center" vertical="top"/>
      <protection hidden="1"/>
    </xf>
    <xf numFmtId="0" fontId="34" fillId="15" borderId="0" xfId="0" applyFont="1" applyFill="1" applyAlignment="1" applyProtection="1">
      <alignment horizontal="center" vertical="top"/>
      <protection hidden="1"/>
    </xf>
    <xf numFmtId="0" fontId="34" fillId="8" borderId="0" xfId="0" applyFont="1" applyFill="1" applyAlignment="1" applyProtection="1">
      <alignment horizontal="center" vertical="top"/>
      <protection hidden="1"/>
    </xf>
    <xf numFmtId="0" fontId="34" fillId="0" borderId="0" xfId="0" applyFont="1" applyAlignment="1" applyProtection="1">
      <alignment horizontal="center" vertical="top"/>
      <protection hidden="1"/>
    </xf>
    <xf numFmtId="0" fontId="0" fillId="16" borderId="0" xfId="0" applyFill="1" applyProtection="1">
      <protection hidden="1"/>
    </xf>
    <xf numFmtId="0" fontId="0" fillId="16" borderId="0" xfId="0" applyFill="1" applyAlignment="1" applyProtection="1">
      <alignment vertical="center"/>
      <protection hidden="1"/>
    </xf>
    <xf numFmtId="0" fontId="0" fillId="16" borderId="0" xfId="0" applyFill="1" applyBorder="1" applyAlignment="1" applyProtection="1">
      <alignment vertical="center"/>
      <protection hidden="1"/>
    </xf>
    <xf numFmtId="0" fontId="3" fillId="16" borderId="0" xfId="0" applyFont="1" applyFill="1" applyAlignment="1" applyProtection="1">
      <alignment vertical="center"/>
      <protection hidden="1"/>
    </xf>
    <xf numFmtId="0" fontId="3" fillId="16" borderId="0" xfId="0" applyFont="1" applyFill="1" applyBorder="1" applyAlignment="1" applyProtection="1">
      <alignment vertical="center"/>
      <protection hidden="1"/>
    </xf>
    <xf numFmtId="0" fontId="9" fillId="16" borderId="0" xfId="0" applyFont="1" applyFill="1" applyBorder="1" applyAlignment="1" applyProtection="1">
      <alignment vertical="center"/>
      <protection hidden="1"/>
    </xf>
    <xf numFmtId="0" fontId="10" fillId="16" borderId="0" xfId="0" applyFont="1" applyFill="1" applyBorder="1" applyAlignment="1" applyProtection="1">
      <alignment vertical="center"/>
      <protection hidden="1"/>
    </xf>
    <xf numFmtId="167" fontId="1" fillId="16" borderId="0" xfId="0" applyNumberFormat="1" applyFont="1" applyFill="1" applyBorder="1" applyAlignment="1" applyProtection="1">
      <alignment vertical="center"/>
      <protection hidden="1"/>
    </xf>
    <xf numFmtId="167" fontId="12" fillId="16" borderId="0" xfId="0" applyNumberFormat="1" applyFont="1" applyFill="1" applyBorder="1" applyAlignment="1" applyProtection="1">
      <alignment vertical="center"/>
      <protection hidden="1"/>
    </xf>
    <xf numFmtId="15" fontId="35" fillId="17" borderId="17" xfId="0" applyNumberFormat="1" applyFont="1" applyFill="1" applyBorder="1" applyAlignment="1" applyProtection="1">
      <alignment horizontal="center" vertical="center"/>
      <protection hidden="1"/>
    </xf>
    <xf numFmtId="15" fontId="35" fillId="17" borderId="18" xfId="0" applyNumberFormat="1" applyFont="1" applyFill="1" applyBorder="1" applyAlignment="1" applyProtection="1">
      <alignment horizontal="center" vertical="center"/>
      <protection hidden="1"/>
    </xf>
    <xf numFmtId="15" fontId="35" fillId="17" borderId="19" xfId="0" applyNumberFormat="1" applyFont="1" applyFill="1" applyBorder="1" applyAlignment="1" applyProtection="1">
      <alignment horizontal="center" vertical="center"/>
      <protection hidden="1"/>
    </xf>
    <xf numFmtId="42" fontId="7" fillId="5" borderId="9" xfId="1" applyNumberFormat="1" applyFont="1" applyFill="1" applyBorder="1" applyAlignment="1" applyProtection="1">
      <alignment vertical="center"/>
      <protection hidden="1"/>
    </xf>
    <xf numFmtId="0" fontId="36" fillId="2" borderId="0" xfId="0" applyFont="1" applyFill="1" applyBorder="1" applyAlignment="1" applyProtection="1">
      <alignment vertical="center"/>
      <protection hidden="1"/>
    </xf>
    <xf numFmtId="9" fontId="8" fillId="3" borderId="1" xfId="3" applyFont="1" applyFill="1" applyBorder="1" applyAlignment="1" applyProtection="1">
      <alignment horizontal="left" vertical="center" indent="1"/>
      <protection hidden="1"/>
    </xf>
    <xf numFmtId="9" fontId="8" fillId="2" borderId="0" xfId="3" applyFont="1" applyFill="1" applyBorder="1" applyAlignment="1" applyProtection="1">
      <alignment horizontal="center" vertical="center"/>
      <protection hidden="1"/>
    </xf>
    <xf numFmtId="15" fontId="18" fillId="14" borderId="10" xfId="0" applyNumberFormat="1" applyFont="1" applyFill="1" applyBorder="1" applyAlignment="1" applyProtection="1">
      <alignment vertical="center"/>
      <protection hidden="1"/>
    </xf>
    <xf numFmtId="0" fontId="18" fillId="14" borderId="10" xfId="0" applyFont="1" applyFill="1" applyBorder="1" applyAlignment="1" applyProtection="1">
      <alignment vertical="center"/>
      <protection hidden="1"/>
    </xf>
    <xf numFmtId="0" fontId="18" fillId="0" borderId="10" xfId="0" applyFont="1" applyFill="1" applyBorder="1" applyAlignment="1" applyProtection="1">
      <alignment horizontal="left" vertical="center"/>
      <protection hidden="1"/>
    </xf>
    <xf numFmtId="0" fontId="18" fillId="0" borderId="10" xfId="0" applyFont="1" applyFill="1" applyBorder="1" applyAlignment="1" applyProtection="1">
      <alignment vertical="center"/>
      <protection hidden="1"/>
    </xf>
    <xf numFmtId="15" fontId="18" fillId="18" borderId="0" xfId="0" applyNumberFormat="1" applyFont="1" applyFill="1" applyAlignment="1" applyProtection="1">
      <alignment vertical="center"/>
      <protection hidden="1"/>
    </xf>
    <xf numFmtId="0" fontId="18" fillId="18" borderId="0" xfId="0" applyFont="1" applyFill="1" applyAlignment="1" applyProtection="1">
      <alignment vertical="center"/>
      <protection hidden="1"/>
    </xf>
    <xf numFmtId="0" fontId="18" fillId="18" borderId="0" xfId="0" applyFont="1" applyFill="1" applyProtection="1">
      <protection hidden="1"/>
    </xf>
    <xf numFmtId="0" fontId="0" fillId="18" borderId="0" xfId="0" applyFill="1" applyProtection="1">
      <protection hidden="1"/>
    </xf>
    <xf numFmtId="15" fontId="12" fillId="14" borderId="10" xfId="0" applyNumberFormat="1" applyFont="1" applyFill="1" applyBorder="1" applyAlignment="1" applyProtection="1">
      <alignment vertical="center"/>
      <protection hidden="1"/>
    </xf>
    <xf numFmtId="0" fontId="12" fillId="14" borderId="10" xfId="0" applyFont="1" applyFill="1" applyBorder="1" applyAlignment="1" applyProtection="1">
      <alignment vertical="center"/>
      <protection hidden="1"/>
    </xf>
    <xf numFmtId="0" fontId="0" fillId="0" borderId="10" xfId="0" applyFill="1" applyBorder="1" applyAlignment="1" applyProtection="1">
      <alignment vertical="center"/>
      <protection hidden="1"/>
    </xf>
    <xf numFmtId="168" fontId="0" fillId="0" borderId="10" xfId="1" applyNumberFormat="1" applyFont="1" applyFill="1" applyBorder="1" applyAlignment="1" applyProtection="1">
      <alignment vertical="center"/>
      <protection hidden="1"/>
    </xf>
    <xf numFmtId="0" fontId="12" fillId="0" borderId="10" xfId="0" applyFont="1" applyFill="1" applyBorder="1" applyAlignment="1" applyProtection="1">
      <alignment vertical="center"/>
      <protection hidden="1"/>
    </xf>
    <xf numFmtId="168" fontId="12" fillId="0" borderId="10" xfId="1" applyNumberFormat="1" applyFont="1" applyFill="1" applyBorder="1" applyAlignment="1" applyProtection="1">
      <alignment vertical="center"/>
      <protection hidden="1"/>
    </xf>
    <xf numFmtId="15" fontId="0" fillId="19" borderId="10" xfId="0" applyNumberFormat="1" applyFill="1" applyBorder="1" applyAlignment="1" applyProtection="1">
      <alignment vertical="center"/>
      <protection hidden="1"/>
    </xf>
    <xf numFmtId="170" fontId="21" fillId="5" borderId="20" xfId="1" applyNumberFormat="1" applyFont="1" applyFill="1" applyBorder="1" applyAlignment="1" applyProtection="1">
      <alignment vertical="center"/>
      <protection hidden="1"/>
    </xf>
    <xf numFmtId="170" fontId="21" fillId="5" borderId="21" xfId="1" applyNumberFormat="1" applyFont="1" applyFill="1" applyBorder="1" applyAlignment="1" applyProtection="1">
      <alignment vertical="center"/>
      <protection hidden="1"/>
    </xf>
    <xf numFmtId="170" fontId="21" fillId="5" borderId="22" xfId="1" applyNumberFormat="1" applyFont="1" applyFill="1" applyBorder="1" applyAlignment="1" applyProtection="1">
      <alignment vertical="center"/>
      <protection hidden="1"/>
    </xf>
    <xf numFmtId="170" fontId="21" fillId="5" borderId="11" xfId="1" applyNumberFormat="1" applyFont="1" applyFill="1" applyBorder="1" applyAlignment="1" applyProtection="1">
      <alignment vertical="center"/>
      <protection hidden="1"/>
    </xf>
    <xf numFmtId="170" fontId="21" fillId="5" borderId="12" xfId="1" applyNumberFormat="1" applyFont="1" applyFill="1" applyBorder="1" applyAlignment="1" applyProtection="1">
      <alignment vertical="center"/>
      <protection hidden="1"/>
    </xf>
    <xf numFmtId="170" fontId="21" fillId="5" borderId="13" xfId="1" applyNumberFormat="1" applyFont="1" applyFill="1" applyBorder="1" applyAlignment="1" applyProtection="1">
      <alignment vertical="center"/>
      <protection hidden="1"/>
    </xf>
    <xf numFmtId="170" fontId="21" fillId="5" borderId="14" xfId="1" applyNumberFormat="1" applyFont="1" applyFill="1" applyBorder="1" applyAlignment="1" applyProtection="1">
      <alignment vertical="center"/>
      <protection hidden="1"/>
    </xf>
    <xf numFmtId="170" fontId="21" fillId="5" borderId="23" xfId="1" applyNumberFormat="1" applyFont="1" applyFill="1" applyBorder="1" applyAlignment="1" applyProtection="1">
      <alignment vertical="center"/>
      <protection hidden="1"/>
    </xf>
    <xf numFmtId="170" fontId="21" fillId="5" borderId="24" xfId="1" applyNumberFormat="1" applyFont="1" applyFill="1" applyBorder="1" applyAlignment="1" applyProtection="1">
      <alignment vertical="center"/>
      <protection hidden="1"/>
    </xf>
    <xf numFmtId="170" fontId="37" fillId="9" borderId="15" xfId="0" applyNumberFormat="1" applyFont="1" applyFill="1" applyBorder="1" applyAlignment="1" applyProtection="1">
      <alignment horizontal="center" vertical="center" wrapText="1"/>
      <protection hidden="1"/>
    </xf>
    <xf numFmtId="170" fontId="37" fillId="9" borderId="16" xfId="0" applyNumberFormat="1" applyFont="1" applyFill="1" applyBorder="1" applyAlignment="1" applyProtection="1">
      <alignment horizontal="center" vertical="center" wrapText="1"/>
      <protection hidden="1"/>
    </xf>
    <xf numFmtId="0" fontId="26" fillId="15" borderId="0" xfId="0" applyFont="1" applyFill="1" applyAlignment="1" applyProtection="1">
      <alignment horizontal="center" vertical="center"/>
      <protection hidden="1"/>
    </xf>
    <xf numFmtId="0" fontId="26" fillId="8" borderId="0" xfId="0" applyFont="1" applyFill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7" fillId="15" borderId="3" xfId="0" applyFont="1" applyFill="1" applyBorder="1" applyAlignment="1" applyProtection="1">
      <alignment horizontal="center" vertical="center" wrapText="1"/>
      <protection hidden="1"/>
    </xf>
    <xf numFmtId="0" fontId="27" fillId="15" borderId="0" xfId="0" applyFont="1" applyFill="1" applyBorder="1" applyAlignment="1" applyProtection="1">
      <alignment horizontal="center" vertical="center"/>
      <protection hidden="1"/>
    </xf>
    <xf numFmtId="0" fontId="27" fillId="15" borderId="0" xfId="0" applyFont="1" applyFill="1" applyAlignment="1" applyProtection="1">
      <alignment horizontal="center" vertical="center"/>
      <protection hidden="1"/>
    </xf>
    <xf numFmtId="0" fontId="27" fillId="8" borderId="0" xfId="0" applyFont="1" applyFill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8" fillId="17" borderId="6" xfId="0" applyFont="1" applyFill="1" applyBorder="1" applyAlignment="1" applyProtection="1">
      <alignment horizontal="center" vertical="center" wrapText="1"/>
      <protection hidden="1"/>
    </xf>
    <xf numFmtId="0" fontId="38" fillId="2" borderId="0" xfId="0" applyFont="1" applyFill="1" applyBorder="1" applyAlignment="1" applyProtection="1">
      <alignment horizontal="center" vertical="center"/>
      <protection hidden="1"/>
    </xf>
    <xf numFmtId="0" fontId="38" fillId="17" borderId="25" xfId="0" applyFont="1" applyFill="1" applyBorder="1" applyAlignment="1" applyProtection="1">
      <alignment horizontal="center" vertical="center" wrapText="1"/>
      <protection hidden="1"/>
    </xf>
    <xf numFmtId="0" fontId="38" fillId="17" borderId="26" xfId="0" applyFont="1" applyFill="1" applyBorder="1" applyAlignment="1" applyProtection="1">
      <alignment horizontal="center" vertical="center" wrapText="1"/>
      <protection hidden="1"/>
    </xf>
    <xf numFmtId="0" fontId="38" fillId="17" borderId="27" xfId="0" applyFont="1" applyFill="1" applyBorder="1" applyAlignment="1" applyProtection="1">
      <alignment horizontal="center" vertical="center" wrapText="1"/>
      <protection hidden="1"/>
    </xf>
    <xf numFmtId="0" fontId="38" fillId="17" borderId="28" xfId="0" applyFont="1" applyFill="1" applyBorder="1" applyAlignment="1" applyProtection="1">
      <alignment horizontal="center" vertical="center" wrapText="1"/>
      <protection hidden="1"/>
    </xf>
    <xf numFmtId="0" fontId="38" fillId="17" borderId="29" xfId="0" applyFont="1" applyFill="1" applyBorder="1" applyAlignment="1" applyProtection="1">
      <alignment horizontal="center" vertical="center" wrapText="1"/>
      <protection hidden="1"/>
    </xf>
    <xf numFmtId="0" fontId="38" fillId="17" borderId="30" xfId="0" applyFont="1" applyFill="1" applyBorder="1" applyAlignment="1" applyProtection="1">
      <alignment horizontal="center" vertical="center" wrapText="1"/>
      <protection hidden="1"/>
    </xf>
    <xf numFmtId="0" fontId="0" fillId="14" borderId="10" xfId="0" applyFill="1" applyBorder="1" applyAlignment="1" applyProtection="1">
      <alignment vertical="center"/>
      <protection hidden="1"/>
    </xf>
    <xf numFmtId="0" fontId="0" fillId="18" borderId="0" xfId="0" applyFill="1" applyAlignment="1" applyProtection="1">
      <alignment vertical="center"/>
      <protection hidden="1"/>
    </xf>
    <xf numFmtId="169" fontId="7" fillId="5" borderId="1" xfId="1" applyNumberFormat="1" applyFont="1" applyFill="1" applyBorder="1" applyAlignment="1" applyProtection="1">
      <alignment vertical="center"/>
      <protection hidden="1"/>
    </xf>
    <xf numFmtId="169" fontId="7" fillId="5" borderId="4" xfId="1" applyNumberFormat="1" applyFont="1" applyFill="1" applyBorder="1" applyAlignment="1" applyProtection="1">
      <alignment vertical="center"/>
      <protection hidden="1"/>
    </xf>
    <xf numFmtId="169" fontId="7" fillId="6" borderId="1" xfId="1" applyNumberFormat="1" applyFont="1" applyFill="1" applyBorder="1" applyAlignment="1" applyProtection="1">
      <alignment vertical="center"/>
      <protection hidden="1"/>
    </xf>
    <xf numFmtId="169" fontId="7" fillId="2" borderId="0" xfId="1" applyNumberFormat="1" applyFont="1" applyFill="1" applyBorder="1" applyAlignment="1" applyProtection="1">
      <alignment vertical="center"/>
      <protection hidden="1"/>
    </xf>
    <xf numFmtId="169" fontId="28" fillId="2" borderId="0" xfId="1" applyNumberFormat="1" applyFont="1" applyFill="1" applyBorder="1" applyAlignment="1" applyProtection="1">
      <alignment vertical="center"/>
      <protection hidden="1"/>
    </xf>
    <xf numFmtId="169" fontId="0" fillId="2" borderId="0" xfId="0" applyNumberFormat="1" applyFill="1" applyBorder="1" applyAlignment="1" applyProtection="1">
      <alignment vertical="center"/>
      <protection hidden="1"/>
    </xf>
    <xf numFmtId="15" fontId="39" fillId="11" borderId="0" xfId="0" quotePrefix="1" applyNumberFormat="1" applyFont="1" applyFill="1" applyBorder="1" applyAlignment="1" applyProtection="1">
      <alignment vertical="center"/>
      <protection hidden="1"/>
    </xf>
    <xf numFmtId="0" fontId="16" fillId="10" borderId="8" xfId="0" applyFont="1" applyFill="1" applyBorder="1" applyAlignment="1" applyProtection="1">
      <alignment vertical="center"/>
      <protection hidden="1"/>
    </xf>
    <xf numFmtId="0" fontId="5" fillId="16" borderId="0" xfId="0" applyFont="1" applyFill="1" applyBorder="1" applyAlignment="1" applyProtection="1">
      <alignment vertical="center"/>
      <protection hidden="1"/>
    </xf>
    <xf numFmtId="170" fontId="7" fillId="5" borderId="1" xfId="1" applyNumberFormat="1" applyFont="1" applyFill="1" applyBorder="1" applyAlignment="1" applyProtection="1">
      <alignment vertical="center"/>
      <protection hidden="1"/>
    </xf>
    <xf numFmtId="170" fontId="7" fillId="5" borderId="4" xfId="1" applyNumberFormat="1" applyFont="1" applyFill="1" applyBorder="1" applyAlignment="1" applyProtection="1">
      <alignment vertical="center"/>
      <protection hidden="1"/>
    </xf>
    <xf numFmtId="170" fontId="7" fillId="6" borderId="1" xfId="1" applyNumberFormat="1" applyFont="1" applyFill="1" applyBorder="1" applyAlignment="1" applyProtection="1">
      <alignment vertical="center"/>
      <protection hidden="1"/>
    </xf>
    <xf numFmtId="170" fontId="7" fillId="2" borderId="0" xfId="1" applyNumberFormat="1" applyFont="1" applyFill="1" applyBorder="1" applyAlignment="1" applyProtection="1">
      <alignment vertical="center"/>
      <protection hidden="1"/>
    </xf>
    <xf numFmtId="170" fontId="28" fillId="2" borderId="0" xfId="1" applyNumberFormat="1" applyFont="1" applyFill="1" applyBorder="1" applyAlignment="1" applyProtection="1">
      <alignment vertical="center"/>
      <protection hidden="1"/>
    </xf>
    <xf numFmtId="170" fontId="0" fillId="2" borderId="0" xfId="0" applyNumberFormat="1" applyFill="1" applyBorder="1" applyAlignment="1" applyProtection="1">
      <alignment vertical="center"/>
      <protection hidden="1"/>
    </xf>
    <xf numFmtId="169" fontId="21" fillId="5" borderId="20" xfId="1" applyNumberFormat="1" applyFont="1" applyFill="1" applyBorder="1" applyAlignment="1" applyProtection="1">
      <alignment vertical="center"/>
      <protection hidden="1"/>
    </xf>
    <xf numFmtId="169" fontId="21" fillId="5" borderId="21" xfId="1" applyNumberFormat="1" applyFont="1" applyFill="1" applyBorder="1" applyAlignment="1" applyProtection="1">
      <alignment vertical="center"/>
      <protection hidden="1"/>
    </xf>
    <xf numFmtId="169" fontId="21" fillId="5" borderId="22" xfId="1" applyNumberFormat="1" applyFont="1" applyFill="1" applyBorder="1" applyAlignment="1" applyProtection="1">
      <alignment vertical="center"/>
      <protection hidden="1"/>
    </xf>
    <xf numFmtId="169" fontId="21" fillId="5" borderId="11" xfId="1" applyNumberFormat="1" applyFont="1" applyFill="1" applyBorder="1" applyAlignment="1" applyProtection="1">
      <alignment vertical="center"/>
      <protection hidden="1"/>
    </xf>
    <xf numFmtId="169" fontId="21" fillId="5" borderId="12" xfId="1" applyNumberFormat="1" applyFont="1" applyFill="1" applyBorder="1" applyAlignment="1" applyProtection="1">
      <alignment vertical="center"/>
      <protection hidden="1"/>
    </xf>
    <xf numFmtId="169" fontId="21" fillId="5" borderId="13" xfId="1" applyNumberFormat="1" applyFont="1" applyFill="1" applyBorder="1" applyAlignment="1" applyProtection="1">
      <alignment vertical="center"/>
      <protection hidden="1"/>
    </xf>
    <xf numFmtId="169" fontId="21" fillId="5" borderId="14" xfId="1" applyNumberFormat="1" applyFont="1" applyFill="1" applyBorder="1" applyAlignment="1" applyProtection="1">
      <alignment vertical="center"/>
      <protection hidden="1"/>
    </xf>
    <xf numFmtId="169" fontId="21" fillId="5" borderId="23" xfId="1" applyNumberFormat="1" applyFont="1" applyFill="1" applyBorder="1" applyAlignment="1" applyProtection="1">
      <alignment vertical="center"/>
      <protection hidden="1"/>
    </xf>
    <xf numFmtId="169" fontId="21" fillId="5" borderId="24" xfId="1" applyNumberFormat="1" applyFont="1" applyFill="1" applyBorder="1" applyAlignment="1" applyProtection="1">
      <alignment vertical="center"/>
      <protection hidden="1"/>
    </xf>
    <xf numFmtId="169" fontId="37" fillId="9" borderId="15" xfId="0" applyNumberFormat="1" applyFont="1" applyFill="1" applyBorder="1" applyAlignment="1" applyProtection="1">
      <alignment horizontal="center" vertical="center" wrapText="1"/>
      <protection hidden="1"/>
    </xf>
    <xf numFmtId="169" fontId="37" fillId="9" borderId="16" xfId="0" applyNumberFormat="1" applyFont="1" applyFill="1" applyBorder="1" applyAlignment="1" applyProtection="1">
      <alignment horizontal="center" vertical="center" wrapText="1"/>
      <protection hidden="1"/>
    </xf>
    <xf numFmtId="0" fontId="4" fillId="11" borderId="0" xfId="0" applyFont="1" applyFill="1" applyBorder="1" applyAlignment="1" applyProtection="1">
      <alignment horizontal="center" vertical="center"/>
      <protection hidden="1"/>
    </xf>
    <xf numFmtId="0" fontId="29" fillId="11" borderId="0" xfId="0" applyFont="1" applyFill="1" applyBorder="1" applyAlignment="1" applyProtection="1">
      <alignment horizontal="right" vertical="center"/>
      <protection hidden="1"/>
    </xf>
    <xf numFmtId="0" fontId="30" fillId="14" borderId="0" xfId="0" applyFont="1" applyFill="1" applyBorder="1" applyAlignment="1" applyProtection="1">
      <alignment horizontal="center" vertical="center" wrapText="1"/>
      <protection hidden="1"/>
    </xf>
    <xf numFmtId="0" fontId="37" fillId="9" borderId="16" xfId="0" applyNumberFormat="1" applyFont="1" applyFill="1" applyBorder="1" applyAlignment="1" applyProtection="1">
      <alignment horizontal="center" vertical="center" wrapText="1"/>
      <protection hidden="1"/>
    </xf>
    <xf numFmtId="0" fontId="40" fillId="20" borderId="31" xfId="2" applyFont="1" applyFill="1" applyBorder="1" applyAlignment="1" applyProtection="1">
      <alignment horizontal="center" vertical="center" wrapText="1"/>
      <protection hidden="1"/>
    </xf>
    <xf numFmtId="0" fontId="40" fillId="20" borderId="32" xfId="2" applyFont="1" applyFill="1" applyBorder="1" applyAlignment="1" applyProtection="1">
      <alignment horizontal="center" vertical="center" wrapText="1"/>
      <protection hidden="1"/>
    </xf>
    <xf numFmtId="1" fontId="12" fillId="14" borderId="10" xfId="0" quotePrefix="1" applyNumberFormat="1" applyFont="1" applyFill="1" applyBorder="1" applyAlignment="1" applyProtection="1">
      <alignment horizontal="center" vertical="center"/>
      <protection hidden="1"/>
    </xf>
    <xf numFmtId="168" fontId="25" fillId="14" borderId="10" xfId="1" quotePrefix="1" applyNumberFormat="1" applyFont="1" applyFill="1" applyBorder="1" applyAlignment="1" applyProtection="1">
      <alignment horizontal="center" vertical="center"/>
      <protection hidden="1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20">
    <dxf>
      <numFmt numFmtId="1" formatCode="0"/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numFmt numFmtId="1" formatCode="0"/>
    </dxf>
    <dxf>
      <fill>
        <patternFill>
          <bgColor indexed="18"/>
        </patternFill>
      </fill>
    </dxf>
    <dxf>
      <font>
        <color rgb="FF0033CC"/>
      </font>
    </dxf>
    <dxf>
      <font>
        <color rgb="FF0033CC"/>
      </font>
    </dxf>
    <dxf>
      <fill>
        <patternFill>
          <bgColor indexed="18"/>
        </patternFill>
      </fill>
    </dxf>
    <dxf>
      <font>
        <color rgb="FF0033CC"/>
      </font>
    </dxf>
    <dxf>
      <font>
        <color rgb="FF0033CC"/>
      </font>
    </dxf>
    <dxf>
      <fill>
        <patternFill>
          <bgColor indexed="18"/>
        </patternFill>
      </fill>
    </dxf>
    <dxf>
      <font>
        <color rgb="FF0033CC"/>
      </font>
    </dxf>
    <dxf>
      <font>
        <color rgb="FF0033CC"/>
      </font>
    </dxf>
    <dxf>
      <fill>
        <patternFill>
          <bgColor indexed="18"/>
        </patternFill>
      </fill>
    </dxf>
    <dxf>
      <font>
        <color rgb="FF0033CC"/>
      </font>
    </dxf>
    <dxf>
      <font>
        <color rgb="FF0033CC"/>
      </font>
    </dxf>
    <dxf>
      <fill>
        <patternFill>
          <bgColor indexed="1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5149008273"/>
          <c:y val="2.4896243438320212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7148197384417855E-2"/>
          <c:y val="0.29138695898306827"/>
          <c:w val="0.81555850973173805"/>
          <c:h val="0.42358911018475631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BC1-426F-BF5B-FFAE1BC9BA6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BC1-426F-BF5B-FFAE1BC9BA6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1BC1-426F-BF5B-FFAE1BC9BA6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1BC1-426F-BF5B-FFAE1BC9BA6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1BC1-426F-BF5B-FFAE1BC9BA6D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1BC1-426F-BF5B-FFAE1BC9BA6D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>
                      <a:defRPr sz="700" b="0" i="0" u="none" strike="noStrike" baseline="0">
                        <a:solidFill>
                          <a:srgbClr val="FFFFFF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en-US"/>
                      <a:t>SANTAN TERM.</a:t>
                    </a:r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BC1-426F-BF5B-FFAE1BC9BA6D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(Ops!$A$9,Ops!$A$11,Ops!$A$13,Ops!$A$15,Ops!$A$17,Ops!$A$19)</c:f>
              <c:strCache>
                <c:ptCount val="6"/>
                <c:pt idx="0">
                  <c:v>-</c:v>
                </c:pt>
                <c:pt idx="1">
                  <c:v> P_NORTH
ATTAKA</c:v>
                </c:pt>
                <c:pt idx="2">
                  <c:v>P_NORTH
NIB</c:v>
                </c:pt>
                <c:pt idx="3">
                  <c:v>P_NORTH
SANTAN
TERMINAL</c:v>
                </c:pt>
                <c:pt idx="4">
                  <c:v>P_NORTH
SECURITY PATROL</c:v>
                </c:pt>
                <c:pt idx="5">
                  <c:v>P_SOUTH</c:v>
                </c:pt>
              </c:strCache>
            </c:strRef>
          </c:cat>
          <c:val>
            <c:numRef>
              <c:f>(Ops!$I$9,Ops!$I$11,Ops!$I$13,Ops!$I$15,Ops!$I$17,Ops!$I$19)</c:f>
              <c:numCache>
                <c:formatCode>_([$$-409]* #,##0.00_);_([$$-409]* \(#,##0.00\);_([$$-409]* "-"??_);_(@_)</c:formatCode>
                <c:ptCount val="6"/>
                <c:pt idx="0">
                  <c:v>0</c:v>
                </c:pt>
                <c:pt idx="1">
                  <c:v>99881.840004227968</c:v>
                </c:pt>
                <c:pt idx="2">
                  <c:v>178033.96651617275</c:v>
                </c:pt>
                <c:pt idx="3">
                  <c:v>230891.18106488133</c:v>
                </c:pt>
                <c:pt idx="4">
                  <c:v>9660.5433618093139</c:v>
                </c:pt>
                <c:pt idx="5">
                  <c:v>310095.17295528186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C1-426F-BF5B-FFAE1BC9B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FFFFFF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Total Cost</a:t>
            </a:r>
          </a:p>
        </c:rich>
      </c:tx>
      <c:layout>
        <c:manualLayout>
          <c:xMode val="edge"/>
          <c:yMode val="edge"/>
          <c:x val="0.27729897399188741"/>
          <c:y val="2.4896243438320212E-2"/>
        </c:manualLayout>
      </c:layout>
      <c:overlay val="0"/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7148197384417855E-2"/>
          <c:y val="0.29138695898306827"/>
          <c:w val="0.81555850973173805"/>
          <c:h val="0.42358911018475631"/>
        </c:manualLayout>
      </c:layout>
      <c:pie3DChart>
        <c:varyColors val="1"/>
        <c:ser>
          <c:idx val="0"/>
          <c:order val="0"/>
          <c:tx>
            <c:v>Total Cost</c:v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B67-4ECE-93AB-A81E7387220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DB67-4ECE-93AB-A81E73872207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DB67-4ECE-93AB-A81E7387220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DB67-4ECE-93AB-A81E7387220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DB67-4ECE-93AB-A81E7387220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DB67-4ECE-93AB-A81E73872207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pPr>
                      <a:defRPr sz="700" b="0" i="0" u="none" strike="noStrike" baseline="0">
                        <a:solidFill>
                          <a:srgbClr val="FFFFFF"/>
                        </a:solidFill>
                        <a:latin typeface="Calibri"/>
                        <a:ea typeface="Calibri"/>
                        <a:cs typeface="Calibri"/>
                      </a:defRPr>
                    </a:pPr>
                    <a:r>
                      <a:rPr lang="en-US"/>
                      <a:t>SANTAN TERM.</a:t>
                    </a:r>
                  </a:p>
                </c:rich>
              </c:tx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67-4ECE-93AB-A81E7387220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0" i="0" u="none" strike="noStrike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(Ops!$A$9,Ops!$A$11,Ops!$A$13,Ops!$A$15,Ops!$A$17,Ops!$A$19)</c:f>
              <c:strCache>
                <c:ptCount val="6"/>
                <c:pt idx="0">
                  <c:v>-</c:v>
                </c:pt>
                <c:pt idx="1">
                  <c:v> P_NORTH
ATTAKA</c:v>
                </c:pt>
                <c:pt idx="2">
                  <c:v>P_NORTH
NIB</c:v>
                </c:pt>
                <c:pt idx="3">
                  <c:v>P_NORTH
SANTAN
TERMINAL</c:v>
                </c:pt>
                <c:pt idx="4">
                  <c:v>P_NORTH
SECURITY PATROL</c:v>
                </c:pt>
                <c:pt idx="5">
                  <c:v>P_SOUTH</c:v>
                </c:pt>
              </c:strCache>
            </c:strRef>
          </c:cat>
          <c:val>
            <c:numRef>
              <c:f>(Ops!$I$9,Ops!$I$11,Ops!$I$13,Ops!$I$15,Ops!$I$17,Ops!$I$19)</c:f>
              <c:numCache>
                <c:formatCode>_([$$-409]* #,##0.00_);_([$$-409]* \(#,##0.00\);_([$$-409]* "-"??_);_(@_)</c:formatCode>
                <c:ptCount val="6"/>
                <c:pt idx="0">
                  <c:v>0</c:v>
                </c:pt>
                <c:pt idx="1">
                  <c:v>99881.840004227968</c:v>
                </c:pt>
                <c:pt idx="2">
                  <c:v>178033.96651617275</c:v>
                </c:pt>
                <c:pt idx="3">
                  <c:v>230891.18106488133</c:v>
                </c:pt>
                <c:pt idx="4">
                  <c:v>9660.5433618093139</c:v>
                </c:pt>
                <c:pt idx="5">
                  <c:v>310095.17295528186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67-4ECE-93AB-A81E73872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FFFFFF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Ops!Print_Are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690609</xdr:colOff>
      <xdr:row>4</xdr:row>
      <xdr:rowOff>86632</xdr:rowOff>
    </xdr:from>
    <xdr:to>
      <xdr:col>10</xdr:col>
      <xdr:colOff>24928</xdr:colOff>
      <xdr:row>4</xdr:row>
      <xdr:rowOff>318983</xdr:rowOff>
    </xdr:to>
    <xdr:sp macro="" textlink="">
      <xdr:nvSpPr>
        <xdr:cNvPr id="1025" name="Word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019300" y="762000"/>
          <a:ext cx="3067050" cy="22859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13</xdr:col>
      <xdr:colOff>228600</xdr:colOff>
      <xdr:row>7</xdr:row>
      <xdr:rowOff>133350</xdr:rowOff>
    </xdr:from>
    <xdr:to>
      <xdr:col>17</xdr:col>
      <xdr:colOff>349250</xdr:colOff>
      <xdr:row>19</xdr:row>
      <xdr:rowOff>19050</xdr:rowOff>
    </xdr:to>
    <xdr:graphicFrame macro="">
      <xdr:nvGraphicFramePr>
        <xdr:cNvPr id="17790710" name="Chart 15">
          <a:extLst>
            <a:ext uri="{FF2B5EF4-FFF2-40B4-BE49-F238E27FC236}">
              <a16:creationId xmlns:a16="http://schemas.microsoft.com/office/drawing/2014/main" id="{00000000-0008-0000-0000-0000F6760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47172</xdr:colOff>
      <xdr:row>1</xdr:row>
      <xdr:rowOff>76200</xdr:rowOff>
    </xdr:from>
    <xdr:to>
      <xdr:col>9</xdr:col>
      <xdr:colOff>389715</xdr:colOff>
      <xdr:row>2</xdr:row>
      <xdr:rowOff>96153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171700" y="285750"/>
          <a:ext cx="2733675" cy="2190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OPERATIONS</a:t>
          </a:r>
        </a:p>
      </xdr:txBody>
    </xdr:sp>
    <xdr:clientData/>
  </xdr:twoCellAnchor>
  <xdr:twoCellAnchor editAs="oneCell">
    <xdr:from>
      <xdr:col>2</xdr:col>
      <xdr:colOff>609600</xdr:colOff>
      <xdr:row>24</xdr:row>
      <xdr:rowOff>57150</xdr:rowOff>
    </xdr:from>
    <xdr:to>
      <xdr:col>2</xdr:col>
      <xdr:colOff>857250</xdr:colOff>
      <xdr:row>26</xdr:row>
      <xdr:rowOff>6350</xdr:rowOff>
    </xdr:to>
    <xdr:pic>
      <xdr:nvPicPr>
        <xdr:cNvPr id="17790712" name="Picture 1">
          <a:extLst>
            <a:ext uri="{FF2B5EF4-FFF2-40B4-BE49-F238E27FC236}">
              <a16:creationId xmlns:a16="http://schemas.microsoft.com/office/drawing/2014/main" id="{00000000-0008-0000-0000-0000F87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200" y="5245100"/>
          <a:ext cx="2476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508000</xdr:colOff>
      <xdr:row>25</xdr:row>
      <xdr:rowOff>0</xdr:rowOff>
    </xdr:from>
    <xdr:to>
      <xdr:col>6</xdr:col>
      <xdr:colOff>762000</xdr:colOff>
      <xdr:row>26</xdr:row>
      <xdr:rowOff>6350</xdr:rowOff>
    </xdr:to>
    <xdr:pic>
      <xdr:nvPicPr>
        <xdr:cNvPr id="17790713" name="Picture 1">
          <a:extLst>
            <a:ext uri="{FF2B5EF4-FFF2-40B4-BE49-F238E27FC236}">
              <a16:creationId xmlns:a16="http://schemas.microsoft.com/office/drawing/2014/main" id="{00000000-0008-0000-0000-0000F97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7100" y="5251450"/>
          <a:ext cx="2540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349250</xdr:colOff>
      <xdr:row>24</xdr:row>
      <xdr:rowOff>50800</xdr:rowOff>
    </xdr:from>
    <xdr:to>
      <xdr:col>14</xdr:col>
      <xdr:colOff>0</xdr:colOff>
      <xdr:row>25</xdr:row>
      <xdr:rowOff>190500</xdr:rowOff>
    </xdr:to>
    <xdr:pic>
      <xdr:nvPicPr>
        <xdr:cNvPr id="17790714" name="Picture 2">
          <a:extLst>
            <a:ext uri="{FF2B5EF4-FFF2-40B4-BE49-F238E27FC236}">
              <a16:creationId xmlns:a16="http://schemas.microsoft.com/office/drawing/2014/main" id="{00000000-0008-0000-0000-0000FA7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550" y="5238750"/>
          <a:ext cx="2476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567237</xdr:colOff>
      <xdr:row>4</xdr:row>
      <xdr:rowOff>86632</xdr:rowOff>
    </xdr:from>
    <xdr:to>
      <xdr:col>31</xdr:col>
      <xdr:colOff>3042</xdr:colOff>
      <xdr:row>4</xdr:row>
      <xdr:rowOff>318983</xdr:rowOff>
    </xdr:to>
    <xdr:sp macro="" textlink="">
      <xdr:nvSpPr>
        <xdr:cNvPr id="9" name="WordArt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1994199" y="769284"/>
          <a:ext cx="6122648" cy="228599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Monthly Boat Cost</a:t>
          </a:r>
        </a:p>
      </xdr:txBody>
    </xdr:sp>
    <xdr:clientData/>
  </xdr:twoCellAnchor>
  <xdr:twoCellAnchor>
    <xdr:from>
      <xdr:col>34</xdr:col>
      <xdr:colOff>228600</xdr:colOff>
      <xdr:row>7</xdr:row>
      <xdr:rowOff>133350</xdr:rowOff>
    </xdr:from>
    <xdr:to>
      <xdr:col>38</xdr:col>
      <xdr:colOff>349250</xdr:colOff>
      <xdr:row>19</xdr:row>
      <xdr:rowOff>19050</xdr:rowOff>
    </xdr:to>
    <xdr:graphicFrame macro="">
      <xdr:nvGraphicFramePr>
        <xdr:cNvPr id="17790716" name="Chart 15">
          <a:extLst>
            <a:ext uri="{FF2B5EF4-FFF2-40B4-BE49-F238E27FC236}">
              <a16:creationId xmlns:a16="http://schemas.microsoft.com/office/drawing/2014/main" id="{00000000-0008-0000-0000-0000FC760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22225</xdr:colOff>
      <xdr:row>1</xdr:row>
      <xdr:rowOff>76200</xdr:rowOff>
    </xdr:from>
    <xdr:to>
      <xdr:col>30</xdr:col>
      <xdr:colOff>404802</xdr:colOff>
      <xdr:row>2</xdr:row>
      <xdr:rowOff>96153</xdr:rowOff>
    </xdr:to>
    <xdr:sp macro="" textlink="">
      <xdr:nvSpPr>
        <xdr:cNvPr id="11" name="WordArt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48268" y="287431"/>
          <a:ext cx="4951868" cy="22075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OPERATIONS</a:t>
          </a:r>
        </a:p>
      </xdr:txBody>
    </xdr:sp>
    <xdr:clientData/>
  </xdr:twoCellAnchor>
  <xdr:twoCellAnchor editAs="oneCell">
    <xdr:from>
      <xdr:col>23</xdr:col>
      <xdr:colOff>609600</xdr:colOff>
      <xdr:row>24</xdr:row>
      <xdr:rowOff>57150</xdr:rowOff>
    </xdr:from>
    <xdr:to>
      <xdr:col>23</xdr:col>
      <xdr:colOff>857250</xdr:colOff>
      <xdr:row>26</xdr:row>
      <xdr:rowOff>6350</xdr:rowOff>
    </xdr:to>
    <xdr:pic>
      <xdr:nvPicPr>
        <xdr:cNvPr id="17790718" name="Picture 1">
          <a:extLst>
            <a:ext uri="{FF2B5EF4-FFF2-40B4-BE49-F238E27FC236}">
              <a16:creationId xmlns:a16="http://schemas.microsoft.com/office/drawing/2014/main" id="{00000000-0008-0000-0000-0000FE7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0100" y="5245100"/>
          <a:ext cx="2476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27</xdr:col>
      <xdr:colOff>508000</xdr:colOff>
      <xdr:row>25</xdr:row>
      <xdr:rowOff>0</xdr:rowOff>
    </xdr:from>
    <xdr:to>
      <xdr:col>27</xdr:col>
      <xdr:colOff>762000</xdr:colOff>
      <xdr:row>26</xdr:row>
      <xdr:rowOff>6350</xdr:rowOff>
    </xdr:to>
    <xdr:pic>
      <xdr:nvPicPr>
        <xdr:cNvPr id="17790719" name="Picture 1">
          <a:extLst>
            <a:ext uri="{FF2B5EF4-FFF2-40B4-BE49-F238E27FC236}">
              <a16:creationId xmlns:a16="http://schemas.microsoft.com/office/drawing/2014/main" id="{00000000-0008-0000-0000-0000FF76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53500" y="5251450"/>
          <a:ext cx="2540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349250</xdr:colOff>
      <xdr:row>24</xdr:row>
      <xdr:rowOff>50800</xdr:rowOff>
    </xdr:from>
    <xdr:to>
      <xdr:col>35</xdr:col>
      <xdr:colOff>50800</xdr:colOff>
      <xdr:row>25</xdr:row>
      <xdr:rowOff>190500</xdr:rowOff>
    </xdr:to>
    <xdr:pic>
      <xdr:nvPicPr>
        <xdr:cNvPr id="17790720" name="Picture 2">
          <a:extLst>
            <a:ext uri="{FF2B5EF4-FFF2-40B4-BE49-F238E27FC236}">
              <a16:creationId xmlns:a16="http://schemas.microsoft.com/office/drawing/2014/main" id="{00000000-0008-0000-0000-000000770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65250" y="5238750"/>
          <a:ext cx="2476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1187450</xdr:colOff>
      <xdr:row>5</xdr:row>
      <xdr:rowOff>19050</xdr:rowOff>
    </xdr:to>
    <xdr:pic>
      <xdr:nvPicPr>
        <xdr:cNvPr id="17790721" name="Picture 9">
          <a:extLst>
            <a:ext uri="{FF2B5EF4-FFF2-40B4-BE49-F238E27FC236}">
              <a16:creationId xmlns:a16="http://schemas.microsoft.com/office/drawing/2014/main" id="{00000000-0008-0000-0000-00000177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874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0</xdr:row>
      <xdr:rowOff>0</xdr:rowOff>
    </xdr:from>
    <xdr:to>
      <xdr:col>21</xdr:col>
      <xdr:colOff>1187450</xdr:colOff>
      <xdr:row>5</xdr:row>
      <xdr:rowOff>19050</xdr:rowOff>
    </xdr:to>
    <xdr:pic>
      <xdr:nvPicPr>
        <xdr:cNvPr id="17790722" name="Picture 9">
          <a:extLst>
            <a:ext uri="{FF2B5EF4-FFF2-40B4-BE49-F238E27FC236}">
              <a16:creationId xmlns:a16="http://schemas.microsoft.com/office/drawing/2014/main" id="{00000000-0008-0000-0000-000002770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60700" y="0"/>
          <a:ext cx="11874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380910</xdr:colOff>
      <xdr:row>4</xdr:row>
      <xdr:rowOff>76199</xdr:rowOff>
    </xdr:from>
    <xdr:to>
      <xdr:col>12</xdr:col>
      <xdr:colOff>557643</xdr:colOff>
      <xdr:row>6</xdr:row>
      <xdr:rowOff>71399</xdr:rowOff>
    </xdr:to>
    <xdr:sp macro="" textlink="">
      <xdr:nvSpPr>
        <xdr:cNvPr id="2" name="Word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19425" y="761999"/>
          <a:ext cx="4133850" cy="21907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Daily Boat Cost Distribution to each Operations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Area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0</xdr:col>
      <xdr:colOff>37274</xdr:colOff>
      <xdr:row>0</xdr:row>
      <xdr:rowOff>43157</xdr:rowOff>
    </xdr:from>
    <xdr:to>
      <xdr:col>1</xdr:col>
      <xdr:colOff>36220</xdr:colOff>
      <xdr:row>0</xdr:row>
      <xdr:rowOff>266701</xdr:rowOff>
    </xdr:to>
    <xdr:sp macro="" textlink="">
      <xdr:nvSpPr>
        <xdr:cNvPr id="3" name="Rectangle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7274" y="43157"/>
          <a:ext cx="854245" cy="223544"/>
        </a:xfrm>
        <a:prstGeom prst="rect">
          <a:avLst/>
        </a:prstGeom>
        <a:solidFill>
          <a:srgbClr val="008000"/>
        </a:solidFill>
        <a:ln w="9525">
          <a:noFill/>
          <a:miter lim="800000"/>
          <a:headEnd/>
          <a:tailEnd/>
        </a:ln>
        <a:effectLst>
          <a:prstShdw prst="shdw17" dist="17961" dir="2700000">
            <a:srgbClr val="008000">
              <a:gamma/>
              <a:shade val="60000"/>
              <a:invGamma/>
            </a:srgbClr>
          </a:prstShdw>
        </a:effectLst>
      </xdr:spPr>
      <xdr:txBody>
        <a:bodyPr vertOverflow="clip" wrap="square" lIns="36576" tIns="41148" rIns="36576" bIns="0" anchor="t" upright="1"/>
        <a:lstStyle/>
        <a:p>
          <a:pPr algn="ctr" rtl="0">
            <a:defRPr sz="1000"/>
          </a:pPr>
          <a:r>
            <a:rPr lang="en-US" sz="1050" b="0" i="0" u="none" strike="noStrike" baseline="0">
              <a:solidFill>
                <a:srgbClr val="FFFF00"/>
              </a:solidFill>
              <a:latin typeface="Arial Black"/>
            </a:rPr>
            <a:t>Go Back</a:t>
          </a:r>
        </a:p>
      </xdr:txBody>
    </xdr:sp>
    <xdr:clientData/>
  </xdr:twoCellAnchor>
  <xdr:twoCellAnchor>
    <xdr:from>
      <xdr:col>6</xdr:col>
      <xdr:colOff>550635</xdr:colOff>
      <xdr:row>2</xdr:row>
      <xdr:rowOff>38100</xdr:rowOff>
    </xdr:from>
    <xdr:to>
      <xdr:col>11</xdr:col>
      <xdr:colOff>325228</xdr:colOff>
      <xdr:row>3</xdr:row>
      <xdr:rowOff>114301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771899" y="476250"/>
          <a:ext cx="2695576" cy="200026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OPERATIONS</a:t>
          </a:r>
        </a:p>
      </xdr:txBody>
    </xdr:sp>
    <xdr:clientData/>
  </xdr:twoCellAnchor>
  <xdr:twoCellAnchor>
    <xdr:from>
      <xdr:col>29</xdr:col>
      <xdr:colOff>1971</xdr:colOff>
      <xdr:row>4</xdr:row>
      <xdr:rowOff>75869</xdr:rowOff>
    </xdr:from>
    <xdr:to>
      <xdr:col>36</xdr:col>
      <xdr:colOff>37665</xdr:colOff>
      <xdr:row>6</xdr:row>
      <xdr:rowOff>76161</xdr:rowOff>
    </xdr:to>
    <xdr:sp macro="" textlink="">
      <xdr:nvSpPr>
        <xdr:cNvPr id="6" name="Word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9491701" y="768926"/>
          <a:ext cx="7520282" cy="218828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Daily Boat Cost Distribution to each Operations</a:t>
          </a:r>
          <a:r>
            <a:rPr lang="en-US" sz="3600" kern="10" spc="0" baseline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 Area</a:t>
          </a:r>
          <a:endParaRPr lang="en-US" sz="3600" kern="10" spc="0">
            <a:ln w="9525">
              <a:solidFill>
                <a:srgbClr val="FFFF00"/>
              </a:solidFill>
              <a:round/>
              <a:headEnd/>
              <a:tailEnd/>
            </a:ln>
            <a:solidFill>
              <a:schemeClr val="tx2"/>
            </a:solidFill>
            <a:effectLst>
              <a:outerShdw dist="35921" dir="2700000" algn="ctr" rotWithShape="0">
                <a:srgbClr val="808080"/>
              </a:outerShdw>
            </a:effectLst>
            <a:latin typeface="Arial Black"/>
          </a:endParaRPr>
        </a:p>
      </xdr:txBody>
    </xdr:sp>
    <xdr:clientData/>
  </xdr:twoCellAnchor>
  <xdr:twoCellAnchor>
    <xdr:from>
      <xdr:col>30</xdr:col>
      <xdr:colOff>35421</xdr:colOff>
      <xdr:row>2</xdr:row>
      <xdr:rowOff>13936</xdr:rowOff>
    </xdr:from>
    <xdr:to>
      <xdr:col>35</xdr:col>
      <xdr:colOff>2494</xdr:colOff>
      <xdr:row>3</xdr:row>
      <xdr:rowOff>111588</xdr:rowOff>
    </xdr:to>
    <xdr:sp macro="" textlink="">
      <xdr:nvSpPr>
        <xdr:cNvPr id="8" name="WordAr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694623" y="458684"/>
          <a:ext cx="5055545" cy="199902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FFFF00"/>
                </a:solidFill>
                <a:round/>
                <a:headEnd/>
                <a:tailEnd/>
              </a:ln>
              <a:solidFill>
                <a:schemeClr val="tx2"/>
              </a:solidFill>
              <a:effectLst>
                <a:outerShdw dist="35921" dir="2700000" algn="ctr" rotWithShape="0">
                  <a:srgbClr val="808080"/>
                </a:outerShdw>
              </a:effectLst>
              <a:latin typeface="Arial Black"/>
            </a:rPr>
            <a:t>OPERATIONS</a:t>
          </a:r>
        </a:p>
      </xdr:txBody>
    </xdr:sp>
    <xdr:clientData/>
  </xdr:twoCellAnchor>
  <xdr:twoCellAnchor editAs="oneCell">
    <xdr:from>
      <xdr:col>26</xdr:col>
      <xdr:colOff>0</xdr:colOff>
      <xdr:row>1</xdr:row>
      <xdr:rowOff>0</xdr:rowOff>
    </xdr:from>
    <xdr:to>
      <xdr:col>28</xdr:col>
      <xdr:colOff>12700</xdr:colOff>
      <xdr:row>7</xdr:row>
      <xdr:rowOff>107950</xdr:rowOff>
    </xdr:to>
    <xdr:pic>
      <xdr:nvPicPr>
        <xdr:cNvPr id="17707672" name="Picture 9">
          <a:extLst>
            <a:ext uri="{FF2B5EF4-FFF2-40B4-BE49-F238E27FC236}">
              <a16:creationId xmlns:a16="http://schemas.microsoft.com/office/drawing/2014/main" id="{00000000-0008-0000-0100-00009832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96000" y="311150"/>
          <a:ext cx="95250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1</xdr:col>
      <xdr:colOff>57150</xdr:colOff>
      <xdr:row>7</xdr:row>
      <xdr:rowOff>127000</xdr:rowOff>
    </xdr:to>
    <xdr:pic>
      <xdr:nvPicPr>
        <xdr:cNvPr id="17707673" name="Picture 9">
          <a:extLst>
            <a:ext uri="{FF2B5EF4-FFF2-40B4-BE49-F238E27FC236}">
              <a16:creationId xmlns:a16="http://schemas.microsoft.com/office/drawing/2014/main" id="{00000000-0008-0000-0100-00009932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200"/>
          <a:ext cx="946150" cy="83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A_OpenMeFir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B_AH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B_C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B_L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B_DSV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B_TU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B_Barg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Control"/>
      <sheetName val="#REF"/>
    </sheetNames>
    <sheetDataSet>
      <sheetData sheetId="0"/>
      <sheetData sheetId="1">
        <row r="10">
          <cell r="AU10" t="str">
            <v>25 Nov - 24 Dec 2025</v>
          </cell>
          <cell r="HE10" t="str">
            <v>-</v>
          </cell>
          <cell r="HF10" t="str">
            <v xml:space="preserve"> P_NORTH
ATTAKA</v>
          </cell>
          <cell r="HG10" t="str">
            <v>P_NORTH
NIB</v>
          </cell>
          <cell r="HH10" t="str">
            <v>P_NORTH
SANTAN
TERMINAL</v>
          </cell>
          <cell r="HI10" t="str">
            <v>P_NORTH
SECURITY PATROL</v>
          </cell>
          <cell r="HJ10" t="str">
            <v>P_SOUTH</v>
          </cell>
          <cell r="HK10" t="str">
            <v>P_SOUTH SECURITY PATROL</v>
          </cell>
        </row>
        <row r="11">
          <cell r="AZ11">
            <v>45986</v>
          </cell>
        </row>
        <row r="12">
          <cell r="AZ12">
            <v>45987</v>
          </cell>
        </row>
        <row r="13">
          <cell r="AZ13">
            <v>45988</v>
          </cell>
        </row>
        <row r="14">
          <cell r="AZ14">
            <v>45989</v>
          </cell>
        </row>
        <row r="15">
          <cell r="AZ15">
            <v>45990</v>
          </cell>
        </row>
        <row r="16">
          <cell r="AZ16">
            <v>45991</v>
          </cell>
        </row>
        <row r="17">
          <cell r="AZ17">
            <v>45992</v>
          </cell>
        </row>
        <row r="18">
          <cell r="AZ18">
            <v>45993</v>
          </cell>
        </row>
        <row r="19">
          <cell r="AZ19">
            <v>45994</v>
          </cell>
        </row>
        <row r="20">
          <cell r="AZ20">
            <v>45995</v>
          </cell>
        </row>
        <row r="21">
          <cell r="AZ21">
            <v>45996</v>
          </cell>
        </row>
        <row r="22">
          <cell r="AZ22">
            <v>45997</v>
          </cell>
        </row>
        <row r="23">
          <cell r="AZ23">
            <v>45998</v>
          </cell>
        </row>
        <row r="24">
          <cell r="AZ24">
            <v>45999</v>
          </cell>
        </row>
        <row r="25">
          <cell r="AZ25">
            <v>46000</v>
          </cell>
        </row>
        <row r="26">
          <cell r="AZ26">
            <v>46001</v>
          </cell>
        </row>
        <row r="27">
          <cell r="AZ27">
            <v>46002</v>
          </cell>
        </row>
        <row r="28">
          <cell r="AZ28">
            <v>46003</v>
          </cell>
        </row>
        <row r="29">
          <cell r="AZ29">
            <v>46004</v>
          </cell>
        </row>
        <row r="30">
          <cell r="AZ30">
            <v>46005</v>
          </cell>
        </row>
        <row r="31">
          <cell r="AZ31">
            <v>46006</v>
          </cell>
        </row>
        <row r="32">
          <cell r="AZ32">
            <v>46007</v>
          </cell>
        </row>
        <row r="33">
          <cell r="AZ33">
            <v>46008</v>
          </cell>
        </row>
        <row r="34">
          <cell r="AZ34">
            <v>46009</v>
          </cell>
        </row>
        <row r="35">
          <cell r="AZ35">
            <v>46010</v>
          </cell>
        </row>
        <row r="36">
          <cell r="AZ36">
            <v>46011</v>
          </cell>
        </row>
        <row r="37">
          <cell r="AZ37">
            <v>46012</v>
          </cell>
        </row>
        <row r="38">
          <cell r="AZ38">
            <v>46013</v>
          </cell>
        </row>
        <row r="39">
          <cell r="AZ39">
            <v>46014</v>
          </cell>
        </row>
        <row r="40">
          <cell r="AZ40">
            <v>46015</v>
          </cell>
        </row>
        <row r="41">
          <cell r="AZ41" t="str">
            <v>-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AHTS-1"/>
      <sheetName val="AHTS-2"/>
      <sheetName val="AHTS-3"/>
      <sheetName val="AHTS-4"/>
      <sheetName val="AHTS-5"/>
      <sheetName val="AHTS-6"/>
      <sheetName val="AHTS-7"/>
      <sheetName val="AHTS-8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2736.3756478341543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1388.6844967688273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21703749.999999996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2617.2261427935655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3414.0759107381268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53700000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2582.3604060913704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3407.3604060913699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53700000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7448.7922705313995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3413.4248665141113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53700000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8099.1658707418028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3419.2932187201527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53700000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2532.9708070978822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3415.3787445144058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53700000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2618.2248934681675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3415.3787445144058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53700000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2588.4373211219231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3415.3787445144058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53700000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2528.4680337756336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3409.3073455653607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53700000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2553.7200304452617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3406.0636813395918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53700000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2598.8857323232319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3390.1515151515146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53700000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2581.2139278239365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3405.8476564977486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53700000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2569.2010720439025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3426.7117605768617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53700000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7772.5288749920228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3426.7117605768617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53700000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4929.197243315678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3426.7117605768617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53700000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2568.2177712572557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3425.400267908401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53700000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2610.2561663813331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3404.9838310823666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53700000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2578.7606133569893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3402.6105690026611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53700000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2536.505386505386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3383.1033831033833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53700000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4870.0056646525682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3379.9093655589118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53700000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3435.7376636455192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3379.9093655589118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53700000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2591.0341137965761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3379.9093655589118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53700000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2512.9921756688545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3388.4401817264006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53700000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2545.6468133535659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3395.295902883156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53700000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2566.4018161180479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3386.303443057132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53700000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2582.2575586501066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3368.4606699284909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53700000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7984.1556156118404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3375.0235686003393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53700000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5798.8152850229399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3375.0235686003393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53700000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657.7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2648.1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42766815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2548.9999999999995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41166350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2520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40698000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7255.9999999999991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117184400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7876.0000000000009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127197400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2466.0000000000005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39825900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2549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41166350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2520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40698000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2466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39825900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2493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40261950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2549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41166350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2520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40698000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2493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40261950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7542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121803300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4783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77245450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2493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40261950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2549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41166350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2520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40698000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2492.9999999999995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40261950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4791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77374650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3380.0000000000005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54587000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2549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41166350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2466.0000000000005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39825900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2493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40261950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2520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40698000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2548.9999999999995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41166350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7865.9999999999991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127035900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5713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92264950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5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6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7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8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CB-1"/>
      <sheetName val="CB-2"/>
      <sheetName val="CB-3"/>
      <sheetName val="CB-4"/>
      <sheetName val="CB-5"/>
      <sheetName val="CB-6"/>
      <sheetName val="CB-7"/>
      <sheetName val="CB-8"/>
      <sheetName val="CB-9"/>
      <sheetName val="CB-10"/>
      <sheetName val="CB-11"/>
      <sheetName val="CB-12"/>
      <sheetName val="CB-13"/>
      <sheetName val="CB-14"/>
      <sheetName val="CB-15"/>
      <sheetName val="CB-16"/>
      <sheetName val="CB-17"/>
      <sheetName val="CB-18"/>
      <sheetName val="CB-19"/>
      <sheetName val="CB-20"/>
      <sheetName val="CB-21"/>
      <sheetName val="CB-22"/>
      <sheetName val="CB-23"/>
      <sheetName val="CB-24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1273.0692942606693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1209.2904216520571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18900000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1318.5360547699788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1209.2904216520571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18900000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1047.8021626463624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806.19361443470473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12600000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1346.0900247949648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1201.6021361815754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18900000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987.85532994923847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1199.2385786802031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18900000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1215.4589371980676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1201.3729977116705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18900000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1246.3419293218719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1203.4383954154728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18900000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1252.1051962093748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1202.0606754436176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18900000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1378.4455892641354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1202.0606754436176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18900000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1230.5348852000252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1202.0606754436176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18900000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1357.5392038600723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1199.923814360993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18900000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1410.5385005708486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1198.7821895217558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18900000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980.82702020202009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795.4545454545455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12600000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903.42487473837775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799.13743895477899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12600000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840.94186714313059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804.03292706272725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12600000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1078.6590942930679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804.03292706272725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12600000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944.68551251781412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804.03292706272725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12600000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1085.1140736960726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803.7252025259935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12600000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857.45566757550785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798.93475366178427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12600000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1214.3370084062012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997.97237359016606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15750000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1259.6043596043596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1190.7011907011906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18900000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1506.438821752266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1189.5770392749246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18900000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1425.1195871097684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1189.5770392749246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18900000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1036.820241691843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793.05135951661634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12600000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1561.1938414941951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1192.5795053003533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18900000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1156.9265300961051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1194.9924127465858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18900000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1177.2859124731995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1191.827468785471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18900000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1483.1012420022582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1185.5476100865637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18900000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1385.5037395512541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1187.8574571051474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18900000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1532.6817924706179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1187.8574571051474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18900000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644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1232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19896800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1276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20607400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1013.9999999999999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16376100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1311.0000000000002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21172650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963.99999999999989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15568600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1184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19121600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1212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19573800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1219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19686850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1342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21673300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1197.9999999999998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19347700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1323.9999999999998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21382600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1377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22238550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962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15536300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882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14244300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816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13178400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1046.6666666666667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16903666.666666668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916.66666666666663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14804166.666666666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1053.3333333333333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17011333.333333332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837.33333333333337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13522933.333333334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1186.6666666666667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19164666.666666668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1238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19993700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1482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23934300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1402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22642300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1020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16473000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1532.0000000000002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24741800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1133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18297950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1155.9999999999998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18669400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1464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23643600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1365.0000000000002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22044750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1510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24386500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2203.0712137692749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2178.6422675794997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34050000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1769.0703179985921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2178.6422675794997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34050000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2079.0709578347942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2178.6422675794997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34050000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1772.8823616674083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1803.992625087418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28375000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1672.3857868020302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2160.532994923858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34050000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1860.1449275362318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2164.3783371472159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34050000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1904.4762814390322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2168.0993314231137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34050000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2292.6159129937037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2165.6172486166761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34050000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1984.4686128601411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2165.6172486166761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34050000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1487.3243019779939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1443.7448324111174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22700000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1753.3172496984321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1801.4729223541362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28375000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1876.6205759228717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2159.710770011417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34050000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1643.5479797979797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2149.621212121212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34050000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1999.4165028223506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2159.5737933658907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34050000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2300.2233424797396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2172.8032671814181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34050000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1846.7742964711888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2172.8032671814181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34050000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2217.7780613872756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2172.8032671814181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34050000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2309.644702430312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2171.971678254768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34050000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1753.1418426225348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2159.0260604907744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34050000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1587.8479702614795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1797.9343555949815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28375000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1215.5148155148156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1430.1014301014302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22700000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2065.5085599194363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2143.1268882175227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34050000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1872.3753776435046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2143.1268882175227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34050000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2167.157603222558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2143.1268882175227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34050000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2264.342503785967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2148.5360928823825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34050000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1778.7873039959536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2152.8831562974206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34050000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1743.5237734897212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2147.1812334468409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34050000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1257.5293773261405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1423.911679839418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22700000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1940.7202564263721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2140.0289108164161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34050000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1788.4670982339262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2140.0289108164161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34050000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684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2132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34431800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1711.9999999999998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27648800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2012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32493800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1726.6666666666667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27885666.666666664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1631.9999999999998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26356800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1812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29263800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1852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29909800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2232.0000000000005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36046800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1932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31201800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1448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23385200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1710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27616500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1831.9999999999998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29586800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1612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26033800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1952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31524800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2232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36046800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1792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28940800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2152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34754800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2242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36208300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1711.9999999999998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27648800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1551.6666666666667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25059416.666666664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1194.6666666666667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19293866.666666668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2032.0000000000002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32816800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1842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29748300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2132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34431800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2222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35885300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1742.0000000000002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28133300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1712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27648800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1241.3333333333333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20047533.333333332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1912.0000000000005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30878800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1762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28456300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4">
        <row r="11">
          <cell r="AV11">
            <v>0</v>
          </cell>
          <cell r="AW11">
            <v>819.43502463369373</v>
          </cell>
          <cell r="AX11">
            <v>409.71751231684686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544.66056689487493</v>
          </cell>
          <cell r="BT11">
            <v>272.33028344743747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8512500</v>
          </cell>
          <cell r="IE11">
            <v>4256250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615.04126943502467</v>
          </cell>
          <cell r="AX12">
            <v>1768.2436496256958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387.31418090302213</v>
          </cell>
          <cell r="BT12">
            <v>1113.5282700961886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6053333.333333333</v>
          </cell>
          <cell r="IE12">
            <v>17403333.333333332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454.20834488593141</v>
          </cell>
          <cell r="AX13">
            <v>567.76043110741421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484.14272612877767</v>
          </cell>
          <cell r="BT13">
            <v>605.17840766097208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7566666.666666667</v>
          </cell>
          <cell r="IE13">
            <v>9458333.3333333321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245.01200012715367</v>
          </cell>
          <cell r="AX14">
            <v>490.02400025430734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270.5988937631127</v>
          </cell>
          <cell r="BT14">
            <v>541.1977875262254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4256250</v>
          </cell>
          <cell r="IE14">
            <v>8512500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796.31318739424705</v>
          </cell>
          <cell r="AX15">
            <v>318.5252749576988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900.22208121827418</v>
          </cell>
          <cell r="BT15">
            <v>360.08883248730967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14187500</v>
          </cell>
          <cell r="IE15">
            <v>5675000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732.71437198067633</v>
          </cell>
          <cell r="AX16">
            <v>586.17149758454104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676.368230358505</v>
          </cell>
          <cell r="BT16">
            <v>541.09458428680398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10640625</v>
          </cell>
          <cell r="IE16">
            <v>8512500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174.75266634829671</v>
          </cell>
          <cell r="AX17">
            <v>1398.0213307863737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135.5062082139446</v>
          </cell>
          <cell r="BT17">
            <v>1084.0496657115568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2128125</v>
          </cell>
          <cell r="IE17">
            <v>17025000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678.26644618287435</v>
          </cell>
          <cell r="AX18">
            <v>678.26644618287435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721.87241620555869</v>
          </cell>
          <cell r="BT18">
            <v>721.87241620555869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11350000</v>
          </cell>
          <cell r="IE18">
            <v>11350000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657.89448578515544</v>
          </cell>
          <cell r="AX19">
            <v>657.89448578515544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541.40431215416902</v>
          </cell>
          <cell r="BT19">
            <v>541.40431215416902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8512500</v>
          </cell>
          <cell r="IE19">
            <v>8512500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791.68177192647715</v>
          </cell>
          <cell r="AX20">
            <v>1583.3635438529543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541.40431215416902</v>
          </cell>
          <cell r="BT20">
            <v>1082.808624308338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8512500</v>
          </cell>
          <cell r="IE20">
            <v>17025000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363.65098512263774</v>
          </cell>
          <cell r="AX21">
            <v>909.12746280659439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360.29458447082726</v>
          </cell>
          <cell r="BT21">
            <v>900.73646117706812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5675000</v>
          </cell>
          <cell r="IE21">
            <v>14187500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685.294304198909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1079.8553850057085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17025000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1161.2910353535353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1074.810606060606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17025000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1282.4126339823683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1079.7868966829453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17025000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772.92451024184788</v>
          </cell>
          <cell r="AX25">
            <v>772.92451024184788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724.26775572713939</v>
          </cell>
          <cell r="BT25">
            <v>724.26775572713939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11350000</v>
          </cell>
          <cell r="IE25">
            <v>11350000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417.20747452832188</v>
          </cell>
          <cell r="AX26">
            <v>1043.0186863208046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362.13387786356969</v>
          </cell>
          <cell r="BT26">
            <v>905.33469465892415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5675000</v>
          </cell>
          <cell r="IE26">
            <v>14187500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384.91640610044027</v>
          </cell>
          <cell r="AX27">
            <v>962.2910152511007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362.13387786356969</v>
          </cell>
          <cell r="BT27">
            <v>905.33469465892415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5675000</v>
          </cell>
          <cell r="IE27">
            <v>14187500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623.59720184559114</v>
          </cell>
          <cell r="AX28">
            <v>1558.9930046139777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482.66037294550398</v>
          </cell>
          <cell r="BT28">
            <v>1206.6509323637599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7566666.666666667</v>
          </cell>
          <cell r="IE28">
            <v>18916666.666666664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777.58121446536893</v>
          </cell>
          <cell r="AX29">
            <v>777.58121446536893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719.6753534969248</v>
          </cell>
          <cell r="BT29">
            <v>719.6753534969248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11350000</v>
          </cell>
          <cell r="IE29">
            <v>11350000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861.63350652642259</v>
          </cell>
          <cell r="AX30">
            <v>861.63350652642259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719.17374223799254</v>
          </cell>
          <cell r="BT30">
            <v>719.17374223799254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11350000</v>
          </cell>
          <cell r="IE30">
            <v>11350000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335.92841092841093</v>
          </cell>
          <cell r="AX31">
            <v>1343.7136437136437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357.52535752535755</v>
          </cell>
          <cell r="BT31">
            <v>1430.1014301014302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5675000</v>
          </cell>
          <cell r="IE31">
            <v>22700000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1360.9677464473536</v>
          </cell>
          <cell r="AX32">
            <v>544.3870985789415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1190.6260490097347</v>
          </cell>
          <cell r="BT32">
            <v>476.25041960389393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18916666.666666664</v>
          </cell>
          <cell r="IE32">
            <v>7566666.666666667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930.76640651225239</v>
          </cell>
          <cell r="AX33">
            <v>930.76640651225239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714.37562940584087</v>
          </cell>
          <cell r="BT33">
            <v>714.37562940584087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11350000</v>
          </cell>
          <cell r="IE33">
            <v>11350000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781.68114300100706</v>
          </cell>
          <cell r="AX34">
            <v>2345.0434290030212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535.78172205438068</v>
          </cell>
          <cell r="BT34">
            <v>1607.3451661631418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8512500</v>
          </cell>
          <cell r="IE34">
            <v>25537500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1303.0329799764431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1432.3573952549216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22700000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501.36886697015677</v>
          </cell>
          <cell r="AX36">
            <v>2005.4754678806271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358.81385938290344</v>
          </cell>
          <cell r="BT36">
            <v>1435.2554375316138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5675000</v>
          </cell>
          <cell r="IE36">
            <v>22700000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553.50769327784076</v>
          </cell>
          <cell r="AX37">
            <v>1660.5230798335224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536.79530836171023</v>
          </cell>
          <cell r="BT37">
            <v>1610.3859250851308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8512500</v>
          </cell>
          <cell r="IE37">
            <v>25537500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2097.0079036507341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2135.8675197591269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34050000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383.33961829342388</v>
          </cell>
          <cell r="AX39">
            <v>1533.3584731736955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356.67148513606935</v>
          </cell>
          <cell r="BT39">
            <v>1426.6859405442774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5675000</v>
          </cell>
          <cell r="IE39">
            <v>22700000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835.02398759767868</v>
          </cell>
          <cell r="AX40">
            <v>835.02398759767868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713.3429702721387</v>
          </cell>
          <cell r="BT40">
            <v>713.3429702721387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11350000</v>
          </cell>
          <cell r="IE40">
            <v>11350000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152.26666666666665</v>
          </cell>
          <cell r="GI42">
            <v>324.60000000000002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793</v>
          </cell>
          <cell r="AX49">
            <v>396.5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12806950</v>
          </cell>
          <cell r="IE49">
            <v>6403475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595.20000000000005</v>
          </cell>
          <cell r="AX50">
            <v>1711.2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9612480</v>
          </cell>
          <cell r="IE50">
            <v>27635879.999999996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439.55555555555554</v>
          </cell>
          <cell r="AX51">
            <v>549.44444444444434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7098822.222222222</v>
          </cell>
          <cell r="IE51">
            <v>8873527.777777778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238.62500000000003</v>
          </cell>
          <cell r="AX52">
            <v>477.25000000000006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3853793.75</v>
          </cell>
          <cell r="IE52">
            <v>7707587.5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777.08333333333337</v>
          </cell>
          <cell r="AX53">
            <v>310.83333333333331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12549895.833333332</v>
          </cell>
          <cell r="IE53">
            <v>5019958.333333333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713.75000000000011</v>
          </cell>
          <cell r="AX54">
            <v>571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11527062.5</v>
          </cell>
          <cell r="IE54">
            <v>9221650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169.9375</v>
          </cell>
          <cell r="AX55">
            <v>1359.5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2744490.625</v>
          </cell>
          <cell r="IE55">
            <v>21955925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660.33333333333337</v>
          </cell>
          <cell r="AX56">
            <v>660.33333333333337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10664383.333333334</v>
          </cell>
          <cell r="IE56">
            <v>10664383.333333334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640.5</v>
          </cell>
          <cell r="AX57">
            <v>640.5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10344075</v>
          </cell>
          <cell r="IE57">
            <v>10344075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770.75</v>
          </cell>
          <cell r="AX58">
            <v>1541.5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12447612.5</v>
          </cell>
          <cell r="IE58">
            <v>24895225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354.66666666666669</v>
          </cell>
          <cell r="AX59">
            <v>886.66666666666674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5727866.666666667</v>
          </cell>
          <cell r="IE59">
            <v>14319666.666666668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669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10804350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1139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18394850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1252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20219800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750</v>
          </cell>
          <cell r="AX63">
            <v>750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12112500</v>
          </cell>
          <cell r="IE63">
            <v>12112500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404.83333333333331</v>
          </cell>
          <cell r="AX64">
            <v>1012.0833333333331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6538058.333333333</v>
          </cell>
          <cell r="IE64">
            <v>16345145.833333332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373.5</v>
          </cell>
          <cell r="AX65">
            <v>933.75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6032025</v>
          </cell>
          <cell r="IE65">
            <v>15080062.5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605.33333333333326</v>
          </cell>
          <cell r="AX66">
            <v>1513.333333333333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9776133.3333333321</v>
          </cell>
          <cell r="IE66">
            <v>24440333.333333332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759.33333333333337</v>
          </cell>
          <cell r="AX67">
            <v>759.33333333333337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12263233.333333334</v>
          </cell>
          <cell r="IE67">
            <v>12263233.333333334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842</v>
          </cell>
          <cell r="AX68">
            <v>842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13598300</v>
          </cell>
          <cell r="IE68">
            <v>13598300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330.16666666666669</v>
          </cell>
          <cell r="AX69">
            <v>1320.6666666666667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5332191.666666667</v>
          </cell>
          <cell r="IE69">
            <v>21328766.666666668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1338.8888888888889</v>
          </cell>
          <cell r="AX70">
            <v>535.55555555555554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21623055.555555556</v>
          </cell>
          <cell r="IE70">
            <v>8649222.222222222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915.66666666666663</v>
          </cell>
          <cell r="AX71">
            <v>915.66666666666663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14788016.666666666</v>
          </cell>
          <cell r="IE71">
            <v>14788016.666666666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769</v>
          </cell>
          <cell r="AX72">
            <v>2307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12419350</v>
          </cell>
          <cell r="IE72">
            <v>37258050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1278.6666666666667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20650466.666666668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491</v>
          </cell>
          <cell r="AX74">
            <v>1964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7929650</v>
          </cell>
          <cell r="IE74">
            <v>31718600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543.49999999999989</v>
          </cell>
          <cell r="AX75">
            <v>1630.4999999999998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8777525</v>
          </cell>
          <cell r="IE75">
            <v>26332575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2070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33430500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377.66666666666669</v>
          </cell>
          <cell r="AX77">
            <v>1510.6666666666667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6099316.666666667</v>
          </cell>
          <cell r="IE77">
            <v>24397266.666666668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822.66666666666663</v>
          </cell>
          <cell r="AX78">
            <v>822.66666666666663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13286066.666666666</v>
          </cell>
          <cell r="IE78">
            <v>13286066.666666666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5">
        <row r="11">
          <cell r="AV11">
            <v>0</v>
          </cell>
          <cell r="AW11">
            <v>35.133405848102882</v>
          </cell>
          <cell r="AX11">
            <v>0</v>
          </cell>
          <cell r="AY11">
            <v>0</v>
          </cell>
          <cell r="AZ11">
            <v>35.133405848102882</v>
          </cell>
          <cell r="BA11">
            <v>0</v>
          </cell>
          <cell r="BB11">
            <v>0</v>
          </cell>
          <cell r="BR11">
            <v>0</v>
          </cell>
          <cell r="BS11">
            <v>277.26235417066567</v>
          </cell>
          <cell r="BT11">
            <v>0</v>
          </cell>
          <cell r="BU11">
            <v>0</v>
          </cell>
          <cell r="BV11">
            <v>277.26235417066567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4333333.333333333</v>
          </cell>
          <cell r="IE11">
            <v>0</v>
          </cell>
          <cell r="IF11">
            <v>0</v>
          </cell>
          <cell r="IG11">
            <v>4333333.333333333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58.555676413504813</v>
          </cell>
          <cell r="AX12">
            <v>0</v>
          </cell>
          <cell r="AY12">
            <v>0</v>
          </cell>
          <cell r="AZ12">
            <v>23.422270565401924</v>
          </cell>
          <cell r="BA12">
            <v>0</v>
          </cell>
          <cell r="BB12">
            <v>0</v>
          </cell>
          <cell r="BR12">
            <v>0</v>
          </cell>
          <cell r="BS12">
            <v>346.57794271333205</v>
          </cell>
          <cell r="BT12">
            <v>0</v>
          </cell>
          <cell r="BU12">
            <v>0</v>
          </cell>
          <cell r="BV12">
            <v>138.63117708533284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5416666.666666667</v>
          </cell>
          <cell r="IE12">
            <v>0</v>
          </cell>
          <cell r="IF12">
            <v>0</v>
          </cell>
          <cell r="IG12">
            <v>2166666.6666666665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44.502314074263651</v>
          </cell>
          <cell r="AX13">
            <v>0</v>
          </cell>
          <cell r="AY13">
            <v>0</v>
          </cell>
          <cell r="AZ13">
            <v>11.711135282700962</v>
          </cell>
          <cell r="BA13">
            <v>0</v>
          </cell>
          <cell r="BB13">
            <v>0</v>
          </cell>
          <cell r="BR13">
            <v>0</v>
          </cell>
          <cell r="BS13">
            <v>263.39923646213236</v>
          </cell>
          <cell r="BT13">
            <v>0</v>
          </cell>
          <cell r="BU13">
            <v>0</v>
          </cell>
          <cell r="BV13">
            <v>69.315588542666418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4116666.6666666665</v>
          </cell>
          <cell r="IE13">
            <v>0</v>
          </cell>
          <cell r="IF13">
            <v>0</v>
          </cell>
          <cell r="IG13">
            <v>1083333.3333333333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104.73011634560365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826.49882382859687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13000000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101.62066412859559</v>
          </cell>
          <cell r="AX15">
            <v>0</v>
          </cell>
          <cell r="AY15">
            <v>40.648265651438237</v>
          </cell>
          <cell r="AZ15">
            <v>40.648265651438237</v>
          </cell>
          <cell r="BA15">
            <v>0</v>
          </cell>
          <cell r="BB15">
            <v>0</v>
          </cell>
          <cell r="BR15">
            <v>0</v>
          </cell>
          <cell r="BS15">
            <v>343.69712351945856</v>
          </cell>
          <cell r="BT15">
            <v>0</v>
          </cell>
          <cell r="BU15">
            <v>137.47884940778343</v>
          </cell>
          <cell r="BV15">
            <v>137.47884940778343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5416666.666666667</v>
          </cell>
          <cell r="IE15">
            <v>0</v>
          </cell>
          <cell r="IF15">
            <v>2166666.6666666665</v>
          </cell>
          <cell r="IG15">
            <v>2166666.6666666665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26.177536231884055</v>
          </cell>
          <cell r="AX16">
            <v>0</v>
          </cell>
          <cell r="AY16">
            <v>78.532608695652158</v>
          </cell>
          <cell r="AZ16">
            <v>52.35507246376811</v>
          </cell>
          <cell r="BA16">
            <v>0</v>
          </cell>
          <cell r="BB16">
            <v>0</v>
          </cell>
          <cell r="BR16">
            <v>0</v>
          </cell>
          <cell r="BS16">
            <v>103.2926519196542</v>
          </cell>
          <cell r="BT16">
            <v>0</v>
          </cell>
          <cell r="BU16">
            <v>309.87795575896263</v>
          </cell>
          <cell r="BV16">
            <v>206.58530383930841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1625000</v>
          </cell>
          <cell r="IE16">
            <v>0</v>
          </cell>
          <cell r="IF16">
            <v>4875000</v>
          </cell>
          <cell r="IG16">
            <v>3250000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23.308924970816086</v>
          </cell>
          <cell r="AX17">
            <v>0</v>
          </cell>
          <cell r="AY17">
            <v>69.926774912448266</v>
          </cell>
          <cell r="AZ17">
            <v>69.926774912448266</v>
          </cell>
          <cell r="BA17">
            <v>0</v>
          </cell>
          <cell r="BB17">
            <v>0</v>
          </cell>
          <cell r="BR17">
            <v>0</v>
          </cell>
          <cell r="BS17">
            <v>91.973539920053767</v>
          </cell>
          <cell r="BT17">
            <v>0</v>
          </cell>
          <cell r="BU17">
            <v>275.92061976016129</v>
          </cell>
          <cell r="BV17">
            <v>275.92061976016129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1444444.4444444443</v>
          </cell>
          <cell r="IE17">
            <v>0</v>
          </cell>
          <cell r="IF17">
            <v>4333333.333333333</v>
          </cell>
          <cell r="IG17">
            <v>4333333.333333333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46.564480909071634</v>
          </cell>
          <cell r="AZ18">
            <v>46.564480909071634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275.60474040153491</v>
          </cell>
          <cell r="BV18">
            <v>275.60474040153491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4333333.333333333</v>
          </cell>
          <cell r="IG18">
            <v>4333333.333333333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17.461680340901864</v>
          </cell>
          <cell r="AX19">
            <v>0</v>
          </cell>
          <cell r="AY19">
            <v>0</v>
          </cell>
          <cell r="AZ19">
            <v>17.461680340901864</v>
          </cell>
          <cell r="BA19">
            <v>0</v>
          </cell>
          <cell r="BB19">
            <v>0</v>
          </cell>
          <cell r="BR19">
            <v>0</v>
          </cell>
          <cell r="BS19">
            <v>206.70355530115117</v>
          </cell>
          <cell r="BT19">
            <v>0</v>
          </cell>
          <cell r="BU19">
            <v>0</v>
          </cell>
          <cell r="BV19">
            <v>206.70355530115117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3250000</v>
          </cell>
          <cell r="IE19">
            <v>0</v>
          </cell>
          <cell r="IF19">
            <v>0</v>
          </cell>
          <cell r="IG19">
            <v>3250000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78.57756153405839</v>
          </cell>
          <cell r="AX20">
            <v>0</v>
          </cell>
          <cell r="AY20">
            <v>0</v>
          </cell>
          <cell r="AZ20">
            <v>26.192520511352797</v>
          </cell>
          <cell r="BA20">
            <v>0</v>
          </cell>
          <cell r="BB20">
            <v>0</v>
          </cell>
          <cell r="BR20">
            <v>0</v>
          </cell>
          <cell r="BS20">
            <v>620.11066590345354</v>
          </cell>
          <cell r="BT20">
            <v>0</v>
          </cell>
          <cell r="BU20">
            <v>0</v>
          </cell>
          <cell r="BV20">
            <v>206.70355530115117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9750000</v>
          </cell>
          <cell r="IE20">
            <v>0</v>
          </cell>
          <cell r="IF20">
            <v>0</v>
          </cell>
          <cell r="IG20">
            <v>3250000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14.354644149577808</v>
          </cell>
          <cell r="AX21">
            <v>0</v>
          </cell>
          <cell r="AY21">
            <v>0</v>
          </cell>
          <cell r="AZ21">
            <v>14.354644149577808</v>
          </cell>
          <cell r="BA21">
            <v>0</v>
          </cell>
          <cell r="BB21">
            <v>0</v>
          </cell>
          <cell r="BR21">
            <v>0</v>
          </cell>
          <cell r="BS21">
            <v>206.33610564408613</v>
          </cell>
          <cell r="BT21">
            <v>0</v>
          </cell>
          <cell r="BU21">
            <v>0</v>
          </cell>
          <cell r="BV21">
            <v>206.33610564408613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3250000</v>
          </cell>
          <cell r="IE21">
            <v>0</v>
          </cell>
          <cell r="IF21">
            <v>0</v>
          </cell>
          <cell r="IG21">
            <v>3250000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26.974713518542007</v>
          </cell>
          <cell r="AX22">
            <v>0</v>
          </cell>
          <cell r="AY22">
            <v>0</v>
          </cell>
          <cell r="AZ22">
            <v>26.974713518542007</v>
          </cell>
          <cell r="BA22">
            <v>0</v>
          </cell>
          <cell r="BB22">
            <v>0</v>
          </cell>
          <cell r="BR22">
            <v>0</v>
          </cell>
          <cell r="BS22">
            <v>274.85305932597572</v>
          </cell>
          <cell r="BT22">
            <v>0</v>
          </cell>
          <cell r="BU22">
            <v>0</v>
          </cell>
          <cell r="BV22">
            <v>274.85305932597572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4333333.333333333</v>
          </cell>
          <cell r="IE22">
            <v>0</v>
          </cell>
          <cell r="IF22">
            <v>0</v>
          </cell>
          <cell r="IG22">
            <v>4333333.333333333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103.9962121212121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820.70707070707067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13000000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87.064755501997851</v>
          </cell>
          <cell r="AZ24">
            <v>87.064755501997851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412.25344073063997</v>
          </cell>
          <cell r="BV24">
            <v>412.25344073063997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6500000</v>
          </cell>
          <cell r="IG24">
            <v>6500000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27.13823835960266</v>
          </cell>
          <cell r="AZ25">
            <v>27.13823835960266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276.5192606300385</v>
          </cell>
          <cell r="BV25">
            <v>276.5192606300385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4333333.333333333</v>
          </cell>
          <cell r="IG25">
            <v>4333333.333333333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97.044966285920907</v>
          </cell>
          <cell r="AX26">
            <v>0</v>
          </cell>
          <cell r="AY26">
            <v>58.22697977155255</v>
          </cell>
          <cell r="AZ26">
            <v>19.408993257184182</v>
          </cell>
          <cell r="BA26">
            <v>0</v>
          </cell>
          <cell r="BB26">
            <v>0</v>
          </cell>
          <cell r="BR26">
            <v>0</v>
          </cell>
          <cell r="BS26">
            <v>345.6490757875481</v>
          </cell>
          <cell r="BT26">
            <v>0</v>
          </cell>
          <cell r="BU26">
            <v>207.38944547252888</v>
          </cell>
          <cell r="BV26">
            <v>69.129815157509626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5416666.666666667</v>
          </cell>
          <cell r="IE26">
            <v>0</v>
          </cell>
          <cell r="IF26">
            <v>3250000</v>
          </cell>
          <cell r="IG26">
            <v>1083333.3333333333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150.23362332404508</v>
          </cell>
          <cell r="AX27">
            <v>0</v>
          </cell>
          <cell r="AY27">
            <v>93.896014577528177</v>
          </cell>
          <cell r="AZ27">
            <v>37.558405831011271</v>
          </cell>
          <cell r="BA27">
            <v>0</v>
          </cell>
          <cell r="BB27">
            <v>0</v>
          </cell>
          <cell r="BR27">
            <v>0</v>
          </cell>
          <cell r="BS27">
            <v>368.69234750671802</v>
          </cell>
          <cell r="BT27">
            <v>0</v>
          </cell>
          <cell r="BU27">
            <v>230.43271719169874</v>
          </cell>
          <cell r="BV27">
            <v>92.173086876679506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5777777.7777777771</v>
          </cell>
          <cell r="IE27">
            <v>0</v>
          </cell>
          <cell r="IF27">
            <v>3611111.1111111105</v>
          </cell>
          <cell r="IG27">
            <v>1444444.4444444443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105.07750207310073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829.24028832046952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13000000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11.605689768139836</v>
          </cell>
          <cell r="AX29">
            <v>0</v>
          </cell>
          <cell r="AY29">
            <v>0</v>
          </cell>
          <cell r="AZ29">
            <v>11.605689768139836</v>
          </cell>
          <cell r="BA29">
            <v>0</v>
          </cell>
          <cell r="BB29">
            <v>0</v>
          </cell>
          <cell r="BR29">
            <v>0</v>
          </cell>
          <cell r="BS29">
            <v>137.38296028575655</v>
          </cell>
          <cell r="BT29">
            <v>0</v>
          </cell>
          <cell r="BU29">
            <v>0</v>
          </cell>
          <cell r="BV29">
            <v>137.38296028575655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2166666.6666666665</v>
          </cell>
          <cell r="IE29">
            <v>0</v>
          </cell>
          <cell r="IF29">
            <v>0</v>
          </cell>
          <cell r="IG29">
            <v>2166666.6666666665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139.17120770498036</v>
          </cell>
          <cell r="AZ30">
            <v>139.17120770498036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411.86161449752882</v>
          </cell>
          <cell r="BV30">
            <v>411.86161449752882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6500000</v>
          </cell>
          <cell r="IG30">
            <v>6500000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80.378630378630362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409.50040950040949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6500000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23.040449815374288</v>
          </cell>
          <cell r="AX32">
            <v>0</v>
          </cell>
          <cell r="AY32">
            <v>0</v>
          </cell>
          <cell r="AZ32">
            <v>11.520224907687144</v>
          </cell>
          <cell r="BA32">
            <v>0</v>
          </cell>
          <cell r="BB32">
            <v>0</v>
          </cell>
          <cell r="BR32">
            <v>0</v>
          </cell>
          <cell r="BS32">
            <v>181.82835403379207</v>
          </cell>
          <cell r="BT32">
            <v>0</v>
          </cell>
          <cell r="BU32">
            <v>0</v>
          </cell>
          <cell r="BV32">
            <v>90.914177016896033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2888888.8888888885</v>
          </cell>
          <cell r="IE32">
            <v>0</v>
          </cell>
          <cell r="IF32">
            <v>0</v>
          </cell>
          <cell r="IG32">
            <v>1444444.4444444443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34.560674723061432</v>
          </cell>
          <cell r="AX33">
            <v>0</v>
          </cell>
          <cell r="AY33">
            <v>0</v>
          </cell>
          <cell r="AZ33">
            <v>34.560674723061432</v>
          </cell>
          <cell r="BA33">
            <v>0</v>
          </cell>
          <cell r="BB33">
            <v>0</v>
          </cell>
          <cell r="BR33">
            <v>0</v>
          </cell>
          <cell r="BS33">
            <v>409.1137965760322</v>
          </cell>
          <cell r="BT33">
            <v>0</v>
          </cell>
          <cell r="BU33">
            <v>0</v>
          </cell>
          <cell r="BV33">
            <v>409.1137965760322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6500000</v>
          </cell>
          <cell r="IE33">
            <v>0</v>
          </cell>
          <cell r="IF33">
            <v>0</v>
          </cell>
          <cell r="IG33">
            <v>6500000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43.200843403826788</v>
          </cell>
          <cell r="AX34">
            <v>0</v>
          </cell>
          <cell r="AY34">
            <v>0</v>
          </cell>
          <cell r="AZ34">
            <v>17.280337361530716</v>
          </cell>
          <cell r="BA34">
            <v>0</v>
          </cell>
          <cell r="BB34">
            <v>0</v>
          </cell>
          <cell r="BR34">
            <v>0</v>
          </cell>
          <cell r="BS34">
            <v>340.92816381336019</v>
          </cell>
          <cell r="BT34">
            <v>0</v>
          </cell>
          <cell r="BU34">
            <v>0</v>
          </cell>
          <cell r="BV34">
            <v>136.37126552534406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5416666.666666667</v>
          </cell>
          <cell r="IE34">
            <v>0</v>
          </cell>
          <cell r="IF34">
            <v>0</v>
          </cell>
          <cell r="IG34">
            <v>2166666.6666666665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23.098603398956758</v>
          </cell>
          <cell r="AX35">
            <v>0</v>
          </cell>
          <cell r="AY35">
            <v>0</v>
          </cell>
          <cell r="AZ35">
            <v>23.098603398956758</v>
          </cell>
          <cell r="BA35">
            <v>0</v>
          </cell>
          <cell r="BB35">
            <v>0</v>
          </cell>
          <cell r="BR35">
            <v>0</v>
          </cell>
          <cell r="BS35">
            <v>273.43092714117449</v>
          </cell>
          <cell r="BT35">
            <v>0</v>
          </cell>
          <cell r="BU35">
            <v>0</v>
          </cell>
          <cell r="BV35">
            <v>273.43092714117449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4333333.333333333</v>
          </cell>
          <cell r="IE35">
            <v>0</v>
          </cell>
          <cell r="IF35">
            <v>0</v>
          </cell>
          <cell r="IG35">
            <v>4333333.333333333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23.145338054291013</v>
          </cell>
          <cell r="AX36">
            <v>0</v>
          </cell>
          <cell r="AY36">
            <v>0</v>
          </cell>
          <cell r="AZ36">
            <v>23.145338054291013</v>
          </cell>
          <cell r="BA36">
            <v>0</v>
          </cell>
          <cell r="BB36">
            <v>0</v>
          </cell>
          <cell r="BR36">
            <v>0</v>
          </cell>
          <cell r="BS36">
            <v>273.98415107064574</v>
          </cell>
          <cell r="BT36">
            <v>0</v>
          </cell>
          <cell r="BU36">
            <v>0</v>
          </cell>
          <cell r="BV36">
            <v>273.98415107064574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4333333.333333333</v>
          </cell>
          <cell r="IE36">
            <v>0</v>
          </cell>
          <cell r="IF36">
            <v>0</v>
          </cell>
          <cell r="IG36">
            <v>4333333.333333333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23.084037499474505</v>
          </cell>
          <cell r="AX37">
            <v>0</v>
          </cell>
          <cell r="AY37">
            <v>0</v>
          </cell>
          <cell r="AZ37">
            <v>23.084037499474505</v>
          </cell>
          <cell r="BA37">
            <v>0</v>
          </cell>
          <cell r="BB37">
            <v>0</v>
          </cell>
          <cell r="BR37">
            <v>0</v>
          </cell>
          <cell r="BS37">
            <v>273.25850254340605</v>
          </cell>
          <cell r="BT37">
            <v>0</v>
          </cell>
          <cell r="BU37">
            <v>0</v>
          </cell>
          <cell r="BV37">
            <v>273.25850254340605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4333333.333333333</v>
          </cell>
          <cell r="IE37">
            <v>0</v>
          </cell>
          <cell r="IF37">
            <v>0</v>
          </cell>
          <cell r="IG37">
            <v>4333333.333333333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40.18420942583532</v>
          </cell>
          <cell r="AX38">
            <v>0</v>
          </cell>
          <cell r="AY38">
            <v>120.55262827750596</v>
          </cell>
          <cell r="AZ38">
            <v>40.18420942583532</v>
          </cell>
          <cell r="BA38">
            <v>0</v>
          </cell>
          <cell r="BB38">
            <v>0</v>
          </cell>
          <cell r="BR38">
            <v>0</v>
          </cell>
          <cell r="BS38">
            <v>135.90933801697821</v>
          </cell>
          <cell r="BT38">
            <v>0</v>
          </cell>
          <cell r="BU38">
            <v>407.72801405093463</v>
          </cell>
          <cell r="BV38">
            <v>135.90933801697821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2166666.6666666665</v>
          </cell>
          <cell r="IE38">
            <v>0</v>
          </cell>
          <cell r="IF38">
            <v>6500000</v>
          </cell>
          <cell r="IG38">
            <v>2166666.6666666665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17.255357928477153</v>
          </cell>
          <cell r="AX39">
            <v>0</v>
          </cell>
          <cell r="AY39">
            <v>51.766073785431459</v>
          </cell>
          <cell r="AZ39">
            <v>17.255357928477153</v>
          </cell>
          <cell r="BA39">
            <v>0</v>
          </cell>
          <cell r="BB39">
            <v>0</v>
          </cell>
          <cell r="BR39">
            <v>0</v>
          </cell>
          <cell r="BS39">
            <v>136.17413529424087</v>
          </cell>
          <cell r="BT39">
            <v>0</v>
          </cell>
          <cell r="BU39">
            <v>408.52240588272269</v>
          </cell>
          <cell r="BV39">
            <v>136.17413529424087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2166666.6666666665</v>
          </cell>
          <cell r="IE39">
            <v>0</v>
          </cell>
          <cell r="IF39">
            <v>6500000</v>
          </cell>
          <cell r="IG39">
            <v>2166666.6666666665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158.17411434437392</v>
          </cell>
          <cell r="AX40">
            <v>0</v>
          </cell>
          <cell r="AY40">
            <v>158.17411434437392</v>
          </cell>
          <cell r="AZ40">
            <v>31.634822868874785</v>
          </cell>
          <cell r="BA40">
            <v>0</v>
          </cell>
          <cell r="BB40">
            <v>0</v>
          </cell>
          <cell r="BR40">
            <v>0</v>
          </cell>
          <cell r="BS40">
            <v>340.43533823560216</v>
          </cell>
          <cell r="BT40">
            <v>0</v>
          </cell>
          <cell r="BU40">
            <v>340.43533823560216</v>
          </cell>
          <cell r="BV40">
            <v>68.087067647120435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5416666.666666667</v>
          </cell>
          <cell r="IE40">
            <v>0</v>
          </cell>
          <cell r="IF40">
            <v>5416666.666666667</v>
          </cell>
          <cell r="IG40">
            <v>1083333.3333333333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173.26666666666665</v>
          </cell>
          <cell r="GI42">
            <v>0</v>
          </cell>
          <cell r="GJ42">
            <v>107.66666666666666</v>
          </cell>
          <cell r="GK42">
            <v>243.33333333333331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34</v>
          </cell>
          <cell r="AX49">
            <v>0</v>
          </cell>
          <cell r="AY49">
            <v>0</v>
          </cell>
          <cell r="AZ49">
            <v>34</v>
          </cell>
          <cell r="BA49">
            <v>0</v>
          </cell>
          <cell r="BB49">
            <v>0</v>
          </cell>
          <cell r="IC49">
            <v>0</v>
          </cell>
          <cell r="ID49">
            <v>549100</v>
          </cell>
          <cell r="IE49">
            <v>0</v>
          </cell>
          <cell r="IF49">
            <v>0</v>
          </cell>
          <cell r="IG49">
            <v>549100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56.666666666666671</v>
          </cell>
          <cell r="AX50">
            <v>0</v>
          </cell>
          <cell r="AY50">
            <v>0</v>
          </cell>
          <cell r="AZ50">
            <v>22.666666666666668</v>
          </cell>
          <cell r="BA50">
            <v>0</v>
          </cell>
          <cell r="BB50">
            <v>0</v>
          </cell>
          <cell r="IC50">
            <v>0</v>
          </cell>
          <cell r="ID50">
            <v>915166.66666666674</v>
          </cell>
          <cell r="IE50">
            <v>0</v>
          </cell>
          <cell r="IF50">
            <v>0</v>
          </cell>
          <cell r="IG50">
            <v>366066.66666666669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43.066666666666663</v>
          </cell>
          <cell r="AX51">
            <v>0</v>
          </cell>
          <cell r="AY51">
            <v>0</v>
          </cell>
          <cell r="AZ51">
            <v>11.333333333333334</v>
          </cell>
          <cell r="BA51">
            <v>0</v>
          </cell>
          <cell r="BB51">
            <v>0</v>
          </cell>
          <cell r="IC51">
            <v>0</v>
          </cell>
          <cell r="ID51">
            <v>695526.66666666663</v>
          </cell>
          <cell r="IE51">
            <v>0</v>
          </cell>
          <cell r="IF51">
            <v>0</v>
          </cell>
          <cell r="IG51">
            <v>183033.33333333334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101.99999999999999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1647300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99.166666666666657</v>
          </cell>
          <cell r="AX53">
            <v>0</v>
          </cell>
          <cell r="AY53">
            <v>39.666666666666664</v>
          </cell>
          <cell r="AZ53">
            <v>39.666666666666664</v>
          </cell>
          <cell r="BA53">
            <v>0</v>
          </cell>
          <cell r="BB53">
            <v>0</v>
          </cell>
          <cell r="IC53">
            <v>0</v>
          </cell>
          <cell r="ID53">
            <v>1601541.6666666665</v>
          </cell>
          <cell r="IE53">
            <v>0</v>
          </cell>
          <cell r="IF53">
            <v>640616.66666666663</v>
          </cell>
          <cell r="IG53">
            <v>640616.66666666663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25.5</v>
          </cell>
          <cell r="AX54">
            <v>0</v>
          </cell>
          <cell r="AY54">
            <v>76.499999999999986</v>
          </cell>
          <cell r="AZ54">
            <v>51</v>
          </cell>
          <cell r="BA54">
            <v>0</v>
          </cell>
          <cell r="BB54">
            <v>0</v>
          </cell>
          <cell r="IC54">
            <v>0</v>
          </cell>
          <cell r="ID54">
            <v>411825</v>
          </cell>
          <cell r="IE54">
            <v>0</v>
          </cell>
          <cell r="IF54">
            <v>1235475</v>
          </cell>
          <cell r="IG54">
            <v>823650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22.666666666666664</v>
          </cell>
          <cell r="AX55">
            <v>0</v>
          </cell>
          <cell r="AY55">
            <v>68</v>
          </cell>
          <cell r="AZ55">
            <v>68</v>
          </cell>
          <cell r="BA55">
            <v>0</v>
          </cell>
          <cell r="BB55">
            <v>0</v>
          </cell>
          <cell r="IC55">
            <v>0</v>
          </cell>
          <cell r="ID55">
            <v>366066.66666666663</v>
          </cell>
          <cell r="IE55">
            <v>0</v>
          </cell>
          <cell r="IF55">
            <v>1098200</v>
          </cell>
          <cell r="IG55">
            <v>1098200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45.333333333333336</v>
          </cell>
          <cell r="AZ56">
            <v>45.333333333333336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732133.33333333337</v>
          </cell>
          <cell r="IG56">
            <v>732133.33333333337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17</v>
          </cell>
          <cell r="AX57">
            <v>0</v>
          </cell>
          <cell r="AY57">
            <v>0</v>
          </cell>
          <cell r="AZ57">
            <v>17</v>
          </cell>
          <cell r="BA57">
            <v>0</v>
          </cell>
          <cell r="BB57">
            <v>0</v>
          </cell>
          <cell r="IC57">
            <v>0</v>
          </cell>
          <cell r="ID57">
            <v>274550</v>
          </cell>
          <cell r="IE57">
            <v>0</v>
          </cell>
          <cell r="IF57">
            <v>0</v>
          </cell>
          <cell r="IG57">
            <v>274550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76.5</v>
          </cell>
          <cell r="AX58">
            <v>0</v>
          </cell>
          <cell r="AY58">
            <v>0</v>
          </cell>
          <cell r="AZ58">
            <v>25.500000000000004</v>
          </cell>
          <cell r="BA58">
            <v>0</v>
          </cell>
          <cell r="BB58">
            <v>0</v>
          </cell>
          <cell r="IC58">
            <v>0</v>
          </cell>
          <cell r="ID58">
            <v>1235475</v>
          </cell>
          <cell r="IE58">
            <v>0</v>
          </cell>
          <cell r="IF58">
            <v>0</v>
          </cell>
          <cell r="IG58">
            <v>411825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14.000000000000002</v>
          </cell>
          <cell r="AX59">
            <v>0</v>
          </cell>
          <cell r="AY59">
            <v>0</v>
          </cell>
          <cell r="AZ59">
            <v>14.000000000000002</v>
          </cell>
          <cell r="BA59">
            <v>0</v>
          </cell>
          <cell r="BB59">
            <v>0</v>
          </cell>
          <cell r="IC59">
            <v>0</v>
          </cell>
          <cell r="ID59">
            <v>226100</v>
          </cell>
          <cell r="IE59">
            <v>0</v>
          </cell>
          <cell r="IF59">
            <v>0</v>
          </cell>
          <cell r="IG59">
            <v>226100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26.333333333333332</v>
          </cell>
          <cell r="AX60">
            <v>0</v>
          </cell>
          <cell r="AY60">
            <v>0</v>
          </cell>
          <cell r="AZ60">
            <v>26.333333333333332</v>
          </cell>
          <cell r="BA60">
            <v>0</v>
          </cell>
          <cell r="BB60">
            <v>0</v>
          </cell>
          <cell r="IC60">
            <v>0</v>
          </cell>
          <cell r="ID60">
            <v>425283.33333333331</v>
          </cell>
          <cell r="IE60">
            <v>0</v>
          </cell>
          <cell r="IF60">
            <v>0</v>
          </cell>
          <cell r="IG60">
            <v>425283.33333333331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101.99999999999999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1647300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85</v>
          </cell>
          <cell r="AZ62">
            <v>85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1372750</v>
          </cell>
          <cell r="IG62">
            <v>1372750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26.333333333333332</v>
          </cell>
          <cell r="AZ63">
            <v>26.333333333333332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425283.33333333331</v>
          </cell>
          <cell r="IG63">
            <v>425283.33333333331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94.166666666666671</v>
          </cell>
          <cell r="AX64">
            <v>0</v>
          </cell>
          <cell r="AY64">
            <v>56.500000000000007</v>
          </cell>
          <cell r="AZ64">
            <v>18.833333333333332</v>
          </cell>
          <cell r="BA64">
            <v>0</v>
          </cell>
          <cell r="BB64">
            <v>0</v>
          </cell>
          <cell r="IC64">
            <v>0</v>
          </cell>
          <cell r="ID64">
            <v>1520791.6666666665</v>
          </cell>
          <cell r="IE64">
            <v>0</v>
          </cell>
          <cell r="IF64">
            <v>912475</v>
          </cell>
          <cell r="IG64">
            <v>304158.33333333331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145.77777777777774</v>
          </cell>
          <cell r="AX65">
            <v>0</v>
          </cell>
          <cell r="AY65">
            <v>91.1111111111111</v>
          </cell>
          <cell r="AZ65">
            <v>36.444444444444436</v>
          </cell>
          <cell r="BA65">
            <v>0</v>
          </cell>
          <cell r="BB65">
            <v>0</v>
          </cell>
          <cell r="IC65">
            <v>0</v>
          </cell>
          <cell r="ID65">
            <v>2354311.111111111</v>
          </cell>
          <cell r="IE65">
            <v>0</v>
          </cell>
          <cell r="IF65">
            <v>1471444.4444444443</v>
          </cell>
          <cell r="IG65">
            <v>588577.77777777775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102.00000000000001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1647300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11.333333333333334</v>
          </cell>
          <cell r="AX67">
            <v>0</v>
          </cell>
          <cell r="AY67">
            <v>0</v>
          </cell>
          <cell r="AZ67">
            <v>11.333333333333334</v>
          </cell>
          <cell r="BA67">
            <v>0</v>
          </cell>
          <cell r="BB67">
            <v>0</v>
          </cell>
          <cell r="IC67">
            <v>0</v>
          </cell>
          <cell r="ID67">
            <v>183033.33333333334</v>
          </cell>
          <cell r="IE67">
            <v>0</v>
          </cell>
          <cell r="IF67">
            <v>0</v>
          </cell>
          <cell r="IG67">
            <v>183033.33333333334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136</v>
          </cell>
          <cell r="AZ68">
            <v>136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2196400</v>
          </cell>
          <cell r="IG68">
            <v>2196400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78.999999999999986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1275850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22.666666666666668</v>
          </cell>
          <cell r="AX70">
            <v>0</v>
          </cell>
          <cell r="AY70">
            <v>0</v>
          </cell>
          <cell r="AZ70">
            <v>11.333333333333334</v>
          </cell>
          <cell r="BA70">
            <v>0</v>
          </cell>
          <cell r="BB70">
            <v>0</v>
          </cell>
          <cell r="IC70">
            <v>0</v>
          </cell>
          <cell r="ID70">
            <v>366066.66666666663</v>
          </cell>
          <cell r="IE70">
            <v>0</v>
          </cell>
          <cell r="IF70">
            <v>0</v>
          </cell>
          <cell r="IG70">
            <v>183033.33333333331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34</v>
          </cell>
          <cell r="AX71">
            <v>0</v>
          </cell>
          <cell r="AY71">
            <v>0</v>
          </cell>
          <cell r="AZ71">
            <v>34</v>
          </cell>
          <cell r="BA71">
            <v>0</v>
          </cell>
          <cell r="BB71">
            <v>0</v>
          </cell>
          <cell r="IC71">
            <v>0</v>
          </cell>
          <cell r="ID71">
            <v>549100</v>
          </cell>
          <cell r="IE71">
            <v>0</v>
          </cell>
          <cell r="IF71">
            <v>0</v>
          </cell>
          <cell r="IG71">
            <v>549100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42.5</v>
          </cell>
          <cell r="AX72">
            <v>0</v>
          </cell>
          <cell r="AY72">
            <v>0</v>
          </cell>
          <cell r="AZ72">
            <v>17</v>
          </cell>
          <cell r="BA72">
            <v>0</v>
          </cell>
          <cell r="BB72">
            <v>0</v>
          </cell>
          <cell r="IC72">
            <v>0</v>
          </cell>
          <cell r="ID72">
            <v>686375</v>
          </cell>
          <cell r="IE72">
            <v>0</v>
          </cell>
          <cell r="IF72">
            <v>0</v>
          </cell>
          <cell r="IG72">
            <v>274550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22.666666666666668</v>
          </cell>
          <cell r="AX73">
            <v>0</v>
          </cell>
          <cell r="AY73">
            <v>0</v>
          </cell>
          <cell r="AZ73">
            <v>22.666666666666668</v>
          </cell>
          <cell r="BA73">
            <v>0</v>
          </cell>
          <cell r="BB73">
            <v>0</v>
          </cell>
          <cell r="IC73">
            <v>0</v>
          </cell>
          <cell r="ID73">
            <v>366066.66666666669</v>
          </cell>
          <cell r="IE73">
            <v>0</v>
          </cell>
          <cell r="IF73">
            <v>0</v>
          </cell>
          <cell r="IG73">
            <v>366066.66666666669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22.666666666666668</v>
          </cell>
          <cell r="AX74">
            <v>0</v>
          </cell>
          <cell r="AY74">
            <v>0</v>
          </cell>
          <cell r="AZ74">
            <v>22.666666666666668</v>
          </cell>
          <cell r="BA74">
            <v>0</v>
          </cell>
          <cell r="BB74">
            <v>0</v>
          </cell>
          <cell r="IC74">
            <v>0</v>
          </cell>
          <cell r="ID74">
            <v>366066.66666666669</v>
          </cell>
          <cell r="IE74">
            <v>0</v>
          </cell>
          <cell r="IF74">
            <v>0</v>
          </cell>
          <cell r="IG74">
            <v>366066.66666666669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22.666666666666668</v>
          </cell>
          <cell r="AX75">
            <v>0</v>
          </cell>
          <cell r="AY75">
            <v>0</v>
          </cell>
          <cell r="AZ75">
            <v>22.666666666666668</v>
          </cell>
          <cell r="BA75">
            <v>0</v>
          </cell>
          <cell r="BB75">
            <v>0</v>
          </cell>
          <cell r="IC75">
            <v>0</v>
          </cell>
          <cell r="ID75">
            <v>366066.66666666669</v>
          </cell>
          <cell r="IE75">
            <v>0</v>
          </cell>
          <cell r="IF75">
            <v>0</v>
          </cell>
          <cell r="IG75">
            <v>366066.66666666669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39.666666666666664</v>
          </cell>
          <cell r="AX76">
            <v>0</v>
          </cell>
          <cell r="AY76">
            <v>118.99999999999999</v>
          </cell>
          <cell r="AZ76">
            <v>39.666666666666664</v>
          </cell>
          <cell r="BA76">
            <v>0</v>
          </cell>
          <cell r="BB76">
            <v>0</v>
          </cell>
          <cell r="IC76">
            <v>0</v>
          </cell>
          <cell r="ID76">
            <v>640616.66666666663</v>
          </cell>
          <cell r="IE76">
            <v>0</v>
          </cell>
          <cell r="IF76">
            <v>1921850</v>
          </cell>
          <cell r="IG76">
            <v>640616.66666666663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17</v>
          </cell>
          <cell r="AX77">
            <v>0</v>
          </cell>
          <cell r="AY77">
            <v>50.999999999999993</v>
          </cell>
          <cell r="AZ77">
            <v>17</v>
          </cell>
          <cell r="BA77">
            <v>0</v>
          </cell>
          <cell r="BB77">
            <v>0</v>
          </cell>
          <cell r="IC77">
            <v>0</v>
          </cell>
          <cell r="ID77">
            <v>274550</v>
          </cell>
          <cell r="IE77">
            <v>0</v>
          </cell>
          <cell r="IF77">
            <v>823650</v>
          </cell>
          <cell r="IG77">
            <v>274550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155.83333333333334</v>
          </cell>
          <cell r="AX78">
            <v>0</v>
          </cell>
          <cell r="AY78">
            <v>155.83333333333334</v>
          </cell>
          <cell r="AZ78">
            <v>31.166666666666668</v>
          </cell>
          <cell r="BA78">
            <v>0</v>
          </cell>
          <cell r="BB78">
            <v>0</v>
          </cell>
          <cell r="IC78">
            <v>0</v>
          </cell>
          <cell r="ID78">
            <v>2516708.3333333335</v>
          </cell>
          <cell r="IE78">
            <v>0</v>
          </cell>
          <cell r="IF78">
            <v>2516708.3333333335</v>
          </cell>
          <cell r="IG78">
            <v>503341.66666666669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6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824.60170196429704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815.79115746368927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12750000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1075.3577750762472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1087.7215432849191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17000000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945.15750634504229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1087.7215432849191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17000000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1281.7460317460316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1351.0076927967448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21250000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868.30160744500847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1078.6802030456854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17000000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1205.1932367149757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1080.600050851767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17000000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928.24365913191116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1082.4578159821713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17000000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1047.7008204541119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1081.2185969598677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17000000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871.7144734889439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1081.2185969598677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17000000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1673.2398397252432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1216.370921579851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19125000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1185.9670285484522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1349.1206907497935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21250000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1091.2808152564589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1078.2696942788277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17000000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682.09280303030289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804.92424242424238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12750000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1354.7958816938333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1078.201306526289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17000000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1486.0761916916597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1627.2094952459959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25500000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1029.1919256375895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1084.8063301639972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17000000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1102.7056346117033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1627.2094952459959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25500000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1957.326019008739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1626.586719397844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25500000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2028.6063027075013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1616.8917633631347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25500000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1085.398977738352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1077.1765302243061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17000000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1247.3949473949474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1606.5016065016068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25500000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975.83081570996978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1069.9899295065459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17000000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617.00969284994972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534.99496475327294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8500000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1167.6086774085265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1069.9899295065459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17000000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952.4777048628639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1072.6905603230691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17000000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640.58126791434836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537.43045017703594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8500000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994.98991045529078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804.01059402194471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12750000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868.5192154894828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1066.3655752101367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17000000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706.454654012947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1068.4432153855823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17000000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647.5834328452014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534.22160769279117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8500000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494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797.99999999999989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12887700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1040.6666666666667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16806766.666666668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914.66666666666663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14771866.666666666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1248.3333333333333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20160583.333333332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847.33333333333337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13684433.333333334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1174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18960100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902.66666666666663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14578066.666666666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1020.0000000000001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16473000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848.66666666666663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13705966.666666666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1629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26308350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1156.6666666666667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18680166.666666668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1065.3333333333333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17205133.333333332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668.99999999999989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10804350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1322.6666666666667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21361066.666666668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1442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23288300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998.66666666666663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16128466.666666666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1070.0000000000002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17280500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1900.0000000000002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30685000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1981.0000000000002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31993150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1060.6666666666667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17129766.666666668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1226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19799900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960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15504000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607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9803050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1148.6666666666667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18550966.666666668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934.66666666666663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15094866.666666666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627.33333333333337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10131433.333333334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977.00000000000011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15778550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857.33333333333337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13845933.333333334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696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11240400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638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10303700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7">
        <row r="11">
          <cell r="AV11">
            <v>0</v>
          </cell>
          <cell r="AW11">
            <v>0</v>
          </cell>
          <cell r="AX11">
            <v>1530.3698253247169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1089.3211337897499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17025000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1508.1531128031224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1089.3211337897499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17025000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1412.0529144538996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1089.3211337897499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17025000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1467.2483946849766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1082.3955750524508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17025000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1011.7660744500846</v>
          </cell>
          <cell r="AX15">
            <v>843.13839537507044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720.17766497461935</v>
          </cell>
          <cell r="BT15">
            <v>600.14805414551608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11350000</v>
          </cell>
          <cell r="IE15">
            <v>9458333.3333333321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1141.6314412238323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901.8243071446733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14187500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1030.0488167250344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722.69977714103788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11350000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480.02501643028256</v>
          </cell>
          <cell r="AX18">
            <v>960.05003286056512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360.93620810277935</v>
          </cell>
          <cell r="BT18">
            <v>721.87241620555869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5675000</v>
          </cell>
          <cell r="IE18">
            <v>11350000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524.7063749496491</v>
          </cell>
          <cell r="AX19">
            <v>1049.4127498992982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360.93620810277935</v>
          </cell>
          <cell r="BT19">
            <v>721.87241620555869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5675000</v>
          </cell>
          <cell r="IE19">
            <v>11350000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339.07615877659759</v>
          </cell>
          <cell r="AX20">
            <v>1864.9188732712869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240.62413873518622</v>
          </cell>
          <cell r="BT20">
            <v>1323.4327630435243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3783333.3333333335</v>
          </cell>
          <cell r="IE20">
            <v>20808333.333333332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1394.4511459589867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1080.8837534124818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17025000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1781.6969005031922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1439.8071800076114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22700000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1287.7178030303028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1074.810606060606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17025000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1321.3357011479673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1079.7868966829453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17025000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1408.2684576606471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1086.401633590709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17025000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1460.8273243570927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1086.401633590709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17025000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1577.7965669070254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1086.401633590709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17025000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3127.6009440581743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2171.971678254768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34050000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2860.1198402130494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2159.0260604907744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34050000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2689.2789253580031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2157.5212267139777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34050000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2918.0495180495182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2145.1521451521453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34050000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2648.9740684793555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2143.1268882175227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34050000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2818.727970795569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2143.1268882175227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34050000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2984.4159113796577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2143.1268882175227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34050000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2848.2616102978295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2148.5360928823825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34050000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2944.9038947900863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2152.8831562974206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34050000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2864.7969479127255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2147.1812334468409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34050000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2808.1671057583744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2135.8675197591269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34050000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2783.1877317579033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2140.0289108164161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34050000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2999.387216391176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2140.0289108164161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34050000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18.666666666666668</v>
          </cell>
          <cell r="GI42">
            <v>503.33333333333331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1481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23918150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1459.5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23570925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1366.4999999999998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22068975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1428.9999999999998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23078350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987.33333333333337</v>
          </cell>
          <cell r="AX53">
            <v>822.77777777777771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15945433.333333334</v>
          </cell>
          <cell r="IE53">
            <v>13287861.11111111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1112.0833333333333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17960145.833333332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1001.6666666666666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16176916.666666666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467.33333333333331</v>
          </cell>
          <cell r="AX56">
            <v>934.66666666666663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7547433.333333333</v>
          </cell>
          <cell r="IE56">
            <v>15094866.666666666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510.83333333333331</v>
          </cell>
          <cell r="AX57">
            <v>1021.6666666666666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8249958.333333333</v>
          </cell>
          <cell r="IE57">
            <v>16499916.666666666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330.11111111111109</v>
          </cell>
          <cell r="AX58">
            <v>1815.6111111111111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5331294.444444444</v>
          </cell>
          <cell r="IE58">
            <v>29322119.444444444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1359.9999999999998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21964000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1739.3333333333333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28090233.333333332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1262.9999999999998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20397450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1289.9999999999998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20833500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1366.5000000000002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22068975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1417.5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22892625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1530.9999999999998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24725650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3036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49031400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2793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45106950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2628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42442200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2868.0000000000005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46318200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2606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42086900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2773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44783950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2936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47416400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2795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45139250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2884.0000000000005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46576600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2813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45429950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2772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44767800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2742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44283300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2955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47723250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8">
        <row r="11">
          <cell r="AV11">
            <v>0</v>
          </cell>
          <cell r="AW11">
            <v>566.26783543412887</v>
          </cell>
          <cell r="AX11">
            <v>188.75594514470961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582.25094375839785</v>
          </cell>
          <cell r="BT11">
            <v>194.08364791946596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9100000</v>
          </cell>
          <cell r="IE11">
            <v>3033333.3333333335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452.98843496065007</v>
          </cell>
          <cell r="AX12">
            <v>452.98843496065007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339.64638385906545</v>
          </cell>
          <cell r="BT12">
            <v>339.64638385906545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5308333.333333333</v>
          </cell>
          <cell r="IE12">
            <v>5308333.333333333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443.47313754345544</v>
          </cell>
          <cell r="AX13">
            <v>443.47313754345544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323.47274653244324</v>
          </cell>
          <cell r="BT13">
            <v>323.47274653244324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5055555.555555555</v>
          </cell>
          <cell r="IE13">
            <v>5055555.555555555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121.67175281327482</v>
          </cell>
          <cell r="AX14">
            <v>243.34350562654964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144.63729417000445</v>
          </cell>
          <cell r="BT14">
            <v>289.2745883400089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2275000</v>
          </cell>
          <cell r="IE14">
            <v>4550000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524.75544627749582</v>
          </cell>
          <cell r="AX15">
            <v>209.90217851099831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481.17597292724196</v>
          </cell>
          <cell r="BT15">
            <v>192.47038917089677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7583333.333333333</v>
          </cell>
          <cell r="IE15">
            <v>3033333.3333333335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64.468599033816417</v>
          </cell>
          <cell r="AX16">
            <v>0</v>
          </cell>
          <cell r="AY16">
            <v>1031.4975845410627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57.843885075006362</v>
          </cell>
          <cell r="BT16">
            <v>0</v>
          </cell>
          <cell r="BU16">
            <v>925.5021612001018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910000</v>
          </cell>
          <cell r="IE16">
            <v>0</v>
          </cell>
          <cell r="IF16">
            <v>14560000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1363.5721107927411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1158.8666029926776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18200000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1094.9500731412579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771.69327312429778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12133333.333333334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395.79808772710885</v>
          </cell>
          <cell r="AX19">
            <v>395.79808772710885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385.84663656214889</v>
          </cell>
          <cell r="BT19">
            <v>385.84663656214889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6066666.666666667</v>
          </cell>
          <cell r="IE19">
            <v>6066666.666666667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334.59661006169301</v>
          </cell>
          <cell r="AX20">
            <v>557.66101676948836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289.38497742161167</v>
          </cell>
          <cell r="BT20">
            <v>482.30829570268611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4550000</v>
          </cell>
          <cell r="IE20">
            <v>7583333.333333333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1373.9445114595901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1155.482191606882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18200000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1172.54640788194</v>
          </cell>
          <cell r="AX22">
            <v>293.136601970485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769.58856611273211</v>
          </cell>
          <cell r="BT22">
            <v>192.39714152818303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12133333.333333334</v>
          </cell>
          <cell r="IE22">
            <v>3033333.3333333335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1687.3895202020199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1148.9898989898991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18200000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971.79631508847604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865.73222553434391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13650000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1388.1724203943588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1161.3808946461618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18200000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293.96895539531613</v>
          </cell>
          <cell r="AX26">
            <v>0</v>
          </cell>
          <cell r="AY26">
            <v>881.90686618594839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290.34522366154044</v>
          </cell>
          <cell r="BT26">
            <v>0</v>
          </cell>
          <cell r="BU26">
            <v>871.03567098462133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4550000</v>
          </cell>
          <cell r="IE26">
            <v>0</v>
          </cell>
          <cell r="IF26">
            <v>13650000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444.51747389020051</v>
          </cell>
          <cell r="AX27">
            <v>0</v>
          </cell>
          <cell r="AY27">
            <v>444.51747389020051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387.12696488205393</v>
          </cell>
          <cell r="BT27">
            <v>0</v>
          </cell>
          <cell r="BU27">
            <v>387.12696488205393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6066666.666666667</v>
          </cell>
          <cell r="IE27">
            <v>0</v>
          </cell>
          <cell r="IF27">
            <v>6066666.666666667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631.29703060311067</v>
          </cell>
          <cell r="AX34">
            <v>360.74116034463469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445.47946738279057</v>
          </cell>
          <cell r="BT34">
            <v>254.5596956473089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7077777.7777777771</v>
          </cell>
          <cell r="IE34">
            <v>4044444.444444444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667.59492960906391</v>
          </cell>
          <cell r="AX35">
            <v>417.24683100566489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510.40439733019235</v>
          </cell>
          <cell r="BT35">
            <v>319.00274833137024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8088888.8888888881</v>
          </cell>
          <cell r="IE35">
            <v>5055555.555555555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918.43878210532216</v>
          </cell>
          <cell r="AX36">
            <v>367.37551284212884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639.29635249817341</v>
          </cell>
          <cell r="BT36">
            <v>255.71854099926932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10111111.11111111</v>
          </cell>
          <cell r="IE36">
            <v>4044444.444444444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944.74818177996372</v>
          </cell>
          <cell r="AX37">
            <v>171.77239668726614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701.36348986140877</v>
          </cell>
          <cell r="BT37">
            <v>127.52063452025614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11122222.222222222</v>
          </cell>
          <cell r="IE37">
            <v>2022222.222222222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1118.4042152803916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761.092292895078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12133333.333333334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214.50778287557876</v>
          </cell>
          <cell r="AX39">
            <v>214.50778287557876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190.64378941193721</v>
          </cell>
          <cell r="BT39">
            <v>190.64378941193721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3033333.3333333335</v>
          </cell>
          <cell r="IE39">
            <v>3033333.3333333335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205.96468899922488</v>
          </cell>
          <cell r="AX40">
            <v>205.96468899922488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476.609473529843</v>
          </cell>
          <cell r="BT40">
            <v>476.609473529843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7583333.333333333</v>
          </cell>
          <cell r="IE40">
            <v>7583333.333333333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267.86666666666667</v>
          </cell>
          <cell r="GI42">
            <v>83.666666666666671</v>
          </cell>
          <cell r="GJ42">
            <v>69.2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548</v>
          </cell>
          <cell r="AX49">
            <v>182.66666666666666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8850200</v>
          </cell>
          <cell r="IE49">
            <v>2950066.6666666665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438.375</v>
          </cell>
          <cell r="AX50">
            <v>438.375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7079756.25</v>
          </cell>
          <cell r="IE50">
            <v>7079756.25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429.16666666666657</v>
          </cell>
          <cell r="AX51">
            <v>429.16666666666657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6931041.666666666</v>
          </cell>
          <cell r="IE51">
            <v>6931041.666666666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118.49999999999999</v>
          </cell>
          <cell r="AX52">
            <v>236.99999999999997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1913775</v>
          </cell>
          <cell r="IE52">
            <v>3827550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512.08333333333337</v>
          </cell>
          <cell r="AX53">
            <v>204.83333333333334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8270145.833333334</v>
          </cell>
          <cell r="IE53">
            <v>3308058.3333333335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62.8</v>
          </cell>
          <cell r="AX54">
            <v>0</v>
          </cell>
          <cell r="AY54">
            <v>1004.8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1014220</v>
          </cell>
          <cell r="IE54">
            <v>0</v>
          </cell>
          <cell r="IF54">
            <v>16227520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1326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21414900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1066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17215900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385.33333333333331</v>
          </cell>
          <cell r="AX57">
            <v>385.33333333333331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6223133.333333333</v>
          </cell>
          <cell r="IE57">
            <v>6223133.333333333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325.74999999999994</v>
          </cell>
          <cell r="AX58">
            <v>542.91666666666663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5260862.5</v>
          </cell>
          <cell r="IE58">
            <v>8768104.166666666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1340.0000000000002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21641000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1144.6666666666667</v>
          </cell>
          <cell r="AX60">
            <v>286.16666666666669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18486366.666666668</v>
          </cell>
          <cell r="IE60">
            <v>4621591.666666667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1654.9999999999998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26728250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948.75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15322312.5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1347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21754050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285.24999999999994</v>
          </cell>
          <cell r="AX64">
            <v>0</v>
          </cell>
          <cell r="AY64">
            <v>855.74999999999989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4606787.5</v>
          </cell>
          <cell r="IE64">
            <v>0</v>
          </cell>
          <cell r="IF64">
            <v>13820362.5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431.33333333333331</v>
          </cell>
          <cell r="AX65">
            <v>0</v>
          </cell>
          <cell r="AY65">
            <v>431.33333333333331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6966033.333333333</v>
          </cell>
          <cell r="IE65">
            <v>0</v>
          </cell>
          <cell r="IF65">
            <v>6966033.333333333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621.05555555555554</v>
          </cell>
          <cell r="AX72">
            <v>354.88888888888891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10030047.222222222</v>
          </cell>
          <cell r="IE72">
            <v>5731455.555555556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655.11111111111109</v>
          </cell>
          <cell r="AX73">
            <v>409.4444444444444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10580044.444444444</v>
          </cell>
          <cell r="IE73">
            <v>6612527.7777777771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899.44444444444434</v>
          </cell>
          <cell r="AX74">
            <v>359.77777777777771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14526027.777777776</v>
          </cell>
          <cell r="IE74">
            <v>5810411.1111111101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927.66666666666652</v>
          </cell>
          <cell r="AX75">
            <v>168.66666666666666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14981816.666666666</v>
          </cell>
          <cell r="IE75">
            <v>2723966.6666666665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1104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17829600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211.33333333333334</v>
          </cell>
          <cell r="AX77">
            <v>211.33333333333334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3413033.3333333335</v>
          </cell>
          <cell r="IE77">
            <v>3413033.3333333335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202.91666666666669</v>
          </cell>
          <cell r="AX78">
            <v>202.91666666666669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3277104.166666667</v>
          </cell>
          <cell r="IE78">
            <v>3277104.166666667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9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0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136.37126552534406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2166666.6666666665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203.29808660624371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818.2275931520644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13000000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275.14512872286724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820.29278142352348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13000000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122.53414264036419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821.95245321193727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13000000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162.94614705511412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819.77550763021816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13000000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202.60945928992601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815.45602810186926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13000000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314.65652693105397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817.04481176544539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13000000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203.00421092326064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817.04481176544539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13000000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172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200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3230000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270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4360500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120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1938000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160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2584000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200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3230000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310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5006500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200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3230000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384.40079339689032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831.78706251199708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13000000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328.60067822637404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831.78706251199708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13000000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380.26745153240773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831.78706251199708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13000000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384.01042660054679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826.49882382859687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13000000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190.60279187817258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824.87309644670052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13000000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188.88888888888889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826.34121535723364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13000000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331.12384590894612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827.76185928048392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13000000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383.12980983272905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826.81422120460468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13000000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326.636138141576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826.81422120460468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13000000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436.54200852254655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826.81422120460468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13000000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384.49939686369123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825.34442257634453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13000000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186.4328301408093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824.55917797792733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13000000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181.48358585858585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820.70707070707067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13000000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323.676032219192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824.50688146127993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13000000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373.06489694339865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829.55778189011551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13000000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325.65886031523189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829.55778189011551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13000000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321.53659626060875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829.55778189011551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13000000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380.13331632327612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829.24028832046952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13000000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189.4458182740473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824.29776171453932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13000000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181.1272335572171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823.72322899505764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13000000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317.44471744471741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819.00081900081898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13000000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321.21097683786508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818.2275931520644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13000000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361.87059415911386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681.85632762672037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10833333.333333334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548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371.99999999999994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6007800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318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5135700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368.00000000000006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5943200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374.00000000000006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6040100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186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3003900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184.00000000000003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2971600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321.99999999999994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5200300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372.99999999999994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6023950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318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5135700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425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6863750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375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6056250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181.99999999999997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2939300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178.00000000000003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2874700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316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5103400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362.00000000000006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5846300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315.99999999999994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5103400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312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5038800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369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5959350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185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2987750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177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2858550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312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5038800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316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5103400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356.00000000000006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5749400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2">
        <row r="11">
          <cell r="AV11">
            <v>0</v>
          </cell>
          <cell r="AW11">
            <v>157.8419924499328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247.93652824876833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3875000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219.75600912832979</v>
          </cell>
          <cell r="AX12">
            <v>219.75600912832979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330.58203766502442</v>
          </cell>
          <cell r="BT12">
            <v>330.58203766502442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5166666.666666667</v>
          </cell>
          <cell r="IE12">
            <v>5166666.666666667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218.00507958851421</v>
          </cell>
          <cell r="AX13">
            <v>93.430748395077529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192.83952197126425</v>
          </cell>
          <cell r="BT13">
            <v>82.645509416256104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3013888.8888888885</v>
          </cell>
          <cell r="IE13">
            <v>1291666.6666666667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316.24388072986204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492.72045266704816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7750000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436.54187817258878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491.75126903553297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7750000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223.79227053140093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328.41766251377237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5166666.666666667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71.383582723124277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82.245569351586539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1291666.6666666667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318.93245563823695</v>
          </cell>
          <cell r="AX18">
            <v>106.31081854607899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369.68135851936654</v>
          </cell>
          <cell r="BT18">
            <v>123.22711950645551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5812500</v>
          </cell>
          <cell r="IE18">
            <v>1937500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271.34081706205347</v>
          </cell>
          <cell r="AX19">
            <v>108.53632682482139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410.75706502151837</v>
          </cell>
          <cell r="BT19">
            <v>164.30282600860735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6458333.333333333</v>
          </cell>
          <cell r="IE19">
            <v>2583333.3333333335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368.74960249316291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985.81695605164407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15500000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879.73462002412555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984.06450384102607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15500000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926.01801344665728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983.12825066599009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15500000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805.46085858585843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978.53535353535369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15500000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673.98363670958338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983.06589712691073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15500000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722.08325356816192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659.39208304086105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10333333.333333334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693.31328568693766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741.81609342096863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11625000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882.16450768936238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989.08812456129147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15500000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156.58608152069908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988.7095745359444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15500000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787.99220087502385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737.11242153319381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11625000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751.1151945254087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982.13154226333802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15500000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566.21149121149119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732.37573237573235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11625000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178.64819360523666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243.89476334340384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3875000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425.23183115139312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406.49127223900638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6458333.333333333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505.19574521651566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487.78952668680768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7750000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309.28350580514893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489.02069661786976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7750000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182.78009610520991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490.01011633788568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7750000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209.02935426913859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244.35616092823815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3875000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191.97246267720487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243.06862376113409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3875000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286.74344792910563</v>
          </cell>
          <cell r="AX39">
            <v>114.69737917164225</v>
          </cell>
          <cell r="AY39">
            <v>344.09213751492678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270.60244834111967</v>
          </cell>
          <cell r="BT39">
            <v>108.24097933644788</v>
          </cell>
          <cell r="BU39">
            <v>324.72293800934364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4305555.555555555</v>
          </cell>
          <cell r="IE39">
            <v>1722222.222222222</v>
          </cell>
          <cell r="IF39">
            <v>5166666.666666667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409.39182536190896</v>
          </cell>
          <cell r="AX40">
            <v>102.34795634047724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649.44587601868727</v>
          </cell>
          <cell r="BT40">
            <v>162.36146900467182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10333333.333333334</v>
          </cell>
          <cell r="IE40">
            <v>2583333.3333333335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420.33333333333331</v>
          </cell>
          <cell r="GI42">
            <v>23.666666666666668</v>
          </cell>
          <cell r="GJ42">
            <v>8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152.75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2466912.5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212.66666666666666</v>
          </cell>
          <cell r="AX50">
            <v>212.66666666666666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3434566.6666666665</v>
          </cell>
          <cell r="IE50">
            <v>3434566.6666666665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210.9722222222222</v>
          </cell>
          <cell r="AX51">
            <v>90.416666666666671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3407201.3888888885</v>
          </cell>
          <cell r="IE51">
            <v>1460229.1666666667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308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4974200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425.99999999999994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6879900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218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3520700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69.416666666666671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1121079.1666666667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310.5</v>
          </cell>
          <cell r="AX56">
            <v>103.5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5014575</v>
          </cell>
          <cell r="IE56">
            <v>1671525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264.16666666666669</v>
          </cell>
          <cell r="AX57">
            <v>105.66666666666667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4266291.666666667</v>
          </cell>
          <cell r="IE57">
            <v>1706516.6666666667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359.00000000000006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5797850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858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13856700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904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14599600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789.99999999999989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12758500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658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10626700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700.66666666666663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11315766.666666666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672.75000000000011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10864912.5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855.99999999999989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13824400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151.99999999999997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2454800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769.50000000000011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12427425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734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11854100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556.5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8987475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175.75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2838362.5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418.33333333333337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6756083.333333334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497.00000000000006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8026550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303.5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4901525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179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2890850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205.25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3314787.5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189.5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3060425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282.5</v>
          </cell>
          <cell r="AX77">
            <v>112.99999999999999</v>
          </cell>
          <cell r="AY77">
            <v>339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4562375</v>
          </cell>
          <cell r="IE77">
            <v>1824950</v>
          </cell>
          <cell r="IF77">
            <v>5474850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403.33333333333331</v>
          </cell>
          <cell r="AX78">
            <v>100.83333333333333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6513833.333333333</v>
          </cell>
          <cell r="IE78">
            <v>1628458.3333333333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5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6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7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8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9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0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LCT-1"/>
      <sheetName val="LCT-2"/>
      <sheetName val="LCT-3"/>
      <sheetName val="LCT-4"/>
      <sheetName val="LCT-5"/>
      <sheetName val="LCT-6"/>
      <sheetName val="LCT-7"/>
      <sheetName val="LCT-8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5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6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7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8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B-1"/>
      <sheetName val="TB-2"/>
      <sheetName val="TB-3"/>
      <sheetName val="TB-4"/>
      <sheetName val="TB-5"/>
      <sheetName val="TB-6"/>
      <sheetName val="TB-7"/>
      <sheetName val="TB-8"/>
      <sheetName val="TB-9"/>
      <sheetName val="TB-10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280.03391131870239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607.84439183569009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9500000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293.46727237827116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607.84439183569009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9500000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162.22900375103313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603.97990972089769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9500000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279.75571065989845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602.79187817258878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9500000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280.25362318840575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603.86473429951695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9500000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280.73543457497613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604.9028971665075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9500000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332.79908414424727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604.21039241874962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9500000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236.24626343573107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604.21039241874962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9500000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272.19678178464665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604.21039241874962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9500000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268.63691194209889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603.13630880579012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9500000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283.74667004947349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602.5624762146391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9500000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264.06881313131311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599.74747474747471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9500000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294.99587746559274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602.52425952939689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9500000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271.0388615914747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606.21530215046903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9500000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305.047540042116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606.21530215046903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9500000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125.72905366600725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303.10765107523451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4750000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347.16782547681316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605.98328761880464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9500000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252.93576818210639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602.37144125293264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9500000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311.0885819287796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601.95159041946522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9500000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132.26863226863227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299.25029925029924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4750000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331.37588116817727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597.93554884189325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9500000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131.12726586102718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298.96777442094663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4750000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298.84818731117821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597.93554884189325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9500000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239.4781675921252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599.444724886421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9500000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317.56765300961052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600.6575619625695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9500000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236.27191322991547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599.06671711439026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9500000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324.17513486388162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595.91017438213521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9500000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258.83036892715734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597.07120859782538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9500000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301.46125322104206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597.07120859782538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9500000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660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271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4376650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284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4586600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158.00000000000003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2551700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273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4408950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273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4408950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273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4408950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324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5232600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229.99999999999997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3714500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264.99999999999994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4279750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261.99999999999994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4231300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276.99999999999994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4473550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259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4182850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288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4651200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263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4247450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296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4780400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121.99999999999999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1970300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337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5442550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247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3989050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303.99999999999994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4909600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130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2099500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326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5264900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129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2083350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293.99999999999994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4748100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235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3795250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311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5022650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231.99999999999997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3746800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320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5168000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255.00000000000003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4118250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297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4796550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5">
        <row r="11">
          <cell r="AV11">
            <v>0</v>
          </cell>
          <cell r="AW11">
            <v>0</v>
          </cell>
          <cell r="AX11">
            <v>0</v>
          </cell>
          <cell r="AY11">
            <v>103.33354661206731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607.84439183569009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9500000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103.33354661206731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607.84439183569009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9500000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103.33354661206731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607.84439183569009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9500000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122.18513573653759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603.97990972089769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9500000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117.84581218274111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602.79187817258878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9500000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179.64975845410626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603.86473429951695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9500000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176.87360713148678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604.9028971665075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9500000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148.93786173122177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604.21039241874962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9500000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102.71576671118743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604.21039241874962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9500000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102.71576671118743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604.21039241874962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9500000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272.73823884197827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603.13630880579012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9500000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171.067486997336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602.5624762146391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9500000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173.32702020202018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599.74747474747471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9500000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169.00805479799584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602.52425952939689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9500000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103.05660136557972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606.21530215046903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9500000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330.81169038351095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606.21530215046903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9500000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254.54980537298189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606.21530215046903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9500000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238.99980863685653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605.98328761880464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9500000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215.04660452729692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602.37144125293264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9500000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102.33177037130912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601.95159041946522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9500000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256.39765639765642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598.50059850059847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9500000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126.0448136958711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597.93554884189325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9500000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170.77039274924471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597.93554884189325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9500000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101.64904330312186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597.93554884189325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9500000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193.62064613831399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599.444724886421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9500000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112.3229640870005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600.6575619625695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9500000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215.90364484802626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599.06671711439026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9500000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101.304729644963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595.91017438213521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9500000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332.92690591414743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597.07120859782538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9500000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357.28741122493869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597.07120859782538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9500000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720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100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1615000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100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1615000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100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1615000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118.99999999999999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1921850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115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1857250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175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2826250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172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2777800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145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2341750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100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1615000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100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1615000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265.99999999999994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4295900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166.99999999999997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2697050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170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2745500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165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2664750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100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1615000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321.00000000000006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5184150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246.99999999999997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3989050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232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3746800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209.99999999999997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3391500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100.00000000000003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1615000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252.00000000000003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4069800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124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2002600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168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2713200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100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1615000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190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3068500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110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1776500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212.00000000000003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3423800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100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1615000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328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5297200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351.99999999999994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5684800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6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7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8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9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10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SV-1"/>
      <sheetName val="DSV-2"/>
      <sheetName val="DSV-3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TUB-1"/>
      <sheetName val="TUB-2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Barge-1"/>
      <sheetName val="Barge-2"/>
      <sheetName val="Barge-3"/>
      <sheetName val="Barge-4"/>
    </sheetNames>
    <sheetDataSet>
      <sheetData sheetId="0"/>
      <sheetData sheetId="1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2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3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  <sheetData sheetId="4">
        <row r="11"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</row>
        <row r="12"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</row>
        <row r="13"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</row>
        <row r="14"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G14">
            <v>0</v>
          </cell>
          <cell r="IH14">
            <v>0</v>
          </cell>
          <cell r="II14">
            <v>0</v>
          </cell>
        </row>
        <row r="15"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0</v>
          </cell>
          <cell r="IG15">
            <v>0</v>
          </cell>
          <cell r="IH15">
            <v>0</v>
          </cell>
          <cell r="II15">
            <v>0</v>
          </cell>
        </row>
        <row r="16"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0</v>
          </cell>
          <cell r="II16">
            <v>0</v>
          </cell>
        </row>
        <row r="17"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IC17">
            <v>0</v>
          </cell>
          <cell r="ID17">
            <v>0</v>
          </cell>
          <cell r="IE17">
            <v>0</v>
          </cell>
          <cell r="IF17">
            <v>0</v>
          </cell>
          <cell r="IG17">
            <v>0</v>
          </cell>
          <cell r="IH17">
            <v>0</v>
          </cell>
          <cell r="II17">
            <v>0</v>
          </cell>
        </row>
        <row r="18"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IC18">
            <v>0</v>
          </cell>
          <cell r="ID18">
            <v>0</v>
          </cell>
          <cell r="IE18">
            <v>0</v>
          </cell>
          <cell r="IF18">
            <v>0</v>
          </cell>
          <cell r="IG18">
            <v>0</v>
          </cell>
          <cell r="IH18">
            <v>0</v>
          </cell>
          <cell r="II18">
            <v>0</v>
          </cell>
        </row>
        <row r="19"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</row>
        <row r="20"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IC20">
            <v>0</v>
          </cell>
          <cell r="ID20">
            <v>0</v>
          </cell>
          <cell r="IE20">
            <v>0</v>
          </cell>
          <cell r="IF20">
            <v>0</v>
          </cell>
          <cell r="IG20">
            <v>0</v>
          </cell>
          <cell r="IH20">
            <v>0</v>
          </cell>
          <cell r="II20">
            <v>0</v>
          </cell>
        </row>
        <row r="21"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IC21">
            <v>0</v>
          </cell>
          <cell r="ID21">
            <v>0</v>
          </cell>
          <cell r="IE21">
            <v>0</v>
          </cell>
          <cell r="IF21">
            <v>0</v>
          </cell>
          <cell r="IG21">
            <v>0</v>
          </cell>
          <cell r="IH21">
            <v>0</v>
          </cell>
          <cell r="II21">
            <v>0</v>
          </cell>
        </row>
        <row r="22"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</row>
        <row r="23"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  <cell r="II23">
            <v>0</v>
          </cell>
        </row>
        <row r="24"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</row>
        <row r="25"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</row>
        <row r="26"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IC26">
            <v>0</v>
          </cell>
          <cell r="ID26">
            <v>0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  <cell r="II26">
            <v>0</v>
          </cell>
        </row>
        <row r="27"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IC27">
            <v>0</v>
          </cell>
          <cell r="ID27">
            <v>0</v>
          </cell>
          <cell r="IE27">
            <v>0</v>
          </cell>
          <cell r="IF27">
            <v>0</v>
          </cell>
          <cell r="IG27">
            <v>0</v>
          </cell>
          <cell r="IH27">
            <v>0</v>
          </cell>
          <cell r="II27">
            <v>0</v>
          </cell>
        </row>
        <row r="28"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</row>
        <row r="29"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IC29">
            <v>0</v>
          </cell>
          <cell r="ID29">
            <v>0</v>
          </cell>
          <cell r="IE29">
            <v>0</v>
          </cell>
          <cell r="IF29">
            <v>0</v>
          </cell>
          <cell r="IG29">
            <v>0</v>
          </cell>
          <cell r="IH29">
            <v>0</v>
          </cell>
          <cell r="II29">
            <v>0</v>
          </cell>
        </row>
        <row r="30"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</row>
        <row r="31"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IC31">
            <v>0</v>
          </cell>
          <cell r="ID31">
            <v>0</v>
          </cell>
          <cell r="IE31">
            <v>0</v>
          </cell>
          <cell r="IF31">
            <v>0</v>
          </cell>
          <cell r="IG31">
            <v>0</v>
          </cell>
          <cell r="IH31">
            <v>0</v>
          </cell>
          <cell r="II31">
            <v>0</v>
          </cell>
        </row>
        <row r="32"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</row>
        <row r="33"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IC33">
            <v>0</v>
          </cell>
          <cell r="ID33">
            <v>0</v>
          </cell>
          <cell r="IE33">
            <v>0</v>
          </cell>
          <cell r="IF33">
            <v>0</v>
          </cell>
          <cell r="IG33">
            <v>0</v>
          </cell>
          <cell r="IH33">
            <v>0</v>
          </cell>
          <cell r="II33">
            <v>0</v>
          </cell>
        </row>
        <row r="34"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0</v>
          </cell>
        </row>
        <row r="35"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IC35">
            <v>0</v>
          </cell>
          <cell r="ID35">
            <v>0</v>
          </cell>
          <cell r="IE35">
            <v>0</v>
          </cell>
          <cell r="IF35">
            <v>0</v>
          </cell>
          <cell r="IG35">
            <v>0</v>
          </cell>
          <cell r="IH35">
            <v>0</v>
          </cell>
          <cell r="II35">
            <v>0</v>
          </cell>
        </row>
        <row r="36"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IC36">
            <v>0</v>
          </cell>
          <cell r="ID36">
            <v>0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</row>
        <row r="37"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</row>
        <row r="38"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IC38">
            <v>0</v>
          </cell>
          <cell r="ID38">
            <v>0</v>
          </cell>
          <cell r="IE38">
            <v>0</v>
          </cell>
          <cell r="IF38">
            <v>0</v>
          </cell>
          <cell r="IG38">
            <v>0</v>
          </cell>
          <cell r="IH38">
            <v>0</v>
          </cell>
          <cell r="II38">
            <v>0</v>
          </cell>
        </row>
        <row r="39"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IC39">
            <v>0</v>
          </cell>
          <cell r="ID39">
            <v>0</v>
          </cell>
          <cell r="IE39">
            <v>0</v>
          </cell>
          <cell r="IF39">
            <v>0</v>
          </cell>
          <cell r="IG39">
            <v>0</v>
          </cell>
          <cell r="IH39">
            <v>0</v>
          </cell>
          <cell r="II39">
            <v>0</v>
          </cell>
        </row>
        <row r="40"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IC40">
            <v>0</v>
          </cell>
          <cell r="ID40">
            <v>0</v>
          </cell>
          <cell r="IE40">
            <v>0</v>
          </cell>
          <cell r="IF40">
            <v>0</v>
          </cell>
          <cell r="IG40">
            <v>0</v>
          </cell>
          <cell r="IH40">
            <v>0</v>
          </cell>
          <cell r="II40">
            <v>0</v>
          </cell>
        </row>
        <row r="41"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</row>
        <row r="42"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</row>
        <row r="49"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IC49">
            <v>0</v>
          </cell>
          <cell r="ID49">
            <v>0</v>
          </cell>
          <cell r="IE49">
            <v>0</v>
          </cell>
          <cell r="IF49">
            <v>0</v>
          </cell>
          <cell r="IG49">
            <v>0</v>
          </cell>
          <cell r="IH49">
            <v>0</v>
          </cell>
          <cell r="II49">
            <v>0</v>
          </cell>
        </row>
        <row r="50"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</row>
        <row r="51"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IC51">
            <v>0</v>
          </cell>
          <cell r="ID51">
            <v>0</v>
          </cell>
          <cell r="IE51">
            <v>0</v>
          </cell>
          <cell r="IF51">
            <v>0</v>
          </cell>
          <cell r="IG51">
            <v>0</v>
          </cell>
          <cell r="IH51">
            <v>0</v>
          </cell>
          <cell r="II51">
            <v>0</v>
          </cell>
        </row>
        <row r="52"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IC52">
            <v>0</v>
          </cell>
          <cell r="ID52">
            <v>0</v>
          </cell>
          <cell r="IE52">
            <v>0</v>
          </cell>
          <cell r="IF52">
            <v>0</v>
          </cell>
          <cell r="IG52">
            <v>0</v>
          </cell>
          <cell r="IH52">
            <v>0</v>
          </cell>
          <cell r="II52">
            <v>0</v>
          </cell>
        </row>
        <row r="53"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IC53">
            <v>0</v>
          </cell>
          <cell r="ID53">
            <v>0</v>
          </cell>
          <cell r="IE53">
            <v>0</v>
          </cell>
          <cell r="IF53">
            <v>0</v>
          </cell>
          <cell r="IG53">
            <v>0</v>
          </cell>
          <cell r="IH53">
            <v>0</v>
          </cell>
          <cell r="II53">
            <v>0</v>
          </cell>
        </row>
        <row r="54"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IC54">
            <v>0</v>
          </cell>
          <cell r="ID54">
            <v>0</v>
          </cell>
          <cell r="IE54">
            <v>0</v>
          </cell>
          <cell r="IF54">
            <v>0</v>
          </cell>
          <cell r="IG54">
            <v>0</v>
          </cell>
          <cell r="IH54">
            <v>0</v>
          </cell>
          <cell r="II54">
            <v>0</v>
          </cell>
        </row>
        <row r="55"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IC55">
            <v>0</v>
          </cell>
          <cell r="ID55">
            <v>0</v>
          </cell>
          <cell r="IE55">
            <v>0</v>
          </cell>
          <cell r="IF55">
            <v>0</v>
          </cell>
          <cell r="IG55">
            <v>0</v>
          </cell>
          <cell r="IH55">
            <v>0</v>
          </cell>
          <cell r="II55">
            <v>0</v>
          </cell>
        </row>
        <row r="56"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</row>
        <row r="57"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IC57">
            <v>0</v>
          </cell>
          <cell r="ID57">
            <v>0</v>
          </cell>
          <cell r="IE57">
            <v>0</v>
          </cell>
          <cell r="IF57">
            <v>0</v>
          </cell>
          <cell r="IG57">
            <v>0</v>
          </cell>
          <cell r="IH57">
            <v>0</v>
          </cell>
          <cell r="II57">
            <v>0</v>
          </cell>
        </row>
        <row r="58"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</row>
        <row r="59"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</row>
        <row r="60"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</row>
        <row r="61"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</row>
        <row r="62"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</row>
        <row r="63"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</row>
        <row r="64"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</row>
        <row r="65"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IC65">
            <v>0</v>
          </cell>
          <cell r="ID65">
            <v>0</v>
          </cell>
          <cell r="IE65">
            <v>0</v>
          </cell>
          <cell r="IF65">
            <v>0</v>
          </cell>
          <cell r="IG65">
            <v>0</v>
          </cell>
          <cell r="IH65">
            <v>0</v>
          </cell>
          <cell r="II65">
            <v>0</v>
          </cell>
        </row>
        <row r="66"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IC66">
            <v>0</v>
          </cell>
          <cell r="ID66">
            <v>0</v>
          </cell>
          <cell r="IE66">
            <v>0</v>
          </cell>
          <cell r="IF66">
            <v>0</v>
          </cell>
          <cell r="IG66">
            <v>0</v>
          </cell>
          <cell r="IH66">
            <v>0</v>
          </cell>
          <cell r="II66">
            <v>0</v>
          </cell>
        </row>
        <row r="67"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IC67">
            <v>0</v>
          </cell>
          <cell r="ID67">
            <v>0</v>
          </cell>
          <cell r="IE67">
            <v>0</v>
          </cell>
          <cell r="IF67">
            <v>0</v>
          </cell>
          <cell r="IG67">
            <v>0</v>
          </cell>
          <cell r="IH67">
            <v>0</v>
          </cell>
          <cell r="II67">
            <v>0</v>
          </cell>
        </row>
        <row r="68"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IC68">
            <v>0</v>
          </cell>
          <cell r="ID68">
            <v>0</v>
          </cell>
          <cell r="IE68">
            <v>0</v>
          </cell>
          <cell r="IF68">
            <v>0</v>
          </cell>
          <cell r="IG68">
            <v>0</v>
          </cell>
          <cell r="IH68">
            <v>0</v>
          </cell>
          <cell r="II68">
            <v>0</v>
          </cell>
        </row>
        <row r="69"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</row>
        <row r="70"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IC70">
            <v>0</v>
          </cell>
          <cell r="ID70">
            <v>0</v>
          </cell>
          <cell r="IE70">
            <v>0</v>
          </cell>
          <cell r="IF70">
            <v>0</v>
          </cell>
          <cell r="IG70">
            <v>0</v>
          </cell>
          <cell r="IH70">
            <v>0</v>
          </cell>
          <cell r="II70">
            <v>0</v>
          </cell>
        </row>
        <row r="71"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IC71">
            <v>0</v>
          </cell>
          <cell r="ID71">
            <v>0</v>
          </cell>
          <cell r="IE71">
            <v>0</v>
          </cell>
          <cell r="IF71">
            <v>0</v>
          </cell>
          <cell r="IG71">
            <v>0</v>
          </cell>
          <cell r="IH71">
            <v>0</v>
          </cell>
          <cell r="II71">
            <v>0</v>
          </cell>
        </row>
        <row r="72"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IC72">
            <v>0</v>
          </cell>
          <cell r="ID72">
            <v>0</v>
          </cell>
          <cell r="IE72">
            <v>0</v>
          </cell>
          <cell r="IF72">
            <v>0</v>
          </cell>
          <cell r="IG72">
            <v>0</v>
          </cell>
          <cell r="IH72">
            <v>0</v>
          </cell>
          <cell r="II72">
            <v>0</v>
          </cell>
        </row>
        <row r="73"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IC73">
            <v>0</v>
          </cell>
          <cell r="ID73">
            <v>0</v>
          </cell>
          <cell r="IE73">
            <v>0</v>
          </cell>
          <cell r="IF73">
            <v>0</v>
          </cell>
          <cell r="IG73">
            <v>0</v>
          </cell>
          <cell r="IH73">
            <v>0</v>
          </cell>
          <cell r="II73">
            <v>0</v>
          </cell>
        </row>
        <row r="74"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IC74">
            <v>0</v>
          </cell>
          <cell r="ID74">
            <v>0</v>
          </cell>
          <cell r="IE74">
            <v>0</v>
          </cell>
          <cell r="IF74">
            <v>0</v>
          </cell>
          <cell r="IG74">
            <v>0</v>
          </cell>
          <cell r="IH74">
            <v>0</v>
          </cell>
          <cell r="II74">
            <v>0</v>
          </cell>
        </row>
        <row r="75"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IC75">
            <v>0</v>
          </cell>
          <cell r="ID75">
            <v>0</v>
          </cell>
          <cell r="IE75">
            <v>0</v>
          </cell>
          <cell r="IF75">
            <v>0</v>
          </cell>
          <cell r="IG75">
            <v>0</v>
          </cell>
          <cell r="IH75">
            <v>0</v>
          </cell>
          <cell r="II75">
            <v>0</v>
          </cell>
        </row>
        <row r="76"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</row>
        <row r="77"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IC77">
            <v>0</v>
          </cell>
          <cell r="ID77">
            <v>0</v>
          </cell>
          <cell r="IE77">
            <v>0</v>
          </cell>
          <cell r="IF77">
            <v>0</v>
          </cell>
          <cell r="IG77">
            <v>0</v>
          </cell>
          <cell r="IH77">
            <v>0</v>
          </cell>
          <cell r="II77">
            <v>0</v>
          </cell>
        </row>
        <row r="78"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</row>
        <row r="79"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0</v>
          </cell>
          <cell r="IH79">
            <v>0</v>
          </cell>
          <cell r="II79">
            <v>0</v>
          </cell>
        </row>
        <row r="82">
          <cell r="IC82">
            <v>0</v>
          </cell>
          <cell r="ID82">
            <v>0</v>
          </cell>
          <cell r="IE82">
            <v>0</v>
          </cell>
          <cell r="IF82">
            <v>0</v>
          </cell>
          <cell r="IG82">
            <v>0</v>
          </cell>
          <cell r="IH82">
            <v>0</v>
          </cell>
          <cell r="II82">
            <v>0</v>
          </cell>
        </row>
        <row r="83">
          <cell r="IC83">
            <v>0</v>
          </cell>
          <cell r="ID83">
            <v>0</v>
          </cell>
          <cell r="IE83">
            <v>0</v>
          </cell>
          <cell r="IF83">
            <v>0</v>
          </cell>
          <cell r="IG83">
            <v>0</v>
          </cell>
          <cell r="IH83">
            <v>0</v>
          </cell>
          <cell r="II83">
            <v>0</v>
          </cell>
        </row>
        <row r="84">
          <cell r="IC84">
            <v>0</v>
          </cell>
          <cell r="ID84">
            <v>0</v>
          </cell>
          <cell r="IE84">
            <v>0</v>
          </cell>
          <cell r="IF84">
            <v>0</v>
          </cell>
          <cell r="IG84">
            <v>0</v>
          </cell>
          <cell r="IH84">
            <v>0</v>
          </cell>
          <cell r="II84">
            <v>0</v>
          </cell>
        </row>
        <row r="85">
          <cell r="IC85">
            <v>0</v>
          </cell>
          <cell r="ID85">
            <v>0</v>
          </cell>
          <cell r="IE85">
            <v>0</v>
          </cell>
          <cell r="IF85">
            <v>0</v>
          </cell>
          <cell r="IG85">
            <v>0</v>
          </cell>
          <cell r="IH85">
            <v>0</v>
          </cell>
          <cell r="II85">
            <v>0</v>
          </cell>
        </row>
        <row r="86">
          <cell r="IC86">
            <v>0</v>
          </cell>
          <cell r="ID86">
            <v>0</v>
          </cell>
          <cell r="IE86">
            <v>0</v>
          </cell>
          <cell r="IF86">
            <v>0</v>
          </cell>
          <cell r="IG86">
            <v>0</v>
          </cell>
          <cell r="IH86">
            <v>0</v>
          </cell>
          <cell r="II86">
            <v>0</v>
          </cell>
        </row>
        <row r="87">
          <cell r="IC87">
            <v>0</v>
          </cell>
          <cell r="ID87">
            <v>0</v>
          </cell>
          <cell r="IE87">
            <v>0</v>
          </cell>
          <cell r="IF87">
            <v>0</v>
          </cell>
          <cell r="IG87">
            <v>0</v>
          </cell>
          <cell r="IH87">
            <v>0</v>
          </cell>
          <cell r="II87">
            <v>0</v>
          </cell>
        </row>
        <row r="88">
          <cell r="IC88">
            <v>0</v>
          </cell>
          <cell r="ID88">
            <v>0</v>
          </cell>
          <cell r="IE88">
            <v>0</v>
          </cell>
          <cell r="IF88">
            <v>0</v>
          </cell>
          <cell r="IG88">
            <v>0</v>
          </cell>
          <cell r="IH88">
            <v>0</v>
          </cell>
          <cell r="II88">
            <v>0</v>
          </cell>
        </row>
        <row r="89"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</row>
        <row r="90"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</row>
        <row r="91">
          <cell r="IC91">
            <v>0</v>
          </cell>
          <cell r="ID91">
            <v>0</v>
          </cell>
          <cell r="IE91">
            <v>0</v>
          </cell>
          <cell r="IF91">
            <v>0</v>
          </cell>
          <cell r="IG91">
            <v>0</v>
          </cell>
          <cell r="IH91">
            <v>0</v>
          </cell>
          <cell r="II91">
            <v>0</v>
          </cell>
        </row>
        <row r="92"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</row>
        <row r="93"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</row>
        <row r="94"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</row>
        <row r="95">
          <cell r="IC95">
            <v>0</v>
          </cell>
          <cell r="ID95">
            <v>0</v>
          </cell>
          <cell r="IE95">
            <v>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</row>
        <row r="96"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</row>
        <row r="97"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</row>
        <row r="98">
          <cell r="IC98">
            <v>0</v>
          </cell>
          <cell r="ID98">
            <v>0</v>
          </cell>
          <cell r="IE98">
            <v>0</v>
          </cell>
          <cell r="IF98">
            <v>0</v>
          </cell>
          <cell r="IG98">
            <v>0</v>
          </cell>
          <cell r="IH98">
            <v>0</v>
          </cell>
          <cell r="II98">
            <v>0</v>
          </cell>
        </row>
        <row r="99">
          <cell r="IC99">
            <v>0</v>
          </cell>
          <cell r="ID99">
            <v>0</v>
          </cell>
          <cell r="IE99">
            <v>0</v>
          </cell>
          <cell r="IF99">
            <v>0</v>
          </cell>
          <cell r="IG99">
            <v>0</v>
          </cell>
          <cell r="IH99">
            <v>0</v>
          </cell>
          <cell r="II99">
            <v>0</v>
          </cell>
        </row>
        <row r="100"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</row>
        <row r="101">
          <cell r="IC101">
            <v>0</v>
          </cell>
          <cell r="ID101">
            <v>0</v>
          </cell>
          <cell r="IE101">
            <v>0</v>
          </cell>
          <cell r="IF101">
            <v>0</v>
          </cell>
          <cell r="IG101">
            <v>0</v>
          </cell>
          <cell r="IH101">
            <v>0</v>
          </cell>
          <cell r="II101">
            <v>0</v>
          </cell>
        </row>
        <row r="102">
          <cell r="IC102">
            <v>0</v>
          </cell>
          <cell r="ID102">
            <v>0</v>
          </cell>
          <cell r="IE102">
            <v>0</v>
          </cell>
          <cell r="IF102">
            <v>0</v>
          </cell>
          <cell r="IG102">
            <v>0</v>
          </cell>
          <cell r="IH102">
            <v>0</v>
          </cell>
          <cell r="II102">
            <v>0</v>
          </cell>
        </row>
        <row r="103"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</row>
        <row r="104">
          <cell r="IC104">
            <v>0</v>
          </cell>
          <cell r="ID104">
            <v>0</v>
          </cell>
          <cell r="IE104">
            <v>0</v>
          </cell>
          <cell r="IF104">
            <v>0</v>
          </cell>
          <cell r="IG104">
            <v>0</v>
          </cell>
          <cell r="IH104">
            <v>0</v>
          </cell>
          <cell r="II104">
            <v>0</v>
          </cell>
        </row>
        <row r="105">
          <cell r="IC105">
            <v>0</v>
          </cell>
          <cell r="ID105">
            <v>0</v>
          </cell>
          <cell r="IE105">
            <v>0</v>
          </cell>
          <cell r="IF105">
            <v>0</v>
          </cell>
          <cell r="IG105">
            <v>0</v>
          </cell>
          <cell r="IH105">
            <v>0</v>
          </cell>
          <cell r="II105">
            <v>0</v>
          </cell>
        </row>
        <row r="106"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</row>
        <row r="107"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</row>
        <row r="108"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</row>
        <row r="109">
          <cell r="IC109">
            <v>0</v>
          </cell>
          <cell r="ID109">
            <v>0</v>
          </cell>
          <cell r="IE109">
            <v>0</v>
          </cell>
          <cell r="IF109">
            <v>0</v>
          </cell>
          <cell r="IG109">
            <v>0</v>
          </cell>
          <cell r="IH109">
            <v>0</v>
          </cell>
          <cell r="II109">
            <v>0</v>
          </cell>
        </row>
        <row r="110">
          <cell r="IC110">
            <v>0</v>
          </cell>
          <cell r="ID110">
            <v>0</v>
          </cell>
          <cell r="IE110">
            <v>0</v>
          </cell>
          <cell r="IF110">
            <v>0</v>
          </cell>
          <cell r="IG110">
            <v>0</v>
          </cell>
          <cell r="IH110">
            <v>0</v>
          </cell>
          <cell r="II110">
            <v>0</v>
          </cell>
        </row>
        <row r="111">
          <cell r="IC111">
            <v>0</v>
          </cell>
          <cell r="ID111">
            <v>0</v>
          </cell>
          <cell r="IE111">
            <v>0</v>
          </cell>
          <cell r="IF111">
            <v>0</v>
          </cell>
          <cell r="IG111">
            <v>0</v>
          </cell>
          <cell r="IH111">
            <v>0</v>
          </cell>
          <cell r="II111">
            <v>0</v>
          </cell>
        </row>
        <row r="112">
          <cell r="IC112">
            <v>0</v>
          </cell>
          <cell r="ID112">
            <v>0</v>
          </cell>
          <cell r="IE112">
            <v>0</v>
          </cell>
          <cell r="IF112">
            <v>0</v>
          </cell>
          <cell r="IG112">
            <v>0</v>
          </cell>
          <cell r="IH112">
            <v>0</v>
          </cell>
          <cell r="II1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U1150"/>
  <sheetViews>
    <sheetView zoomScaleNormal="100" workbookViewId="0">
      <selection sqref="A1:R27"/>
    </sheetView>
  </sheetViews>
  <sheetFormatPr defaultColWidth="7.88671875" defaultRowHeight="13.2" x14ac:dyDescent="0.25"/>
  <cols>
    <col min="1" max="1" width="29.88671875" style="2" bestFit="1" customWidth="1"/>
    <col min="2" max="2" width="2.44140625" style="2" customWidth="1"/>
    <col min="3" max="3" width="21.88671875" style="2" customWidth="1"/>
    <col min="4" max="4" width="1.44140625" style="2" customWidth="1"/>
    <col min="5" max="5" width="21.88671875" style="2" customWidth="1"/>
    <col min="6" max="6" width="1.44140625" style="2" customWidth="1"/>
    <col min="7" max="7" width="21.88671875" style="2" customWidth="1"/>
    <col min="8" max="8" width="1.44140625" style="2" customWidth="1"/>
    <col min="9" max="9" width="21.88671875" style="2" customWidth="1"/>
    <col min="10" max="10" width="8.88671875" style="2" customWidth="1"/>
    <col min="11" max="11" width="1.44140625" style="2" customWidth="1"/>
    <col min="12" max="12" width="10" style="2" customWidth="1"/>
    <col min="13" max="13" width="10.44140625" style="2" bestFit="1" customWidth="1"/>
    <col min="14" max="20" width="8.44140625" style="2" customWidth="1"/>
    <col min="21" max="21" width="11.44140625" style="101" customWidth="1"/>
    <col min="22" max="22" width="29.88671875" style="101" bestFit="1" customWidth="1"/>
    <col min="23" max="23" width="1.88671875" style="101" customWidth="1"/>
    <col min="24" max="24" width="20.88671875" style="101" customWidth="1"/>
    <col min="25" max="25" width="2.109375" style="101" customWidth="1"/>
    <col min="26" max="26" width="20.88671875" style="101" customWidth="1"/>
    <col min="27" max="27" width="1.88671875" style="101" customWidth="1"/>
    <col min="28" max="28" width="20.88671875" style="101" customWidth="1"/>
    <col min="29" max="29" width="2" style="101" customWidth="1"/>
    <col min="30" max="30" width="19.88671875" style="101" customWidth="1"/>
    <col min="31" max="31" width="10.88671875" style="101" customWidth="1"/>
    <col min="32" max="32" width="1.44140625" style="101" customWidth="1"/>
    <col min="33" max="33" width="10.109375" style="101" customWidth="1"/>
    <col min="34" max="34" width="10.44140625" style="1" customWidth="1"/>
    <col min="35" max="125" width="7.88671875" style="1" customWidth="1"/>
    <col min="126" max="16384" width="7.88671875" style="2"/>
  </cols>
  <sheetData>
    <row r="1" spans="1:125" ht="16.2" customHeight="1" x14ac:dyDescent="0.25">
      <c r="A1" s="26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6"/>
      <c r="T1" s="26"/>
      <c r="V1" s="26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</row>
    <row r="2" spans="1:125" ht="16.2" customHeight="1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</row>
    <row r="3" spans="1:125" s="5" customFormat="1" ht="12.3" customHeight="1" x14ac:dyDescent="0.25">
      <c r="A3" s="26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102"/>
      <c r="V3" s="26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</row>
    <row r="4" spans="1:125" s="5" customFormat="1" ht="10.199999999999999" customHeight="1" x14ac:dyDescent="0.25">
      <c r="A4" s="26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102"/>
      <c r="V4" s="26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</row>
    <row r="5" spans="1:125" s="5" customFormat="1" ht="28.5" customHeight="1" x14ac:dyDescent="0.25">
      <c r="A5" s="26"/>
      <c r="B5" s="27"/>
      <c r="C5" s="27"/>
      <c r="D5" s="27"/>
      <c r="E5" s="27"/>
      <c r="F5" s="27"/>
      <c r="G5" s="27"/>
      <c r="H5" s="27"/>
      <c r="I5" s="27"/>
      <c r="J5" s="27"/>
      <c r="K5" s="27"/>
      <c r="L5" s="167" t="str">
        <f>[1]Control!AU10</f>
        <v>25 Nov - 24 Dec 2025</v>
      </c>
      <c r="M5" s="167"/>
      <c r="N5" s="167"/>
      <c r="O5" s="167"/>
      <c r="P5" s="167"/>
      <c r="Q5" s="167"/>
      <c r="R5" s="27"/>
      <c r="S5" s="27"/>
      <c r="T5" s="27"/>
      <c r="U5" s="102"/>
      <c r="V5" s="26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167" t="str">
        <f>L5</f>
        <v>25 Nov - 24 Dec 2025</v>
      </c>
      <c r="AH5" s="167"/>
      <c r="AI5" s="167"/>
      <c r="AJ5" s="167"/>
      <c r="AK5" s="167"/>
      <c r="AL5" s="167"/>
      <c r="AM5" s="27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</row>
    <row r="6" spans="1:125" s="8" customFormat="1" ht="16.2" customHeight="1" thickBot="1" x14ac:dyDescent="0.3">
      <c r="A6" s="2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27"/>
      <c r="T6" s="27"/>
      <c r="U6" s="104"/>
      <c r="V6" s="2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</row>
    <row r="7" spans="1:125" s="11" customFormat="1" ht="36.75" customHeight="1" thickBot="1" x14ac:dyDescent="0.3">
      <c r="A7" s="28"/>
      <c r="B7" s="9"/>
      <c r="C7" s="44" t="s">
        <v>2</v>
      </c>
      <c r="D7" s="9"/>
      <c r="E7" s="44" t="s">
        <v>0</v>
      </c>
      <c r="F7" s="9"/>
      <c r="G7" s="44" t="s">
        <v>4</v>
      </c>
      <c r="H7" s="9"/>
      <c r="I7" s="44" t="s">
        <v>1</v>
      </c>
      <c r="J7" s="44" t="s">
        <v>6</v>
      </c>
      <c r="K7" s="9"/>
      <c r="L7" s="45" t="s">
        <v>7</v>
      </c>
      <c r="M7" s="45" t="s">
        <v>6</v>
      </c>
      <c r="N7" s="9"/>
      <c r="O7" s="9"/>
      <c r="P7" s="9"/>
      <c r="Q7" s="9"/>
      <c r="R7" s="9"/>
      <c r="S7" s="27"/>
      <c r="T7" s="27"/>
      <c r="U7" s="169"/>
      <c r="V7" s="187"/>
      <c r="W7" s="9"/>
      <c r="X7" s="44" t="s">
        <v>2</v>
      </c>
      <c r="Y7" s="9"/>
      <c r="Z7" s="44" t="s">
        <v>0</v>
      </c>
      <c r="AA7" s="9"/>
      <c r="AB7" s="44" t="s">
        <v>4</v>
      </c>
      <c r="AC7" s="9"/>
      <c r="AD7" s="44" t="s">
        <v>1</v>
      </c>
      <c r="AE7" s="44" t="s">
        <v>6</v>
      </c>
      <c r="AF7" s="9"/>
      <c r="AG7" s="45" t="s">
        <v>7</v>
      </c>
      <c r="AH7" s="45" t="s">
        <v>6</v>
      </c>
      <c r="AI7" s="9"/>
      <c r="AJ7" s="9"/>
      <c r="AK7" s="9"/>
      <c r="AL7" s="9"/>
      <c r="AM7" s="9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</row>
    <row r="8" spans="1:125" s="8" customFormat="1" ht="13.95" customHeight="1" thickBot="1" x14ac:dyDescent="0.3">
      <c r="A8" s="29"/>
      <c r="B8" s="6"/>
      <c r="C8" s="6"/>
      <c r="D8" s="6"/>
      <c r="E8" s="6"/>
      <c r="F8" s="6"/>
      <c r="G8" s="6"/>
      <c r="H8" s="6"/>
      <c r="I8" s="6"/>
      <c r="J8" s="6"/>
      <c r="K8" s="6"/>
      <c r="L8" s="168" t="s">
        <v>8</v>
      </c>
      <c r="M8" s="168"/>
      <c r="N8" s="6"/>
      <c r="O8" s="6"/>
      <c r="P8" s="6"/>
      <c r="Q8" s="6"/>
      <c r="R8" s="6"/>
      <c r="S8" s="27"/>
      <c r="T8" s="27"/>
      <c r="U8" s="105"/>
      <c r="V8" s="42"/>
      <c r="W8" s="6"/>
      <c r="X8" s="6"/>
      <c r="Y8" s="6"/>
      <c r="Z8" s="6"/>
      <c r="AA8" s="6"/>
      <c r="AB8" s="6"/>
      <c r="AC8" s="6"/>
      <c r="AD8" s="6"/>
      <c r="AE8" s="6"/>
      <c r="AF8" s="6"/>
      <c r="AG8" s="168" t="s">
        <v>8</v>
      </c>
      <c r="AH8" s="168"/>
      <c r="AI8" s="6"/>
      <c r="AJ8" s="6"/>
      <c r="AK8" s="6"/>
      <c r="AL8" s="6"/>
      <c r="AM8" s="6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</row>
    <row r="9" spans="1:125" s="15" customFormat="1" ht="20.7" customHeight="1" thickBot="1" x14ac:dyDescent="0.3">
      <c r="A9" s="41" t="str">
        <f>Distribute!C9</f>
        <v>-</v>
      </c>
      <c r="B9" s="113"/>
      <c r="C9" s="161">
        <f>Distribute!C42</f>
        <v>0</v>
      </c>
      <c r="D9" s="162"/>
      <c r="E9" s="161">
        <f>Distribute!D42</f>
        <v>0</v>
      </c>
      <c r="F9" s="162"/>
      <c r="G9" s="161">
        <f>Distribute!E42</f>
        <v>0</v>
      </c>
      <c r="H9" s="162"/>
      <c r="I9" s="163">
        <f>SUM(C9,E9,G9)</f>
        <v>0</v>
      </c>
      <c r="J9" s="13">
        <f>(I9/I23)*100%</f>
        <v>0</v>
      </c>
      <c r="K9" s="35"/>
      <c r="L9" s="36">
        <f>'[2]AHTS-1'!GG42+'[2]AHTS-2'!GG42+'[2]AHTS-3'!GG42+'[2]AHTS-4'!GG42+'[2]AHTS-5'!GG42+'[2]AHTS-6'!GG42+'[2]AHTS-7'!GG42+'[2]AHTS-8'!GG42+'[3]CB-1'!GG42+'[3]CB-2'!GG42+'[3]CB-3'!GG42+'[3]CB-4'!GG42+'[3]CB-5'!GG42+'[3]CB-6'!GG42+'[3]CB-7'!GG42+'[3]CB-8'!GG42+'[3]CB-9'!GG42+'[3]CB-10'!GG42+'[3]CB-11'!GG42+'[3]CB-12'!GG42+'[3]CB-13'!GG42+'[3]CB-14'!GG42+'[3]CB-15'!GG42+'[3]CB-16'!GG42+'[3]CB-17'!GG42+'[3]CB-18'!GG42+'[3]CB-19'!GG42+'[3]CB-20'!GG42+'[3]CB-21'!GG42+'[3]CB-22'!GG42+'[3]CB-23'!GG42+'[3]CB-24'!GG42+'[4]LCT-1'!GG42+'[4]LCT-2'!GG42+'[4]LCT-3'!GG42+'[4]LCT-4'!GG42+'[4]LCT-5'!GG42+'[4]LCT-6'!GG42+'[4]LCT-7'!GG42+'[4]LCT-8'!GG42+'[5]TB-1'!GG42+'[5]TB-2'!GG42+'[5]TB-3'!GG42+'[5]TB-4'!GG42+'[5]TB-5'!GG42+'[5]TB-6'!GG42+'[5]TB-7'!GG42+'[5]TB-8'!GG42+'[5]TB-9'!GG42+'[5]TB-10'!GG42+'[6]DSV-1'!GG42+'[6]DSV-2'!GG42+'[6]DSV-3'!GG42+'[7]TUB-1'!GG42+'[7]TUB-2'!GG42+'[8]Barge-1'!GG42+'[8]Barge-2'!GG42+'[8]Barge-3'!GG42+'[8]Barge-4'!GG42</f>
        <v>0</v>
      </c>
      <c r="M9" s="115">
        <f>(L9/L23)*100%</f>
        <v>0</v>
      </c>
      <c r="N9" s="12"/>
      <c r="O9" s="12"/>
      <c r="P9" s="12"/>
      <c r="Q9" s="12"/>
      <c r="R9" s="12"/>
      <c r="S9" s="27"/>
      <c r="T9" s="27"/>
      <c r="U9" s="106"/>
      <c r="V9" s="188" t="str">
        <f>A9</f>
        <v>-</v>
      </c>
      <c r="W9" s="113"/>
      <c r="X9" s="170">
        <f>Distribute!AC42</f>
        <v>0</v>
      </c>
      <c r="Y9" s="171"/>
      <c r="Z9" s="170">
        <f>Distribute!AD42</f>
        <v>0</v>
      </c>
      <c r="AA9" s="171"/>
      <c r="AB9" s="170">
        <f>Distribute!AE42</f>
        <v>0</v>
      </c>
      <c r="AC9" s="171"/>
      <c r="AD9" s="172">
        <f>SUM(X9,Z9,AB9)</f>
        <v>0</v>
      </c>
      <c r="AE9" s="13">
        <f>(AD9/AD23)*100%</f>
        <v>0</v>
      </c>
      <c r="AF9" s="35"/>
      <c r="AG9" s="36">
        <f>'[2]AHTS-1'!GG42+'[2]AHTS-2'!GG42+'[2]AHTS-3'!GG42+'[2]AHTS-4'!GG42+'[2]AHTS-5'!GG42+'[2]AHTS-6'!GG42+'[2]AHTS-7'!GG42+'[2]AHTS-8'!GG42+'[3]CB-1'!GG42+'[3]CB-2'!GG42+'[3]CB-3'!GG42+'[3]CB-4'!GG42+'[3]CB-5'!GG42+'[3]CB-6'!GG42+'[3]CB-7'!GG42+'[3]CB-8'!GG42+'[3]CB-9'!GG42+'[3]CB-10'!GG42+'[3]CB-11'!GG42+'[3]CB-12'!GG42+'[3]CB-13'!GG42+'[3]CB-14'!GG42+'[3]CB-15'!GG42+'[3]CB-16'!GG42+'[3]CB-17'!GG42+'[3]CB-18'!GG42+'[3]CB-19'!GG42+'[3]CB-20'!GG42+'[3]CB-21'!GG42+'[3]CB-22'!GG42+'[3]CB-23'!GG42+'[3]CB-24'!GG42+'[4]LCT-1'!GG42+'[4]LCT-2'!GG42+'[4]LCT-3'!GG42+'[4]LCT-4'!GG42+'[4]LCT-5'!GG42+'[4]LCT-6'!GG42+'[4]LCT-7'!GG42+'[4]LCT-8'!GG42+'[5]TB-1'!GG42+'[5]TB-2'!GG42+'[5]TB-3'!GG42+'[5]TB-4'!GG42+'[5]TB-5'!GG42+'[5]TB-6'!GG42+'[5]TB-7'!GG42+'[5]TB-8'!GG42+'[5]TB-9'!GG42+'[5]TB-10'!GG42+'[6]DSV-1'!GG42+'[6]DSV-2'!GG42+'[6]DSV-3'!GG42+'[7]TUB-1'!GG42+'[7]TUB-2'!GG42+'[8]Barge-1'!GG42+'[8]Barge-2'!GG42+'[8]Barge-3'!GG42</f>
        <v>0</v>
      </c>
      <c r="AH9" s="115">
        <f>(AG9/AG23)*100%</f>
        <v>0</v>
      </c>
      <c r="AI9" s="12"/>
      <c r="AJ9" s="12"/>
      <c r="AK9" s="12"/>
      <c r="AL9" s="12"/>
      <c r="AM9" s="12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</row>
    <row r="10" spans="1:125" s="15" customFormat="1" ht="13.95" customHeight="1" thickBot="1" x14ac:dyDescent="0.3">
      <c r="A10" s="38"/>
      <c r="B10" s="12"/>
      <c r="C10" s="164"/>
      <c r="D10" s="164"/>
      <c r="E10" s="164"/>
      <c r="F10" s="164"/>
      <c r="G10" s="164"/>
      <c r="H10" s="164"/>
      <c r="I10" s="164"/>
      <c r="J10" s="16"/>
      <c r="K10" s="12"/>
      <c r="L10" s="17"/>
      <c r="M10" s="116"/>
      <c r="N10" s="12"/>
      <c r="O10" s="12"/>
      <c r="P10" s="12"/>
      <c r="Q10" s="12"/>
      <c r="R10" s="12"/>
      <c r="S10" s="27"/>
      <c r="T10" s="27"/>
      <c r="U10" s="107"/>
      <c r="V10" s="188"/>
      <c r="W10" s="12"/>
      <c r="X10" s="173"/>
      <c r="Y10" s="173"/>
      <c r="Z10" s="173"/>
      <c r="AA10" s="173"/>
      <c r="AB10" s="173"/>
      <c r="AC10" s="173"/>
      <c r="AD10" s="173"/>
      <c r="AE10" s="16"/>
      <c r="AF10" s="12"/>
      <c r="AG10" s="17"/>
      <c r="AH10" s="116"/>
      <c r="AI10" s="12"/>
      <c r="AJ10" s="12"/>
      <c r="AK10" s="12"/>
      <c r="AL10" s="12"/>
      <c r="AM10" s="12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</row>
    <row r="11" spans="1:125" s="15" customFormat="1" ht="20.7" customHeight="1" thickBot="1" x14ac:dyDescent="0.3">
      <c r="A11" s="41" t="str">
        <f>Distribute!F9</f>
        <v xml:space="preserve"> P_NORTH
ATTAKA</v>
      </c>
      <c r="B11" s="12"/>
      <c r="C11" s="161">
        <f>Distribute!F42</f>
        <v>48454.071761385763</v>
      </c>
      <c r="D11" s="162"/>
      <c r="E11" s="161">
        <f>Distribute!G42</f>
        <v>51427.768242842205</v>
      </c>
      <c r="F11" s="162"/>
      <c r="G11" s="161">
        <f>Distribute!H42</f>
        <v>0</v>
      </c>
      <c r="H11" s="162"/>
      <c r="I11" s="163">
        <f>SUM(C11,E11,G11)</f>
        <v>99881.840004227968</v>
      </c>
      <c r="J11" s="13">
        <f>(I11/I23)*100%</f>
        <v>0.12054831762738467</v>
      </c>
      <c r="K11" s="12"/>
      <c r="L11" s="36">
        <f>'[2]AHTS-1'!GH42+'[2]AHTS-2'!GH42+'[2]AHTS-3'!GH42+'[2]AHTS-4'!GH42+'[2]AHTS-5'!GH42+'[2]AHTS-6'!GH42+'[2]AHTS-7'!GH42+'[2]AHTS-8'!GH42+'[3]CB-1'!GH42+'[3]CB-2'!GH42+'[3]CB-3'!GH42+'[3]CB-4'!GH42+'[3]CB-5'!GH42+'[3]CB-6'!GH42+'[3]CB-7'!GH42+'[3]CB-8'!GH42+'[3]CB-9'!GH42+'[3]CB-10'!GH42+'[3]CB-11'!GH42+'[3]CB-12'!GH42+'[3]CB-13'!GH42+'[3]CB-14'!GH42+'[3]CB-15'!GH42+'[3]CB-16'!GH42+'[3]CB-17'!GH42+'[3]CB-18'!GH42+'[3]CB-19'!GH42+'[3]CB-20'!GH42+'[3]CB-21'!GH42+'[3]CB-22'!GH42+'[3]CB-23'!GH42+'[3]CB-24'!GH42+'[4]LCT-1'!GH42+'[4]LCT-2'!GH42+'[4]LCT-3'!GH42+'[4]LCT-4'!GH42+'[4]LCT-5'!GH42+'[4]LCT-6'!GH42+'[4]LCT-7'!GH42+'[4]LCT-8'!GH42+'[5]TB-1'!GH42+'[5]TB-2'!GH42+'[5]TB-3'!GH42+'[5]TB-4'!GH42+'[5]TB-5'!GH42+'[5]TB-6'!GH42+'[5]TB-7'!GH42+'[5]TB-8'!GH42+'[5]TB-9'!GH42+'[5]TB-10'!GH42+'[6]DSV-1'!GH42+'[6]DSV-2'!GH42+'[6]DSV-3'!GH42+'[7]TUB-1'!GH42+'[7]TUB-2'!GH42+'[8]Barge-1'!GH42+'[8]Barge-2'!GH42+'[8]Barge-3'!GH42+'[8]Barge-4'!GH42</f>
        <v>1032.3999999999999</v>
      </c>
      <c r="M11" s="115">
        <f>(L11/L23)*100%</f>
        <v>0.14800231283479953</v>
      </c>
      <c r="N11" s="12"/>
      <c r="O11" s="12"/>
      <c r="P11" s="12"/>
      <c r="Q11" s="12"/>
      <c r="R11" s="12"/>
      <c r="S11" s="27"/>
      <c r="T11" s="27"/>
      <c r="U11" s="107"/>
      <c r="V11" s="188" t="str">
        <f t="shared" ref="V11:V21" si="0">A11</f>
        <v xml:space="preserve"> P_NORTH
ATTAKA</v>
      </c>
      <c r="W11" s="12"/>
      <c r="X11" s="170">
        <f>Distribute!AF42</f>
        <v>764137317.29166663</v>
      </c>
      <c r="Y11" s="171"/>
      <c r="Z11" s="170">
        <f>Distribute!AG42</f>
        <v>810961944.44444454</v>
      </c>
      <c r="AA11" s="171"/>
      <c r="AB11" s="170">
        <f>Distribute!AH42</f>
        <v>0</v>
      </c>
      <c r="AC11" s="171"/>
      <c r="AD11" s="172">
        <f>SUM(X11,Z11,AB11)</f>
        <v>1575099261.7361112</v>
      </c>
      <c r="AE11" s="13">
        <f>(AD11/AD23)*100%</f>
        <v>0.12048769525168943</v>
      </c>
      <c r="AF11" s="12"/>
      <c r="AG11" s="36">
        <f>'[2]AHTS-1'!GH42+'[2]AHTS-2'!GH42+'[2]AHTS-3'!GH42+'[2]AHTS-4'!GH42+'[2]AHTS-5'!GH42+'[2]AHTS-6'!GH42+'[2]AHTS-7'!GH42+'[2]AHTS-8'!GH42+'[3]CB-1'!GH42+'[3]CB-2'!GH42+'[3]CB-3'!GH42+'[3]CB-4'!GH42+'[3]CB-5'!GH42+'[3]CB-6'!GH42+'[3]CB-7'!GH42+'[3]CB-8'!GH42+'[3]CB-9'!GH42+'[3]CB-10'!GH42+'[3]CB-11'!GH42+'[3]CB-12'!GH42+'[3]CB-13'!GH42+'[3]CB-14'!GH42+'[3]CB-15'!GH42+'[3]CB-16'!GH42+'[3]CB-17'!GH42+'[3]CB-18'!GH42+'[3]CB-19'!GH42+'[3]CB-20'!GH42+'[3]CB-21'!GH42+'[3]CB-22'!GH42+'[3]CB-23'!GH42+'[3]CB-24'!GH42+'[4]LCT-1'!GH42+'[4]LCT-2'!GH42+'[4]LCT-3'!GH42+'[4]LCT-4'!GH42+'[4]LCT-5'!GH42+'[4]LCT-6'!GH42+'[4]LCT-7'!GH42+'[4]LCT-8'!GH42+'[5]TB-1'!GH42+'[5]TB-2'!GH42+'[5]TB-3'!GH42+'[5]TB-4'!GH42+'[5]TB-5'!GH42+'[5]TB-6'!GH42+'[5]TB-7'!GH42+'[5]TB-8'!GH42+'[5]TB-9'!GH42+'[5]TB-10'!GH42+'[6]DSV-1'!GH42+'[6]DSV-2'!GH42+'[6]DSV-3'!GH42+'[7]TUB-1'!GH42+'[7]TUB-2'!GH42+'[8]Barge-1'!GH42+'[8]Barge-2'!GH42+'[8]Barge-3'!GH42</f>
        <v>1032.3999999999999</v>
      </c>
      <c r="AH11" s="115">
        <f>(AG11/AG23)*100%</f>
        <v>0.14800231283479953</v>
      </c>
      <c r="AI11" s="12"/>
      <c r="AJ11" s="12"/>
      <c r="AK11" s="12"/>
      <c r="AL11" s="12"/>
      <c r="AM11" s="12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</row>
    <row r="12" spans="1:125" s="15" customFormat="1" ht="13.95" customHeight="1" thickBot="1" x14ac:dyDescent="0.3">
      <c r="A12" s="39"/>
      <c r="B12" s="12"/>
      <c r="C12" s="164"/>
      <c r="D12" s="164"/>
      <c r="E12" s="164"/>
      <c r="F12" s="164"/>
      <c r="G12" s="164"/>
      <c r="H12" s="164"/>
      <c r="I12" s="164"/>
      <c r="J12" s="16"/>
      <c r="K12" s="12"/>
      <c r="L12" s="17"/>
      <c r="M12" s="116"/>
      <c r="N12" s="12"/>
      <c r="O12" s="12"/>
      <c r="P12" s="12"/>
      <c r="Q12" s="12"/>
      <c r="R12" s="12"/>
      <c r="S12" s="27"/>
      <c r="T12" s="27"/>
      <c r="U12" s="107"/>
      <c r="V12" s="188"/>
      <c r="W12" s="12"/>
      <c r="X12" s="173"/>
      <c r="Y12" s="173"/>
      <c r="Z12" s="173"/>
      <c r="AA12" s="173"/>
      <c r="AB12" s="173"/>
      <c r="AC12" s="173"/>
      <c r="AD12" s="173"/>
      <c r="AE12" s="16"/>
      <c r="AF12" s="12"/>
      <c r="AG12" s="17"/>
      <c r="AH12" s="116"/>
      <c r="AI12" s="12"/>
      <c r="AJ12" s="12"/>
      <c r="AK12" s="12"/>
      <c r="AL12" s="12"/>
      <c r="AM12" s="12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</row>
    <row r="13" spans="1:125" s="15" customFormat="1" ht="20.7" customHeight="1" thickBot="1" x14ac:dyDescent="0.3">
      <c r="A13" s="41" t="str">
        <f>Distribute!I9</f>
        <v>P_NORTH
NIB</v>
      </c>
      <c r="B13" s="12"/>
      <c r="C13" s="161">
        <f>Distribute!I42</f>
        <v>98673.624676978157</v>
      </c>
      <c r="D13" s="162"/>
      <c r="E13" s="161">
        <f>Distribute!J42</f>
        <v>79360.341839194589</v>
      </c>
      <c r="F13" s="162"/>
      <c r="G13" s="161">
        <f>Distribute!K42</f>
        <v>0</v>
      </c>
      <c r="H13" s="162"/>
      <c r="I13" s="163">
        <f>SUM(C13,E13,G13)</f>
        <v>178033.96651617275</v>
      </c>
      <c r="J13" s="13">
        <f>(I13/I23)*100%</f>
        <v>0.21487084281933827</v>
      </c>
      <c r="K13" s="12"/>
      <c r="L13" s="36">
        <f>'[2]AHTS-1'!GI42+'[2]AHTS-2'!GI42+'[2]AHTS-3'!GI42+'[2]AHTS-4'!GI42+'[2]AHTS-5'!GI42+'[2]AHTS-6'!GI42+'[2]AHTS-7'!GI42+'[2]AHTS-8'!GI42+'[3]CB-1'!GI42+'[3]CB-2'!GI42+'[3]CB-3'!GI42+'[3]CB-4'!GI42+'[3]CB-5'!GI42+'[3]CB-6'!GI42+'[3]CB-7'!GI42+'[3]CB-8'!GI42+'[3]CB-9'!GI42+'[3]CB-10'!GI42+'[3]CB-11'!GI42+'[3]CB-12'!GI42+'[3]CB-13'!GI42+'[3]CB-14'!GI42+'[3]CB-15'!GI42+'[3]CB-16'!GI42+'[3]CB-17'!GI42+'[3]CB-18'!GI42+'[3]CB-19'!GI42+'[3]CB-20'!GI42+'[3]CB-21'!GI42+'[3]CB-22'!GI42+'[3]CB-23'!GI42+'[3]CB-24'!GI42+'[4]LCT-1'!GI42+'[4]LCT-2'!GI42+'[4]LCT-3'!GI42+'[4]LCT-4'!GI42+'[4]LCT-5'!GI42+'[4]LCT-6'!GI42+'[4]LCT-7'!GI42+'[4]LCT-8'!GI42+'[5]TB-1'!GI42+'[5]TB-2'!GI42+'[5]TB-3'!GI42+'[5]TB-4'!GI42+'[5]TB-5'!GI42+'[5]TB-6'!GI42+'[5]TB-7'!GI42+'[5]TB-8'!GI42+'[5]TB-9'!GI42+'[5]TB-10'!GI42+'[6]DSV-1'!GI42+'[6]DSV-2'!GI42+'[6]DSV-3'!GI42+'[7]TUB-1'!GI42+'[7]TUB-2'!GI42+'[8]Barge-1'!GI42+'[8]Barge-2'!GI42+'[8]Barge-3'!GI42+'[8]Barge-4'!GI42</f>
        <v>935.26666666666665</v>
      </c>
      <c r="M13" s="115">
        <f>(L13/L23)*100%</f>
        <v>0.1340775181944597</v>
      </c>
      <c r="N13" s="12"/>
      <c r="O13" s="12"/>
      <c r="P13" s="12"/>
      <c r="Q13" s="12"/>
      <c r="R13" s="12"/>
      <c r="S13" s="27"/>
      <c r="T13" s="27"/>
      <c r="U13" s="107"/>
      <c r="V13" s="188" t="str">
        <f t="shared" si="0"/>
        <v>P_NORTH
NIB</v>
      </c>
      <c r="W13" s="12"/>
      <c r="X13" s="170">
        <f>Distribute!AI42</f>
        <v>1558200315.416667</v>
      </c>
      <c r="Y13" s="171"/>
      <c r="Z13" s="170">
        <f>Distribute!AJ42</f>
        <v>1253362361.1111112</v>
      </c>
      <c r="AA13" s="171"/>
      <c r="AB13" s="170">
        <f>Distribute!AK42</f>
        <v>0</v>
      </c>
      <c r="AC13" s="171"/>
      <c r="AD13" s="172">
        <f>SUM(X13,Z13,AB13)</f>
        <v>2811562676.5277781</v>
      </c>
      <c r="AE13" s="13">
        <f>(AD13/AD23)*100%</f>
        <v>0.21507133879112827</v>
      </c>
      <c r="AF13" s="12"/>
      <c r="AG13" s="36">
        <f>'[2]AHTS-1'!GI42+'[2]AHTS-2'!GI42+'[2]AHTS-3'!GI42+'[2]AHTS-4'!GI42+'[2]AHTS-5'!GI42+'[2]AHTS-6'!GI42+'[2]AHTS-7'!GI42+'[2]AHTS-8'!GI42+'[3]CB-1'!GI42+'[3]CB-2'!GI42+'[3]CB-3'!GI42+'[3]CB-4'!GI42+'[3]CB-5'!GI42+'[3]CB-6'!GI42+'[3]CB-7'!GI42+'[3]CB-8'!GI42+'[3]CB-9'!GI42+'[3]CB-10'!GI42+'[3]CB-11'!GI42+'[3]CB-12'!GI42+'[3]CB-13'!GI42+'[3]CB-14'!GI42+'[3]CB-15'!GI42+'[3]CB-16'!GI42+'[3]CB-17'!GI42+'[3]CB-18'!GI42+'[3]CB-19'!GI42+'[3]CB-20'!GI42+'[3]CB-21'!GI42+'[3]CB-22'!GI42+'[3]CB-23'!GI42+'[3]CB-24'!GI42+'[4]LCT-1'!GI42+'[4]LCT-2'!GI42+'[4]LCT-3'!GI42+'[4]LCT-4'!GI42+'[4]LCT-5'!GI42+'[4]LCT-6'!GI42+'[4]LCT-7'!GI42+'[4]LCT-8'!GI42+'[5]TB-1'!GI42+'[5]TB-2'!GI42+'[5]TB-3'!GI42+'[5]TB-4'!GI42+'[5]TB-5'!GI42+'[5]TB-6'!GI42+'[5]TB-7'!GI42+'[5]TB-8'!GI42+'[5]TB-9'!GI42+'[5]TB-10'!GI42+'[6]DSV-1'!GI42+'[6]DSV-2'!GI42+'[6]DSV-3'!GI42+'[7]TUB-1'!GI42+'[7]TUB-2'!GI42+'[8]Barge-1'!GI42+'[8]Barge-2'!GI42+'[8]Barge-3'!GI42</f>
        <v>935.26666666666665</v>
      </c>
      <c r="AH13" s="115">
        <f>(AG13/AG23)*100%</f>
        <v>0.1340775181944597</v>
      </c>
      <c r="AI13" s="12"/>
      <c r="AJ13" s="12"/>
      <c r="AK13" s="12"/>
      <c r="AL13" s="12"/>
      <c r="AM13" s="12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</row>
    <row r="14" spans="1:125" s="15" customFormat="1" ht="13.95" customHeight="1" thickBot="1" x14ac:dyDescent="0.3">
      <c r="A14" s="38"/>
      <c r="B14" s="12"/>
      <c r="C14" s="164"/>
      <c r="D14" s="164"/>
      <c r="E14" s="164"/>
      <c r="F14" s="164"/>
      <c r="G14" s="164"/>
      <c r="H14" s="164"/>
      <c r="I14" s="164"/>
      <c r="J14" s="16"/>
      <c r="K14" s="12"/>
      <c r="L14" s="17"/>
      <c r="M14" s="116"/>
      <c r="N14" s="12"/>
      <c r="O14" s="12"/>
      <c r="P14" s="12"/>
      <c r="Q14" s="12"/>
      <c r="R14" s="12"/>
      <c r="S14" s="27"/>
      <c r="T14" s="27"/>
      <c r="U14" s="107"/>
      <c r="V14" s="188"/>
      <c r="W14" s="12"/>
      <c r="X14" s="173"/>
      <c r="Y14" s="173"/>
      <c r="Z14" s="173"/>
      <c r="AA14" s="173"/>
      <c r="AB14" s="173"/>
      <c r="AC14" s="173"/>
      <c r="AD14" s="173"/>
      <c r="AE14" s="16"/>
      <c r="AF14" s="12"/>
      <c r="AG14" s="17"/>
      <c r="AH14" s="116"/>
      <c r="AI14" s="12"/>
      <c r="AJ14" s="12"/>
      <c r="AK14" s="12"/>
      <c r="AL14" s="12"/>
      <c r="AM14" s="12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</row>
    <row r="15" spans="1:125" s="15" customFormat="1" ht="20.7" customHeight="1" thickBot="1" x14ac:dyDescent="0.3">
      <c r="A15" s="41" t="str">
        <f>Distribute!L9</f>
        <v>P_NORTH
SANTAN
TERMINAL</v>
      </c>
      <c r="B15" s="12"/>
      <c r="C15" s="161">
        <f>Distribute!L42</f>
        <v>112234.89287183221</v>
      </c>
      <c r="D15" s="162"/>
      <c r="E15" s="161">
        <f>Distribute!M42</f>
        <v>118656.28819304913</v>
      </c>
      <c r="F15" s="162"/>
      <c r="G15" s="161">
        <f>Distribute!N42</f>
        <v>0</v>
      </c>
      <c r="H15" s="162"/>
      <c r="I15" s="163">
        <f>SUM(C15,E15,G15)</f>
        <v>230891.18106488133</v>
      </c>
      <c r="J15" s="13">
        <f>(I15/I23)*100%</f>
        <v>0.27866470452680003</v>
      </c>
      <c r="K15" s="12"/>
      <c r="L15" s="36">
        <f>'[2]AHTS-1'!GJ42+'[2]AHTS-2'!GJ42+'[2]AHTS-3'!GJ42+'[2]AHTS-4'!GJ42+'[2]AHTS-5'!GJ42+'[2]AHTS-6'!GJ42+'[2]AHTS-7'!GJ42+'[2]AHTS-8'!GJ42+'[3]CB-1'!GJ42+'[3]CB-2'!GJ42+'[3]CB-3'!GJ42+'[3]CB-4'!GJ42+'[3]CB-5'!GJ42+'[3]CB-6'!GJ42+'[3]CB-7'!GJ42+'[3]CB-8'!GJ42+'[3]CB-9'!GJ42+'[3]CB-10'!GJ42+'[3]CB-11'!GJ42+'[3]CB-12'!GJ42+'[3]CB-13'!GJ42+'[3]CB-14'!GJ42+'[3]CB-15'!GJ42+'[3]CB-16'!GJ42+'[3]CB-17'!GJ42+'[3]CB-18'!GJ42+'[3]CB-19'!GJ42+'[3]CB-20'!GJ42+'[3]CB-21'!GJ42+'[3]CB-22'!GJ42+'[3]CB-23'!GJ42+'[3]CB-24'!GJ42+'[4]LCT-1'!GJ42+'[4]LCT-2'!GJ42+'[4]LCT-3'!GJ42+'[4]LCT-4'!GJ42+'[4]LCT-5'!GJ42+'[4]LCT-6'!GJ42+'[4]LCT-7'!GJ42+'[4]LCT-8'!GJ42+'[5]TB-1'!GJ42+'[5]TB-2'!GJ42+'[5]TB-3'!GJ42+'[5]TB-4'!GJ42+'[5]TB-5'!GJ42+'[5]TB-6'!GJ42+'[5]TB-7'!GJ42+'[5]TB-8'!GJ42+'[5]TB-9'!GJ42+'[5]TB-10'!GJ42+'[6]DSV-1'!GJ42+'[6]DSV-2'!GJ42+'[6]DSV-3'!GJ42+'[7]TUB-1'!GJ42+'[7]TUB-2'!GJ42+'[8]Barge-1'!GJ42+'[8]Barge-2'!GJ42+'[8]Barge-3'!GJ42+'[8]Barge-4'!GJ42</f>
        <v>1562.5666666666666</v>
      </c>
      <c r="M15" s="115">
        <f>(L15/L23)*100%</f>
        <v>0.22400569607248155</v>
      </c>
      <c r="N15" s="12"/>
      <c r="O15" s="12"/>
      <c r="P15" s="12"/>
      <c r="Q15" s="12"/>
      <c r="R15" s="12"/>
      <c r="S15" s="27"/>
      <c r="T15" s="27"/>
      <c r="U15" s="107"/>
      <c r="V15" s="188" t="str">
        <f t="shared" si="0"/>
        <v>P_NORTH
SANTAN
TERMINAL</v>
      </c>
      <c r="W15" s="12"/>
      <c r="X15" s="170">
        <f>Distribute!AL42</f>
        <v>1770997066.9444444</v>
      </c>
      <c r="Y15" s="171"/>
      <c r="Z15" s="170">
        <f>Distribute!AM42</f>
        <v>1872566527.7777781</v>
      </c>
      <c r="AA15" s="171"/>
      <c r="AB15" s="170">
        <f>Distribute!AN42</f>
        <v>0</v>
      </c>
      <c r="AC15" s="171"/>
      <c r="AD15" s="172">
        <f>SUM(X15,Z15,AB15)</f>
        <v>3643563594.7222223</v>
      </c>
      <c r="AE15" s="13">
        <f>(AD15/AD23)*100%</f>
        <v>0.27871550110890159</v>
      </c>
      <c r="AF15" s="12"/>
      <c r="AG15" s="36">
        <f>'[2]AHTS-1'!GJ42+'[2]AHTS-2'!GJ42+'[2]AHTS-3'!GJ42+'[2]AHTS-4'!GJ42+'[2]AHTS-5'!GJ42+'[2]AHTS-6'!GJ42+'[2]AHTS-7'!GJ42+'[2]AHTS-8'!GJ42+'[3]CB-1'!GJ42+'[3]CB-2'!GJ42+'[3]CB-3'!GJ42+'[3]CB-4'!GJ42+'[3]CB-5'!GJ42+'[3]CB-6'!GJ42+'[3]CB-7'!GJ42+'[3]CB-8'!GJ42+'[3]CB-9'!GJ42+'[3]CB-10'!GJ42+'[3]CB-11'!GJ42+'[3]CB-12'!GJ42+'[3]CB-13'!GJ42+'[3]CB-14'!GJ42+'[3]CB-15'!GJ42+'[3]CB-16'!GJ42+'[3]CB-17'!GJ42+'[3]CB-18'!GJ42+'[3]CB-19'!GJ42+'[3]CB-20'!GJ42+'[3]CB-21'!GJ42+'[3]CB-22'!GJ42+'[3]CB-23'!GJ42+'[3]CB-24'!GJ42+'[4]LCT-1'!GJ42+'[4]LCT-2'!GJ42+'[4]LCT-3'!GJ42+'[4]LCT-4'!GJ42+'[4]LCT-5'!GJ42+'[4]LCT-6'!GJ42+'[4]LCT-7'!GJ42+'[4]LCT-8'!GJ42+'[5]TB-1'!GJ42+'[5]TB-2'!GJ42+'[5]TB-3'!GJ42+'[5]TB-4'!GJ42+'[5]TB-5'!GJ42+'[5]TB-6'!GJ42+'[5]TB-7'!GJ42+'[5]TB-8'!GJ42+'[5]TB-9'!GJ42+'[5]TB-10'!GJ42+'[6]DSV-1'!GJ42+'[6]DSV-2'!GJ42+'[6]DSV-3'!GJ42+'[7]TUB-1'!GJ42+'[7]TUB-2'!GJ42+'[8]Barge-1'!GJ42+'[8]Barge-2'!GJ42+'[8]Barge-3'!GJ42</f>
        <v>1562.5666666666666</v>
      </c>
      <c r="AH15" s="115">
        <f>(AG15/AG23)*100%</f>
        <v>0.22400569607248155</v>
      </c>
      <c r="AI15" s="12"/>
      <c r="AJ15" s="12"/>
      <c r="AK15" s="12"/>
      <c r="AL15" s="12"/>
      <c r="AM15" s="12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</row>
    <row r="16" spans="1:125" s="15" customFormat="1" ht="13.95" customHeight="1" thickBot="1" x14ac:dyDescent="0.3">
      <c r="A16" s="38"/>
      <c r="B16" s="12"/>
      <c r="C16" s="164"/>
      <c r="D16" s="164"/>
      <c r="E16" s="165"/>
      <c r="F16" s="164"/>
      <c r="G16" s="164"/>
      <c r="H16" s="164"/>
      <c r="I16" s="164"/>
      <c r="J16" s="16"/>
      <c r="K16" s="12"/>
      <c r="L16" s="17"/>
      <c r="M16" s="116"/>
      <c r="N16" s="12"/>
      <c r="O16" s="12"/>
      <c r="P16" s="12"/>
      <c r="Q16" s="12"/>
      <c r="R16" s="12"/>
      <c r="S16" s="27"/>
      <c r="T16" s="27"/>
      <c r="U16" s="107"/>
      <c r="V16" s="188"/>
      <c r="W16" s="12"/>
      <c r="X16" s="173"/>
      <c r="Y16" s="173"/>
      <c r="Z16" s="174"/>
      <c r="AA16" s="173"/>
      <c r="AB16" s="173"/>
      <c r="AC16" s="173"/>
      <c r="AD16" s="173"/>
      <c r="AE16" s="16"/>
      <c r="AF16" s="12"/>
      <c r="AG16" s="17"/>
      <c r="AH16" s="116"/>
      <c r="AI16" s="12"/>
      <c r="AJ16" s="12"/>
      <c r="AK16" s="12"/>
      <c r="AL16" s="12"/>
      <c r="AM16" s="12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</row>
    <row r="17" spans="1:125" s="15" customFormat="1" ht="20.7" customHeight="1" thickBot="1" x14ac:dyDescent="0.3">
      <c r="A17" s="41" t="str">
        <f>Distribute!O9</f>
        <v>P_NORTH
SECURITY PATROL</v>
      </c>
      <c r="B17" s="12"/>
      <c r="C17" s="161">
        <f>Distribute!O42</f>
        <v>1302.6383216629583</v>
      </c>
      <c r="D17" s="164"/>
      <c r="E17" s="161">
        <f>Distribute!P42</f>
        <v>8357.9050401463555</v>
      </c>
      <c r="F17" s="164"/>
      <c r="G17" s="161">
        <f>Distribute!Q42</f>
        <v>0</v>
      </c>
      <c r="H17" s="164"/>
      <c r="I17" s="163">
        <f>SUM(C17,E17,G17)</f>
        <v>9660.5433618093139</v>
      </c>
      <c r="J17" s="13">
        <f>(I17/I23)*100%</f>
        <v>1.1659399241976481E-2</v>
      </c>
      <c r="K17" s="12"/>
      <c r="L17" s="36">
        <f>'[2]AHTS-1'!GK42+'[2]AHTS-2'!GK42+'[2]AHTS-3'!GK42+'[2]AHTS-4'!GK42+'[2]AHTS-5'!GK42+'[2]AHTS-6'!GK42+'[2]AHTS-7'!GK42+'[2]AHTS-8'!GK42+'[3]CB-1'!GK42+'[3]CB-2'!GK42+'[3]CB-3'!GK42+'[3]CB-4'!GK42+'[3]CB-5'!GK42+'[3]CB-6'!GK42+'[3]CB-7'!GK42+'[3]CB-8'!GK42+'[3]CB-9'!GK42+'[3]CB-10'!GK42+'[3]CB-11'!GK42+'[3]CB-12'!GK42+'[3]CB-13'!GK42+'[3]CB-14'!GK42+'[3]CB-15'!GK42+'[3]CB-16'!GK42+'[3]CB-17'!GK42+'[3]CB-18'!GK42+'[3]CB-19'!GK42+'[3]CB-20'!GK42+'[3]CB-21'!GK42+'[3]CB-22'!GK42+'[3]CB-23'!GK42+'[3]CB-24'!GK42+'[4]LCT-1'!GK42+'[4]LCT-2'!GK42+'[4]LCT-3'!GK42+'[4]LCT-4'!GK42+'[4]LCT-5'!GK42+'[4]LCT-6'!GK42+'[4]LCT-7'!GK42+'[4]LCT-8'!GK42+'[5]TB-1'!GK42+'[5]TB-2'!GK42+'[5]TB-3'!GK42+'[5]TB-4'!GK42+'[5]TB-5'!GK42+'[5]TB-6'!GK42+'[5]TB-7'!GK42+'[5]TB-8'!GK42+'[5]TB-9'!GK42+'[5]TB-10'!GK42+'[6]DSV-1'!GK42+'[6]DSV-2'!GK42+'[6]DSV-3'!GK42+'[7]TUB-1'!GK42+'[7]TUB-2'!GK42+'[8]Barge-1'!GK42+'[8]Barge-2'!GK42+'[8]Barge-3'!GK42+'[8]Barge-4'!GK42</f>
        <v>243.33333333333331</v>
      </c>
      <c r="M17" s="115">
        <f>(L17/L23)*100%</f>
        <v>3.4883665365298876E-2</v>
      </c>
      <c r="N17" s="12"/>
      <c r="O17" s="12"/>
      <c r="P17" s="12"/>
      <c r="Q17" s="12"/>
      <c r="R17" s="12"/>
      <c r="S17" s="27"/>
      <c r="T17" s="27"/>
      <c r="U17" s="107"/>
      <c r="V17" s="188" t="str">
        <f t="shared" si="0"/>
        <v>P_NORTH
SECURITY PATROL</v>
      </c>
      <c r="W17" s="12"/>
      <c r="X17" s="170">
        <f>Distribute!AO42</f>
        <v>20541902.777777784</v>
      </c>
      <c r="Y17" s="173"/>
      <c r="Z17" s="170">
        <f>Distribute!AP42</f>
        <v>131805555.55555555</v>
      </c>
      <c r="AA17" s="173"/>
      <c r="AB17" s="170">
        <f>Distribute!AQ42</f>
        <v>0</v>
      </c>
      <c r="AC17" s="173"/>
      <c r="AD17" s="172">
        <f>SUM(X17,Z17,AB17)</f>
        <v>152347458.33333334</v>
      </c>
      <c r="AE17" s="13">
        <f>(AD17/AD23)*100%</f>
        <v>1.1653864983597108E-2</v>
      </c>
      <c r="AF17" s="12"/>
      <c r="AG17" s="36">
        <f>'[2]AHTS-1'!GK42+'[2]AHTS-2'!GK42+'[2]AHTS-3'!GK42+'[2]AHTS-4'!GK42+'[2]AHTS-5'!GK42+'[2]AHTS-6'!GK42+'[2]AHTS-7'!GK42+'[2]AHTS-8'!GK42+'[3]CB-1'!GK42+'[3]CB-2'!GK42+'[3]CB-3'!GK42+'[3]CB-4'!GK42+'[3]CB-5'!GK42+'[3]CB-6'!GK42+'[3]CB-7'!GK42+'[3]CB-8'!GK42+'[3]CB-9'!GK42+'[3]CB-10'!GK42+'[3]CB-11'!GK42+'[3]CB-12'!GK42+'[3]CB-13'!GK42+'[3]CB-14'!GK42+'[3]CB-15'!GK42+'[3]CB-16'!GK42+'[3]CB-17'!GK42+'[3]CB-18'!GK42+'[3]CB-19'!GK42+'[3]CB-20'!GK42+'[3]CB-21'!GK42+'[3]CB-22'!GK42+'[3]CB-23'!GK42+'[3]CB-24'!GK42+'[4]LCT-1'!GK42+'[4]LCT-2'!GK42+'[4]LCT-3'!GK42+'[4]LCT-4'!GK42+'[4]LCT-5'!GK42+'[4]LCT-6'!GK42+'[4]LCT-7'!GK42+'[4]LCT-8'!GK42+'[5]TB-1'!GK42+'[5]TB-2'!GK42+'[5]TB-3'!GK42+'[5]TB-4'!GK42+'[5]TB-5'!GK42+'[5]TB-6'!GK42+'[5]TB-7'!GK42+'[5]TB-8'!GK42+'[5]TB-9'!GK42+'[5]TB-10'!GK42+'[6]DSV-1'!GK42+'[6]DSV-2'!GK42+'[6]DSV-3'!GK42+'[7]TUB-1'!GK42+'[7]TUB-2'!GK42+'[8]Barge-1'!GK42+'[8]Barge-2'!GK42+'[8]Barge-3'!GK42</f>
        <v>243.33333333333331</v>
      </c>
      <c r="AH17" s="115">
        <f>(AG17/AG23)*100%</f>
        <v>3.4883665365298876E-2</v>
      </c>
      <c r="AI17" s="12"/>
      <c r="AJ17" s="12"/>
      <c r="AK17" s="12"/>
      <c r="AL17" s="12"/>
      <c r="AM17" s="12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</row>
    <row r="18" spans="1:125" s="15" customFormat="1" ht="13.95" customHeight="1" thickBot="1" x14ac:dyDescent="0.3">
      <c r="A18" s="39"/>
      <c r="B18" s="12"/>
      <c r="C18" s="164"/>
      <c r="D18" s="164"/>
      <c r="E18" s="164"/>
      <c r="F18" s="164"/>
      <c r="G18" s="164"/>
      <c r="H18" s="164"/>
      <c r="I18" s="164"/>
      <c r="J18" s="16"/>
      <c r="K18" s="12"/>
      <c r="L18" s="17"/>
      <c r="M18" s="116"/>
      <c r="N18" s="12"/>
      <c r="O18" s="12"/>
      <c r="P18" s="12"/>
      <c r="Q18" s="12"/>
      <c r="R18" s="12"/>
      <c r="S18" s="27"/>
      <c r="T18" s="27"/>
      <c r="U18" s="107"/>
      <c r="V18" s="188"/>
      <c r="W18" s="12"/>
      <c r="X18" s="173"/>
      <c r="Y18" s="173"/>
      <c r="Z18" s="173"/>
      <c r="AA18" s="173"/>
      <c r="AB18" s="173"/>
      <c r="AC18" s="173"/>
      <c r="AD18" s="173"/>
      <c r="AE18" s="16"/>
      <c r="AF18" s="12"/>
      <c r="AG18" s="17"/>
      <c r="AH18" s="116"/>
      <c r="AI18" s="12"/>
      <c r="AJ18" s="12"/>
      <c r="AK18" s="12"/>
      <c r="AL18" s="12"/>
      <c r="AM18" s="12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</row>
    <row r="19" spans="1:125" s="15" customFormat="1" ht="20.7" customHeight="1" thickBot="1" x14ac:dyDescent="0.3">
      <c r="A19" s="41" t="str">
        <f>Distribute!R9</f>
        <v>P_SOUTH</v>
      </c>
      <c r="B19" s="12"/>
      <c r="C19" s="161">
        <f>Distribute!R42</f>
        <v>141824.89555061545</v>
      </c>
      <c r="D19" s="164"/>
      <c r="E19" s="161">
        <f>Distribute!S42</f>
        <v>168270.27740466641</v>
      </c>
      <c r="F19" s="164"/>
      <c r="G19" s="161">
        <f>Distribute!T42</f>
        <v>0</v>
      </c>
      <c r="H19" s="164"/>
      <c r="I19" s="163">
        <f>SUM(C19,E19,G19)</f>
        <v>310095.17295528186</v>
      </c>
      <c r="J19" s="13">
        <f>(I19/I23)*100%</f>
        <v>0.37425673578450058</v>
      </c>
      <c r="K19" s="12"/>
      <c r="L19" s="36">
        <f>'[2]AHTS-1'!GL42+'[2]AHTS-2'!GL42+'[2]AHTS-3'!GL42+'[2]AHTS-4'!GL42+'[2]AHTS-5'!GL42+'[2]AHTS-6'!GL42+'[2]AHTS-7'!GL42+'[2]AHTS-8'!GL42+'[3]CB-1'!GL42+'[3]CB-2'!GL42+'[3]CB-3'!GL42+'[3]CB-4'!GL42+'[3]CB-5'!GL42+'[3]CB-6'!GL42+'[3]CB-7'!GL42+'[3]CB-8'!GL42+'[3]CB-9'!GL42+'[3]CB-10'!GL42+'[3]CB-11'!GL42+'[3]CB-12'!GL42+'[3]CB-13'!GL42+'[3]CB-14'!GL42+'[3]CB-15'!GL42+'[3]CB-16'!GL42+'[3]CB-17'!GL42+'[3]CB-18'!GL42+'[3]CB-19'!GL42+'[3]CB-20'!GL42+'[3]CB-21'!GL42+'[3]CB-22'!GL42+'[3]CB-23'!GL42+'[3]CB-24'!GL42+'[4]LCT-1'!GL42+'[4]LCT-2'!GL42+'[4]LCT-3'!GL42+'[4]LCT-4'!GL42+'[4]LCT-5'!GL42+'[4]LCT-6'!GL42+'[4]LCT-7'!GL42+'[4]LCT-8'!GL42+'[5]TB-1'!GL42+'[5]TB-2'!GL42+'[5]TB-3'!GL42+'[5]TB-4'!GL42+'[5]TB-5'!GL42+'[5]TB-6'!GL42+'[5]TB-7'!GL42+'[5]TB-8'!GL42+'[5]TB-9'!GL42+'[5]TB-10'!GL42+'[6]DSV-1'!GL42+'[6]DSV-2'!GL42+'[6]DSV-3'!GL42+'[7]TUB-1'!GL42+'[7]TUB-2'!GL42+'[8]Barge-1'!GL42+'[8]Barge-2'!GL42+'[8]Barge-3'!GL42+'[8]Barge-4'!GL42</f>
        <v>3202</v>
      </c>
      <c r="M19" s="115">
        <f>(L19/L23)*100%</f>
        <v>0.45903080753296027</v>
      </c>
      <c r="N19" s="12"/>
      <c r="O19" s="12"/>
      <c r="P19" s="12"/>
      <c r="Q19" s="12"/>
      <c r="R19" s="12"/>
      <c r="S19" s="27"/>
      <c r="T19" s="27"/>
      <c r="U19" s="107"/>
      <c r="V19" s="188" t="str">
        <f t="shared" si="0"/>
        <v>P_SOUTH</v>
      </c>
      <c r="W19" s="12"/>
      <c r="X19" s="170">
        <f>Distribute!AR42</f>
        <v>2236425083.333333</v>
      </c>
      <c r="Y19" s="173"/>
      <c r="Z19" s="170">
        <f>Distribute!AS42</f>
        <v>2653700000</v>
      </c>
      <c r="AA19" s="173"/>
      <c r="AB19" s="170">
        <f>Distribute!AT42</f>
        <v>0</v>
      </c>
      <c r="AC19" s="173"/>
      <c r="AD19" s="172">
        <f>SUM(X19,Z19,AB19)</f>
        <v>4890125083.333333</v>
      </c>
      <c r="AE19" s="13">
        <f>(AD19/AD23)*100%</f>
        <v>0.37407159986468352</v>
      </c>
      <c r="AF19" s="12"/>
      <c r="AG19" s="36">
        <f>'[2]AHTS-1'!GL42+'[2]AHTS-2'!GL42+'[2]AHTS-3'!GL42+'[2]AHTS-4'!GL42+'[2]AHTS-5'!GL42+'[2]AHTS-6'!GL42+'[2]AHTS-7'!GL42+'[2]AHTS-8'!GL42+'[3]CB-1'!GL42+'[3]CB-2'!GL42+'[3]CB-3'!GL42+'[3]CB-4'!GL42+'[3]CB-5'!GL42+'[3]CB-6'!GL42+'[3]CB-7'!GL42+'[3]CB-8'!GL42+'[3]CB-9'!GL42+'[3]CB-10'!GL42+'[3]CB-11'!GL42+'[3]CB-12'!GL42+'[3]CB-13'!GL42+'[3]CB-14'!GL42+'[3]CB-15'!GL42+'[3]CB-16'!GL42+'[3]CB-17'!GL42+'[3]CB-18'!GL42+'[3]CB-19'!GL42+'[3]CB-20'!GL42+'[3]CB-21'!GL42+'[3]CB-22'!GL42+'[3]CB-23'!GL42+'[3]CB-24'!GL42+'[4]LCT-1'!GL42+'[4]LCT-2'!GL42+'[4]LCT-3'!GL42+'[4]LCT-4'!GL42+'[4]LCT-5'!GL42+'[4]LCT-6'!GL42+'[4]LCT-7'!GL42+'[4]LCT-8'!GL42+'[5]TB-1'!GL42+'[5]TB-2'!GL42+'[5]TB-3'!GL42+'[5]TB-4'!GL42+'[5]TB-5'!GL42+'[5]TB-6'!GL42+'[5]TB-7'!GL42+'[5]TB-8'!GL42+'[5]TB-9'!GL42+'[5]TB-10'!GL42+'[6]DSV-1'!GL42+'[6]DSV-2'!GL42+'[6]DSV-3'!GL42+'[7]TUB-1'!GL42+'[7]TUB-2'!GL42+'[8]Barge-1'!GL42+'[8]Barge-2'!GL42+'[8]Barge-3'!GL42</f>
        <v>3202</v>
      </c>
      <c r="AH19" s="115">
        <f>(AG19/AG23)*100%</f>
        <v>0.45903080753296027</v>
      </c>
      <c r="AI19" s="12"/>
      <c r="AJ19" s="12"/>
      <c r="AK19" s="12"/>
      <c r="AL19" s="12"/>
      <c r="AM19" s="12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</row>
    <row r="20" spans="1:125" s="5" customFormat="1" ht="13.95" customHeight="1" thickBot="1" x14ac:dyDescent="0.3">
      <c r="A20" s="30"/>
      <c r="B20" s="3"/>
      <c r="C20" s="166"/>
      <c r="D20" s="166"/>
      <c r="E20" s="166"/>
      <c r="F20" s="166"/>
      <c r="G20" s="166"/>
      <c r="H20" s="166"/>
      <c r="I20" s="166"/>
      <c r="J20" s="3"/>
      <c r="K20" s="3"/>
      <c r="L20" s="3"/>
      <c r="M20" s="3"/>
      <c r="N20" s="3"/>
      <c r="O20" s="3"/>
      <c r="P20" s="3"/>
      <c r="Q20" s="3"/>
      <c r="R20" s="3"/>
      <c r="S20" s="27"/>
      <c r="T20" s="27"/>
      <c r="U20" s="108"/>
      <c r="V20" s="188"/>
      <c r="W20" s="3"/>
      <c r="X20" s="175"/>
      <c r="Y20" s="175"/>
      <c r="Z20" s="175"/>
      <c r="AA20" s="175"/>
      <c r="AB20" s="175"/>
      <c r="AC20" s="175"/>
      <c r="AD20" s="175"/>
      <c r="AE20" s="3"/>
      <c r="AF20" s="3"/>
      <c r="AG20" s="3"/>
      <c r="AH20" s="3"/>
      <c r="AI20" s="3"/>
      <c r="AJ20" s="3"/>
      <c r="AK20" s="3"/>
      <c r="AL20" s="3"/>
      <c r="AM20" s="3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</row>
    <row r="21" spans="1:125" s="15" customFormat="1" ht="20.7" customHeight="1" thickBot="1" x14ac:dyDescent="0.3">
      <c r="A21" s="41" t="str">
        <f>Distribute!U9</f>
        <v>P_SOUTH SECURITY PATROL</v>
      </c>
      <c r="B21" s="12"/>
      <c r="C21" s="161">
        <f>Distribute!U42</f>
        <v>0</v>
      </c>
      <c r="D21" s="164"/>
      <c r="E21" s="161">
        <f>Distribute!V42</f>
        <v>0</v>
      </c>
      <c r="F21" s="164"/>
      <c r="G21" s="161">
        <f>Distribute!W42</f>
        <v>0</v>
      </c>
      <c r="H21" s="164"/>
      <c r="I21" s="163">
        <f>SUM(C21,E21,G21)</f>
        <v>0</v>
      </c>
      <c r="J21" s="13">
        <f>(I21/I23)*100%</f>
        <v>0</v>
      </c>
      <c r="K21" s="12"/>
      <c r="L21" s="36">
        <f>'[2]AHTS-1'!GM42+'[2]AHTS-2'!GM42+'[2]AHTS-3'!GM42+'[2]AHTS-4'!GM42+'[2]AHTS-5'!GM42+'[2]AHTS-6'!GM42+'[2]AHTS-7'!GM42+'[2]AHTS-8'!GM42+'[3]CB-1'!GM42+'[3]CB-2'!GM42+'[3]CB-3'!GM42+'[3]CB-4'!GM42+'[3]CB-5'!GM42+'[3]CB-6'!GM42+'[3]CB-7'!GM42+'[3]CB-8'!GM42+'[3]CB-9'!GM42+'[3]CB-10'!GM42+'[3]CB-11'!GM42+'[3]CB-12'!GM42+'[3]CB-13'!GM42+'[3]CB-14'!GM42+'[3]CB-15'!GM42+'[3]CB-16'!GM42+'[3]CB-17'!GM42+'[3]CB-18'!GM42+'[3]CB-19'!GM42+'[3]CB-20'!GM42+'[3]CB-21'!GM42+'[3]CB-22'!GM42+'[3]CB-23'!GM42+'[3]CB-24'!GM42+'[4]LCT-1'!GM42+'[4]LCT-2'!GM42+'[4]LCT-3'!GM42+'[4]LCT-4'!GM42+'[4]LCT-5'!GM42+'[4]LCT-6'!GM42+'[4]LCT-7'!GM42+'[4]LCT-8'!GM42+'[5]TB-1'!GM42+'[5]TB-2'!GM42+'[5]TB-3'!GM42+'[5]TB-4'!GM42+'[5]TB-5'!GM42+'[5]TB-6'!GM42+'[5]TB-7'!GM42+'[5]TB-8'!GM42+'[5]TB-9'!GM42+'[5]TB-10'!GM42+'[6]DSV-1'!GM42+'[6]DSV-2'!GM42+'[6]DSV-3'!GM42+'[7]TUB-1'!GM42+'[7]TUB-2'!GM42+'[8]Barge-1'!GM42+'[8]Barge-2'!GM42+'[8]Barge-3'!GM42+'[8]Barge-4'!GM42</f>
        <v>0</v>
      </c>
      <c r="M21" s="115">
        <f>(L21/L23)*100%</f>
        <v>0</v>
      </c>
      <c r="N21" s="12"/>
      <c r="O21" s="12"/>
      <c r="P21" s="12"/>
      <c r="Q21" s="12"/>
      <c r="R21" s="12"/>
      <c r="S21" s="27"/>
      <c r="T21" s="27"/>
      <c r="U21" s="107"/>
      <c r="V21" s="188" t="str">
        <f t="shared" si="0"/>
        <v>P_SOUTH SECURITY PATROL</v>
      </c>
      <c r="W21" s="12"/>
      <c r="X21" s="170">
        <f>Distribute!AU42</f>
        <v>0</v>
      </c>
      <c r="Y21" s="173"/>
      <c r="Z21" s="170">
        <f>Distribute!AV42</f>
        <v>0</v>
      </c>
      <c r="AA21" s="173"/>
      <c r="AB21" s="170">
        <f>Distribute!AW42</f>
        <v>0</v>
      </c>
      <c r="AC21" s="173"/>
      <c r="AD21" s="172">
        <f>SUM(X21,Z21,AB21)</f>
        <v>0</v>
      </c>
      <c r="AE21" s="13">
        <f>(AD21/AD23)*100%</f>
        <v>0</v>
      </c>
      <c r="AF21" s="12"/>
      <c r="AG21" s="36">
        <f>'[2]AHTS-1'!GM42+'[2]AHTS-2'!GM42+'[2]AHTS-3'!GM42+'[2]AHTS-4'!GM42+'[2]AHTS-5'!GM42+'[2]AHTS-6'!GM42+'[2]AHTS-7'!GM42+'[2]AHTS-8'!GM42+'[3]CB-1'!GM42+'[3]CB-2'!GM42+'[3]CB-3'!GM42+'[3]CB-4'!GM42+'[3]CB-5'!GM42+'[3]CB-6'!GM42+'[3]CB-7'!GM42+'[3]CB-8'!GM42+'[3]CB-9'!GM42+'[3]CB-10'!GM42+'[3]CB-11'!GM42+'[3]CB-12'!GM42+'[3]CB-13'!GM42+'[3]CB-14'!GM42+'[3]CB-15'!GM42+'[3]CB-16'!GM42+'[3]CB-17'!GM42+'[3]CB-18'!GM42+'[3]CB-19'!GM42+'[3]CB-20'!GM42+'[3]CB-21'!GM42+'[3]CB-22'!GM42+'[3]CB-23'!GM42+'[3]CB-24'!GM42+'[4]LCT-1'!GM42+'[4]LCT-2'!GM42+'[4]LCT-3'!GM42+'[4]LCT-4'!GM42+'[4]LCT-5'!GM42+'[4]LCT-6'!GM42+'[4]LCT-7'!GM42+'[4]LCT-8'!GM42+'[5]TB-1'!GM42+'[5]TB-2'!GM42+'[5]TB-3'!GM42+'[5]TB-4'!GM42+'[5]TB-5'!GM42+'[5]TB-6'!GM42+'[5]TB-7'!GM42+'[5]TB-8'!GM42+'[5]TB-9'!GM42+'[5]TB-10'!GM42+'[6]DSV-1'!GM42+'[6]DSV-2'!GM42+'[6]DSV-3'!GM42+'[7]TUB-1'!GM42+'[7]TUB-2'!GM42+'[8]Barge-1'!GM42+'[8]Barge-2'!GM42+'[8]Barge-3'!GM42</f>
        <v>0</v>
      </c>
      <c r="AH21" s="115">
        <f>(AG21/AG23)*100%</f>
        <v>0</v>
      </c>
      <c r="AI21" s="12"/>
      <c r="AJ21" s="12"/>
      <c r="AK21" s="12"/>
      <c r="AL21" s="12"/>
      <c r="AM21" s="12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</row>
    <row r="22" spans="1:125" s="5" customFormat="1" ht="13.95" customHeight="1" thickBot="1" x14ac:dyDescent="0.3">
      <c r="A22" s="30"/>
      <c r="B22" s="3"/>
      <c r="C22" s="166"/>
      <c r="D22" s="166"/>
      <c r="E22" s="166"/>
      <c r="F22" s="166"/>
      <c r="G22" s="166"/>
      <c r="H22" s="166"/>
      <c r="I22" s="166"/>
      <c r="J22" s="3"/>
      <c r="K22" s="3"/>
      <c r="L22" s="3"/>
      <c r="M22" s="3"/>
      <c r="N22" s="3"/>
      <c r="O22" s="3"/>
      <c r="P22" s="3"/>
      <c r="Q22" s="3"/>
      <c r="R22" s="3"/>
      <c r="S22" s="27"/>
      <c r="T22" s="27"/>
      <c r="U22" s="108"/>
      <c r="V22" s="188"/>
      <c r="W22" s="3"/>
      <c r="X22" s="175"/>
      <c r="Y22" s="175"/>
      <c r="Z22" s="175"/>
      <c r="AA22" s="175"/>
      <c r="AB22" s="175"/>
      <c r="AC22" s="175"/>
      <c r="AD22" s="175"/>
      <c r="AE22" s="3"/>
      <c r="AF22" s="3"/>
      <c r="AG22" s="3"/>
      <c r="AH22" s="3"/>
      <c r="AI22" s="3"/>
      <c r="AJ22" s="3"/>
      <c r="AK22" s="3"/>
      <c r="AL22" s="3"/>
      <c r="AM22" s="3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</row>
    <row r="23" spans="1:125" s="5" customFormat="1" ht="22.65" customHeight="1" thickBot="1" x14ac:dyDescent="0.3">
      <c r="A23" s="43" t="s">
        <v>3</v>
      </c>
      <c r="B23" s="3"/>
      <c r="C23" s="163">
        <f>SUM(C9:C21)</f>
        <v>402490.12318247452</v>
      </c>
      <c r="D23" s="164"/>
      <c r="E23" s="163">
        <f>SUM(E9:E21)</f>
        <v>426072.58071989869</v>
      </c>
      <c r="F23" s="164"/>
      <c r="G23" s="163">
        <f>SUM(G9:G21)</f>
        <v>0</v>
      </c>
      <c r="H23" s="164"/>
      <c r="I23" s="163">
        <f>SUM(I9:I21)</f>
        <v>828562.70390237321</v>
      </c>
      <c r="J23" s="18">
        <f>SUM(J9,J11,J13,J15,J17,J19,J21)</f>
        <v>1</v>
      </c>
      <c r="K23" s="3"/>
      <c r="L23" s="37">
        <f>SUM(L9,L11,L13,L15,L17,L19,L21)</f>
        <v>6975.5666666666666</v>
      </c>
      <c r="M23" s="18">
        <f>SUM(M9,M11,M13,M15,M17,M19,M21)</f>
        <v>1</v>
      </c>
      <c r="N23" s="3"/>
      <c r="O23" s="3"/>
      <c r="P23" s="3"/>
      <c r="Q23" s="3"/>
      <c r="R23" s="3"/>
      <c r="S23" s="27"/>
      <c r="T23" s="27"/>
      <c r="U23" s="109"/>
      <c r="V23" s="189" t="s">
        <v>3</v>
      </c>
      <c r="W23" s="3"/>
      <c r="X23" s="172">
        <f>SUM(X9:X21)</f>
        <v>6350301685.7638884</v>
      </c>
      <c r="Y23" s="173"/>
      <c r="Z23" s="172">
        <f>SUM(Z9:Z21)</f>
        <v>6722396388.8888893</v>
      </c>
      <c r="AA23" s="173"/>
      <c r="AB23" s="172">
        <f>SUM(AB9:AB21)</f>
        <v>0</v>
      </c>
      <c r="AC23" s="173"/>
      <c r="AD23" s="172">
        <f>SUM(AD9:AD21)</f>
        <v>13072698074.652779</v>
      </c>
      <c r="AE23" s="18">
        <f>SUM(AE9,AE11,AE13,AE15,AE17,AE19,AE21)</f>
        <v>1</v>
      </c>
      <c r="AF23" s="3"/>
      <c r="AG23" s="37">
        <f>SUM(AG9,AG11,AG13,AG15,AG17,AG19,AG21)</f>
        <v>6975.5666666666666</v>
      </c>
      <c r="AH23" s="18">
        <f>SUM(AH9,AH11,AH13,AH15,AH17,AH19,AH21)</f>
        <v>1</v>
      </c>
      <c r="AI23" s="3"/>
      <c r="AJ23" s="3"/>
      <c r="AK23" s="3"/>
      <c r="AL23" s="3"/>
      <c r="AM23" s="3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</row>
    <row r="24" spans="1:125" s="5" customFormat="1" ht="6.3" customHeight="1" x14ac:dyDescent="0.25">
      <c r="A24" s="3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27"/>
      <c r="T24" s="27"/>
      <c r="U24" s="102"/>
      <c r="V24" s="27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</row>
    <row r="25" spans="1:125" s="5" customFormat="1" ht="6.3" customHeight="1" x14ac:dyDescent="0.25">
      <c r="A25" s="30"/>
      <c r="B25" s="3"/>
      <c r="C25" s="3"/>
      <c r="D25" s="19"/>
      <c r="E25" s="19"/>
      <c r="F25" s="3"/>
      <c r="G25" s="20"/>
      <c r="H25" s="3"/>
      <c r="I25" s="3"/>
      <c r="J25" s="3"/>
      <c r="K25" s="3"/>
      <c r="L25" s="80"/>
      <c r="M25" s="20"/>
      <c r="N25" s="3"/>
      <c r="O25" s="3"/>
      <c r="P25" s="20"/>
      <c r="Q25" s="3"/>
      <c r="R25" s="3"/>
      <c r="S25" s="27"/>
      <c r="T25" s="27"/>
      <c r="U25" s="102"/>
      <c r="V25" s="27"/>
      <c r="W25" s="3"/>
      <c r="X25" s="3"/>
      <c r="Y25" s="19"/>
      <c r="Z25" s="19"/>
      <c r="AA25" s="3"/>
      <c r="AB25" s="20"/>
      <c r="AC25" s="3"/>
      <c r="AD25" s="3"/>
      <c r="AE25" s="3"/>
      <c r="AF25" s="3"/>
      <c r="AG25" s="80"/>
      <c r="AH25" s="20"/>
      <c r="AI25" s="3"/>
      <c r="AJ25" s="3"/>
      <c r="AK25" s="20"/>
      <c r="AL25" s="3"/>
      <c r="AM25" s="3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</row>
    <row r="26" spans="1:125" s="5" customFormat="1" ht="16.2" customHeight="1" x14ac:dyDescent="0.25">
      <c r="A26" s="30"/>
      <c r="B26" s="3"/>
      <c r="C26" s="3"/>
      <c r="D26" s="20" t="s">
        <v>5</v>
      </c>
      <c r="E26" s="3"/>
      <c r="F26" s="3"/>
      <c r="G26" s="3"/>
      <c r="H26" s="3"/>
      <c r="I26" s="93" t="s">
        <v>15</v>
      </c>
      <c r="J26" s="3"/>
      <c r="K26" s="3"/>
      <c r="L26" s="3"/>
      <c r="M26" s="3"/>
      <c r="N26" s="20"/>
      <c r="O26" s="20" t="s">
        <v>9</v>
      </c>
      <c r="P26" s="3"/>
      <c r="Q26" s="3"/>
      <c r="R26" s="3"/>
      <c r="S26" s="27"/>
      <c r="T26" s="27"/>
      <c r="U26" s="102"/>
      <c r="V26" s="27"/>
      <c r="W26" s="3"/>
      <c r="X26" s="3"/>
      <c r="Y26" s="20" t="s">
        <v>5</v>
      </c>
      <c r="Z26" s="3"/>
      <c r="AA26" s="3"/>
      <c r="AB26" s="3"/>
      <c r="AC26" s="3"/>
      <c r="AD26" s="93" t="s">
        <v>15</v>
      </c>
      <c r="AE26" s="3"/>
      <c r="AF26" s="3"/>
      <c r="AG26" s="3"/>
      <c r="AH26" s="3"/>
      <c r="AI26" s="20"/>
      <c r="AJ26" s="20" t="s">
        <v>9</v>
      </c>
      <c r="AK26" s="3"/>
      <c r="AL26" s="3"/>
      <c r="AM26" s="3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</row>
    <row r="27" spans="1:125" s="5" customFormat="1" ht="16.2" customHeight="1" x14ac:dyDescent="0.25">
      <c r="A27" s="30"/>
      <c r="B27" s="3"/>
      <c r="C27" s="3"/>
      <c r="D27" s="21"/>
      <c r="E27" s="22"/>
      <c r="F27" s="3"/>
      <c r="G27" s="20"/>
      <c r="H27" s="3"/>
      <c r="I27" s="3"/>
      <c r="J27" s="3"/>
      <c r="K27" s="3"/>
      <c r="L27" s="3"/>
      <c r="M27" s="20"/>
      <c r="N27" s="20"/>
      <c r="O27" s="19"/>
      <c r="P27" s="19"/>
      <c r="Q27" s="19"/>
      <c r="R27" s="19"/>
      <c r="S27" s="27"/>
      <c r="T27" s="27"/>
      <c r="U27" s="103"/>
      <c r="V27" s="27"/>
      <c r="W27" s="3"/>
      <c r="X27" s="3"/>
      <c r="Y27" s="21"/>
      <c r="Z27" s="22"/>
      <c r="AA27" s="3"/>
      <c r="AB27" s="20"/>
      <c r="AC27" s="3"/>
      <c r="AD27" s="3"/>
      <c r="AE27" s="3"/>
      <c r="AF27" s="3"/>
      <c r="AG27" s="3"/>
      <c r="AH27" s="20"/>
      <c r="AI27" s="20"/>
      <c r="AJ27" s="19"/>
      <c r="AK27" s="19"/>
      <c r="AL27" s="19"/>
      <c r="AM27" s="19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</row>
    <row r="28" spans="1:125" s="5" customFormat="1" ht="16.2" customHeight="1" x14ac:dyDescent="0.25">
      <c r="A28" s="30"/>
      <c r="B28" s="27"/>
      <c r="C28" s="27"/>
      <c r="D28" s="33"/>
      <c r="E28" s="34"/>
      <c r="F28" s="27"/>
      <c r="G28" s="27"/>
      <c r="H28" s="27"/>
      <c r="I28" s="40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102"/>
      <c r="V28" s="103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</row>
    <row r="29" spans="1:125" s="5" customFormat="1" ht="16.2" customHeight="1" x14ac:dyDescent="0.25">
      <c r="A29" s="30"/>
      <c r="B29" s="27"/>
      <c r="C29" s="27"/>
      <c r="D29" s="33"/>
      <c r="E29" s="34"/>
      <c r="F29" s="27"/>
      <c r="G29" s="27"/>
      <c r="H29" s="27"/>
      <c r="I29" s="40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02"/>
      <c r="V29" s="103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</row>
    <row r="30" spans="1:125" s="5" customFormat="1" ht="16.2" customHeight="1" x14ac:dyDescent="0.25">
      <c r="A30" s="30"/>
      <c r="B30" s="27"/>
      <c r="C30" s="27"/>
      <c r="D30" s="33"/>
      <c r="E30" s="34"/>
      <c r="F30" s="27"/>
      <c r="G30" s="27"/>
      <c r="H30" s="27"/>
      <c r="I30" s="40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</row>
    <row r="31" spans="1:125" s="5" customFormat="1" ht="20.7" customHeight="1" x14ac:dyDescent="0.25">
      <c r="A31" s="30"/>
      <c r="B31" s="27"/>
      <c r="C31" s="27"/>
      <c r="D31" s="33"/>
      <c r="E31" s="34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</row>
    <row r="32" spans="1:125" s="5" customFormat="1" ht="20.7" customHeight="1" x14ac:dyDescent="0.25">
      <c r="A32" s="30"/>
      <c r="B32" s="27"/>
      <c r="C32" s="27"/>
      <c r="D32" s="33"/>
      <c r="E32" s="34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</row>
    <row r="33" spans="1:125" s="5" customFormat="1" ht="20.7" customHeight="1" x14ac:dyDescent="0.25">
      <c r="A33" s="30"/>
      <c r="B33" s="27"/>
      <c r="C33" s="27"/>
      <c r="D33" s="33"/>
      <c r="E33" s="34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</row>
    <row r="34" spans="1:125" s="5" customFormat="1" ht="20.7" customHeight="1" x14ac:dyDescent="0.25">
      <c r="A34" s="30"/>
      <c r="B34" s="27"/>
      <c r="C34" s="27"/>
      <c r="D34" s="33"/>
      <c r="E34" s="34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</row>
    <row r="35" spans="1:125" s="5" customFormat="1" ht="18.75" customHeight="1" x14ac:dyDescent="0.25">
      <c r="A35" s="27"/>
      <c r="B35" s="27"/>
      <c r="C35" s="27"/>
      <c r="D35" s="33"/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</row>
    <row r="36" spans="1:125" s="5" customFormat="1" ht="18.75" customHeight="1" x14ac:dyDescent="0.25">
      <c r="A36" s="27"/>
      <c r="B36" s="27"/>
      <c r="C36" s="27"/>
      <c r="D36" s="32"/>
      <c r="E36" s="32"/>
      <c r="F36" s="32"/>
      <c r="G36" s="32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  <c r="AF36" s="102"/>
      <c r="AG36" s="102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</row>
    <row r="37" spans="1:125" s="5" customFormat="1" ht="17.850000000000001" customHeight="1" x14ac:dyDescent="0.25">
      <c r="A37" s="27"/>
      <c r="B37" s="27"/>
      <c r="C37" s="27"/>
      <c r="D37" s="32"/>
      <c r="E37" s="32"/>
      <c r="F37" s="32"/>
      <c r="G37" s="32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</row>
    <row r="38" spans="1:125" s="5" customFormat="1" ht="17.850000000000001" customHeight="1" x14ac:dyDescent="0.25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</row>
    <row r="39" spans="1:125" s="5" customFormat="1" ht="17.850000000000001" customHeight="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</row>
    <row r="40" spans="1:125" s="5" customFormat="1" ht="17.850000000000001" customHeight="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</row>
    <row r="41" spans="1:125" s="5" customFormat="1" ht="17.850000000000001" customHeight="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</row>
    <row r="42" spans="1:125" s="5" customFormat="1" ht="17.850000000000001" customHeight="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</row>
    <row r="43" spans="1:125" s="5" customFormat="1" ht="17.850000000000001" customHeight="1" x14ac:dyDescent="0.25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</row>
    <row r="44" spans="1:125" s="5" customFormat="1" ht="17.850000000000001" customHeight="1" x14ac:dyDescent="0.25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</row>
    <row r="45" spans="1:125" s="5" customFormat="1" ht="17.850000000000001" customHeight="1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</row>
    <row r="46" spans="1:125" s="4" customFormat="1" ht="17.850000000000001" customHeight="1" x14ac:dyDescent="0.25">
      <c r="A46" s="131" t="str">
        <f>L5</f>
        <v>25 Nov - 24 Dec 2025</v>
      </c>
      <c r="B46" s="127"/>
      <c r="C46" s="129" t="s">
        <v>16</v>
      </c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 spans="1:125" s="4" customFormat="1" ht="17.850000000000001" customHeight="1" x14ac:dyDescent="0.25">
      <c r="A47" s="120" t="str">
        <f>A9</f>
        <v>-</v>
      </c>
      <c r="B47" s="127"/>
      <c r="C47" s="128">
        <f>Distribute!C82</f>
        <v>0</v>
      </c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</row>
    <row r="48" spans="1:125" s="4" customFormat="1" ht="17.850000000000001" customHeight="1" x14ac:dyDescent="0.25">
      <c r="A48" s="120" t="str">
        <f>A11</f>
        <v xml:space="preserve"> P_NORTH
ATTAKA</v>
      </c>
      <c r="B48" s="127"/>
      <c r="C48" s="128">
        <f>Distribute!F82</f>
        <v>47315.004166666666</v>
      </c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</row>
    <row r="49" spans="1:33" s="4" customFormat="1" ht="17.850000000000001" customHeight="1" x14ac:dyDescent="0.25">
      <c r="A49" s="120" t="str">
        <f>A13</f>
        <v>P_NORTH
NIB</v>
      </c>
      <c r="B49" s="127"/>
      <c r="C49" s="128">
        <f>Distribute!I82</f>
        <v>96482.991666666683</v>
      </c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</row>
    <row r="50" spans="1:33" s="4" customFormat="1" ht="17.850000000000001" customHeight="1" x14ac:dyDescent="0.25">
      <c r="A50" s="120" t="str">
        <f>A15</f>
        <v>P_NORTH
SANTAN
TERMINAL</v>
      </c>
      <c r="B50" s="127"/>
      <c r="C50" s="128">
        <f>Distribute!L82</f>
        <v>109659.2611111111</v>
      </c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</row>
    <row r="51" spans="1:33" s="4" customFormat="1" ht="17.850000000000001" customHeight="1" x14ac:dyDescent="0.25">
      <c r="A51" s="120" t="str">
        <f>A17</f>
        <v>P_NORTH
SECURITY PATROL</v>
      </c>
      <c r="B51" s="127"/>
      <c r="C51" s="128">
        <f>Distribute!O82</f>
        <v>1271.9444444444448</v>
      </c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</row>
    <row r="52" spans="1:33" s="4" customFormat="1" ht="17.850000000000001" customHeight="1" x14ac:dyDescent="0.25">
      <c r="A52" s="120" t="str">
        <f>A19</f>
        <v>P_SOUTH</v>
      </c>
      <c r="B52" s="127"/>
      <c r="C52" s="128">
        <f>Distribute!R82</f>
        <v>138478.33333333334</v>
      </c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</row>
    <row r="53" spans="1:33" s="4" customFormat="1" ht="17.850000000000001" customHeight="1" x14ac:dyDescent="0.25">
      <c r="A53" s="120" t="str">
        <f>A21</f>
        <v>P_SOUTH SECURITY PATROL</v>
      </c>
      <c r="B53" s="127"/>
      <c r="C53" s="128">
        <f>Distribute!U82</f>
        <v>0</v>
      </c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</row>
    <row r="54" spans="1:33" s="4" customFormat="1" ht="17.850000000000001" customHeight="1" x14ac:dyDescent="0.25">
      <c r="A54" s="129" t="s">
        <v>17</v>
      </c>
      <c r="B54" s="129"/>
      <c r="C54" s="130">
        <f>SUM(C47:C53)</f>
        <v>393207.53472222225</v>
      </c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</row>
    <row r="55" spans="1:33" s="4" customFormat="1" ht="17.850000000000001" customHeight="1" x14ac:dyDescent="0.25"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</row>
    <row r="56" spans="1:33" s="4" customFormat="1" ht="17.850000000000001" customHeight="1" x14ac:dyDescent="0.25"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</row>
    <row r="57" spans="1:33" s="4" customFormat="1" ht="17.850000000000001" customHeight="1" x14ac:dyDescent="0.25"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</row>
    <row r="58" spans="1:33" s="4" customFormat="1" ht="17.850000000000001" customHeight="1" x14ac:dyDescent="0.25"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</row>
    <row r="59" spans="1:33" s="4" customFormat="1" ht="17.850000000000001" customHeight="1" x14ac:dyDescent="0.25"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</row>
    <row r="60" spans="1:33" s="4" customFormat="1" ht="17.850000000000001" customHeight="1" x14ac:dyDescent="0.25"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</row>
    <row r="61" spans="1:33" s="4" customFormat="1" ht="17.850000000000001" customHeight="1" x14ac:dyDescent="0.25"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</row>
    <row r="62" spans="1:33" s="4" customFormat="1" ht="17.850000000000001" customHeight="1" x14ac:dyDescent="0.25"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 spans="1:33" s="4" customFormat="1" ht="17.850000000000001" customHeight="1" x14ac:dyDescent="0.25"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</row>
    <row r="64" spans="1:33" s="4" customFormat="1" ht="17.850000000000001" customHeight="1" x14ac:dyDescent="0.25"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 spans="21:33" s="4" customFormat="1" ht="17.850000000000001" customHeight="1" x14ac:dyDescent="0.25"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</row>
    <row r="66" spans="21:33" s="4" customFormat="1" ht="17.850000000000001" customHeight="1" x14ac:dyDescent="0.25"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</row>
    <row r="67" spans="21:33" s="4" customFormat="1" ht="17.850000000000001" customHeight="1" x14ac:dyDescent="0.25"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</row>
    <row r="68" spans="21:33" s="4" customFormat="1" ht="17.850000000000001" customHeight="1" x14ac:dyDescent="0.25"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</row>
    <row r="69" spans="21:33" s="4" customFormat="1" ht="17.850000000000001" customHeight="1" x14ac:dyDescent="0.25"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02"/>
      <c r="AF69" s="102"/>
      <c r="AG69" s="102"/>
    </row>
    <row r="70" spans="21:33" s="4" customFormat="1" ht="17.850000000000001" customHeight="1" x14ac:dyDescent="0.25"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</row>
    <row r="71" spans="21:33" s="4" customFormat="1" ht="17.850000000000001" customHeight="1" x14ac:dyDescent="0.25"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02"/>
      <c r="AF71" s="102"/>
      <c r="AG71" s="102"/>
    </row>
    <row r="72" spans="21:33" s="4" customFormat="1" ht="17.850000000000001" customHeight="1" x14ac:dyDescent="0.25"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</row>
    <row r="73" spans="21:33" s="4" customFormat="1" ht="17.850000000000001" customHeight="1" x14ac:dyDescent="0.25"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</row>
    <row r="74" spans="21:33" s="4" customFormat="1" ht="17.850000000000001" customHeight="1" x14ac:dyDescent="0.25"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</row>
    <row r="75" spans="21:33" s="4" customFormat="1" ht="17.850000000000001" customHeight="1" x14ac:dyDescent="0.25"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</row>
    <row r="76" spans="21:33" s="4" customFormat="1" ht="17.850000000000001" customHeight="1" x14ac:dyDescent="0.25"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</row>
    <row r="77" spans="21:33" s="4" customFormat="1" ht="17.850000000000001" customHeight="1" x14ac:dyDescent="0.25"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</row>
    <row r="78" spans="21:33" s="4" customFormat="1" ht="17.850000000000001" customHeight="1" x14ac:dyDescent="0.25"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</row>
    <row r="79" spans="21:33" s="4" customFormat="1" ht="17.850000000000001" customHeight="1" x14ac:dyDescent="0.25">
      <c r="U79" s="102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</row>
    <row r="80" spans="21:33" s="4" customFormat="1" ht="17.850000000000001" customHeight="1" x14ac:dyDescent="0.25"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</row>
    <row r="81" spans="21:33" s="4" customFormat="1" ht="17.850000000000001" customHeight="1" x14ac:dyDescent="0.25"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 spans="21:33" s="4" customFormat="1" ht="17.850000000000001" customHeight="1" x14ac:dyDescent="0.25"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 spans="21:33" s="4" customFormat="1" ht="17.850000000000001" customHeight="1" x14ac:dyDescent="0.25"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 spans="21:33" s="4" customFormat="1" ht="17.850000000000001" customHeight="1" x14ac:dyDescent="0.25"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 spans="21:33" s="4" customFormat="1" ht="17.850000000000001" customHeight="1" x14ac:dyDescent="0.25"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 spans="21:33" s="4" customFormat="1" ht="17.850000000000001" customHeight="1" x14ac:dyDescent="0.25"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 spans="21:33" s="4" customFormat="1" ht="17.850000000000001" customHeight="1" x14ac:dyDescent="0.25"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 spans="21:33" s="4" customFormat="1" ht="17.850000000000001" customHeight="1" x14ac:dyDescent="0.25"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 spans="21:33" s="4" customFormat="1" ht="17.850000000000001" customHeight="1" x14ac:dyDescent="0.25"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 spans="21:33" s="4" customFormat="1" ht="17.850000000000001" customHeight="1" x14ac:dyDescent="0.25"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 spans="21:33" s="4" customFormat="1" ht="17.850000000000001" customHeight="1" x14ac:dyDescent="0.25"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 spans="21:33" s="4" customFormat="1" ht="17.850000000000001" customHeight="1" x14ac:dyDescent="0.25"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 spans="21:33" s="4" customFormat="1" ht="17.850000000000001" customHeight="1" x14ac:dyDescent="0.25"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 spans="21:33" s="4" customFormat="1" ht="17.850000000000001" customHeight="1" x14ac:dyDescent="0.25"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 spans="21:33" s="4" customFormat="1" ht="17.850000000000001" customHeight="1" x14ac:dyDescent="0.25"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 spans="21:33" s="4" customFormat="1" ht="17.850000000000001" customHeight="1" x14ac:dyDescent="0.25"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 spans="21:33" s="4" customFormat="1" ht="17.850000000000001" customHeight="1" x14ac:dyDescent="0.25"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 spans="21:33" s="4" customFormat="1" ht="17.850000000000001" customHeight="1" x14ac:dyDescent="0.25"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 spans="21:33" s="4" customFormat="1" ht="17.850000000000001" customHeight="1" x14ac:dyDescent="0.25"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 spans="21:33" s="4" customFormat="1" ht="17.850000000000001" customHeight="1" x14ac:dyDescent="0.25"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 spans="21:33" s="4" customFormat="1" ht="17.850000000000001" customHeight="1" x14ac:dyDescent="0.25"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 spans="21:33" s="4" customFormat="1" ht="17.850000000000001" customHeight="1" x14ac:dyDescent="0.25"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 spans="21:33" s="4" customFormat="1" ht="17.850000000000001" customHeight="1" x14ac:dyDescent="0.25"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 spans="21:33" s="4" customFormat="1" ht="17.850000000000001" customHeight="1" x14ac:dyDescent="0.25"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 spans="21:33" s="1" customFormat="1" x14ac:dyDescent="0.25"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</row>
    <row r="106" spans="21:33" s="1" customFormat="1" x14ac:dyDescent="0.25"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</row>
    <row r="107" spans="21:33" s="1" customFormat="1" x14ac:dyDescent="0.25"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</row>
    <row r="108" spans="21:33" s="1" customFormat="1" x14ac:dyDescent="0.25"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</row>
    <row r="109" spans="21:33" s="1" customFormat="1" x14ac:dyDescent="0.25"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</row>
    <row r="110" spans="21:33" s="1" customFormat="1" x14ac:dyDescent="0.25"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</row>
    <row r="111" spans="21:33" s="1" customFormat="1" x14ac:dyDescent="0.25"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</row>
    <row r="112" spans="21:33" s="1" customFormat="1" x14ac:dyDescent="0.25">
      <c r="U112" s="101"/>
      <c r="V112" s="101"/>
      <c r="W112" s="101"/>
      <c r="X112" s="101"/>
      <c r="Y112" s="101"/>
      <c r="Z112" s="101"/>
      <c r="AA112" s="101"/>
      <c r="AB112" s="101"/>
      <c r="AC112" s="101"/>
      <c r="AD112" s="101"/>
      <c r="AE112" s="101"/>
      <c r="AF112" s="101"/>
      <c r="AG112" s="101"/>
    </row>
    <row r="113" spans="21:33" s="1" customFormat="1" x14ac:dyDescent="0.25">
      <c r="U113" s="101"/>
      <c r="V113" s="101"/>
      <c r="W113" s="101"/>
      <c r="X113" s="101"/>
      <c r="Y113" s="101"/>
      <c r="Z113" s="101"/>
      <c r="AA113" s="101"/>
      <c r="AB113" s="101"/>
      <c r="AC113" s="101"/>
      <c r="AD113" s="101"/>
      <c r="AE113" s="101"/>
      <c r="AF113" s="101"/>
      <c r="AG113" s="101"/>
    </row>
    <row r="114" spans="21:33" s="1" customFormat="1" x14ac:dyDescent="0.25"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</row>
    <row r="115" spans="21:33" s="1" customFormat="1" x14ac:dyDescent="0.25"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</row>
    <row r="116" spans="21:33" s="1" customFormat="1" x14ac:dyDescent="0.25"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</row>
    <row r="117" spans="21:33" s="1" customFormat="1" x14ac:dyDescent="0.25">
      <c r="U117" s="101"/>
      <c r="V117" s="101"/>
      <c r="W117" s="101"/>
      <c r="X117" s="101"/>
      <c r="Y117" s="101"/>
      <c r="Z117" s="101"/>
      <c r="AA117" s="101"/>
      <c r="AB117" s="101"/>
      <c r="AC117" s="101"/>
      <c r="AD117" s="101"/>
      <c r="AE117" s="101"/>
      <c r="AF117" s="101"/>
      <c r="AG117" s="101"/>
    </row>
    <row r="118" spans="21:33" s="1" customFormat="1" x14ac:dyDescent="0.25"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</row>
    <row r="119" spans="21:33" s="1" customFormat="1" x14ac:dyDescent="0.25"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</row>
    <row r="120" spans="21:33" s="1" customFormat="1" x14ac:dyDescent="0.25">
      <c r="U120" s="101"/>
      <c r="V120" s="101"/>
      <c r="W120" s="101"/>
      <c r="X120" s="101"/>
      <c r="Y120" s="101"/>
      <c r="Z120" s="101"/>
      <c r="AA120" s="101"/>
      <c r="AB120" s="101"/>
      <c r="AC120" s="101"/>
      <c r="AD120" s="101"/>
      <c r="AE120" s="101"/>
      <c r="AF120" s="101"/>
      <c r="AG120" s="101"/>
    </row>
    <row r="121" spans="21:33" s="1" customFormat="1" x14ac:dyDescent="0.25">
      <c r="U121" s="101"/>
      <c r="V121" s="101"/>
      <c r="W121" s="101"/>
      <c r="X121" s="101"/>
      <c r="Y121" s="101"/>
      <c r="Z121" s="101"/>
      <c r="AA121" s="101"/>
      <c r="AB121" s="101"/>
      <c r="AC121" s="101"/>
      <c r="AD121" s="101"/>
      <c r="AE121" s="101"/>
      <c r="AF121" s="101"/>
      <c r="AG121" s="101"/>
    </row>
    <row r="122" spans="21:33" s="1" customFormat="1" x14ac:dyDescent="0.25">
      <c r="U122" s="101"/>
      <c r="V122" s="101"/>
      <c r="W122" s="101"/>
      <c r="X122" s="101"/>
      <c r="Y122" s="101"/>
      <c r="Z122" s="101"/>
      <c r="AA122" s="101"/>
      <c r="AB122" s="101"/>
      <c r="AC122" s="101"/>
      <c r="AD122" s="101"/>
      <c r="AE122" s="101"/>
      <c r="AF122" s="101"/>
      <c r="AG122" s="101"/>
    </row>
    <row r="123" spans="21:33" s="1" customFormat="1" x14ac:dyDescent="0.25">
      <c r="U123" s="101"/>
      <c r="V123" s="101"/>
      <c r="W123" s="101"/>
      <c r="X123" s="101"/>
      <c r="Y123" s="101"/>
      <c r="Z123" s="101"/>
      <c r="AA123" s="101"/>
      <c r="AB123" s="101"/>
      <c r="AC123" s="101"/>
      <c r="AD123" s="101"/>
      <c r="AE123" s="101"/>
      <c r="AF123" s="101"/>
      <c r="AG123" s="101"/>
    </row>
    <row r="124" spans="21:33" s="1" customFormat="1" x14ac:dyDescent="0.25">
      <c r="U124" s="101"/>
      <c r="V124" s="101"/>
      <c r="W124" s="101"/>
      <c r="X124" s="101"/>
      <c r="Y124" s="101"/>
      <c r="Z124" s="101"/>
      <c r="AA124" s="101"/>
      <c r="AB124" s="101"/>
      <c r="AC124" s="101"/>
      <c r="AD124" s="101"/>
      <c r="AE124" s="101"/>
      <c r="AF124" s="101"/>
      <c r="AG124" s="101"/>
    </row>
    <row r="125" spans="21:33" s="1" customFormat="1" x14ac:dyDescent="0.25"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  <c r="AG125" s="101"/>
    </row>
    <row r="126" spans="21:33" s="1" customFormat="1" x14ac:dyDescent="0.25">
      <c r="U126" s="101"/>
      <c r="V126" s="101"/>
      <c r="W126" s="101"/>
      <c r="X126" s="101"/>
      <c r="Y126" s="101"/>
      <c r="Z126" s="101"/>
      <c r="AA126" s="101"/>
      <c r="AB126" s="101"/>
      <c r="AC126" s="101"/>
      <c r="AD126" s="101"/>
      <c r="AE126" s="101"/>
      <c r="AF126" s="101"/>
      <c r="AG126" s="101"/>
    </row>
    <row r="127" spans="21:33" s="1" customFormat="1" x14ac:dyDescent="0.25">
      <c r="U127" s="101"/>
      <c r="V127" s="101"/>
      <c r="W127" s="101"/>
      <c r="X127" s="101"/>
      <c r="Y127" s="101"/>
      <c r="Z127" s="101"/>
      <c r="AA127" s="101"/>
      <c r="AB127" s="101"/>
      <c r="AC127" s="101"/>
      <c r="AD127" s="101"/>
      <c r="AE127" s="101"/>
      <c r="AF127" s="101"/>
      <c r="AG127" s="101"/>
    </row>
    <row r="128" spans="21:33" s="1" customFormat="1" x14ac:dyDescent="0.25">
      <c r="U128" s="101"/>
      <c r="V128" s="101"/>
      <c r="W128" s="101"/>
      <c r="X128" s="101"/>
      <c r="Y128" s="101"/>
      <c r="Z128" s="101"/>
      <c r="AA128" s="101"/>
      <c r="AB128" s="101"/>
      <c r="AC128" s="101"/>
      <c r="AD128" s="101"/>
      <c r="AE128" s="101"/>
      <c r="AF128" s="101"/>
      <c r="AG128" s="101"/>
    </row>
    <row r="129" spans="21:33" s="1" customFormat="1" x14ac:dyDescent="0.25">
      <c r="U129" s="101"/>
      <c r="V129" s="101"/>
      <c r="W129" s="101"/>
      <c r="X129" s="101"/>
      <c r="Y129" s="101"/>
      <c r="Z129" s="101"/>
      <c r="AA129" s="101"/>
      <c r="AB129" s="101"/>
      <c r="AC129" s="101"/>
      <c r="AD129" s="101"/>
      <c r="AE129" s="101"/>
      <c r="AF129" s="101"/>
      <c r="AG129" s="101"/>
    </row>
    <row r="130" spans="21:33" s="1" customFormat="1" x14ac:dyDescent="0.25">
      <c r="U130" s="101"/>
      <c r="V130" s="101"/>
      <c r="W130" s="101"/>
      <c r="X130" s="101"/>
      <c r="Y130" s="101"/>
      <c r="Z130" s="101"/>
      <c r="AA130" s="101"/>
      <c r="AB130" s="101"/>
      <c r="AC130" s="101"/>
      <c r="AD130" s="101"/>
      <c r="AE130" s="101"/>
      <c r="AF130" s="101"/>
      <c r="AG130" s="101"/>
    </row>
    <row r="131" spans="21:33" s="1" customFormat="1" x14ac:dyDescent="0.25">
      <c r="U131" s="101"/>
      <c r="V131" s="101"/>
      <c r="W131" s="101"/>
      <c r="X131" s="101"/>
      <c r="Y131" s="101"/>
      <c r="Z131" s="101"/>
      <c r="AA131" s="101"/>
      <c r="AB131" s="101"/>
      <c r="AC131" s="101"/>
      <c r="AD131" s="101"/>
      <c r="AE131" s="101"/>
      <c r="AF131" s="101"/>
      <c r="AG131" s="101"/>
    </row>
    <row r="132" spans="21:33" s="1" customFormat="1" x14ac:dyDescent="0.25">
      <c r="U132" s="101"/>
      <c r="V132" s="101"/>
      <c r="W132" s="101"/>
      <c r="X132" s="101"/>
      <c r="Y132" s="101"/>
      <c r="Z132" s="101"/>
      <c r="AA132" s="101"/>
      <c r="AB132" s="101"/>
      <c r="AC132" s="101"/>
      <c r="AD132" s="101"/>
      <c r="AE132" s="101"/>
      <c r="AF132" s="101"/>
      <c r="AG132" s="101"/>
    </row>
    <row r="133" spans="21:33" s="1" customFormat="1" x14ac:dyDescent="0.25"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01"/>
    </row>
    <row r="134" spans="21:33" s="1" customFormat="1" x14ac:dyDescent="0.25">
      <c r="U134" s="101"/>
      <c r="V134" s="101"/>
      <c r="W134" s="101"/>
      <c r="X134" s="101"/>
      <c r="Y134" s="101"/>
      <c r="Z134" s="101"/>
      <c r="AA134" s="101"/>
      <c r="AB134" s="101"/>
      <c r="AC134" s="101"/>
      <c r="AD134" s="101"/>
      <c r="AE134" s="101"/>
      <c r="AF134" s="101"/>
      <c r="AG134" s="101"/>
    </row>
    <row r="135" spans="21:33" s="1" customFormat="1" x14ac:dyDescent="0.25">
      <c r="U135" s="101"/>
      <c r="V135" s="101"/>
      <c r="W135" s="101"/>
      <c r="X135" s="101"/>
      <c r="Y135" s="101"/>
      <c r="Z135" s="101"/>
      <c r="AA135" s="101"/>
      <c r="AB135" s="101"/>
      <c r="AC135" s="101"/>
      <c r="AD135" s="101"/>
      <c r="AE135" s="101"/>
      <c r="AF135" s="101"/>
      <c r="AG135" s="101"/>
    </row>
    <row r="136" spans="21:33" s="1" customFormat="1" x14ac:dyDescent="0.25">
      <c r="U136" s="101"/>
      <c r="V136" s="101"/>
      <c r="W136" s="101"/>
      <c r="X136" s="101"/>
      <c r="Y136" s="101"/>
      <c r="Z136" s="101"/>
      <c r="AA136" s="101"/>
      <c r="AB136" s="101"/>
      <c r="AC136" s="101"/>
      <c r="AD136" s="101"/>
      <c r="AE136" s="101"/>
      <c r="AF136" s="101"/>
      <c r="AG136" s="101"/>
    </row>
    <row r="137" spans="21:33" s="1" customFormat="1" x14ac:dyDescent="0.25">
      <c r="U137" s="101"/>
      <c r="V137" s="101"/>
      <c r="W137" s="101"/>
      <c r="X137" s="101"/>
      <c r="Y137" s="101"/>
      <c r="Z137" s="101"/>
      <c r="AA137" s="101"/>
      <c r="AB137" s="101"/>
      <c r="AC137" s="101"/>
      <c r="AD137" s="101"/>
      <c r="AE137" s="101"/>
      <c r="AF137" s="101"/>
      <c r="AG137" s="101"/>
    </row>
    <row r="138" spans="21:33" s="1" customFormat="1" x14ac:dyDescent="0.25"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</row>
    <row r="139" spans="21:33" s="1" customFormat="1" x14ac:dyDescent="0.25"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</row>
    <row r="140" spans="21:33" s="1" customFormat="1" x14ac:dyDescent="0.25">
      <c r="U140" s="101"/>
      <c r="V140" s="101"/>
      <c r="W140" s="101"/>
      <c r="X140" s="101"/>
      <c r="Y140" s="101"/>
      <c r="Z140" s="101"/>
      <c r="AA140" s="101"/>
      <c r="AB140" s="101"/>
      <c r="AC140" s="101"/>
      <c r="AD140" s="101"/>
      <c r="AE140" s="101"/>
      <c r="AF140" s="101"/>
      <c r="AG140" s="101"/>
    </row>
    <row r="141" spans="21:33" s="1" customFormat="1" x14ac:dyDescent="0.25"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</row>
    <row r="142" spans="21:33" s="1" customFormat="1" x14ac:dyDescent="0.25"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</row>
    <row r="143" spans="21:33" s="1" customFormat="1" x14ac:dyDescent="0.25">
      <c r="U143" s="101"/>
      <c r="V143" s="101"/>
      <c r="W143" s="101"/>
      <c r="X143" s="101"/>
      <c r="Y143" s="101"/>
      <c r="Z143" s="101"/>
      <c r="AA143" s="101"/>
      <c r="AB143" s="101"/>
      <c r="AC143" s="101"/>
      <c r="AD143" s="101"/>
      <c r="AE143" s="101"/>
      <c r="AF143" s="101"/>
      <c r="AG143" s="101"/>
    </row>
    <row r="144" spans="21:33" s="1" customFormat="1" x14ac:dyDescent="0.25">
      <c r="U144" s="101"/>
      <c r="V144" s="101"/>
      <c r="W144" s="101"/>
      <c r="X144" s="101"/>
      <c r="Y144" s="101"/>
      <c r="Z144" s="101"/>
      <c r="AA144" s="101"/>
      <c r="AB144" s="101"/>
      <c r="AC144" s="101"/>
      <c r="AD144" s="101"/>
      <c r="AE144" s="101"/>
      <c r="AF144" s="101"/>
      <c r="AG144" s="101"/>
    </row>
    <row r="145" spans="21:33" s="1" customFormat="1" x14ac:dyDescent="0.25">
      <c r="U145" s="101"/>
      <c r="V145" s="101"/>
      <c r="W145" s="101"/>
      <c r="X145" s="101"/>
      <c r="Y145" s="101"/>
      <c r="Z145" s="101"/>
      <c r="AA145" s="101"/>
      <c r="AB145" s="101"/>
      <c r="AC145" s="101"/>
      <c r="AD145" s="101"/>
      <c r="AE145" s="101"/>
      <c r="AF145" s="101"/>
      <c r="AG145" s="101"/>
    </row>
    <row r="146" spans="21:33" s="1" customFormat="1" x14ac:dyDescent="0.25">
      <c r="U146" s="101"/>
      <c r="V146" s="101"/>
      <c r="W146" s="101"/>
      <c r="X146" s="101"/>
      <c r="Y146" s="101"/>
      <c r="Z146" s="101"/>
      <c r="AA146" s="101"/>
      <c r="AB146" s="101"/>
      <c r="AC146" s="101"/>
      <c r="AD146" s="101"/>
      <c r="AE146" s="101"/>
      <c r="AF146" s="101"/>
      <c r="AG146" s="101"/>
    </row>
    <row r="147" spans="21:33" s="1" customFormat="1" x14ac:dyDescent="0.25">
      <c r="U147" s="101"/>
      <c r="V147" s="101"/>
      <c r="W147" s="101"/>
      <c r="X147" s="101"/>
      <c r="Y147" s="101"/>
      <c r="Z147" s="101"/>
      <c r="AA147" s="101"/>
      <c r="AB147" s="101"/>
      <c r="AC147" s="101"/>
      <c r="AD147" s="101"/>
      <c r="AE147" s="101"/>
      <c r="AF147" s="101"/>
      <c r="AG147" s="101"/>
    </row>
    <row r="148" spans="21:33" s="1" customFormat="1" x14ac:dyDescent="0.25">
      <c r="U148" s="101"/>
      <c r="V148" s="101"/>
      <c r="W148" s="101"/>
      <c r="X148" s="101"/>
      <c r="Y148" s="101"/>
      <c r="Z148" s="101"/>
      <c r="AA148" s="101"/>
      <c r="AB148" s="101"/>
      <c r="AC148" s="101"/>
      <c r="AD148" s="101"/>
      <c r="AE148" s="101"/>
      <c r="AF148" s="101"/>
      <c r="AG148" s="101"/>
    </row>
    <row r="149" spans="21:33" s="1" customFormat="1" x14ac:dyDescent="0.25"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/>
      <c r="AE149" s="101"/>
      <c r="AF149" s="101"/>
      <c r="AG149" s="101"/>
    </row>
    <row r="150" spans="21:33" s="1" customFormat="1" x14ac:dyDescent="0.25"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/>
      <c r="AE150" s="101"/>
      <c r="AF150" s="101"/>
      <c r="AG150" s="101"/>
    </row>
    <row r="151" spans="21:33" s="1" customFormat="1" x14ac:dyDescent="0.25"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/>
      <c r="AE151" s="101"/>
      <c r="AF151" s="101"/>
      <c r="AG151" s="101"/>
    </row>
    <row r="152" spans="21:33" s="1" customFormat="1" x14ac:dyDescent="0.25"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/>
      <c r="AE152" s="101"/>
      <c r="AF152" s="101"/>
      <c r="AG152" s="101"/>
    </row>
    <row r="153" spans="21:33" s="1" customFormat="1" x14ac:dyDescent="0.25"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/>
      <c r="AE153" s="101"/>
      <c r="AF153" s="101"/>
      <c r="AG153" s="101"/>
    </row>
    <row r="154" spans="21:33" s="1" customFormat="1" x14ac:dyDescent="0.25"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/>
      <c r="AE154" s="101"/>
      <c r="AF154" s="101"/>
      <c r="AG154" s="101"/>
    </row>
    <row r="155" spans="21:33" s="1" customFormat="1" x14ac:dyDescent="0.25"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/>
      <c r="AE155" s="101"/>
      <c r="AF155" s="101"/>
      <c r="AG155" s="101"/>
    </row>
    <row r="156" spans="21:33" s="1" customFormat="1" x14ac:dyDescent="0.25"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/>
      <c r="AE156" s="101"/>
      <c r="AF156" s="101"/>
      <c r="AG156" s="101"/>
    </row>
    <row r="157" spans="21:33" s="1" customFormat="1" x14ac:dyDescent="0.25"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/>
      <c r="AE157" s="101"/>
      <c r="AF157" s="101"/>
      <c r="AG157" s="101"/>
    </row>
    <row r="158" spans="21:33" s="1" customFormat="1" x14ac:dyDescent="0.25"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/>
      <c r="AE158" s="101"/>
      <c r="AF158" s="101"/>
      <c r="AG158" s="101"/>
    </row>
    <row r="159" spans="21:33" s="1" customFormat="1" x14ac:dyDescent="0.25"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/>
      <c r="AE159" s="101"/>
      <c r="AF159" s="101"/>
      <c r="AG159" s="101"/>
    </row>
    <row r="160" spans="21:33" s="1" customFormat="1" x14ac:dyDescent="0.25"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/>
      <c r="AE160" s="101"/>
      <c r="AF160" s="101"/>
      <c r="AG160" s="101"/>
    </row>
    <row r="161" spans="21:33" s="1" customFormat="1" x14ac:dyDescent="0.25"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/>
      <c r="AE161" s="101"/>
      <c r="AF161" s="101"/>
      <c r="AG161" s="101"/>
    </row>
    <row r="162" spans="21:33" s="1" customFormat="1" x14ac:dyDescent="0.25"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/>
      <c r="AE162" s="101"/>
      <c r="AF162" s="101"/>
      <c r="AG162" s="101"/>
    </row>
    <row r="163" spans="21:33" s="1" customFormat="1" x14ac:dyDescent="0.25"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/>
      <c r="AE163" s="101"/>
      <c r="AF163" s="101"/>
      <c r="AG163" s="101"/>
    </row>
    <row r="164" spans="21:33" s="1" customFormat="1" x14ac:dyDescent="0.25"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</row>
    <row r="165" spans="21:33" s="1" customFormat="1" x14ac:dyDescent="0.25"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</row>
    <row r="166" spans="21:33" s="1" customFormat="1" x14ac:dyDescent="0.25"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/>
      <c r="AE166" s="101"/>
      <c r="AF166" s="101"/>
      <c r="AG166" s="101"/>
    </row>
    <row r="167" spans="21:33" s="1" customFormat="1" x14ac:dyDescent="0.25"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/>
      <c r="AE167" s="101"/>
      <c r="AF167" s="101"/>
      <c r="AG167" s="101"/>
    </row>
    <row r="168" spans="21:33" s="1" customFormat="1" x14ac:dyDescent="0.25"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/>
      <c r="AE168" s="101"/>
      <c r="AF168" s="101"/>
      <c r="AG168" s="101"/>
    </row>
    <row r="169" spans="21:33" s="1" customFormat="1" x14ac:dyDescent="0.25"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/>
      <c r="AE169" s="101"/>
      <c r="AF169" s="101"/>
      <c r="AG169" s="101"/>
    </row>
    <row r="170" spans="21:33" s="1" customFormat="1" x14ac:dyDescent="0.25"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/>
      <c r="AE170" s="101"/>
      <c r="AF170" s="101"/>
      <c r="AG170" s="101"/>
    </row>
    <row r="171" spans="21:33" s="1" customFormat="1" x14ac:dyDescent="0.25"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/>
      <c r="AE171" s="101"/>
      <c r="AF171" s="101"/>
      <c r="AG171" s="101"/>
    </row>
    <row r="172" spans="21:33" s="1" customFormat="1" x14ac:dyDescent="0.25"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/>
      <c r="AE172" s="101"/>
      <c r="AF172" s="101"/>
      <c r="AG172" s="101"/>
    </row>
    <row r="173" spans="21:33" s="1" customFormat="1" x14ac:dyDescent="0.25"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/>
      <c r="AE173" s="101"/>
      <c r="AF173" s="101"/>
      <c r="AG173" s="101"/>
    </row>
    <row r="174" spans="21:33" s="1" customFormat="1" x14ac:dyDescent="0.25"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/>
      <c r="AE174" s="101"/>
      <c r="AF174" s="101"/>
      <c r="AG174" s="101"/>
    </row>
    <row r="175" spans="21:33" s="1" customFormat="1" x14ac:dyDescent="0.25"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/>
      <c r="AE175" s="101"/>
      <c r="AF175" s="101"/>
      <c r="AG175" s="101"/>
    </row>
    <row r="176" spans="21:33" s="1" customFormat="1" x14ac:dyDescent="0.25"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/>
      <c r="AE176" s="101"/>
      <c r="AF176" s="101"/>
      <c r="AG176" s="101"/>
    </row>
    <row r="177" spans="21:33" s="1" customFormat="1" x14ac:dyDescent="0.25"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/>
      <c r="AE177" s="101"/>
      <c r="AF177" s="101"/>
      <c r="AG177" s="101"/>
    </row>
    <row r="178" spans="21:33" s="1" customFormat="1" x14ac:dyDescent="0.25"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/>
      <c r="AE178" s="101"/>
      <c r="AF178" s="101"/>
      <c r="AG178" s="101"/>
    </row>
    <row r="179" spans="21:33" s="1" customFormat="1" x14ac:dyDescent="0.25"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/>
      <c r="AE179" s="101"/>
      <c r="AF179" s="101"/>
      <c r="AG179" s="101"/>
    </row>
    <row r="180" spans="21:33" s="1" customFormat="1" x14ac:dyDescent="0.25"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/>
      <c r="AE180" s="101"/>
      <c r="AF180" s="101"/>
      <c r="AG180" s="101"/>
    </row>
    <row r="181" spans="21:33" s="1" customFormat="1" x14ac:dyDescent="0.25"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/>
      <c r="AE181" s="101"/>
      <c r="AF181" s="101"/>
      <c r="AG181" s="101"/>
    </row>
    <row r="182" spans="21:33" s="1" customFormat="1" x14ac:dyDescent="0.25"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/>
      <c r="AG182" s="101"/>
    </row>
    <row r="183" spans="21:33" s="1" customFormat="1" x14ac:dyDescent="0.25"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/>
      <c r="AG183" s="101"/>
    </row>
    <row r="184" spans="21:33" s="1" customFormat="1" x14ac:dyDescent="0.25"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/>
      <c r="AG184" s="101"/>
    </row>
    <row r="185" spans="21:33" s="1" customFormat="1" x14ac:dyDescent="0.25"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/>
      <c r="AG185" s="101"/>
    </row>
    <row r="186" spans="21:33" s="1" customFormat="1" x14ac:dyDescent="0.25"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/>
      <c r="AG186" s="101"/>
    </row>
    <row r="187" spans="21:33" s="1" customFormat="1" x14ac:dyDescent="0.25"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</row>
    <row r="188" spans="21:33" s="1" customFormat="1" x14ac:dyDescent="0.25"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</row>
    <row r="189" spans="21:33" s="1" customFormat="1" x14ac:dyDescent="0.25"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/>
      <c r="AG189" s="101"/>
    </row>
    <row r="190" spans="21:33" s="1" customFormat="1" x14ac:dyDescent="0.25"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/>
      <c r="AG190" s="101"/>
    </row>
    <row r="191" spans="21:33" s="1" customFormat="1" x14ac:dyDescent="0.25"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/>
      <c r="AG191" s="101"/>
    </row>
    <row r="192" spans="21:33" s="1" customFormat="1" x14ac:dyDescent="0.25"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/>
      <c r="AG192" s="101"/>
    </row>
    <row r="193" spans="21:33" s="1" customFormat="1" x14ac:dyDescent="0.25"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/>
      <c r="AG193" s="101"/>
    </row>
    <row r="194" spans="21:33" s="1" customFormat="1" x14ac:dyDescent="0.25"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/>
      <c r="AG194" s="101"/>
    </row>
    <row r="195" spans="21:33" s="1" customFormat="1" x14ac:dyDescent="0.25"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/>
      <c r="AG195" s="101"/>
    </row>
    <row r="196" spans="21:33" s="1" customFormat="1" x14ac:dyDescent="0.25"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/>
      <c r="AG196" s="101"/>
    </row>
    <row r="197" spans="21:33" s="1" customFormat="1" x14ac:dyDescent="0.25"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/>
      <c r="AG197" s="101"/>
    </row>
    <row r="198" spans="21:33" s="1" customFormat="1" x14ac:dyDescent="0.25"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/>
      <c r="AG198" s="101"/>
    </row>
    <row r="199" spans="21:33" s="1" customFormat="1" x14ac:dyDescent="0.25"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</row>
    <row r="200" spans="21:33" s="1" customFormat="1" x14ac:dyDescent="0.25"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/>
      <c r="AG200" s="101"/>
    </row>
    <row r="201" spans="21:33" s="1" customFormat="1" x14ac:dyDescent="0.25"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/>
      <c r="AG201" s="101"/>
    </row>
    <row r="202" spans="21:33" s="1" customFormat="1" x14ac:dyDescent="0.25"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/>
      <c r="AG202" s="101"/>
    </row>
    <row r="203" spans="21:33" s="1" customFormat="1" x14ac:dyDescent="0.25"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/>
      <c r="AG203" s="101"/>
    </row>
    <row r="204" spans="21:33" s="1" customFormat="1" x14ac:dyDescent="0.25"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/>
      <c r="AG204" s="101"/>
    </row>
    <row r="205" spans="21:33" s="1" customFormat="1" x14ac:dyDescent="0.25"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/>
      <c r="AG205" s="101"/>
    </row>
    <row r="206" spans="21:33" s="1" customFormat="1" x14ac:dyDescent="0.25"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/>
      <c r="AG206" s="101"/>
    </row>
    <row r="207" spans="21:33" s="1" customFormat="1" x14ac:dyDescent="0.25">
      <c r="U207" s="101"/>
      <c r="V207" s="101"/>
      <c r="W207" s="101"/>
      <c r="X207" s="101"/>
      <c r="Y207" s="101"/>
      <c r="Z207" s="101"/>
      <c r="AA207" s="101"/>
      <c r="AB207" s="101"/>
      <c r="AC207" s="101"/>
      <c r="AD207" s="101"/>
      <c r="AE207" s="101"/>
      <c r="AF207" s="101"/>
      <c r="AG207" s="101"/>
    </row>
    <row r="208" spans="21:33" s="1" customFormat="1" x14ac:dyDescent="0.25">
      <c r="U208" s="101"/>
      <c r="V208" s="101"/>
      <c r="W208" s="101"/>
      <c r="X208" s="101"/>
      <c r="Y208" s="101"/>
      <c r="Z208" s="101"/>
      <c r="AA208" s="101"/>
      <c r="AB208" s="101"/>
      <c r="AC208" s="101"/>
      <c r="AD208" s="101"/>
      <c r="AE208" s="101"/>
      <c r="AF208" s="101"/>
      <c r="AG208" s="101"/>
    </row>
    <row r="209" spans="21:33" s="1" customFormat="1" x14ac:dyDescent="0.25">
      <c r="U209" s="101"/>
      <c r="V209" s="101"/>
      <c r="W209" s="101"/>
      <c r="X209" s="101"/>
      <c r="Y209" s="101"/>
      <c r="Z209" s="101"/>
      <c r="AA209" s="101"/>
      <c r="AB209" s="101"/>
      <c r="AC209" s="101"/>
      <c r="AD209" s="101"/>
      <c r="AE209" s="101"/>
      <c r="AF209" s="101"/>
      <c r="AG209" s="101"/>
    </row>
    <row r="210" spans="21:33" s="1" customFormat="1" x14ac:dyDescent="0.25"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</row>
    <row r="211" spans="21:33" s="1" customFormat="1" x14ac:dyDescent="0.25"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</row>
    <row r="212" spans="21:33" s="1" customFormat="1" x14ac:dyDescent="0.25">
      <c r="U212" s="101"/>
      <c r="V212" s="101"/>
      <c r="W212" s="101"/>
      <c r="X212" s="101"/>
      <c r="Y212" s="101"/>
      <c r="Z212" s="101"/>
      <c r="AA212" s="101"/>
      <c r="AB212" s="101"/>
      <c r="AC212" s="101"/>
      <c r="AD212" s="101"/>
      <c r="AE212" s="101"/>
      <c r="AF212" s="101"/>
      <c r="AG212" s="101"/>
    </row>
    <row r="213" spans="21:33" s="1" customFormat="1" x14ac:dyDescent="0.25">
      <c r="U213" s="101"/>
      <c r="V213" s="101"/>
      <c r="W213" s="101"/>
      <c r="X213" s="101"/>
      <c r="Y213" s="101"/>
      <c r="Z213" s="101"/>
      <c r="AA213" s="101"/>
      <c r="AB213" s="101"/>
      <c r="AC213" s="101"/>
      <c r="AD213" s="101"/>
      <c r="AE213" s="101"/>
      <c r="AF213" s="101"/>
      <c r="AG213" s="101"/>
    </row>
    <row r="214" spans="21:33" s="1" customFormat="1" x14ac:dyDescent="0.25">
      <c r="U214" s="101"/>
      <c r="V214" s="101"/>
      <c r="W214" s="101"/>
      <c r="X214" s="101"/>
      <c r="Y214" s="101"/>
      <c r="Z214" s="101"/>
      <c r="AA214" s="101"/>
      <c r="AB214" s="101"/>
      <c r="AC214" s="101"/>
      <c r="AD214" s="101"/>
      <c r="AE214" s="101"/>
      <c r="AF214" s="101"/>
      <c r="AG214" s="101"/>
    </row>
    <row r="215" spans="21:33" s="1" customFormat="1" x14ac:dyDescent="0.25">
      <c r="U215" s="101"/>
      <c r="V215" s="101"/>
      <c r="W215" s="101"/>
      <c r="X215" s="101"/>
      <c r="Y215" s="101"/>
      <c r="Z215" s="101"/>
      <c r="AA215" s="101"/>
      <c r="AB215" s="101"/>
      <c r="AC215" s="101"/>
      <c r="AD215" s="101"/>
      <c r="AE215" s="101"/>
      <c r="AF215" s="101"/>
      <c r="AG215" s="101"/>
    </row>
    <row r="216" spans="21:33" s="1" customFormat="1" x14ac:dyDescent="0.25">
      <c r="U216" s="101"/>
      <c r="V216" s="101"/>
      <c r="W216" s="101"/>
      <c r="X216" s="101"/>
      <c r="Y216" s="101"/>
      <c r="Z216" s="101"/>
      <c r="AA216" s="101"/>
      <c r="AB216" s="101"/>
      <c r="AC216" s="101"/>
      <c r="AD216" s="101"/>
      <c r="AE216" s="101"/>
      <c r="AF216" s="101"/>
      <c r="AG216" s="101"/>
    </row>
    <row r="217" spans="21:33" s="1" customFormat="1" x14ac:dyDescent="0.25">
      <c r="U217" s="101"/>
      <c r="V217" s="101"/>
      <c r="W217" s="101"/>
      <c r="X217" s="101"/>
      <c r="Y217" s="101"/>
      <c r="Z217" s="101"/>
      <c r="AA217" s="101"/>
      <c r="AB217" s="101"/>
      <c r="AC217" s="101"/>
      <c r="AD217" s="101"/>
      <c r="AE217" s="101"/>
      <c r="AF217" s="101"/>
      <c r="AG217" s="101"/>
    </row>
    <row r="218" spans="21:33" s="1" customFormat="1" x14ac:dyDescent="0.25">
      <c r="U218" s="101"/>
      <c r="V218" s="101"/>
      <c r="W218" s="101"/>
      <c r="X218" s="101"/>
      <c r="Y218" s="101"/>
      <c r="Z218" s="101"/>
      <c r="AA218" s="101"/>
      <c r="AB218" s="101"/>
      <c r="AC218" s="101"/>
      <c r="AD218" s="101"/>
      <c r="AE218" s="101"/>
      <c r="AF218" s="101"/>
      <c r="AG218" s="101"/>
    </row>
    <row r="219" spans="21:33" s="1" customFormat="1" x14ac:dyDescent="0.25">
      <c r="U219" s="101"/>
      <c r="V219" s="101"/>
      <c r="W219" s="101"/>
      <c r="X219" s="101"/>
      <c r="Y219" s="101"/>
      <c r="Z219" s="101"/>
      <c r="AA219" s="101"/>
      <c r="AB219" s="101"/>
      <c r="AC219" s="101"/>
      <c r="AD219" s="101"/>
      <c r="AE219" s="101"/>
      <c r="AF219" s="101"/>
      <c r="AG219" s="101"/>
    </row>
    <row r="220" spans="21:33" s="1" customFormat="1" x14ac:dyDescent="0.25">
      <c r="U220" s="101"/>
      <c r="V220" s="101"/>
      <c r="W220" s="101"/>
      <c r="X220" s="101"/>
      <c r="Y220" s="101"/>
      <c r="Z220" s="101"/>
      <c r="AA220" s="101"/>
      <c r="AB220" s="101"/>
      <c r="AC220" s="101"/>
      <c r="AD220" s="101"/>
      <c r="AE220" s="101"/>
      <c r="AF220" s="101"/>
      <c r="AG220" s="101"/>
    </row>
    <row r="221" spans="21:33" s="1" customFormat="1" x14ac:dyDescent="0.25">
      <c r="U221" s="101"/>
      <c r="V221" s="101"/>
      <c r="W221" s="101"/>
      <c r="X221" s="101"/>
      <c r="Y221" s="101"/>
      <c r="Z221" s="101"/>
      <c r="AA221" s="101"/>
      <c r="AB221" s="101"/>
      <c r="AC221" s="101"/>
      <c r="AD221" s="101"/>
      <c r="AE221" s="101"/>
      <c r="AF221" s="101"/>
      <c r="AG221" s="101"/>
    </row>
    <row r="222" spans="21:33" s="1" customFormat="1" x14ac:dyDescent="0.25">
      <c r="U222" s="101"/>
      <c r="V222" s="101"/>
      <c r="W222" s="101"/>
      <c r="X222" s="101"/>
      <c r="Y222" s="101"/>
      <c r="Z222" s="101"/>
      <c r="AA222" s="101"/>
      <c r="AB222" s="101"/>
      <c r="AC222" s="101"/>
      <c r="AD222" s="101"/>
      <c r="AE222" s="101"/>
      <c r="AF222" s="101"/>
      <c r="AG222" s="101"/>
    </row>
    <row r="223" spans="21:33" s="1" customFormat="1" x14ac:dyDescent="0.25">
      <c r="U223" s="101"/>
      <c r="V223" s="101"/>
      <c r="W223" s="101"/>
      <c r="X223" s="101"/>
      <c r="Y223" s="101"/>
      <c r="Z223" s="101"/>
      <c r="AA223" s="101"/>
      <c r="AB223" s="101"/>
      <c r="AC223" s="101"/>
      <c r="AD223" s="101"/>
      <c r="AE223" s="101"/>
      <c r="AF223" s="101"/>
      <c r="AG223" s="101"/>
    </row>
    <row r="224" spans="21:33" s="1" customFormat="1" x14ac:dyDescent="0.25">
      <c r="U224" s="101"/>
      <c r="V224" s="101"/>
      <c r="W224" s="101"/>
      <c r="X224" s="101"/>
      <c r="Y224" s="101"/>
      <c r="Z224" s="101"/>
      <c r="AA224" s="101"/>
      <c r="AB224" s="101"/>
      <c r="AC224" s="101"/>
      <c r="AD224" s="101"/>
      <c r="AE224" s="101"/>
      <c r="AF224" s="101"/>
      <c r="AG224" s="101"/>
    </row>
    <row r="225" spans="21:33" s="1" customFormat="1" x14ac:dyDescent="0.25">
      <c r="U225" s="101"/>
      <c r="V225" s="101"/>
      <c r="W225" s="101"/>
      <c r="X225" s="101"/>
      <c r="Y225" s="101"/>
      <c r="Z225" s="101"/>
      <c r="AA225" s="101"/>
      <c r="AB225" s="101"/>
      <c r="AC225" s="101"/>
      <c r="AD225" s="101"/>
      <c r="AE225" s="101"/>
      <c r="AF225" s="101"/>
      <c r="AG225" s="101"/>
    </row>
    <row r="226" spans="21:33" s="1" customFormat="1" x14ac:dyDescent="0.25">
      <c r="U226" s="101"/>
      <c r="V226" s="101"/>
      <c r="W226" s="101"/>
      <c r="X226" s="101"/>
      <c r="Y226" s="101"/>
      <c r="Z226" s="101"/>
      <c r="AA226" s="101"/>
      <c r="AB226" s="101"/>
      <c r="AC226" s="101"/>
      <c r="AD226" s="101"/>
      <c r="AE226" s="101"/>
      <c r="AF226" s="101"/>
      <c r="AG226" s="101"/>
    </row>
    <row r="227" spans="21:33" s="1" customFormat="1" x14ac:dyDescent="0.25">
      <c r="U227" s="101"/>
      <c r="V227" s="101"/>
      <c r="W227" s="101"/>
      <c r="X227" s="101"/>
      <c r="Y227" s="101"/>
      <c r="Z227" s="101"/>
      <c r="AA227" s="101"/>
      <c r="AB227" s="101"/>
      <c r="AC227" s="101"/>
      <c r="AD227" s="101"/>
      <c r="AE227" s="101"/>
      <c r="AF227" s="101"/>
      <c r="AG227" s="101"/>
    </row>
    <row r="228" spans="21:33" s="1" customFormat="1" x14ac:dyDescent="0.25">
      <c r="U228" s="101"/>
      <c r="V228" s="101"/>
      <c r="W228" s="101"/>
      <c r="X228" s="101"/>
      <c r="Y228" s="101"/>
      <c r="Z228" s="101"/>
      <c r="AA228" s="101"/>
      <c r="AB228" s="101"/>
      <c r="AC228" s="101"/>
      <c r="AD228" s="101"/>
      <c r="AE228" s="101"/>
      <c r="AF228" s="101"/>
      <c r="AG228" s="101"/>
    </row>
    <row r="229" spans="21:33" s="1" customFormat="1" x14ac:dyDescent="0.25">
      <c r="U229" s="101"/>
      <c r="V229" s="101"/>
      <c r="W229" s="101"/>
      <c r="X229" s="101"/>
      <c r="Y229" s="101"/>
      <c r="Z229" s="101"/>
      <c r="AA229" s="101"/>
      <c r="AB229" s="101"/>
      <c r="AC229" s="101"/>
      <c r="AD229" s="101"/>
      <c r="AE229" s="101"/>
      <c r="AF229" s="101"/>
      <c r="AG229" s="101"/>
    </row>
    <row r="230" spans="21:33" s="1" customFormat="1" x14ac:dyDescent="0.25">
      <c r="U230" s="101"/>
      <c r="V230" s="101"/>
      <c r="W230" s="101"/>
      <c r="X230" s="101"/>
      <c r="Y230" s="101"/>
      <c r="Z230" s="101"/>
      <c r="AA230" s="101"/>
      <c r="AB230" s="101"/>
      <c r="AC230" s="101"/>
      <c r="AD230" s="101"/>
      <c r="AE230" s="101"/>
      <c r="AF230" s="101"/>
      <c r="AG230" s="101"/>
    </row>
    <row r="231" spans="21:33" s="1" customFormat="1" x14ac:dyDescent="0.25">
      <c r="U231" s="101"/>
      <c r="V231" s="101"/>
      <c r="W231" s="101"/>
      <c r="X231" s="101"/>
      <c r="Y231" s="101"/>
      <c r="Z231" s="101"/>
      <c r="AA231" s="101"/>
      <c r="AB231" s="101"/>
      <c r="AC231" s="101"/>
      <c r="AD231" s="101"/>
      <c r="AE231" s="101"/>
      <c r="AF231" s="101"/>
      <c r="AG231" s="101"/>
    </row>
    <row r="232" spans="21:33" s="1" customFormat="1" x14ac:dyDescent="0.25">
      <c r="U232" s="101"/>
      <c r="V232" s="101"/>
      <c r="W232" s="101"/>
      <c r="X232" s="101"/>
      <c r="Y232" s="101"/>
      <c r="Z232" s="101"/>
      <c r="AA232" s="101"/>
      <c r="AB232" s="101"/>
      <c r="AC232" s="101"/>
      <c r="AD232" s="101"/>
      <c r="AE232" s="101"/>
      <c r="AF232" s="101"/>
      <c r="AG232" s="101"/>
    </row>
    <row r="233" spans="21:33" s="1" customFormat="1" x14ac:dyDescent="0.25"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</row>
    <row r="234" spans="21:33" s="1" customFormat="1" x14ac:dyDescent="0.25"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</row>
    <row r="235" spans="21:33" s="1" customFormat="1" x14ac:dyDescent="0.25">
      <c r="U235" s="101"/>
      <c r="V235" s="101"/>
      <c r="W235" s="101"/>
      <c r="X235" s="101"/>
      <c r="Y235" s="101"/>
      <c r="Z235" s="101"/>
      <c r="AA235" s="101"/>
      <c r="AB235" s="101"/>
      <c r="AC235" s="101"/>
      <c r="AD235" s="101"/>
      <c r="AE235" s="101"/>
      <c r="AF235" s="101"/>
      <c r="AG235" s="101"/>
    </row>
    <row r="236" spans="21:33" s="1" customFormat="1" x14ac:dyDescent="0.25">
      <c r="U236" s="101"/>
      <c r="V236" s="101"/>
      <c r="W236" s="101"/>
      <c r="X236" s="101"/>
      <c r="Y236" s="101"/>
      <c r="Z236" s="101"/>
      <c r="AA236" s="101"/>
      <c r="AB236" s="101"/>
      <c r="AC236" s="101"/>
      <c r="AD236" s="101"/>
      <c r="AE236" s="101"/>
      <c r="AF236" s="101"/>
      <c r="AG236" s="101"/>
    </row>
    <row r="237" spans="21:33" s="1" customFormat="1" x14ac:dyDescent="0.25">
      <c r="U237" s="101"/>
      <c r="V237" s="101"/>
      <c r="W237" s="101"/>
      <c r="X237" s="101"/>
      <c r="Y237" s="101"/>
      <c r="Z237" s="101"/>
      <c r="AA237" s="101"/>
      <c r="AB237" s="101"/>
      <c r="AC237" s="101"/>
      <c r="AD237" s="101"/>
      <c r="AE237" s="101"/>
      <c r="AF237" s="101"/>
      <c r="AG237" s="101"/>
    </row>
    <row r="238" spans="21:33" s="1" customFormat="1" x14ac:dyDescent="0.25">
      <c r="U238" s="101"/>
      <c r="V238" s="101"/>
      <c r="W238" s="101"/>
      <c r="X238" s="101"/>
      <c r="Y238" s="101"/>
      <c r="Z238" s="101"/>
      <c r="AA238" s="101"/>
      <c r="AB238" s="101"/>
      <c r="AC238" s="101"/>
      <c r="AD238" s="101"/>
      <c r="AE238" s="101"/>
      <c r="AF238" s="101"/>
      <c r="AG238" s="101"/>
    </row>
    <row r="239" spans="21:33" s="1" customFormat="1" x14ac:dyDescent="0.25">
      <c r="U239" s="101"/>
      <c r="V239" s="101"/>
      <c r="W239" s="101"/>
      <c r="X239" s="101"/>
      <c r="Y239" s="101"/>
      <c r="Z239" s="101"/>
      <c r="AA239" s="101"/>
      <c r="AB239" s="101"/>
      <c r="AC239" s="101"/>
      <c r="AD239" s="101"/>
      <c r="AE239" s="101"/>
      <c r="AF239" s="101"/>
      <c r="AG239" s="101"/>
    </row>
    <row r="240" spans="21:33" s="1" customFormat="1" x14ac:dyDescent="0.25">
      <c r="U240" s="101"/>
      <c r="V240" s="101"/>
      <c r="W240" s="101"/>
      <c r="X240" s="101"/>
      <c r="Y240" s="101"/>
      <c r="Z240" s="101"/>
      <c r="AA240" s="101"/>
      <c r="AB240" s="101"/>
      <c r="AC240" s="101"/>
      <c r="AD240" s="101"/>
      <c r="AE240" s="101"/>
      <c r="AF240" s="101"/>
      <c r="AG240" s="101"/>
    </row>
    <row r="241" spans="21:33" s="1" customFormat="1" x14ac:dyDescent="0.25">
      <c r="U241" s="101"/>
      <c r="V241" s="101"/>
      <c r="W241" s="101"/>
      <c r="X241" s="101"/>
      <c r="Y241" s="101"/>
      <c r="Z241" s="101"/>
      <c r="AA241" s="101"/>
      <c r="AB241" s="101"/>
      <c r="AC241" s="101"/>
      <c r="AD241" s="101"/>
      <c r="AE241" s="101"/>
      <c r="AF241" s="101"/>
      <c r="AG241" s="101"/>
    </row>
    <row r="242" spans="21:33" s="1" customFormat="1" x14ac:dyDescent="0.25">
      <c r="U242" s="101"/>
      <c r="V242" s="101"/>
      <c r="W242" s="101"/>
      <c r="X242" s="101"/>
      <c r="Y242" s="101"/>
      <c r="Z242" s="101"/>
      <c r="AA242" s="101"/>
      <c r="AB242" s="101"/>
      <c r="AC242" s="101"/>
      <c r="AD242" s="101"/>
      <c r="AE242" s="101"/>
      <c r="AF242" s="101"/>
      <c r="AG242" s="101"/>
    </row>
    <row r="243" spans="21:33" s="1" customFormat="1" x14ac:dyDescent="0.25">
      <c r="U243" s="101"/>
      <c r="V243" s="101"/>
      <c r="W243" s="101"/>
      <c r="X243" s="101"/>
      <c r="Y243" s="101"/>
      <c r="Z243" s="101"/>
      <c r="AA243" s="101"/>
      <c r="AB243" s="101"/>
      <c r="AC243" s="101"/>
      <c r="AD243" s="101"/>
      <c r="AE243" s="101"/>
      <c r="AF243" s="101"/>
      <c r="AG243" s="101"/>
    </row>
    <row r="244" spans="21:33" s="1" customFormat="1" x14ac:dyDescent="0.25">
      <c r="U244" s="101"/>
      <c r="V244" s="101"/>
      <c r="W244" s="101"/>
      <c r="X244" s="101"/>
      <c r="Y244" s="101"/>
      <c r="Z244" s="101"/>
      <c r="AA244" s="101"/>
      <c r="AB244" s="101"/>
      <c r="AC244" s="101"/>
      <c r="AD244" s="101"/>
      <c r="AE244" s="101"/>
      <c r="AF244" s="101"/>
      <c r="AG244" s="101"/>
    </row>
    <row r="245" spans="21:33" s="1" customFormat="1" x14ac:dyDescent="0.25">
      <c r="U245" s="101"/>
      <c r="V245" s="101"/>
      <c r="W245" s="101"/>
      <c r="X245" s="101"/>
      <c r="Y245" s="101"/>
      <c r="Z245" s="101"/>
      <c r="AA245" s="101"/>
      <c r="AB245" s="101"/>
      <c r="AC245" s="101"/>
      <c r="AD245" s="101"/>
      <c r="AE245" s="101"/>
      <c r="AF245" s="101"/>
      <c r="AG245" s="101"/>
    </row>
    <row r="246" spans="21:33" s="1" customFormat="1" x14ac:dyDescent="0.25">
      <c r="U246" s="101"/>
      <c r="V246" s="101"/>
      <c r="W246" s="101"/>
      <c r="X246" s="101"/>
      <c r="Y246" s="101"/>
      <c r="Z246" s="101"/>
      <c r="AA246" s="101"/>
      <c r="AB246" s="101"/>
      <c r="AC246" s="101"/>
      <c r="AD246" s="101"/>
      <c r="AE246" s="101"/>
      <c r="AF246" s="101"/>
      <c r="AG246" s="101"/>
    </row>
    <row r="247" spans="21:33" s="1" customFormat="1" x14ac:dyDescent="0.25">
      <c r="U247" s="101"/>
      <c r="V247" s="101"/>
      <c r="W247" s="101"/>
      <c r="X247" s="101"/>
      <c r="Y247" s="101"/>
      <c r="Z247" s="101"/>
      <c r="AA247" s="101"/>
      <c r="AB247" s="101"/>
      <c r="AC247" s="101"/>
      <c r="AD247" s="101"/>
      <c r="AE247" s="101"/>
      <c r="AF247" s="101"/>
      <c r="AG247" s="101"/>
    </row>
    <row r="248" spans="21:33" s="1" customFormat="1" x14ac:dyDescent="0.25">
      <c r="U248" s="101"/>
      <c r="V248" s="101"/>
      <c r="W248" s="101"/>
      <c r="X248" s="101"/>
      <c r="Y248" s="101"/>
      <c r="Z248" s="101"/>
      <c r="AA248" s="101"/>
      <c r="AB248" s="101"/>
      <c r="AC248" s="101"/>
      <c r="AD248" s="101"/>
      <c r="AE248" s="101"/>
      <c r="AF248" s="101"/>
      <c r="AG248" s="101"/>
    </row>
    <row r="249" spans="21:33" s="1" customFormat="1" x14ac:dyDescent="0.25">
      <c r="U249" s="101"/>
      <c r="V249" s="101"/>
      <c r="W249" s="101"/>
      <c r="X249" s="101"/>
      <c r="Y249" s="101"/>
      <c r="Z249" s="101"/>
      <c r="AA249" s="101"/>
      <c r="AB249" s="101"/>
      <c r="AC249" s="101"/>
      <c r="AD249" s="101"/>
      <c r="AE249" s="101"/>
      <c r="AF249" s="101"/>
      <c r="AG249" s="101"/>
    </row>
    <row r="250" spans="21:33" s="1" customFormat="1" x14ac:dyDescent="0.25">
      <c r="U250" s="101"/>
      <c r="V250" s="101"/>
      <c r="W250" s="101"/>
      <c r="X250" s="101"/>
      <c r="Y250" s="101"/>
      <c r="Z250" s="101"/>
      <c r="AA250" s="101"/>
      <c r="AB250" s="101"/>
      <c r="AC250" s="101"/>
      <c r="AD250" s="101"/>
      <c r="AE250" s="101"/>
      <c r="AF250" s="101"/>
      <c r="AG250" s="101"/>
    </row>
    <row r="251" spans="21:33" s="1" customFormat="1" x14ac:dyDescent="0.25">
      <c r="U251" s="101"/>
      <c r="V251" s="101"/>
      <c r="W251" s="101"/>
      <c r="X251" s="101"/>
      <c r="Y251" s="101"/>
      <c r="Z251" s="101"/>
      <c r="AA251" s="101"/>
      <c r="AB251" s="101"/>
      <c r="AC251" s="101"/>
      <c r="AD251" s="101"/>
      <c r="AE251" s="101"/>
      <c r="AF251" s="101"/>
      <c r="AG251" s="101"/>
    </row>
    <row r="252" spans="21:33" s="1" customFormat="1" x14ac:dyDescent="0.25">
      <c r="U252" s="101"/>
      <c r="V252" s="101"/>
      <c r="W252" s="101"/>
      <c r="X252" s="101"/>
      <c r="Y252" s="101"/>
      <c r="Z252" s="101"/>
      <c r="AA252" s="101"/>
      <c r="AB252" s="101"/>
      <c r="AC252" s="101"/>
      <c r="AD252" s="101"/>
      <c r="AE252" s="101"/>
      <c r="AF252" s="101"/>
      <c r="AG252" s="101"/>
    </row>
    <row r="253" spans="21:33" s="1" customFormat="1" x14ac:dyDescent="0.25">
      <c r="U253" s="101"/>
      <c r="V253" s="101"/>
      <c r="W253" s="101"/>
      <c r="X253" s="101"/>
      <c r="Y253" s="101"/>
      <c r="Z253" s="101"/>
      <c r="AA253" s="101"/>
      <c r="AB253" s="101"/>
      <c r="AC253" s="101"/>
      <c r="AD253" s="101"/>
      <c r="AE253" s="101"/>
      <c r="AF253" s="101"/>
      <c r="AG253" s="101"/>
    </row>
    <row r="254" spans="21:33" s="1" customFormat="1" x14ac:dyDescent="0.25">
      <c r="U254" s="101"/>
      <c r="V254" s="101"/>
      <c r="W254" s="101"/>
      <c r="X254" s="101"/>
      <c r="Y254" s="101"/>
      <c r="Z254" s="101"/>
      <c r="AA254" s="101"/>
      <c r="AB254" s="101"/>
      <c r="AC254" s="101"/>
      <c r="AD254" s="101"/>
      <c r="AE254" s="101"/>
      <c r="AF254" s="101"/>
      <c r="AG254" s="101"/>
    </row>
    <row r="255" spans="21:33" s="1" customFormat="1" x14ac:dyDescent="0.25">
      <c r="U255" s="101"/>
      <c r="V255" s="101"/>
      <c r="W255" s="101"/>
      <c r="X255" s="101"/>
      <c r="Y255" s="101"/>
      <c r="Z255" s="101"/>
      <c r="AA255" s="101"/>
      <c r="AB255" s="101"/>
      <c r="AC255" s="101"/>
      <c r="AD255" s="101"/>
      <c r="AE255" s="101"/>
      <c r="AF255" s="101"/>
      <c r="AG255" s="101"/>
    </row>
    <row r="256" spans="21:33" s="1" customFormat="1" x14ac:dyDescent="0.25"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</row>
    <row r="257" spans="21:33" s="1" customFormat="1" x14ac:dyDescent="0.25"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</row>
    <row r="258" spans="21:33" s="1" customFormat="1" x14ac:dyDescent="0.25">
      <c r="U258" s="101"/>
      <c r="V258" s="101"/>
      <c r="W258" s="101"/>
      <c r="X258" s="101"/>
      <c r="Y258" s="101"/>
      <c r="Z258" s="101"/>
      <c r="AA258" s="101"/>
      <c r="AB258" s="101"/>
      <c r="AC258" s="101"/>
      <c r="AD258" s="101"/>
      <c r="AE258" s="101"/>
      <c r="AF258" s="101"/>
      <c r="AG258" s="101"/>
    </row>
    <row r="259" spans="21:33" s="1" customFormat="1" x14ac:dyDescent="0.25">
      <c r="U259" s="101"/>
      <c r="V259" s="101"/>
      <c r="W259" s="101"/>
      <c r="X259" s="101"/>
      <c r="Y259" s="101"/>
      <c r="Z259" s="101"/>
      <c r="AA259" s="101"/>
      <c r="AB259" s="101"/>
      <c r="AC259" s="101"/>
      <c r="AD259" s="101"/>
      <c r="AE259" s="101"/>
      <c r="AF259" s="101"/>
      <c r="AG259" s="101"/>
    </row>
    <row r="260" spans="21:33" s="1" customFormat="1" x14ac:dyDescent="0.25">
      <c r="U260" s="101"/>
      <c r="V260" s="101"/>
      <c r="W260" s="101"/>
      <c r="X260" s="101"/>
      <c r="Y260" s="101"/>
      <c r="Z260" s="101"/>
      <c r="AA260" s="101"/>
      <c r="AB260" s="101"/>
      <c r="AC260" s="101"/>
      <c r="AD260" s="101"/>
      <c r="AE260" s="101"/>
      <c r="AF260" s="101"/>
      <c r="AG260" s="101"/>
    </row>
    <row r="261" spans="21:33" s="1" customFormat="1" x14ac:dyDescent="0.25">
      <c r="U261" s="101"/>
      <c r="V261" s="101"/>
      <c r="W261" s="101"/>
      <c r="X261" s="101"/>
      <c r="Y261" s="101"/>
      <c r="Z261" s="101"/>
      <c r="AA261" s="101"/>
      <c r="AB261" s="101"/>
      <c r="AC261" s="101"/>
      <c r="AD261" s="101"/>
      <c r="AE261" s="101"/>
      <c r="AF261" s="101"/>
      <c r="AG261" s="101"/>
    </row>
    <row r="262" spans="21:33" s="1" customFormat="1" x14ac:dyDescent="0.25">
      <c r="U262" s="101"/>
      <c r="V262" s="101"/>
      <c r="W262" s="101"/>
      <c r="X262" s="101"/>
      <c r="Y262" s="101"/>
      <c r="Z262" s="101"/>
      <c r="AA262" s="101"/>
      <c r="AB262" s="101"/>
      <c r="AC262" s="101"/>
      <c r="AD262" s="101"/>
      <c r="AE262" s="101"/>
      <c r="AF262" s="101"/>
      <c r="AG262" s="101"/>
    </row>
    <row r="263" spans="21:33" s="1" customFormat="1" x14ac:dyDescent="0.25">
      <c r="U263" s="101"/>
      <c r="V263" s="101"/>
      <c r="W263" s="101"/>
      <c r="X263" s="101"/>
      <c r="Y263" s="101"/>
      <c r="Z263" s="101"/>
      <c r="AA263" s="101"/>
      <c r="AB263" s="101"/>
      <c r="AC263" s="101"/>
      <c r="AD263" s="101"/>
      <c r="AE263" s="101"/>
      <c r="AF263" s="101"/>
      <c r="AG263" s="101"/>
    </row>
    <row r="264" spans="21:33" s="1" customFormat="1" x14ac:dyDescent="0.25">
      <c r="U264" s="101"/>
      <c r="V264" s="101"/>
      <c r="W264" s="101"/>
      <c r="X264" s="101"/>
      <c r="Y264" s="101"/>
      <c r="Z264" s="101"/>
      <c r="AA264" s="101"/>
      <c r="AB264" s="101"/>
      <c r="AC264" s="101"/>
      <c r="AD264" s="101"/>
      <c r="AE264" s="101"/>
      <c r="AF264" s="101"/>
      <c r="AG264" s="101"/>
    </row>
    <row r="265" spans="21:33" s="1" customFormat="1" x14ac:dyDescent="0.25">
      <c r="U265" s="101"/>
      <c r="V265" s="101"/>
      <c r="W265" s="101"/>
      <c r="X265" s="101"/>
      <c r="Y265" s="101"/>
      <c r="Z265" s="101"/>
      <c r="AA265" s="101"/>
      <c r="AB265" s="101"/>
      <c r="AC265" s="101"/>
      <c r="AD265" s="101"/>
      <c r="AE265" s="101"/>
      <c r="AF265" s="101"/>
      <c r="AG265" s="101"/>
    </row>
    <row r="266" spans="21:33" s="1" customFormat="1" x14ac:dyDescent="0.25">
      <c r="U266" s="101"/>
      <c r="V266" s="101"/>
      <c r="W266" s="101"/>
      <c r="X266" s="101"/>
      <c r="Y266" s="101"/>
      <c r="Z266" s="101"/>
      <c r="AA266" s="101"/>
      <c r="AB266" s="101"/>
      <c r="AC266" s="101"/>
      <c r="AD266" s="101"/>
      <c r="AE266" s="101"/>
      <c r="AF266" s="101"/>
      <c r="AG266" s="101"/>
    </row>
    <row r="267" spans="21:33" s="1" customFormat="1" x14ac:dyDescent="0.25">
      <c r="U267" s="101"/>
      <c r="V267" s="101"/>
      <c r="W267" s="101"/>
      <c r="X267" s="101"/>
      <c r="Y267" s="101"/>
      <c r="Z267" s="101"/>
      <c r="AA267" s="101"/>
      <c r="AB267" s="101"/>
      <c r="AC267" s="101"/>
      <c r="AD267" s="101"/>
      <c r="AE267" s="101"/>
      <c r="AF267" s="101"/>
      <c r="AG267" s="101"/>
    </row>
    <row r="268" spans="21:33" s="1" customFormat="1" x14ac:dyDescent="0.25">
      <c r="U268" s="101"/>
      <c r="V268" s="101"/>
      <c r="W268" s="101"/>
      <c r="X268" s="101"/>
      <c r="Y268" s="101"/>
      <c r="Z268" s="101"/>
      <c r="AA268" s="101"/>
      <c r="AB268" s="101"/>
      <c r="AC268" s="101"/>
      <c r="AD268" s="101"/>
      <c r="AE268" s="101"/>
      <c r="AF268" s="101"/>
      <c r="AG268" s="101"/>
    </row>
    <row r="269" spans="21:33" s="1" customFormat="1" x14ac:dyDescent="0.25">
      <c r="U269" s="101"/>
      <c r="V269" s="101"/>
      <c r="W269" s="101"/>
      <c r="X269" s="101"/>
      <c r="Y269" s="101"/>
      <c r="Z269" s="101"/>
      <c r="AA269" s="101"/>
      <c r="AB269" s="101"/>
      <c r="AC269" s="101"/>
      <c r="AD269" s="101"/>
      <c r="AE269" s="101"/>
      <c r="AF269" s="101"/>
      <c r="AG269" s="101"/>
    </row>
    <row r="270" spans="21:33" s="1" customFormat="1" x14ac:dyDescent="0.25">
      <c r="U270" s="101"/>
      <c r="V270" s="101"/>
      <c r="W270" s="101"/>
      <c r="X270" s="101"/>
      <c r="Y270" s="101"/>
      <c r="Z270" s="101"/>
      <c r="AA270" s="101"/>
      <c r="AB270" s="101"/>
      <c r="AC270" s="101"/>
      <c r="AD270" s="101"/>
      <c r="AE270" s="101"/>
      <c r="AF270" s="101"/>
      <c r="AG270" s="101"/>
    </row>
    <row r="271" spans="21:33" s="1" customFormat="1" x14ac:dyDescent="0.25">
      <c r="U271" s="101"/>
      <c r="V271" s="101"/>
      <c r="W271" s="101"/>
      <c r="X271" s="101"/>
      <c r="Y271" s="101"/>
      <c r="Z271" s="101"/>
      <c r="AA271" s="101"/>
      <c r="AB271" s="101"/>
      <c r="AC271" s="101"/>
      <c r="AD271" s="101"/>
      <c r="AE271" s="101"/>
      <c r="AF271" s="101"/>
      <c r="AG271" s="101"/>
    </row>
    <row r="272" spans="21:33" s="1" customFormat="1" x14ac:dyDescent="0.25">
      <c r="U272" s="101"/>
      <c r="V272" s="101"/>
      <c r="W272" s="101"/>
      <c r="X272" s="101"/>
      <c r="Y272" s="101"/>
      <c r="Z272" s="101"/>
      <c r="AA272" s="101"/>
      <c r="AB272" s="101"/>
      <c r="AC272" s="101"/>
      <c r="AD272" s="101"/>
      <c r="AE272" s="101"/>
      <c r="AF272" s="101"/>
      <c r="AG272" s="101"/>
    </row>
    <row r="273" spans="21:33" s="1" customFormat="1" x14ac:dyDescent="0.25">
      <c r="U273" s="101"/>
      <c r="V273" s="101"/>
      <c r="W273" s="101"/>
      <c r="X273" s="101"/>
      <c r="Y273" s="101"/>
      <c r="Z273" s="101"/>
      <c r="AA273" s="101"/>
      <c r="AB273" s="101"/>
      <c r="AC273" s="101"/>
      <c r="AD273" s="101"/>
      <c r="AE273" s="101"/>
      <c r="AF273" s="101"/>
      <c r="AG273" s="101"/>
    </row>
    <row r="274" spans="21:33" s="1" customFormat="1" x14ac:dyDescent="0.25">
      <c r="U274" s="101"/>
      <c r="V274" s="101"/>
      <c r="W274" s="101"/>
      <c r="X274" s="101"/>
      <c r="Y274" s="101"/>
      <c r="Z274" s="101"/>
      <c r="AA274" s="101"/>
      <c r="AB274" s="101"/>
      <c r="AC274" s="101"/>
      <c r="AD274" s="101"/>
      <c r="AE274" s="101"/>
      <c r="AF274" s="101"/>
      <c r="AG274" s="101"/>
    </row>
    <row r="275" spans="21:33" s="1" customFormat="1" x14ac:dyDescent="0.25">
      <c r="U275" s="101"/>
      <c r="V275" s="101"/>
      <c r="W275" s="101"/>
      <c r="X275" s="101"/>
      <c r="Y275" s="101"/>
      <c r="Z275" s="101"/>
      <c r="AA275" s="101"/>
      <c r="AB275" s="101"/>
      <c r="AC275" s="101"/>
      <c r="AD275" s="101"/>
      <c r="AE275" s="101"/>
      <c r="AF275" s="101"/>
      <c r="AG275" s="101"/>
    </row>
    <row r="276" spans="21:33" s="1" customFormat="1" x14ac:dyDescent="0.25">
      <c r="U276" s="101"/>
      <c r="V276" s="101"/>
      <c r="W276" s="101"/>
      <c r="X276" s="101"/>
      <c r="Y276" s="101"/>
      <c r="Z276" s="101"/>
      <c r="AA276" s="101"/>
      <c r="AB276" s="101"/>
      <c r="AC276" s="101"/>
      <c r="AD276" s="101"/>
      <c r="AE276" s="101"/>
      <c r="AF276" s="101"/>
      <c r="AG276" s="101"/>
    </row>
    <row r="277" spans="21:33" s="1" customFormat="1" x14ac:dyDescent="0.25">
      <c r="U277" s="101"/>
      <c r="V277" s="101"/>
      <c r="W277" s="101"/>
      <c r="X277" s="101"/>
      <c r="Y277" s="101"/>
      <c r="Z277" s="101"/>
      <c r="AA277" s="101"/>
      <c r="AB277" s="101"/>
      <c r="AC277" s="101"/>
      <c r="AD277" s="101"/>
      <c r="AE277" s="101"/>
      <c r="AF277" s="101"/>
      <c r="AG277" s="101"/>
    </row>
    <row r="278" spans="21:33" s="1" customFormat="1" x14ac:dyDescent="0.25">
      <c r="U278" s="101"/>
      <c r="V278" s="101"/>
      <c r="W278" s="101"/>
      <c r="X278" s="101"/>
      <c r="Y278" s="101"/>
      <c r="Z278" s="101"/>
      <c r="AA278" s="101"/>
      <c r="AB278" s="101"/>
      <c r="AC278" s="101"/>
      <c r="AD278" s="101"/>
      <c r="AE278" s="101"/>
      <c r="AF278" s="101"/>
      <c r="AG278" s="101"/>
    </row>
    <row r="279" spans="21:33" s="1" customFormat="1" x14ac:dyDescent="0.25"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</row>
    <row r="280" spans="21:33" s="1" customFormat="1" x14ac:dyDescent="0.25"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</row>
    <row r="281" spans="21:33" s="1" customFormat="1" x14ac:dyDescent="0.25">
      <c r="U281" s="101"/>
      <c r="V281" s="101"/>
      <c r="W281" s="101"/>
      <c r="X281" s="101"/>
      <c r="Y281" s="101"/>
      <c r="Z281" s="101"/>
      <c r="AA281" s="101"/>
      <c r="AB281" s="101"/>
      <c r="AC281" s="101"/>
      <c r="AD281" s="101"/>
      <c r="AE281" s="101"/>
      <c r="AF281" s="101"/>
      <c r="AG281" s="101"/>
    </row>
    <row r="282" spans="21:33" s="1" customFormat="1" x14ac:dyDescent="0.25">
      <c r="U282" s="101"/>
      <c r="V282" s="101"/>
      <c r="W282" s="101"/>
      <c r="X282" s="101"/>
      <c r="Y282" s="101"/>
      <c r="Z282" s="101"/>
      <c r="AA282" s="101"/>
      <c r="AB282" s="101"/>
      <c r="AC282" s="101"/>
      <c r="AD282" s="101"/>
      <c r="AE282" s="101"/>
      <c r="AF282" s="101"/>
      <c r="AG282" s="101"/>
    </row>
    <row r="283" spans="21:33" s="1" customFormat="1" x14ac:dyDescent="0.25">
      <c r="U283" s="101"/>
      <c r="V283" s="101"/>
      <c r="W283" s="101"/>
      <c r="X283" s="101"/>
      <c r="Y283" s="101"/>
      <c r="Z283" s="101"/>
      <c r="AA283" s="101"/>
      <c r="AB283" s="101"/>
      <c r="AC283" s="101"/>
      <c r="AD283" s="101"/>
      <c r="AE283" s="101"/>
      <c r="AF283" s="101"/>
      <c r="AG283" s="101"/>
    </row>
    <row r="284" spans="21:33" s="1" customFormat="1" x14ac:dyDescent="0.25">
      <c r="U284" s="101"/>
      <c r="V284" s="101"/>
      <c r="W284" s="101"/>
      <c r="X284" s="101"/>
      <c r="Y284" s="101"/>
      <c r="Z284" s="101"/>
      <c r="AA284" s="101"/>
      <c r="AB284" s="101"/>
      <c r="AC284" s="101"/>
      <c r="AD284" s="101"/>
      <c r="AE284" s="101"/>
      <c r="AF284" s="101"/>
      <c r="AG284" s="101"/>
    </row>
    <row r="285" spans="21:33" s="1" customFormat="1" x14ac:dyDescent="0.25">
      <c r="U285" s="101"/>
      <c r="V285" s="101"/>
      <c r="W285" s="101"/>
      <c r="X285" s="101"/>
      <c r="Y285" s="101"/>
      <c r="Z285" s="101"/>
      <c r="AA285" s="101"/>
      <c r="AB285" s="101"/>
      <c r="AC285" s="101"/>
      <c r="AD285" s="101"/>
      <c r="AE285" s="101"/>
      <c r="AF285" s="101"/>
      <c r="AG285" s="101"/>
    </row>
    <row r="286" spans="21:33" s="1" customFormat="1" x14ac:dyDescent="0.25">
      <c r="U286" s="101"/>
      <c r="V286" s="101"/>
      <c r="W286" s="101"/>
      <c r="X286" s="101"/>
      <c r="Y286" s="101"/>
      <c r="Z286" s="101"/>
      <c r="AA286" s="101"/>
      <c r="AB286" s="101"/>
      <c r="AC286" s="101"/>
      <c r="AD286" s="101"/>
      <c r="AE286" s="101"/>
      <c r="AF286" s="101"/>
      <c r="AG286" s="101"/>
    </row>
    <row r="287" spans="21:33" s="1" customFormat="1" x14ac:dyDescent="0.25">
      <c r="U287" s="101"/>
      <c r="V287" s="101"/>
      <c r="W287" s="101"/>
      <c r="X287" s="101"/>
      <c r="Y287" s="101"/>
      <c r="Z287" s="101"/>
      <c r="AA287" s="101"/>
      <c r="AB287" s="101"/>
      <c r="AC287" s="101"/>
      <c r="AD287" s="101"/>
      <c r="AE287" s="101"/>
      <c r="AF287" s="101"/>
      <c r="AG287" s="101"/>
    </row>
    <row r="288" spans="21:33" s="1" customFormat="1" x14ac:dyDescent="0.25">
      <c r="U288" s="101"/>
      <c r="V288" s="101"/>
      <c r="W288" s="101"/>
      <c r="X288" s="101"/>
      <c r="Y288" s="101"/>
      <c r="Z288" s="101"/>
      <c r="AA288" s="101"/>
      <c r="AB288" s="101"/>
      <c r="AC288" s="101"/>
      <c r="AD288" s="101"/>
      <c r="AE288" s="101"/>
      <c r="AF288" s="101"/>
      <c r="AG288" s="101"/>
    </row>
    <row r="289" spans="21:33" s="1" customFormat="1" x14ac:dyDescent="0.25">
      <c r="U289" s="101"/>
      <c r="V289" s="101"/>
      <c r="W289" s="101"/>
      <c r="X289" s="101"/>
      <c r="Y289" s="101"/>
      <c r="Z289" s="101"/>
      <c r="AA289" s="101"/>
      <c r="AB289" s="101"/>
      <c r="AC289" s="101"/>
      <c r="AD289" s="101"/>
      <c r="AE289" s="101"/>
      <c r="AF289" s="101"/>
      <c r="AG289" s="101"/>
    </row>
    <row r="290" spans="21:33" s="1" customFormat="1" x14ac:dyDescent="0.25">
      <c r="U290" s="101"/>
      <c r="V290" s="101"/>
      <c r="W290" s="101"/>
      <c r="X290" s="101"/>
      <c r="Y290" s="101"/>
      <c r="Z290" s="101"/>
      <c r="AA290" s="101"/>
      <c r="AB290" s="101"/>
      <c r="AC290" s="101"/>
      <c r="AD290" s="101"/>
      <c r="AE290" s="101"/>
      <c r="AF290" s="101"/>
      <c r="AG290" s="101"/>
    </row>
    <row r="291" spans="21:33" s="1" customFormat="1" x14ac:dyDescent="0.25">
      <c r="U291" s="101"/>
      <c r="V291" s="101"/>
      <c r="W291" s="101"/>
      <c r="X291" s="101"/>
      <c r="Y291" s="101"/>
      <c r="Z291" s="101"/>
      <c r="AA291" s="101"/>
      <c r="AB291" s="101"/>
      <c r="AC291" s="101"/>
      <c r="AD291" s="101"/>
      <c r="AE291" s="101"/>
      <c r="AF291" s="101"/>
      <c r="AG291" s="101"/>
    </row>
    <row r="292" spans="21:33" s="1" customFormat="1" x14ac:dyDescent="0.25">
      <c r="U292" s="101"/>
      <c r="V292" s="101"/>
      <c r="W292" s="101"/>
      <c r="X292" s="101"/>
      <c r="Y292" s="101"/>
      <c r="Z292" s="101"/>
      <c r="AA292" s="101"/>
      <c r="AB292" s="101"/>
      <c r="AC292" s="101"/>
      <c r="AD292" s="101"/>
      <c r="AE292" s="101"/>
      <c r="AF292" s="101"/>
      <c r="AG292" s="101"/>
    </row>
    <row r="293" spans="21:33" s="1" customFormat="1" x14ac:dyDescent="0.25">
      <c r="U293" s="101"/>
      <c r="V293" s="101"/>
      <c r="W293" s="101"/>
      <c r="X293" s="101"/>
      <c r="Y293" s="101"/>
      <c r="Z293" s="101"/>
      <c r="AA293" s="101"/>
      <c r="AB293" s="101"/>
      <c r="AC293" s="101"/>
      <c r="AD293" s="101"/>
      <c r="AE293" s="101"/>
      <c r="AF293" s="101"/>
      <c r="AG293" s="101"/>
    </row>
    <row r="294" spans="21:33" s="1" customFormat="1" x14ac:dyDescent="0.25">
      <c r="U294" s="101"/>
      <c r="V294" s="101"/>
      <c r="W294" s="101"/>
      <c r="X294" s="101"/>
      <c r="Y294" s="101"/>
      <c r="Z294" s="101"/>
      <c r="AA294" s="101"/>
      <c r="AB294" s="101"/>
      <c r="AC294" s="101"/>
      <c r="AD294" s="101"/>
      <c r="AE294" s="101"/>
      <c r="AF294" s="101"/>
      <c r="AG294" s="101"/>
    </row>
    <row r="295" spans="21:33" s="1" customFormat="1" x14ac:dyDescent="0.25">
      <c r="U295" s="101"/>
      <c r="V295" s="101"/>
      <c r="W295" s="101"/>
      <c r="X295" s="101"/>
      <c r="Y295" s="101"/>
      <c r="Z295" s="101"/>
      <c r="AA295" s="101"/>
      <c r="AB295" s="101"/>
      <c r="AC295" s="101"/>
      <c r="AD295" s="101"/>
      <c r="AE295" s="101"/>
      <c r="AF295" s="101"/>
      <c r="AG295" s="101"/>
    </row>
    <row r="296" spans="21:33" s="1" customFormat="1" x14ac:dyDescent="0.25">
      <c r="U296" s="101"/>
      <c r="V296" s="101"/>
      <c r="W296" s="101"/>
      <c r="X296" s="101"/>
      <c r="Y296" s="101"/>
      <c r="Z296" s="101"/>
      <c r="AA296" s="101"/>
      <c r="AB296" s="101"/>
      <c r="AC296" s="101"/>
      <c r="AD296" s="101"/>
      <c r="AE296" s="101"/>
      <c r="AF296" s="101"/>
      <c r="AG296" s="101"/>
    </row>
    <row r="297" spans="21:33" s="1" customFormat="1" x14ac:dyDescent="0.25">
      <c r="U297" s="101"/>
      <c r="V297" s="101"/>
      <c r="W297" s="101"/>
      <c r="X297" s="101"/>
      <c r="Y297" s="101"/>
      <c r="Z297" s="101"/>
      <c r="AA297" s="101"/>
      <c r="AB297" s="101"/>
      <c r="AC297" s="101"/>
      <c r="AD297" s="101"/>
      <c r="AE297" s="101"/>
      <c r="AF297" s="101"/>
      <c r="AG297" s="101"/>
    </row>
    <row r="298" spans="21:33" s="1" customFormat="1" x14ac:dyDescent="0.25">
      <c r="U298" s="101"/>
      <c r="V298" s="101"/>
      <c r="W298" s="101"/>
      <c r="X298" s="101"/>
      <c r="Y298" s="101"/>
      <c r="Z298" s="101"/>
      <c r="AA298" s="101"/>
      <c r="AB298" s="101"/>
      <c r="AC298" s="101"/>
      <c r="AD298" s="101"/>
      <c r="AE298" s="101"/>
      <c r="AF298" s="101"/>
      <c r="AG298" s="101"/>
    </row>
    <row r="299" spans="21:33" s="1" customFormat="1" x14ac:dyDescent="0.25">
      <c r="U299" s="101"/>
      <c r="V299" s="101"/>
      <c r="W299" s="101"/>
      <c r="X299" s="101"/>
      <c r="Y299" s="101"/>
      <c r="Z299" s="101"/>
      <c r="AA299" s="101"/>
      <c r="AB299" s="101"/>
      <c r="AC299" s="101"/>
      <c r="AD299" s="101"/>
      <c r="AE299" s="101"/>
      <c r="AF299" s="101"/>
      <c r="AG299" s="101"/>
    </row>
    <row r="300" spans="21:33" s="1" customFormat="1" x14ac:dyDescent="0.25">
      <c r="U300" s="101"/>
      <c r="V300" s="101"/>
      <c r="W300" s="101"/>
      <c r="X300" s="101"/>
      <c r="Y300" s="101"/>
      <c r="Z300" s="101"/>
      <c r="AA300" s="101"/>
      <c r="AB300" s="101"/>
      <c r="AC300" s="101"/>
      <c r="AD300" s="101"/>
      <c r="AE300" s="101"/>
      <c r="AF300" s="101"/>
      <c r="AG300" s="101"/>
    </row>
    <row r="301" spans="21:33" s="1" customFormat="1" x14ac:dyDescent="0.25">
      <c r="U301" s="101"/>
      <c r="V301" s="101"/>
      <c r="W301" s="101"/>
      <c r="X301" s="101"/>
      <c r="Y301" s="101"/>
      <c r="Z301" s="101"/>
      <c r="AA301" s="101"/>
      <c r="AB301" s="101"/>
      <c r="AC301" s="101"/>
      <c r="AD301" s="101"/>
      <c r="AE301" s="101"/>
      <c r="AF301" s="101"/>
      <c r="AG301" s="101"/>
    </row>
    <row r="302" spans="21:33" s="1" customFormat="1" x14ac:dyDescent="0.25"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</row>
    <row r="303" spans="21:33" s="1" customFormat="1" x14ac:dyDescent="0.25"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</row>
    <row r="304" spans="21:33" s="1" customFormat="1" x14ac:dyDescent="0.25">
      <c r="U304" s="101"/>
      <c r="V304" s="101"/>
      <c r="W304" s="101"/>
      <c r="X304" s="101"/>
      <c r="Y304" s="101"/>
      <c r="Z304" s="101"/>
      <c r="AA304" s="101"/>
      <c r="AB304" s="101"/>
      <c r="AC304" s="101"/>
      <c r="AD304" s="101"/>
      <c r="AE304" s="101"/>
      <c r="AF304" s="101"/>
      <c r="AG304" s="101"/>
    </row>
    <row r="305" spans="21:33" s="1" customFormat="1" x14ac:dyDescent="0.25">
      <c r="U305" s="101"/>
      <c r="V305" s="101"/>
      <c r="W305" s="101"/>
      <c r="X305" s="101"/>
      <c r="Y305" s="101"/>
      <c r="Z305" s="101"/>
      <c r="AA305" s="101"/>
      <c r="AB305" s="101"/>
      <c r="AC305" s="101"/>
      <c r="AD305" s="101"/>
      <c r="AE305" s="101"/>
      <c r="AF305" s="101"/>
      <c r="AG305" s="101"/>
    </row>
    <row r="306" spans="21:33" s="1" customFormat="1" x14ac:dyDescent="0.25">
      <c r="U306" s="101"/>
      <c r="V306" s="101"/>
      <c r="W306" s="101"/>
      <c r="X306" s="101"/>
      <c r="Y306" s="101"/>
      <c r="Z306" s="101"/>
      <c r="AA306" s="101"/>
      <c r="AB306" s="101"/>
      <c r="AC306" s="101"/>
      <c r="AD306" s="101"/>
      <c r="AE306" s="101"/>
      <c r="AF306" s="101"/>
      <c r="AG306" s="101"/>
    </row>
    <row r="307" spans="21:33" s="1" customFormat="1" x14ac:dyDescent="0.25">
      <c r="U307" s="101"/>
      <c r="V307" s="101"/>
      <c r="W307" s="101"/>
      <c r="X307" s="101"/>
      <c r="Y307" s="101"/>
      <c r="Z307" s="101"/>
      <c r="AA307" s="101"/>
      <c r="AB307" s="101"/>
      <c r="AC307" s="101"/>
      <c r="AD307" s="101"/>
      <c r="AE307" s="101"/>
      <c r="AF307" s="101"/>
      <c r="AG307" s="101"/>
    </row>
    <row r="308" spans="21:33" s="1" customFormat="1" x14ac:dyDescent="0.25">
      <c r="U308" s="101"/>
      <c r="V308" s="101"/>
      <c r="W308" s="101"/>
      <c r="X308" s="101"/>
      <c r="Y308" s="101"/>
      <c r="Z308" s="101"/>
      <c r="AA308" s="101"/>
      <c r="AB308" s="101"/>
      <c r="AC308" s="101"/>
      <c r="AD308" s="101"/>
      <c r="AE308" s="101"/>
      <c r="AF308" s="101"/>
      <c r="AG308" s="101"/>
    </row>
    <row r="309" spans="21:33" s="1" customFormat="1" x14ac:dyDescent="0.25">
      <c r="U309" s="101"/>
      <c r="V309" s="101"/>
      <c r="W309" s="101"/>
      <c r="X309" s="101"/>
      <c r="Y309" s="101"/>
      <c r="Z309" s="101"/>
      <c r="AA309" s="101"/>
      <c r="AB309" s="101"/>
      <c r="AC309" s="101"/>
      <c r="AD309" s="101"/>
      <c r="AE309" s="101"/>
      <c r="AF309" s="101"/>
      <c r="AG309" s="101"/>
    </row>
    <row r="310" spans="21:33" s="1" customFormat="1" x14ac:dyDescent="0.25">
      <c r="U310" s="101"/>
      <c r="V310" s="101"/>
      <c r="W310" s="101"/>
      <c r="X310" s="101"/>
      <c r="Y310" s="101"/>
      <c r="Z310" s="101"/>
      <c r="AA310" s="101"/>
      <c r="AB310" s="101"/>
      <c r="AC310" s="101"/>
      <c r="AD310" s="101"/>
      <c r="AE310" s="101"/>
      <c r="AF310" s="101"/>
      <c r="AG310" s="101"/>
    </row>
    <row r="311" spans="21:33" s="1" customFormat="1" x14ac:dyDescent="0.25">
      <c r="U311" s="101"/>
      <c r="V311" s="101"/>
      <c r="W311" s="101"/>
      <c r="X311" s="101"/>
      <c r="Y311" s="101"/>
      <c r="Z311" s="101"/>
      <c r="AA311" s="101"/>
      <c r="AB311" s="101"/>
      <c r="AC311" s="101"/>
      <c r="AD311" s="101"/>
      <c r="AE311" s="101"/>
      <c r="AF311" s="101"/>
      <c r="AG311" s="101"/>
    </row>
    <row r="312" spans="21:33" s="1" customFormat="1" x14ac:dyDescent="0.25">
      <c r="U312" s="101"/>
      <c r="V312" s="101"/>
      <c r="W312" s="101"/>
      <c r="X312" s="101"/>
      <c r="Y312" s="101"/>
      <c r="Z312" s="101"/>
      <c r="AA312" s="101"/>
      <c r="AB312" s="101"/>
      <c r="AC312" s="101"/>
      <c r="AD312" s="101"/>
      <c r="AE312" s="101"/>
      <c r="AF312" s="101"/>
      <c r="AG312" s="101"/>
    </row>
    <row r="313" spans="21:33" s="1" customFormat="1" x14ac:dyDescent="0.25">
      <c r="U313" s="101"/>
      <c r="V313" s="101"/>
      <c r="W313" s="101"/>
      <c r="X313" s="101"/>
      <c r="Y313" s="101"/>
      <c r="Z313" s="101"/>
      <c r="AA313" s="101"/>
      <c r="AB313" s="101"/>
      <c r="AC313" s="101"/>
      <c r="AD313" s="101"/>
      <c r="AE313" s="101"/>
      <c r="AF313" s="101"/>
      <c r="AG313" s="101"/>
    </row>
    <row r="314" spans="21:33" s="1" customFormat="1" x14ac:dyDescent="0.25">
      <c r="U314" s="101"/>
      <c r="V314" s="101"/>
      <c r="W314" s="101"/>
      <c r="X314" s="101"/>
      <c r="Y314" s="101"/>
      <c r="Z314" s="101"/>
      <c r="AA314" s="101"/>
      <c r="AB314" s="101"/>
      <c r="AC314" s="101"/>
      <c r="AD314" s="101"/>
      <c r="AE314" s="101"/>
      <c r="AF314" s="101"/>
      <c r="AG314" s="101"/>
    </row>
    <row r="315" spans="21:33" s="1" customFormat="1" x14ac:dyDescent="0.25">
      <c r="U315" s="101"/>
      <c r="V315" s="101"/>
      <c r="W315" s="101"/>
      <c r="X315" s="101"/>
      <c r="Y315" s="101"/>
      <c r="Z315" s="101"/>
      <c r="AA315" s="101"/>
      <c r="AB315" s="101"/>
      <c r="AC315" s="101"/>
      <c r="AD315" s="101"/>
      <c r="AE315" s="101"/>
      <c r="AF315" s="101"/>
      <c r="AG315" s="101"/>
    </row>
    <row r="316" spans="21:33" s="1" customFormat="1" x14ac:dyDescent="0.25">
      <c r="U316" s="101"/>
      <c r="V316" s="101"/>
      <c r="W316" s="101"/>
      <c r="X316" s="101"/>
      <c r="Y316" s="101"/>
      <c r="Z316" s="101"/>
      <c r="AA316" s="101"/>
      <c r="AB316" s="101"/>
      <c r="AC316" s="101"/>
      <c r="AD316" s="101"/>
      <c r="AE316" s="101"/>
      <c r="AF316" s="101"/>
      <c r="AG316" s="101"/>
    </row>
    <row r="317" spans="21:33" s="1" customFormat="1" x14ac:dyDescent="0.25">
      <c r="U317" s="101"/>
      <c r="V317" s="101"/>
      <c r="W317" s="101"/>
      <c r="X317" s="101"/>
      <c r="Y317" s="101"/>
      <c r="Z317" s="101"/>
      <c r="AA317" s="101"/>
      <c r="AB317" s="101"/>
      <c r="AC317" s="101"/>
      <c r="AD317" s="101"/>
      <c r="AE317" s="101"/>
      <c r="AF317" s="101"/>
      <c r="AG317" s="101"/>
    </row>
    <row r="318" spans="21:33" s="1" customFormat="1" x14ac:dyDescent="0.25">
      <c r="U318" s="101"/>
      <c r="V318" s="101"/>
      <c r="W318" s="101"/>
      <c r="X318" s="101"/>
      <c r="Y318" s="101"/>
      <c r="Z318" s="101"/>
      <c r="AA318" s="101"/>
      <c r="AB318" s="101"/>
      <c r="AC318" s="101"/>
      <c r="AD318" s="101"/>
      <c r="AE318" s="101"/>
      <c r="AF318" s="101"/>
      <c r="AG318" s="101"/>
    </row>
    <row r="319" spans="21:33" s="1" customFormat="1" x14ac:dyDescent="0.25">
      <c r="U319" s="101"/>
      <c r="V319" s="101"/>
      <c r="W319" s="101"/>
      <c r="X319" s="101"/>
      <c r="Y319" s="101"/>
      <c r="Z319" s="101"/>
      <c r="AA319" s="101"/>
      <c r="AB319" s="101"/>
      <c r="AC319" s="101"/>
      <c r="AD319" s="101"/>
      <c r="AE319" s="101"/>
      <c r="AF319" s="101"/>
      <c r="AG319" s="101"/>
    </row>
    <row r="320" spans="21:33" s="1" customFormat="1" x14ac:dyDescent="0.25">
      <c r="U320" s="101"/>
      <c r="V320" s="101"/>
      <c r="W320" s="101"/>
      <c r="X320" s="101"/>
      <c r="Y320" s="101"/>
      <c r="Z320" s="101"/>
      <c r="AA320" s="101"/>
      <c r="AB320" s="101"/>
      <c r="AC320" s="101"/>
      <c r="AD320" s="101"/>
      <c r="AE320" s="101"/>
      <c r="AF320" s="101"/>
      <c r="AG320" s="101"/>
    </row>
    <row r="321" spans="21:33" s="1" customFormat="1" x14ac:dyDescent="0.25">
      <c r="U321" s="101"/>
      <c r="V321" s="101"/>
      <c r="W321" s="101"/>
      <c r="X321" s="101"/>
      <c r="Y321" s="101"/>
      <c r="Z321" s="101"/>
      <c r="AA321" s="101"/>
      <c r="AB321" s="101"/>
      <c r="AC321" s="101"/>
      <c r="AD321" s="101"/>
      <c r="AE321" s="101"/>
      <c r="AF321" s="101"/>
      <c r="AG321" s="101"/>
    </row>
    <row r="322" spans="21:33" s="1" customFormat="1" x14ac:dyDescent="0.25">
      <c r="U322" s="101"/>
      <c r="V322" s="101"/>
      <c r="W322" s="101"/>
      <c r="X322" s="101"/>
      <c r="Y322" s="101"/>
      <c r="Z322" s="101"/>
      <c r="AA322" s="101"/>
      <c r="AB322" s="101"/>
      <c r="AC322" s="101"/>
      <c r="AD322" s="101"/>
      <c r="AE322" s="101"/>
      <c r="AF322" s="101"/>
      <c r="AG322" s="101"/>
    </row>
    <row r="323" spans="21:33" s="1" customFormat="1" x14ac:dyDescent="0.25">
      <c r="U323" s="101"/>
      <c r="V323" s="101"/>
      <c r="W323" s="101"/>
      <c r="X323" s="101"/>
      <c r="Y323" s="101"/>
      <c r="Z323" s="101"/>
      <c r="AA323" s="101"/>
      <c r="AB323" s="101"/>
      <c r="AC323" s="101"/>
      <c r="AD323" s="101"/>
      <c r="AE323" s="101"/>
      <c r="AF323" s="101"/>
      <c r="AG323" s="101"/>
    </row>
    <row r="324" spans="21:33" s="1" customFormat="1" x14ac:dyDescent="0.25">
      <c r="U324" s="101"/>
      <c r="V324" s="101"/>
      <c r="W324" s="101"/>
      <c r="X324" s="101"/>
      <c r="Y324" s="101"/>
      <c r="Z324" s="101"/>
      <c r="AA324" s="101"/>
      <c r="AB324" s="101"/>
      <c r="AC324" s="101"/>
      <c r="AD324" s="101"/>
      <c r="AE324" s="101"/>
      <c r="AF324" s="101"/>
      <c r="AG324" s="101"/>
    </row>
    <row r="325" spans="21:33" s="1" customFormat="1" x14ac:dyDescent="0.25"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</row>
    <row r="326" spans="21:33" s="1" customFormat="1" x14ac:dyDescent="0.25"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</row>
    <row r="327" spans="21:33" s="1" customFormat="1" x14ac:dyDescent="0.25">
      <c r="U327" s="101"/>
      <c r="V327" s="101"/>
      <c r="W327" s="101"/>
      <c r="X327" s="101"/>
      <c r="Y327" s="101"/>
      <c r="Z327" s="101"/>
      <c r="AA327" s="101"/>
      <c r="AB327" s="101"/>
      <c r="AC327" s="101"/>
      <c r="AD327" s="101"/>
      <c r="AE327" s="101"/>
      <c r="AF327" s="101"/>
      <c r="AG327" s="101"/>
    </row>
    <row r="328" spans="21:33" s="1" customFormat="1" x14ac:dyDescent="0.25">
      <c r="U328" s="101"/>
      <c r="V328" s="101"/>
      <c r="W328" s="101"/>
      <c r="X328" s="101"/>
      <c r="Y328" s="101"/>
      <c r="Z328" s="101"/>
      <c r="AA328" s="101"/>
      <c r="AB328" s="101"/>
      <c r="AC328" s="101"/>
      <c r="AD328" s="101"/>
      <c r="AE328" s="101"/>
      <c r="AF328" s="101"/>
      <c r="AG328" s="101"/>
    </row>
    <row r="329" spans="21:33" s="1" customFormat="1" x14ac:dyDescent="0.25">
      <c r="U329" s="101"/>
      <c r="V329" s="101"/>
      <c r="W329" s="101"/>
      <c r="X329" s="101"/>
      <c r="Y329" s="101"/>
      <c r="Z329" s="101"/>
      <c r="AA329" s="101"/>
      <c r="AB329" s="101"/>
      <c r="AC329" s="101"/>
      <c r="AD329" s="101"/>
      <c r="AE329" s="101"/>
      <c r="AF329" s="101"/>
      <c r="AG329" s="101"/>
    </row>
    <row r="330" spans="21:33" s="1" customFormat="1" x14ac:dyDescent="0.25">
      <c r="U330" s="101"/>
      <c r="V330" s="101"/>
      <c r="W330" s="101"/>
      <c r="X330" s="101"/>
      <c r="Y330" s="101"/>
      <c r="Z330" s="101"/>
      <c r="AA330" s="101"/>
      <c r="AB330" s="101"/>
      <c r="AC330" s="101"/>
      <c r="AD330" s="101"/>
      <c r="AE330" s="101"/>
      <c r="AF330" s="101"/>
      <c r="AG330" s="101"/>
    </row>
    <row r="331" spans="21:33" s="1" customFormat="1" x14ac:dyDescent="0.25">
      <c r="U331" s="101"/>
      <c r="V331" s="101"/>
      <c r="W331" s="101"/>
      <c r="X331" s="101"/>
      <c r="Y331" s="101"/>
      <c r="Z331" s="101"/>
      <c r="AA331" s="101"/>
      <c r="AB331" s="101"/>
      <c r="AC331" s="101"/>
      <c r="AD331" s="101"/>
      <c r="AE331" s="101"/>
      <c r="AF331" s="101"/>
      <c r="AG331" s="101"/>
    </row>
    <row r="332" spans="21:33" s="1" customFormat="1" x14ac:dyDescent="0.25">
      <c r="U332" s="101"/>
      <c r="V332" s="101"/>
      <c r="W332" s="101"/>
      <c r="X332" s="101"/>
      <c r="Y332" s="101"/>
      <c r="Z332" s="101"/>
      <c r="AA332" s="101"/>
      <c r="AB332" s="101"/>
      <c r="AC332" s="101"/>
      <c r="AD332" s="101"/>
      <c r="AE332" s="101"/>
      <c r="AF332" s="101"/>
      <c r="AG332" s="101"/>
    </row>
    <row r="333" spans="21:33" s="1" customFormat="1" x14ac:dyDescent="0.25">
      <c r="U333" s="101"/>
      <c r="V333" s="101"/>
      <c r="W333" s="101"/>
      <c r="X333" s="101"/>
      <c r="Y333" s="101"/>
      <c r="Z333" s="101"/>
      <c r="AA333" s="101"/>
      <c r="AB333" s="101"/>
      <c r="AC333" s="101"/>
      <c r="AD333" s="101"/>
      <c r="AE333" s="101"/>
      <c r="AF333" s="101"/>
      <c r="AG333" s="101"/>
    </row>
    <row r="334" spans="21:33" s="1" customFormat="1" x14ac:dyDescent="0.25">
      <c r="U334" s="101"/>
      <c r="V334" s="101"/>
      <c r="W334" s="101"/>
      <c r="X334" s="101"/>
      <c r="Y334" s="101"/>
      <c r="Z334" s="101"/>
      <c r="AA334" s="101"/>
      <c r="AB334" s="101"/>
      <c r="AC334" s="101"/>
      <c r="AD334" s="101"/>
      <c r="AE334" s="101"/>
      <c r="AF334" s="101"/>
      <c r="AG334" s="101"/>
    </row>
    <row r="335" spans="21:33" s="1" customFormat="1" x14ac:dyDescent="0.25">
      <c r="U335" s="101"/>
      <c r="V335" s="101"/>
      <c r="W335" s="101"/>
      <c r="X335" s="101"/>
      <c r="Y335" s="101"/>
      <c r="Z335" s="101"/>
      <c r="AA335" s="101"/>
      <c r="AB335" s="101"/>
      <c r="AC335" s="101"/>
      <c r="AD335" s="101"/>
      <c r="AE335" s="101"/>
      <c r="AF335" s="101"/>
      <c r="AG335" s="101"/>
    </row>
    <row r="336" spans="21:33" s="1" customFormat="1" x14ac:dyDescent="0.25">
      <c r="U336" s="101"/>
      <c r="V336" s="101"/>
      <c r="W336" s="101"/>
      <c r="X336" s="101"/>
      <c r="Y336" s="101"/>
      <c r="Z336" s="101"/>
      <c r="AA336" s="101"/>
      <c r="AB336" s="101"/>
      <c r="AC336" s="101"/>
      <c r="AD336" s="101"/>
      <c r="AE336" s="101"/>
      <c r="AF336" s="101"/>
      <c r="AG336" s="101"/>
    </row>
    <row r="337" spans="21:33" s="1" customFormat="1" x14ac:dyDescent="0.25">
      <c r="U337" s="101"/>
      <c r="V337" s="101"/>
      <c r="W337" s="101"/>
      <c r="X337" s="101"/>
      <c r="Y337" s="101"/>
      <c r="Z337" s="101"/>
      <c r="AA337" s="101"/>
      <c r="AB337" s="101"/>
      <c r="AC337" s="101"/>
      <c r="AD337" s="101"/>
      <c r="AE337" s="101"/>
      <c r="AF337" s="101"/>
      <c r="AG337" s="101"/>
    </row>
    <row r="338" spans="21:33" s="1" customFormat="1" x14ac:dyDescent="0.25">
      <c r="U338" s="101"/>
      <c r="V338" s="101"/>
      <c r="W338" s="101"/>
      <c r="X338" s="101"/>
      <c r="Y338" s="101"/>
      <c r="Z338" s="101"/>
      <c r="AA338" s="101"/>
      <c r="AB338" s="101"/>
      <c r="AC338" s="101"/>
      <c r="AD338" s="101"/>
      <c r="AE338" s="101"/>
      <c r="AF338" s="101"/>
      <c r="AG338" s="101"/>
    </row>
    <row r="339" spans="21:33" s="1" customFormat="1" x14ac:dyDescent="0.25">
      <c r="U339" s="101"/>
      <c r="V339" s="101"/>
      <c r="W339" s="101"/>
      <c r="X339" s="101"/>
      <c r="Y339" s="101"/>
      <c r="Z339" s="101"/>
      <c r="AA339" s="101"/>
      <c r="AB339" s="101"/>
      <c r="AC339" s="101"/>
      <c r="AD339" s="101"/>
      <c r="AE339" s="101"/>
      <c r="AF339" s="101"/>
      <c r="AG339" s="101"/>
    </row>
    <row r="340" spans="21:33" s="1" customFormat="1" x14ac:dyDescent="0.25">
      <c r="U340" s="101"/>
      <c r="V340" s="101"/>
      <c r="W340" s="101"/>
      <c r="X340" s="101"/>
      <c r="Y340" s="101"/>
      <c r="Z340" s="101"/>
      <c r="AA340" s="101"/>
      <c r="AB340" s="101"/>
      <c r="AC340" s="101"/>
      <c r="AD340" s="101"/>
      <c r="AE340" s="101"/>
      <c r="AF340" s="101"/>
      <c r="AG340" s="101"/>
    </row>
    <row r="341" spans="21:33" s="1" customFormat="1" x14ac:dyDescent="0.25">
      <c r="U341" s="101"/>
      <c r="V341" s="101"/>
      <c r="W341" s="101"/>
      <c r="X341" s="101"/>
      <c r="Y341" s="101"/>
      <c r="Z341" s="101"/>
      <c r="AA341" s="101"/>
      <c r="AB341" s="101"/>
      <c r="AC341" s="101"/>
      <c r="AD341" s="101"/>
      <c r="AE341" s="101"/>
      <c r="AF341" s="101"/>
      <c r="AG341" s="101"/>
    </row>
    <row r="342" spans="21:33" s="1" customFormat="1" x14ac:dyDescent="0.25">
      <c r="U342" s="101"/>
      <c r="V342" s="101"/>
      <c r="W342" s="101"/>
      <c r="X342" s="101"/>
      <c r="Y342" s="101"/>
      <c r="Z342" s="101"/>
      <c r="AA342" s="101"/>
      <c r="AB342" s="101"/>
      <c r="AC342" s="101"/>
      <c r="AD342" s="101"/>
      <c r="AE342" s="101"/>
      <c r="AF342" s="101"/>
      <c r="AG342" s="101"/>
    </row>
    <row r="343" spans="21:33" s="1" customFormat="1" x14ac:dyDescent="0.25">
      <c r="U343" s="101"/>
      <c r="V343" s="101"/>
      <c r="W343" s="101"/>
      <c r="X343" s="101"/>
      <c r="Y343" s="101"/>
      <c r="Z343" s="101"/>
      <c r="AA343" s="101"/>
      <c r="AB343" s="101"/>
      <c r="AC343" s="101"/>
      <c r="AD343" s="101"/>
      <c r="AE343" s="101"/>
      <c r="AF343" s="101"/>
      <c r="AG343" s="101"/>
    </row>
    <row r="344" spans="21:33" s="1" customFormat="1" x14ac:dyDescent="0.25">
      <c r="U344" s="101"/>
      <c r="V344" s="101"/>
      <c r="W344" s="101"/>
      <c r="X344" s="101"/>
      <c r="Y344" s="101"/>
      <c r="Z344" s="101"/>
      <c r="AA344" s="101"/>
      <c r="AB344" s="101"/>
      <c r="AC344" s="101"/>
      <c r="AD344" s="101"/>
      <c r="AE344" s="101"/>
      <c r="AF344" s="101"/>
      <c r="AG344" s="101"/>
    </row>
    <row r="345" spans="21:33" s="1" customFormat="1" x14ac:dyDescent="0.25">
      <c r="U345" s="101"/>
      <c r="V345" s="101"/>
      <c r="W345" s="101"/>
      <c r="X345" s="101"/>
      <c r="Y345" s="101"/>
      <c r="Z345" s="101"/>
      <c r="AA345" s="101"/>
      <c r="AB345" s="101"/>
      <c r="AC345" s="101"/>
      <c r="AD345" s="101"/>
      <c r="AE345" s="101"/>
      <c r="AF345" s="101"/>
      <c r="AG345" s="101"/>
    </row>
    <row r="346" spans="21:33" s="1" customFormat="1" x14ac:dyDescent="0.25">
      <c r="U346" s="101"/>
      <c r="V346" s="101"/>
      <c r="W346" s="101"/>
      <c r="X346" s="101"/>
      <c r="Y346" s="101"/>
      <c r="Z346" s="101"/>
      <c r="AA346" s="101"/>
      <c r="AB346" s="101"/>
      <c r="AC346" s="101"/>
      <c r="AD346" s="101"/>
      <c r="AE346" s="101"/>
      <c r="AF346" s="101"/>
      <c r="AG346" s="101"/>
    </row>
    <row r="347" spans="21:33" s="1" customFormat="1" x14ac:dyDescent="0.25">
      <c r="U347" s="101"/>
      <c r="V347" s="101"/>
      <c r="W347" s="101"/>
      <c r="X347" s="101"/>
      <c r="Y347" s="101"/>
      <c r="Z347" s="101"/>
      <c r="AA347" s="101"/>
      <c r="AB347" s="101"/>
      <c r="AC347" s="101"/>
      <c r="AD347" s="101"/>
      <c r="AE347" s="101"/>
      <c r="AF347" s="101"/>
      <c r="AG347" s="101"/>
    </row>
    <row r="348" spans="21:33" s="1" customFormat="1" x14ac:dyDescent="0.25"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</row>
    <row r="349" spans="21:33" s="1" customFormat="1" x14ac:dyDescent="0.25"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</row>
    <row r="350" spans="21:33" s="1" customFormat="1" x14ac:dyDescent="0.25">
      <c r="U350" s="101"/>
      <c r="V350" s="101"/>
      <c r="W350" s="101"/>
      <c r="X350" s="101"/>
      <c r="Y350" s="101"/>
      <c r="Z350" s="101"/>
      <c r="AA350" s="101"/>
      <c r="AB350" s="101"/>
      <c r="AC350" s="101"/>
      <c r="AD350" s="101"/>
      <c r="AE350" s="101"/>
      <c r="AF350" s="101"/>
      <c r="AG350" s="101"/>
    </row>
    <row r="351" spans="21:33" s="1" customFormat="1" x14ac:dyDescent="0.25">
      <c r="U351" s="101"/>
      <c r="V351" s="101"/>
      <c r="W351" s="101"/>
      <c r="X351" s="101"/>
      <c r="Y351" s="101"/>
      <c r="Z351" s="101"/>
      <c r="AA351" s="101"/>
      <c r="AB351" s="101"/>
      <c r="AC351" s="101"/>
      <c r="AD351" s="101"/>
      <c r="AE351" s="101"/>
      <c r="AF351" s="101"/>
      <c r="AG351" s="101"/>
    </row>
    <row r="352" spans="21:33" s="1" customFormat="1" x14ac:dyDescent="0.25">
      <c r="U352" s="101"/>
      <c r="V352" s="101"/>
      <c r="W352" s="101"/>
      <c r="X352" s="101"/>
      <c r="Y352" s="101"/>
      <c r="Z352" s="101"/>
      <c r="AA352" s="101"/>
      <c r="AB352" s="101"/>
      <c r="AC352" s="101"/>
      <c r="AD352" s="101"/>
      <c r="AE352" s="101"/>
      <c r="AF352" s="101"/>
      <c r="AG352" s="101"/>
    </row>
    <row r="353" spans="21:33" s="1" customFormat="1" x14ac:dyDescent="0.25">
      <c r="U353" s="101"/>
      <c r="V353" s="101"/>
      <c r="W353" s="101"/>
      <c r="X353" s="101"/>
      <c r="Y353" s="101"/>
      <c r="Z353" s="101"/>
      <c r="AA353" s="101"/>
      <c r="AB353" s="101"/>
      <c r="AC353" s="101"/>
      <c r="AD353" s="101"/>
      <c r="AE353" s="101"/>
      <c r="AF353" s="101"/>
      <c r="AG353" s="101"/>
    </row>
    <row r="354" spans="21:33" s="1" customFormat="1" x14ac:dyDescent="0.25">
      <c r="U354" s="101"/>
      <c r="V354" s="101"/>
      <c r="W354" s="101"/>
      <c r="X354" s="101"/>
      <c r="Y354" s="101"/>
      <c r="Z354" s="101"/>
      <c r="AA354" s="101"/>
      <c r="AB354" s="101"/>
      <c r="AC354" s="101"/>
      <c r="AD354" s="101"/>
      <c r="AE354" s="101"/>
      <c r="AF354" s="101"/>
      <c r="AG354" s="101"/>
    </row>
    <row r="355" spans="21:33" s="1" customFormat="1" x14ac:dyDescent="0.25">
      <c r="U355" s="101"/>
      <c r="V355" s="101"/>
      <c r="W355" s="101"/>
      <c r="X355" s="101"/>
      <c r="Y355" s="101"/>
      <c r="Z355" s="101"/>
      <c r="AA355" s="101"/>
      <c r="AB355" s="101"/>
      <c r="AC355" s="101"/>
      <c r="AD355" s="101"/>
      <c r="AE355" s="101"/>
      <c r="AF355" s="101"/>
      <c r="AG355" s="101"/>
    </row>
    <row r="356" spans="21:33" s="1" customFormat="1" x14ac:dyDescent="0.25">
      <c r="U356" s="101"/>
      <c r="V356" s="101"/>
      <c r="W356" s="101"/>
      <c r="X356" s="101"/>
      <c r="Y356" s="101"/>
      <c r="Z356" s="101"/>
      <c r="AA356" s="101"/>
      <c r="AB356" s="101"/>
      <c r="AC356" s="101"/>
      <c r="AD356" s="101"/>
      <c r="AE356" s="101"/>
      <c r="AF356" s="101"/>
      <c r="AG356" s="101"/>
    </row>
    <row r="357" spans="21:33" s="1" customFormat="1" x14ac:dyDescent="0.25">
      <c r="U357" s="101"/>
      <c r="V357" s="101"/>
      <c r="W357" s="101"/>
      <c r="X357" s="101"/>
      <c r="Y357" s="101"/>
      <c r="Z357" s="101"/>
      <c r="AA357" s="101"/>
      <c r="AB357" s="101"/>
      <c r="AC357" s="101"/>
      <c r="AD357" s="101"/>
      <c r="AE357" s="101"/>
      <c r="AF357" s="101"/>
      <c r="AG357" s="101"/>
    </row>
    <row r="358" spans="21:33" s="1" customFormat="1" x14ac:dyDescent="0.25">
      <c r="U358" s="101"/>
      <c r="V358" s="101"/>
      <c r="W358" s="101"/>
      <c r="X358" s="101"/>
      <c r="Y358" s="101"/>
      <c r="Z358" s="101"/>
      <c r="AA358" s="101"/>
      <c r="AB358" s="101"/>
      <c r="AC358" s="101"/>
      <c r="AD358" s="101"/>
      <c r="AE358" s="101"/>
      <c r="AF358" s="101"/>
      <c r="AG358" s="101"/>
    </row>
    <row r="359" spans="21:33" s="1" customFormat="1" x14ac:dyDescent="0.25">
      <c r="U359" s="101"/>
      <c r="V359" s="101"/>
      <c r="W359" s="101"/>
      <c r="X359" s="101"/>
      <c r="Y359" s="101"/>
      <c r="Z359" s="101"/>
      <c r="AA359" s="101"/>
      <c r="AB359" s="101"/>
      <c r="AC359" s="101"/>
      <c r="AD359" s="101"/>
      <c r="AE359" s="101"/>
      <c r="AF359" s="101"/>
      <c r="AG359" s="101"/>
    </row>
    <row r="360" spans="21:33" s="1" customFormat="1" x14ac:dyDescent="0.25">
      <c r="U360" s="101"/>
      <c r="V360" s="101"/>
      <c r="W360" s="101"/>
      <c r="X360" s="101"/>
      <c r="Y360" s="101"/>
      <c r="Z360" s="101"/>
      <c r="AA360" s="101"/>
      <c r="AB360" s="101"/>
      <c r="AC360" s="101"/>
      <c r="AD360" s="101"/>
      <c r="AE360" s="101"/>
      <c r="AF360" s="101"/>
      <c r="AG360" s="101"/>
    </row>
    <row r="361" spans="21:33" s="1" customFormat="1" x14ac:dyDescent="0.25">
      <c r="U361" s="101"/>
      <c r="V361" s="101"/>
      <c r="W361" s="101"/>
      <c r="X361" s="101"/>
      <c r="Y361" s="101"/>
      <c r="Z361" s="101"/>
      <c r="AA361" s="101"/>
      <c r="AB361" s="101"/>
      <c r="AC361" s="101"/>
      <c r="AD361" s="101"/>
      <c r="AE361" s="101"/>
      <c r="AF361" s="101"/>
      <c r="AG361" s="101"/>
    </row>
    <row r="362" spans="21:33" s="1" customFormat="1" x14ac:dyDescent="0.25">
      <c r="U362" s="101"/>
      <c r="V362" s="101"/>
      <c r="W362" s="101"/>
      <c r="X362" s="101"/>
      <c r="Y362" s="101"/>
      <c r="Z362" s="101"/>
      <c r="AA362" s="101"/>
      <c r="AB362" s="101"/>
      <c r="AC362" s="101"/>
      <c r="AD362" s="101"/>
      <c r="AE362" s="101"/>
      <c r="AF362" s="101"/>
      <c r="AG362" s="101"/>
    </row>
    <row r="363" spans="21:33" s="1" customFormat="1" x14ac:dyDescent="0.25">
      <c r="U363" s="101"/>
      <c r="V363" s="101"/>
      <c r="W363" s="101"/>
      <c r="X363" s="101"/>
      <c r="Y363" s="101"/>
      <c r="Z363" s="101"/>
      <c r="AA363" s="101"/>
      <c r="AB363" s="101"/>
      <c r="AC363" s="101"/>
      <c r="AD363" s="101"/>
      <c r="AE363" s="101"/>
      <c r="AF363" s="101"/>
      <c r="AG363" s="101"/>
    </row>
    <row r="364" spans="21:33" s="1" customFormat="1" x14ac:dyDescent="0.25">
      <c r="U364" s="101"/>
      <c r="V364" s="101"/>
      <c r="W364" s="101"/>
      <c r="X364" s="101"/>
      <c r="Y364" s="101"/>
      <c r="Z364" s="101"/>
      <c r="AA364" s="101"/>
      <c r="AB364" s="101"/>
      <c r="AC364" s="101"/>
      <c r="AD364" s="101"/>
      <c r="AE364" s="101"/>
      <c r="AF364" s="101"/>
      <c r="AG364" s="101"/>
    </row>
    <row r="365" spans="21:33" s="1" customFormat="1" x14ac:dyDescent="0.25">
      <c r="U365" s="101"/>
      <c r="V365" s="101"/>
      <c r="W365" s="101"/>
      <c r="X365" s="101"/>
      <c r="Y365" s="101"/>
      <c r="Z365" s="101"/>
      <c r="AA365" s="101"/>
      <c r="AB365" s="101"/>
      <c r="AC365" s="101"/>
      <c r="AD365" s="101"/>
      <c r="AE365" s="101"/>
      <c r="AF365" s="101"/>
      <c r="AG365" s="101"/>
    </row>
    <row r="366" spans="21:33" s="1" customFormat="1" x14ac:dyDescent="0.25">
      <c r="U366" s="101"/>
      <c r="V366" s="101"/>
      <c r="W366" s="101"/>
      <c r="X366" s="101"/>
      <c r="Y366" s="101"/>
      <c r="Z366" s="101"/>
      <c r="AA366" s="101"/>
      <c r="AB366" s="101"/>
      <c r="AC366" s="101"/>
      <c r="AD366" s="101"/>
      <c r="AE366" s="101"/>
      <c r="AF366" s="101"/>
      <c r="AG366" s="101"/>
    </row>
    <row r="367" spans="21:33" s="1" customFormat="1" x14ac:dyDescent="0.25">
      <c r="U367" s="101"/>
      <c r="V367" s="101"/>
      <c r="W367" s="101"/>
      <c r="X367" s="101"/>
      <c r="Y367" s="101"/>
      <c r="Z367" s="101"/>
      <c r="AA367" s="101"/>
      <c r="AB367" s="101"/>
      <c r="AC367" s="101"/>
      <c r="AD367" s="101"/>
      <c r="AE367" s="101"/>
      <c r="AF367" s="101"/>
      <c r="AG367" s="101"/>
    </row>
    <row r="368" spans="21:33" s="1" customFormat="1" x14ac:dyDescent="0.25">
      <c r="U368" s="101"/>
      <c r="V368" s="101"/>
      <c r="W368" s="101"/>
      <c r="X368" s="101"/>
      <c r="Y368" s="101"/>
      <c r="Z368" s="101"/>
      <c r="AA368" s="101"/>
      <c r="AB368" s="101"/>
      <c r="AC368" s="101"/>
      <c r="AD368" s="101"/>
      <c r="AE368" s="101"/>
      <c r="AF368" s="101"/>
      <c r="AG368" s="101"/>
    </row>
    <row r="369" spans="21:33" s="1" customFormat="1" x14ac:dyDescent="0.25">
      <c r="U369" s="101"/>
      <c r="V369" s="101"/>
      <c r="W369" s="101"/>
      <c r="X369" s="101"/>
      <c r="Y369" s="101"/>
      <c r="Z369" s="101"/>
      <c r="AA369" s="101"/>
      <c r="AB369" s="101"/>
      <c r="AC369" s="101"/>
      <c r="AD369" s="101"/>
      <c r="AE369" s="101"/>
      <c r="AF369" s="101"/>
      <c r="AG369" s="101"/>
    </row>
    <row r="370" spans="21:33" s="1" customFormat="1" x14ac:dyDescent="0.25">
      <c r="U370" s="101"/>
      <c r="V370" s="101"/>
      <c r="W370" s="101"/>
      <c r="X370" s="101"/>
      <c r="Y370" s="101"/>
      <c r="Z370" s="101"/>
      <c r="AA370" s="101"/>
      <c r="AB370" s="101"/>
      <c r="AC370" s="101"/>
      <c r="AD370" s="101"/>
      <c r="AE370" s="101"/>
      <c r="AF370" s="101"/>
      <c r="AG370" s="101"/>
    </row>
    <row r="371" spans="21:33" s="1" customFormat="1" x14ac:dyDescent="0.25"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</row>
    <row r="372" spans="21:33" s="1" customFormat="1" x14ac:dyDescent="0.25"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</row>
    <row r="373" spans="21:33" s="1" customFormat="1" x14ac:dyDescent="0.25">
      <c r="U373" s="101"/>
      <c r="V373" s="101"/>
      <c r="W373" s="101"/>
      <c r="X373" s="101"/>
      <c r="Y373" s="101"/>
      <c r="Z373" s="101"/>
      <c r="AA373" s="101"/>
      <c r="AB373" s="101"/>
      <c r="AC373" s="101"/>
      <c r="AD373" s="101"/>
      <c r="AE373" s="101"/>
      <c r="AF373" s="101"/>
      <c r="AG373" s="101"/>
    </row>
    <row r="374" spans="21:33" s="1" customFormat="1" x14ac:dyDescent="0.25">
      <c r="U374" s="101"/>
      <c r="V374" s="101"/>
      <c r="W374" s="101"/>
      <c r="X374" s="101"/>
      <c r="Y374" s="101"/>
      <c r="Z374" s="101"/>
      <c r="AA374" s="101"/>
      <c r="AB374" s="101"/>
      <c r="AC374" s="101"/>
      <c r="AD374" s="101"/>
      <c r="AE374" s="101"/>
      <c r="AF374" s="101"/>
      <c r="AG374" s="101"/>
    </row>
    <row r="375" spans="21:33" s="1" customFormat="1" x14ac:dyDescent="0.25">
      <c r="U375" s="101"/>
      <c r="V375" s="101"/>
      <c r="W375" s="101"/>
      <c r="X375" s="101"/>
      <c r="Y375" s="101"/>
      <c r="Z375" s="101"/>
      <c r="AA375" s="101"/>
      <c r="AB375" s="101"/>
      <c r="AC375" s="101"/>
      <c r="AD375" s="101"/>
      <c r="AE375" s="101"/>
      <c r="AF375" s="101"/>
      <c r="AG375" s="101"/>
    </row>
    <row r="376" spans="21:33" s="1" customFormat="1" x14ac:dyDescent="0.25">
      <c r="U376" s="101"/>
      <c r="V376" s="101"/>
      <c r="W376" s="101"/>
      <c r="X376" s="101"/>
      <c r="Y376" s="101"/>
      <c r="Z376" s="101"/>
      <c r="AA376" s="101"/>
      <c r="AB376" s="101"/>
      <c r="AC376" s="101"/>
      <c r="AD376" s="101"/>
      <c r="AE376" s="101"/>
      <c r="AF376" s="101"/>
      <c r="AG376" s="101"/>
    </row>
    <row r="377" spans="21:33" s="1" customFormat="1" x14ac:dyDescent="0.25">
      <c r="U377" s="101"/>
      <c r="V377" s="101"/>
      <c r="W377" s="101"/>
      <c r="X377" s="101"/>
      <c r="Y377" s="101"/>
      <c r="Z377" s="101"/>
      <c r="AA377" s="101"/>
      <c r="AB377" s="101"/>
      <c r="AC377" s="101"/>
      <c r="AD377" s="101"/>
      <c r="AE377" s="101"/>
      <c r="AF377" s="101"/>
      <c r="AG377" s="101"/>
    </row>
    <row r="378" spans="21:33" s="1" customFormat="1" x14ac:dyDescent="0.25">
      <c r="U378" s="101"/>
      <c r="V378" s="101"/>
      <c r="W378" s="101"/>
      <c r="X378" s="101"/>
      <c r="Y378" s="101"/>
      <c r="Z378" s="101"/>
      <c r="AA378" s="101"/>
      <c r="AB378" s="101"/>
      <c r="AC378" s="101"/>
      <c r="AD378" s="101"/>
      <c r="AE378" s="101"/>
      <c r="AF378" s="101"/>
      <c r="AG378" s="101"/>
    </row>
    <row r="379" spans="21:33" s="1" customFormat="1" x14ac:dyDescent="0.25">
      <c r="U379" s="101"/>
      <c r="V379" s="101"/>
      <c r="W379" s="101"/>
      <c r="X379" s="101"/>
      <c r="Y379" s="101"/>
      <c r="Z379" s="101"/>
      <c r="AA379" s="101"/>
      <c r="AB379" s="101"/>
      <c r="AC379" s="101"/>
      <c r="AD379" s="101"/>
      <c r="AE379" s="101"/>
      <c r="AF379" s="101"/>
      <c r="AG379" s="101"/>
    </row>
    <row r="380" spans="21:33" s="1" customFormat="1" x14ac:dyDescent="0.25">
      <c r="U380" s="101"/>
      <c r="V380" s="101"/>
      <c r="W380" s="101"/>
      <c r="X380" s="101"/>
      <c r="Y380" s="101"/>
      <c r="Z380" s="101"/>
      <c r="AA380" s="101"/>
      <c r="AB380" s="101"/>
      <c r="AC380" s="101"/>
      <c r="AD380" s="101"/>
      <c r="AE380" s="101"/>
      <c r="AF380" s="101"/>
      <c r="AG380" s="101"/>
    </row>
    <row r="381" spans="21:33" s="1" customFormat="1" x14ac:dyDescent="0.25">
      <c r="U381" s="101"/>
      <c r="V381" s="101"/>
      <c r="W381" s="101"/>
      <c r="X381" s="101"/>
      <c r="Y381" s="101"/>
      <c r="Z381" s="101"/>
      <c r="AA381" s="101"/>
      <c r="AB381" s="101"/>
      <c r="AC381" s="101"/>
      <c r="AD381" s="101"/>
      <c r="AE381" s="101"/>
      <c r="AF381" s="101"/>
      <c r="AG381" s="101"/>
    </row>
    <row r="382" spans="21:33" s="1" customFormat="1" x14ac:dyDescent="0.25">
      <c r="U382" s="101"/>
      <c r="V382" s="101"/>
      <c r="W382" s="101"/>
      <c r="X382" s="101"/>
      <c r="Y382" s="101"/>
      <c r="Z382" s="101"/>
      <c r="AA382" s="101"/>
      <c r="AB382" s="101"/>
      <c r="AC382" s="101"/>
      <c r="AD382" s="101"/>
      <c r="AE382" s="101"/>
      <c r="AF382" s="101"/>
      <c r="AG382" s="101"/>
    </row>
    <row r="383" spans="21:33" s="1" customFormat="1" x14ac:dyDescent="0.25">
      <c r="U383" s="101"/>
      <c r="V383" s="101"/>
      <c r="W383" s="101"/>
      <c r="X383" s="101"/>
      <c r="Y383" s="101"/>
      <c r="Z383" s="101"/>
      <c r="AA383" s="101"/>
      <c r="AB383" s="101"/>
      <c r="AC383" s="101"/>
      <c r="AD383" s="101"/>
      <c r="AE383" s="101"/>
      <c r="AF383" s="101"/>
      <c r="AG383" s="101"/>
    </row>
    <row r="384" spans="21:33" s="1" customFormat="1" x14ac:dyDescent="0.25">
      <c r="U384" s="101"/>
      <c r="V384" s="101"/>
      <c r="W384" s="101"/>
      <c r="X384" s="101"/>
      <c r="Y384" s="101"/>
      <c r="Z384" s="101"/>
      <c r="AA384" s="101"/>
      <c r="AB384" s="101"/>
      <c r="AC384" s="101"/>
      <c r="AD384" s="101"/>
      <c r="AE384" s="101"/>
      <c r="AF384" s="101"/>
      <c r="AG384" s="101"/>
    </row>
    <row r="385" spans="21:33" s="1" customFormat="1" x14ac:dyDescent="0.25">
      <c r="U385" s="101"/>
      <c r="V385" s="101"/>
      <c r="W385" s="101"/>
      <c r="X385" s="101"/>
      <c r="Y385" s="101"/>
      <c r="Z385" s="101"/>
      <c r="AA385" s="101"/>
      <c r="AB385" s="101"/>
      <c r="AC385" s="101"/>
      <c r="AD385" s="101"/>
      <c r="AE385" s="101"/>
      <c r="AF385" s="101"/>
      <c r="AG385" s="101"/>
    </row>
    <row r="386" spans="21:33" s="1" customFormat="1" x14ac:dyDescent="0.25">
      <c r="U386" s="101"/>
      <c r="V386" s="101"/>
      <c r="W386" s="101"/>
      <c r="X386" s="101"/>
      <c r="Y386" s="101"/>
      <c r="Z386" s="101"/>
      <c r="AA386" s="101"/>
      <c r="AB386" s="101"/>
      <c r="AC386" s="101"/>
      <c r="AD386" s="101"/>
      <c r="AE386" s="101"/>
      <c r="AF386" s="101"/>
      <c r="AG386" s="101"/>
    </row>
    <row r="387" spans="21:33" s="1" customFormat="1" x14ac:dyDescent="0.25">
      <c r="U387" s="101"/>
      <c r="V387" s="101"/>
      <c r="W387" s="101"/>
      <c r="X387" s="101"/>
      <c r="Y387" s="101"/>
      <c r="Z387" s="101"/>
      <c r="AA387" s="101"/>
      <c r="AB387" s="101"/>
      <c r="AC387" s="101"/>
      <c r="AD387" s="101"/>
      <c r="AE387" s="101"/>
      <c r="AF387" s="101"/>
      <c r="AG387" s="101"/>
    </row>
    <row r="388" spans="21:33" s="1" customFormat="1" x14ac:dyDescent="0.25">
      <c r="U388" s="101"/>
      <c r="V388" s="101"/>
      <c r="W388" s="101"/>
      <c r="X388" s="101"/>
      <c r="Y388" s="101"/>
      <c r="Z388" s="101"/>
      <c r="AA388" s="101"/>
      <c r="AB388" s="101"/>
      <c r="AC388" s="101"/>
      <c r="AD388" s="101"/>
      <c r="AE388" s="101"/>
      <c r="AF388" s="101"/>
      <c r="AG388" s="101"/>
    </row>
    <row r="389" spans="21:33" s="1" customFormat="1" x14ac:dyDescent="0.25">
      <c r="U389" s="101"/>
      <c r="V389" s="101"/>
      <c r="W389" s="101"/>
      <c r="X389" s="101"/>
      <c r="Y389" s="101"/>
      <c r="Z389" s="101"/>
      <c r="AA389" s="101"/>
      <c r="AB389" s="101"/>
      <c r="AC389" s="101"/>
      <c r="AD389" s="101"/>
      <c r="AE389" s="101"/>
      <c r="AF389" s="101"/>
      <c r="AG389" s="101"/>
    </row>
    <row r="390" spans="21:33" s="1" customFormat="1" x14ac:dyDescent="0.25">
      <c r="U390" s="101"/>
      <c r="V390" s="101"/>
      <c r="W390" s="101"/>
      <c r="X390" s="101"/>
      <c r="Y390" s="101"/>
      <c r="Z390" s="101"/>
      <c r="AA390" s="101"/>
      <c r="AB390" s="101"/>
      <c r="AC390" s="101"/>
      <c r="AD390" s="101"/>
      <c r="AE390" s="101"/>
      <c r="AF390" s="101"/>
      <c r="AG390" s="101"/>
    </row>
    <row r="391" spans="21:33" s="1" customFormat="1" x14ac:dyDescent="0.25">
      <c r="U391" s="101"/>
      <c r="V391" s="101"/>
      <c r="W391" s="101"/>
      <c r="X391" s="101"/>
      <c r="Y391" s="101"/>
      <c r="Z391" s="101"/>
      <c r="AA391" s="101"/>
      <c r="AB391" s="101"/>
      <c r="AC391" s="101"/>
      <c r="AD391" s="101"/>
      <c r="AE391" s="101"/>
      <c r="AF391" s="101"/>
      <c r="AG391" s="101"/>
    </row>
    <row r="392" spans="21:33" s="1" customFormat="1" x14ac:dyDescent="0.25">
      <c r="U392" s="101"/>
      <c r="V392" s="101"/>
      <c r="W392" s="101"/>
      <c r="X392" s="101"/>
      <c r="Y392" s="101"/>
      <c r="Z392" s="101"/>
      <c r="AA392" s="101"/>
      <c r="AB392" s="101"/>
      <c r="AC392" s="101"/>
      <c r="AD392" s="101"/>
      <c r="AE392" s="101"/>
      <c r="AF392" s="101"/>
      <c r="AG392" s="101"/>
    </row>
    <row r="393" spans="21:33" s="1" customFormat="1" x14ac:dyDescent="0.25">
      <c r="U393" s="101"/>
      <c r="V393" s="101"/>
      <c r="W393" s="101"/>
      <c r="X393" s="101"/>
      <c r="Y393" s="101"/>
      <c r="Z393" s="101"/>
      <c r="AA393" s="101"/>
      <c r="AB393" s="101"/>
      <c r="AC393" s="101"/>
      <c r="AD393" s="101"/>
      <c r="AE393" s="101"/>
      <c r="AF393" s="101"/>
      <c r="AG393" s="101"/>
    </row>
    <row r="394" spans="21:33" s="1" customFormat="1" x14ac:dyDescent="0.25"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</row>
    <row r="395" spans="21:33" s="1" customFormat="1" x14ac:dyDescent="0.25"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</row>
    <row r="396" spans="21:33" s="1" customFormat="1" x14ac:dyDescent="0.25">
      <c r="U396" s="101"/>
      <c r="V396" s="101"/>
      <c r="W396" s="101"/>
      <c r="X396" s="101"/>
      <c r="Y396" s="101"/>
      <c r="Z396" s="101"/>
      <c r="AA396" s="101"/>
      <c r="AB396" s="101"/>
      <c r="AC396" s="101"/>
      <c r="AD396" s="101"/>
      <c r="AE396" s="101"/>
      <c r="AF396" s="101"/>
      <c r="AG396" s="101"/>
    </row>
    <row r="397" spans="21:33" s="1" customFormat="1" x14ac:dyDescent="0.25">
      <c r="U397" s="101"/>
      <c r="V397" s="101"/>
      <c r="W397" s="101"/>
      <c r="X397" s="101"/>
      <c r="Y397" s="101"/>
      <c r="Z397" s="101"/>
      <c r="AA397" s="101"/>
      <c r="AB397" s="101"/>
      <c r="AC397" s="101"/>
      <c r="AD397" s="101"/>
      <c r="AE397" s="101"/>
      <c r="AF397" s="101"/>
      <c r="AG397" s="101"/>
    </row>
    <row r="398" spans="21:33" s="1" customFormat="1" x14ac:dyDescent="0.25">
      <c r="U398" s="101"/>
      <c r="V398" s="101"/>
      <c r="W398" s="101"/>
      <c r="X398" s="101"/>
      <c r="Y398" s="101"/>
      <c r="Z398" s="101"/>
      <c r="AA398" s="101"/>
      <c r="AB398" s="101"/>
      <c r="AC398" s="101"/>
      <c r="AD398" s="101"/>
      <c r="AE398" s="101"/>
      <c r="AF398" s="101"/>
      <c r="AG398" s="101"/>
    </row>
    <row r="399" spans="21:33" s="1" customFormat="1" x14ac:dyDescent="0.25">
      <c r="U399" s="101"/>
      <c r="V399" s="101"/>
      <c r="W399" s="101"/>
      <c r="X399" s="101"/>
      <c r="Y399" s="101"/>
      <c r="Z399" s="101"/>
      <c r="AA399" s="101"/>
      <c r="AB399" s="101"/>
      <c r="AC399" s="101"/>
      <c r="AD399" s="101"/>
      <c r="AE399" s="101"/>
      <c r="AF399" s="101"/>
      <c r="AG399" s="101"/>
    </row>
    <row r="400" spans="21:33" s="1" customFormat="1" x14ac:dyDescent="0.25">
      <c r="U400" s="101"/>
      <c r="V400" s="101"/>
      <c r="W400" s="101"/>
      <c r="X400" s="101"/>
      <c r="Y400" s="101"/>
      <c r="Z400" s="101"/>
      <c r="AA400" s="101"/>
      <c r="AB400" s="101"/>
      <c r="AC400" s="101"/>
      <c r="AD400" s="101"/>
      <c r="AE400" s="101"/>
      <c r="AF400" s="101"/>
      <c r="AG400" s="101"/>
    </row>
    <row r="401" spans="21:33" s="1" customFormat="1" x14ac:dyDescent="0.25">
      <c r="U401" s="101"/>
      <c r="V401" s="101"/>
      <c r="W401" s="101"/>
      <c r="X401" s="101"/>
      <c r="Y401" s="101"/>
      <c r="Z401" s="101"/>
      <c r="AA401" s="101"/>
      <c r="AB401" s="101"/>
      <c r="AC401" s="101"/>
      <c r="AD401" s="101"/>
      <c r="AE401" s="101"/>
      <c r="AF401" s="101"/>
      <c r="AG401" s="101"/>
    </row>
    <row r="402" spans="21:33" s="1" customFormat="1" x14ac:dyDescent="0.25">
      <c r="U402" s="101"/>
      <c r="V402" s="101"/>
      <c r="W402" s="101"/>
      <c r="X402" s="101"/>
      <c r="Y402" s="101"/>
      <c r="Z402" s="101"/>
      <c r="AA402" s="101"/>
      <c r="AB402" s="101"/>
      <c r="AC402" s="101"/>
      <c r="AD402" s="101"/>
      <c r="AE402" s="101"/>
      <c r="AF402" s="101"/>
      <c r="AG402" s="101"/>
    </row>
    <row r="403" spans="21:33" s="1" customFormat="1" x14ac:dyDescent="0.25">
      <c r="U403" s="101"/>
      <c r="V403" s="101"/>
      <c r="W403" s="101"/>
      <c r="X403" s="101"/>
      <c r="Y403" s="101"/>
      <c r="Z403" s="101"/>
      <c r="AA403" s="101"/>
      <c r="AB403" s="101"/>
      <c r="AC403" s="101"/>
      <c r="AD403" s="101"/>
      <c r="AE403" s="101"/>
      <c r="AF403" s="101"/>
      <c r="AG403" s="101"/>
    </row>
    <row r="404" spans="21:33" s="1" customFormat="1" x14ac:dyDescent="0.25">
      <c r="U404" s="101"/>
      <c r="V404" s="101"/>
      <c r="W404" s="101"/>
      <c r="X404" s="101"/>
      <c r="Y404" s="101"/>
      <c r="Z404" s="101"/>
      <c r="AA404" s="101"/>
      <c r="AB404" s="101"/>
      <c r="AC404" s="101"/>
      <c r="AD404" s="101"/>
      <c r="AE404" s="101"/>
      <c r="AF404" s="101"/>
      <c r="AG404" s="101"/>
    </row>
    <row r="405" spans="21:33" s="1" customFormat="1" x14ac:dyDescent="0.25">
      <c r="U405" s="101"/>
      <c r="V405" s="101"/>
      <c r="W405" s="101"/>
      <c r="X405" s="101"/>
      <c r="Y405" s="101"/>
      <c r="Z405" s="101"/>
      <c r="AA405" s="101"/>
      <c r="AB405" s="101"/>
      <c r="AC405" s="101"/>
      <c r="AD405" s="101"/>
      <c r="AE405" s="101"/>
      <c r="AF405" s="101"/>
      <c r="AG405" s="101"/>
    </row>
    <row r="406" spans="21:33" s="1" customFormat="1" x14ac:dyDescent="0.25">
      <c r="U406" s="101"/>
      <c r="V406" s="101"/>
      <c r="W406" s="101"/>
      <c r="X406" s="101"/>
      <c r="Y406" s="101"/>
      <c r="Z406" s="101"/>
      <c r="AA406" s="101"/>
      <c r="AB406" s="101"/>
      <c r="AC406" s="101"/>
      <c r="AD406" s="101"/>
      <c r="AE406" s="101"/>
      <c r="AF406" s="101"/>
      <c r="AG406" s="101"/>
    </row>
    <row r="407" spans="21:33" s="1" customFormat="1" x14ac:dyDescent="0.25">
      <c r="U407" s="101"/>
      <c r="V407" s="101"/>
      <c r="W407" s="101"/>
      <c r="X407" s="101"/>
      <c r="Y407" s="101"/>
      <c r="Z407" s="101"/>
      <c r="AA407" s="101"/>
      <c r="AB407" s="101"/>
      <c r="AC407" s="101"/>
      <c r="AD407" s="101"/>
      <c r="AE407" s="101"/>
      <c r="AF407" s="101"/>
      <c r="AG407" s="101"/>
    </row>
    <row r="408" spans="21:33" s="1" customFormat="1" x14ac:dyDescent="0.25">
      <c r="U408" s="101"/>
      <c r="V408" s="101"/>
      <c r="W408" s="101"/>
      <c r="X408" s="101"/>
      <c r="Y408" s="101"/>
      <c r="Z408" s="101"/>
      <c r="AA408" s="101"/>
      <c r="AB408" s="101"/>
      <c r="AC408" s="101"/>
      <c r="AD408" s="101"/>
      <c r="AE408" s="101"/>
      <c r="AF408" s="101"/>
      <c r="AG408" s="101"/>
    </row>
    <row r="409" spans="21:33" s="1" customFormat="1" x14ac:dyDescent="0.25">
      <c r="U409" s="101"/>
      <c r="V409" s="101"/>
      <c r="W409" s="101"/>
      <c r="X409" s="101"/>
      <c r="Y409" s="101"/>
      <c r="Z409" s="101"/>
      <c r="AA409" s="101"/>
      <c r="AB409" s="101"/>
      <c r="AC409" s="101"/>
      <c r="AD409" s="101"/>
      <c r="AE409" s="101"/>
      <c r="AF409" s="101"/>
      <c r="AG409" s="101"/>
    </row>
    <row r="410" spans="21:33" s="1" customFormat="1" x14ac:dyDescent="0.25">
      <c r="U410" s="101"/>
      <c r="V410" s="101"/>
      <c r="W410" s="101"/>
      <c r="X410" s="101"/>
      <c r="Y410" s="101"/>
      <c r="Z410" s="101"/>
      <c r="AA410" s="101"/>
      <c r="AB410" s="101"/>
      <c r="AC410" s="101"/>
      <c r="AD410" s="101"/>
      <c r="AE410" s="101"/>
      <c r="AF410" s="101"/>
      <c r="AG410" s="101"/>
    </row>
    <row r="411" spans="21:33" s="1" customFormat="1" x14ac:dyDescent="0.25">
      <c r="U411" s="101"/>
      <c r="V411" s="101"/>
      <c r="W411" s="101"/>
      <c r="X411" s="101"/>
      <c r="Y411" s="101"/>
      <c r="Z411" s="101"/>
      <c r="AA411" s="101"/>
      <c r="AB411" s="101"/>
      <c r="AC411" s="101"/>
      <c r="AD411" s="101"/>
      <c r="AE411" s="101"/>
      <c r="AF411" s="101"/>
      <c r="AG411" s="101"/>
    </row>
    <row r="412" spans="21:33" s="1" customFormat="1" x14ac:dyDescent="0.25">
      <c r="U412" s="101"/>
      <c r="V412" s="101"/>
      <c r="W412" s="101"/>
      <c r="X412" s="101"/>
      <c r="Y412" s="101"/>
      <c r="Z412" s="101"/>
      <c r="AA412" s="101"/>
      <c r="AB412" s="101"/>
      <c r="AC412" s="101"/>
      <c r="AD412" s="101"/>
      <c r="AE412" s="101"/>
      <c r="AF412" s="101"/>
      <c r="AG412" s="101"/>
    </row>
    <row r="413" spans="21:33" s="1" customFormat="1" x14ac:dyDescent="0.25">
      <c r="U413" s="101"/>
      <c r="V413" s="101"/>
      <c r="W413" s="101"/>
      <c r="X413" s="101"/>
      <c r="Y413" s="101"/>
      <c r="Z413" s="101"/>
      <c r="AA413" s="101"/>
      <c r="AB413" s="101"/>
      <c r="AC413" s="101"/>
      <c r="AD413" s="101"/>
      <c r="AE413" s="101"/>
      <c r="AF413" s="101"/>
      <c r="AG413" s="101"/>
    </row>
    <row r="414" spans="21:33" s="1" customFormat="1" x14ac:dyDescent="0.25">
      <c r="U414" s="101"/>
      <c r="V414" s="101"/>
      <c r="W414" s="101"/>
      <c r="X414" s="101"/>
      <c r="Y414" s="101"/>
      <c r="Z414" s="101"/>
      <c r="AA414" s="101"/>
      <c r="AB414" s="101"/>
      <c r="AC414" s="101"/>
      <c r="AD414" s="101"/>
      <c r="AE414" s="101"/>
      <c r="AF414" s="101"/>
      <c r="AG414" s="101"/>
    </row>
    <row r="415" spans="21:33" s="1" customFormat="1" x14ac:dyDescent="0.25">
      <c r="U415" s="101"/>
      <c r="V415" s="101"/>
      <c r="W415" s="101"/>
      <c r="X415" s="101"/>
      <c r="Y415" s="101"/>
      <c r="Z415" s="101"/>
      <c r="AA415" s="101"/>
      <c r="AB415" s="101"/>
      <c r="AC415" s="101"/>
      <c r="AD415" s="101"/>
      <c r="AE415" s="101"/>
      <c r="AF415" s="101"/>
      <c r="AG415" s="101"/>
    </row>
    <row r="416" spans="21:33" s="1" customFormat="1" x14ac:dyDescent="0.25">
      <c r="U416" s="101"/>
      <c r="V416" s="101"/>
      <c r="W416" s="101"/>
      <c r="X416" s="101"/>
      <c r="Y416" s="101"/>
      <c r="Z416" s="101"/>
      <c r="AA416" s="101"/>
      <c r="AB416" s="101"/>
      <c r="AC416" s="101"/>
      <c r="AD416" s="101"/>
      <c r="AE416" s="101"/>
      <c r="AF416" s="101"/>
      <c r="AG416" s="101"/>
    </row>
    <row r="417" spans="21:33" s="1" customFormat="1" x14ac:dyDescent="0.25"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</row>
    <row r="418" spans="21:33" s="1" customFormat="1" x14ac:dyDescent="0.25"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</row>
    <row r="419" spans="21:33" s="1" customFormat="1" x14ac:dyDescent="0.25">
      <c r="U419" s="101"/>
      <c r="V419" s="101"/>
      <c r="W419" s="101"/>
      <c r="X419" s="101"/>
      <c r="Y419" s="101"/>
      <c r="Z419" s="101"/>
      <c r="AA419" s="101"/>
      <c r="AB419" s="101"/>
      <c r="AC419" s="101"/>
      <c r="AD419" s="101"/>
      <c r="AE419" s="101"/>
      <c r="AF419" s="101"/>
      <c r="AG419" s="101"/>
    </row>
    <row r="420" spans="21:33" s="1" customFormat="1" x14ac:dyDescent="0.25">
      <c r="U420" s="101"/>
      <c r="V420" s="101"/>
      <c r="W420" s="101"/>
      <c r="X420" s="101"/>
      <c r="Y420" s="101"/>
      <c r="Z420" s="101"/>
      <c r="AA420" s="101"/>
      <c r="AB420" s="101"/>
      <c r="AC420" s="101"/>
      <c r="AD420" s="101"/>
      <c r="AE420" s="101"/>
      <c r="AF420" s="101"/>
      <c r="AG420" s="101"/>
    </row>
    <row r="421" spans="21:33" s="1" customFormat="1" x14ac:dyDescent="0.25">
      <c r="U421" s="101"/>
      <c r="V421" s="101"/>
      <c r="W421" s="101"/>
      <c r="X421" s="101"/>
      <c r="Y421" s="101"/>
      <c r="Z421" s="101"/>
      <c r="AA421" s="101"/>
      <c r="AB421" s="101"/>
      <c r="AC421" s="101"/>
      <c r="AD421" s="101"/>
      <c r="AE421" s="101"/>
      <c r="AF421" s="101"/>
      <c r="AG421" s="101"/>
    </row>
    <row r="422" spans="21:33" s="1" customFormat="1" x14ac:dyDescent="0.25">
      <c r="U422" s="101"/>
      <c r="V422" s="101"/>
      <c r="W422" s="101"/>
      <c r="X422" s="101"/>
      <c r="Y422" s="101"/>
      <c r="Z422" s="101"/>
      <c r="AA422" s="101"/>
      <c r="AB422" s="101"/>
      <c r="AC422" s="101"/>
      <c r="AD422" s="101"/>
      <c r="AE422" s="101"/>
      <c r="AF422" s="101"/>
      <c r="AG422" s="101"/>
    </row>
    <row r="423" spans="21:33" s="1" customFormat="1" x14ac:dyDescent="0.25">
      <c r="U423" s="101"/>
      <c r="V423" s="101"/>
      <c r="W423" s="101"/>
      <c r="X423" s="101"/>
      <c r="Y423" s="101"/>
      <c r="Z423" s="101"/>
      <c r="AA423" s="101"/>
      <c r="AB423" s="101"/>
      <c r="AC423" s="101"/>
      <c r="AD423" s="101"/>
      <c r="AE423" s="101"/>
      <c r="AF423" s="101"/>
      <c r="AG423" s="101"/>
    </row>
    <row r="424" spans="21:33" s="1" customFormat="1" x14ac:dyDescent="0.25">
      <c r="U424" s="101"/>
      <c r="V424" s="101"/>
      <c r="W424" s="101"/>
      <c r="X424" s="101"/>
      <c r="Y424" s="101"/>
      <c r="Z424" s="101"/>
      <c r="AA424" s="101"/>
      <c r="AB424" s="101"/>
      <c r="AC424" s="101"/>
      <c r="AD424" s="101"/>
      <c r="AE424" s="101"/>
      <c r="AF424" s="101"/>
      <c r="AG424" s="101"/>
    </row>
    <row r="425" spans="21:33" s="1" customFormat="1" x14ac:dyDescent="0.25">
      <c r="U425" s="101"/>
      <c r="V425" s="101"/>
      <c r="W425" s="101"/>
      <c r="X425" s="101"/>
      <c r="Y425" s="101"/>
      <c r="Z425" s="101"/>
      <c r="AA425" s="101"/>
      <c r="AB425" s="101"/>
      <c r="AC425" s="101"/>
      <c r="AD425" s="101"/>
      <c r="AE425" s="101"/>
      <c r="AF425" s="101"/>
      <c r="AG425" s="101"/>
    </row>
    <row r="426" spans="21:33" s="1" customFormat="1" x14ac:dyDescent="0.25">
      <c r="U426" s="101"/>
      <c r="V426" s="101"/>
      <c r="W426" s="101"/>
      <c r="X426" s="101"/>
      <c r="Y426" s="101"/>
      <c r="Z426" s="101"/>
      <c r="AA426" s="101"/>
      <c r="AB426" s="101"/>
      <c r="AC426" s="101"/>
      <c r="AD426" s="101"/>
      <c r="AE426" s="101"/>
      <c r="AF426" s="101"/>
      <c r="AG426" s="101"/>
    </row>
    <row r="427" spans="21:33" s="1" customFormat="1" x14ac:dyDescent="0.25">
      <c r="U427" s="101"/>
      <c r="V427" s="101"/>
      <c r="W427" s="101"/>
      <c r="X427" s="101"/>
      <c r="Y427" s="101"/>
      <c r="Z427" s="101"/>
      <c r="AA427" s="101"/>
      <c r="AB427" s="101"/>
      <c r="AC427" s="101"/>
      <c r="AD427" s="101"/>
      <c r="AE427" s="101"/>
      <c r="AF427" s="101"/>
      <c r="AG427" s="101"/>
    </row>
    <row r="428" spans="21:33" s="1" customFormat="1" x14ac:dyDescent="0.25">
      <c r="U428" s="101"/>
      <c r="V428" s="101"/>
      <c r="W428" s="101"/>
      <c r="X428" s="101"/>
      <c r="Y428" s="101"/>
      <c r="Z428" s="101"/>
      <c r="AA428" s="101"/>
      <c r="AB428" s="101"/>
      <c r="AC428" s="101"/>
      <c r="AD428" s="101"/>
      <c r="AE428" s="101"/>
      <c r="AF428" s="101"/>
      <c r="AG428" s="101"/>
    </row>
    <row r="429" spans="21:33" s="1" customFormat="1" x14ac:dyDescent="0.25">
      <c r="U429" s="101"/>
      <c r="V429" s="101"/>
      <c r="W429" s="101"/>
      <c r="X429" s="101"/>
      <c r="Y429" s="101"/>
      <c r="Z429" s="101"/>
      <c r="AA429" s="101"/>
      <c r="AB429" s="101"/>
      <c r="AC429" s="101"/>
      <c r="AD429" s="101"/>
      <c r="AE429" s="101"/>
      <c r="AF429" s="101"/>
      <c r="AG429" s="101"/>
    </row>
    <row r="430" spans="21:33" s="1" customFormat="1" x14ac:dyDescent="0.25">
      <c r="U430" s="101"/>
      <c r="V430" s="101"/>
      <c r="W430" s="101"/>
      <c r="X430" s="101"/>
      <c r="Y430" s="101"/>
      <c r="Z430" s="101"/>
      <c r="AA430" s="101"/>
      <c r="AB430" s="101"/>
      <c r="AC430" s="101"/>
      <c r="AD430" s="101"/>
      <c r="AE430" s="101"/>
      <c r="AF430" s="101"/>
      <c r="AG430" s="101"/>
    </row>
    <row r="431" spans="21:33" s="1" customFormat="1" x14ac:dyDescent="0.25">
      <c r="U431" s="101"/>
      <c r="V431" s="101"/>
      <c r="W431" s="101"/>
      <c r="X431" s="101"/>
      <c r="Y431" s="101"/>
      <c r="Z431" s="101"/>
      <c r="AA431" s="101"/>
      <c r="AB431" s="101"/>
      <c r="AC431" s="101"/>
      <c r="AD431" s="101"/>
      <c r="AE431" s="101"/>
      <c r="AF431" s="101"/>
      <c r="AG431" s="101"/>
    </row>
    <row r="432" spans="21:33" s="1" customFormat="1" x14ac:dyDescent="0.25">
      <c r="U432" s="101"/>
      <c r="V432" s="101"/>
      <c r="W432" s="101"/>
      <c r="X432" s="101"/>
      <c r="Y432" s="101"/>
      <c r="Z432" s="101"/>
      <c r="AA432" s="101"/>
      <c r="AB432" s="101"/>
      <c r="AC432" s="101"/>
      <c r="AD432" s="101"/>
      <c r="AE432" s="101"/>
      <c r="AF432" s="101"/>
      <c r="AG432" s="101"/>
    </row>
    <row r="433" spans="21:33" s="1" customFormat="1" x14ac:dyDescent="0.25">
      <c r="U433" s="101"/>
      <c r="V433" s="101"/>
      <c r="W433" s="101"/>
      <c r="X433" s="101"/>
      <c r="Y433" s="101"/>
      <c r="Z433" s="101"/>
      <c r="AA433" s="101"/>
      <c r="AB433" s="101"/>
      <c r="AC433" s="101"/>
      <c r="AD433" s="101"/>
      <c r="AE433" s="101"/>
      <c r="AF433" s="101"/>
      <c r="AG433" s="101"/>
    </row>
    <row r="434" spans="21:33" s="1" customFormat="1" x14ac:dyDescent="0.25">
      <c r="U434" s="101"/>
      <c r="V434" s="101"/>
      <c r="W434" s="101"/>
      <c r="X434" s="101"/>
      <c r="Y434" s="101"/>
      <c r="Z434" s="101"/>
      <c r="AA434" s="101"/>
      <c r="AB434" s="101"/>
      <c r="AC434" s="101"/>
      <c r="AD434" s="101"/>
      <c r="AE434" s="101"/>
      <c r="AF434" s="101"/>
      <c r="AG434" s="101"/>
    </row>
    <row r="435" spans="21:33" s="1" customFormat="1" x14ac:dyDescent="0.25"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101"/>
      <c r="AG435" s="101"/>
    </row>
    <row r="436" spans="21:33" s="1" customFormat="1" x14ac:dyDescent="0.25">
      <c r="U436" s="101"/>
      <c r="V436" s="101"/>
      <c r="W436" s="101"/>
      <c r="X436" s="101"/>
      <c r="Y436" s="101"/>
      <c r="Z436" s="101"/>
      <c r="AA436" s="101"/>
      <c r="AB436" s="101"/>
      <c r="AC436" s="101"/>
      <c r="AD436" s="101"/>
      <c r="AE436" s="101"/>
      <c r="AF436" s="101"/>
      <c r="AG436" s="101"/>
    </row>
    <row r="437" spans="21:33" s="1" customFormat="1" x14ac:dyDescent="0.25">
      <c r="U437" s="101"/>
      <c r="V437" s="101"/>
      <c r="W437" s="101"/>
      <c r="X437" s="101"/>
      <c r="Y437" s="101"/>
      <c r="Z437" s="101"/>
      <c r="AA437" s="101"/>
      <c r="AB437" s="101"/>
      <c r="AC437" s="101"/>
      <c r="AD437" s="101"/>
      <c r="AE437" s="101"/>
      <c r="AF437" s="101"/>
      <c r="AG437" s="101"/>
    </row>
    <row r="438" spans="21:33" s="1" customFormat="1" x14ac:dyDescent="0.25">
      <c r="U438" s="101"/>
      <c r="V438" s="101"/>
      <c r="W438" s="101"/>
      <c r="X438" s="101"/>
      <c r="Y438" s="101"/>
      <c r="Z438" s="101"/>
      <c r="AA438" s="101"/>
      <c r="AB438" s="101"/>
      <c r="AC438" s="101"/>
      <c r="AD438" s="101"/>
      <c r="AE438" s="101"/>
      <c r="AF438" s="101"/>
      <c r="AG438" s="101"/>
    </row>
    <row r="439" spans="21:33" s="1" customFormat="1" x14ac:dyDescent="0.25">
      <c r="U439" s="101"/>
      <c r="V439" s="101"/>
      <c r="W439" s="101"/>
      <c r="X439" s="101"/>
      <c r="Y439" s="101"/>
      <c r="Z439" s="101"/>
      <c r="AA439" s="101"/>
      <c r="AB439" s="101"/>
      <c r="AC439" s="101"/>
      <c r="AD439" s="101"/>
      <c r="AE439" s="101"/>
      <c r="AF439" s="101"/>
      <c r="AG439" s="101"/>
    </row>
    <row r="440" spans="21:33" s="1" customFormat="1" x14ac:dyDescent="0.25">
      <c r="U440" s="101"/>
      <c r="V440" s="101"/>
      <c r="W440" s="101"/>
      <c r="X440" s="101"/>
      <c r="Y440" s="101"/>
      <c r="Z440" s="101"/>
      <c r="AA440" s="101"/>
      <c r="AB440" s="101"/>
      <c r="AC440" s="101"/>
      <c r="AD440" s="101"/>
      <c r="AE440" s="101"/>
      <c r="AF440" s="101"/>
      <c r="AG440" s="101"/>
    </row>
    <row r="441" spans="21:33" s="1" customFormat="1" x14ac:dyDescent="0.25">
      <c r="U441" s="101"/>
      <c r="V441" s="101"/>
      <c r="W441" s="101"/>
      <c r="X441" s="101"/>
      <c r="Y441" s="101"/>
      <c r="Z441" s="101"/>
      <c r="AA441" s="101"/>
      <c r="AB441" s="101"/>
      <c r="AC441" s="101"/>
      <c r="AD441" s="101"/>
      <c r="AE441" s="101"/>
      <c r="AF441" s="101"/>
      <c r="AG441" s="101"/>
    </row>
    <row r="442" spans="21:33" s="1" customFormat="1" x14ac:dyDescent="0.25"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101"/>
      <c r="AG442" s="101"/>
    </row>
    <row r="443" spans="21:33" s="1" customFormat="1" x14ac:dyDescent="0.25">
      <c r="U443" s="101"/>
      <c r="V443" s="101"/>
      <c r="W443" s="101"/>
      <c r="X443" s="101"/>
      <c r="Y443" s="101"/>
      <c r="Z443" s="101"/>
      <c r="AA443" s="101"/>
      <c r="AB443" s="101"/>
      <c r="AC443" s="101"/>
      <c r="AD443" s="101"/>
      <c r="AE443" s="101"/>
      <c r="AF443" s="101"/>
      <c r="AG443" s="101"/>
    </row>
    <row r="444" spans="21:33" s="1" customFormat="1" x14ac:dyDescent="0.25">
      <c r="U444" s="101"/>
      <c r="V444" s="101"/>
      <c r="W444" s="101"/>
      <c r="X444" s="101"/>
      <c r="Y444" s="101"/>
      <c r="Z444" s="101"/>
      <c r="AA444" s="101"/>
      <c r="AB444" s="101"/>
      <c r="AC444" s="101"/>
      <c r="AD444" s="101"/>
      <c r="AE444" s="101"/>
      <c r="AF444" s="101"/>
      <c r="AG444" s="101"/>
    </row>
    <row r="445" spans="21:33" s="1" customFormat="1" x14ac:dyDescent="0.25">
      <c r="U445" s="101"/>
      <c r="V445" s="101"/>
      <c r="W445" s="101"/>
      <c r="X445" s="101"/>
      <c r="Y445" s="101"/>
      <c r="Z445" s="101"/>
      <c r="AA445" s="101"/>
      <c r="AB445" s="101"/>
      <c r="AC445" s="101"/>
      <c r="AD445" s="101"/>
      <c r="AE445" s="101"/>
      <c r="AF445" s="101"/>
      <c r="AG445" s="101"/>
    </row>
    <row r="446" spans="21:33" s="1" customFormat="1" x14ac:dyDescent="0.25">
      <c r="U446" s="101"/>
      <c r="V446" s="101"/>
      <c r="W446" s="101"/>
      <c r="X446" s="101"/>
      <c r="Y446" s="101"/>
      <c r="Z446" s="101"/>
      <c r="AA446" s="101"/>
      <c r="AB446" s="101"/>
      <c r="AC446" s="101"/>
      <c r="AD446" s="101"/>
      <c r="AE446" s="101"/>
      <c r="AF446" s="101"/>
      <c r="AG446" s="101"/>
    </row>
    <row r="447" spans="21:33" s="1" customFormat="1" x14ac:dyDescent="0.25"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101"/>
      <c r="AG447" s="101"/>
    </row>
    <row r="448" spans="21:33" s="1" customFormat="1" x14ac:dyDescent="0.25">
      <c r="U448" s="101"/>
      <c r="V448" s="101"/>
      <c r="W448" s="101"/>
      <c r="X448" s="101"/>
      <c r="Y448" s="101"/>
      <c r="Z448" s="101"/>
      <c r="AA448" s="101"/>
      <c r="AB448" s="101"/>
      <c r="AC448" s="101"/>
      <c r="AD448" s="101"/>
      <c r="AE448" s="101"/>
      <c r="AF448" s="101"/>
      <c r="AG448" s="101"/>
    </row>
    <row r="449" spans="21:33" s="1" customFormat="1" x14ac:dyDescent="0.25">
      <c r="U449" s="101"/>
      <c r="V449" s="101"/>
      <c r="W449" s="101"/>
      <c r="X449" s="101"/>
      <c r="Y449" s="101"/>
      <c r="Z449" s="101"/>
      <c r="AA449" s="101"/>
      <c r="AB449" s="101"/>
      <c r="AC449" s="101"/>
      <c r="AD449" s="101"/>
      <c r="AE449" s="101"/>
      <c r="AF449" s="101"/>
      <c r="AG449" s="101"/>
    </row>
    <row r="450" spans="21:33" s="1" customFormat="1" x14ac:dyDescent="0.25">
      <c r="U450" s="101"/>
      <c r="V450" s="101"/>
      <c r="W450" s="101"/>
      <c r="X450" s="101"/>
      <c r="Y450" s="101"/>
      <c r="Z450" s="101"/>
      <c r="AA450" s="101"/>
      <c r="AB450" s="101"/>
      <c r="AC450" s="101"/>
      <c r="AD450" s="101"/>
      <c r="AE450" s="101"/>
      <c r="AF450" s="101"/>
      <c r="AG450" s="101"/>
    </row>
    <row r="451" spans="21:33" s="1" customFormat="1" x14ac:dyDescent="0.25">
      <c r="U451" s="101"/>
      <c r="V451" s="101"/>
      <c r="W451" s="101"/>
      <c r="X451" s="101"/>
      <c r="Y451" s="101"/>
      <c r="Z451" s="101"/>
      <c r="AA451" s="101"/>
      <c r="AB451" s="101"/>
      <c r="AC451" s="101"/>
      <c r="AD451" s="101"/>
      <c r="AE451" s="101"/>
      <c r="AF451" s="101"/>
      <c r="AG451" s="101"/>
    </row>
    <row r="452" spans="21:33" s="1" customFormat="1" x14ac:dyDescent="0.25">
      <c r="U452" s="101"/>
      <c r="V452" s="101"/>
      <c r="W452" s="101"/>
      <c r="X452" s="101"/>
      <c r="Y452" s="101"/>
      <c r="Z452" s="101"/>
      <c r="AA452" s="101"/>
      <c r="AB452" s="101"/>
      <c r="AC452" s="101"/>
      <c r="AD452" s="101"/>
      <c r="AE452" s="101"/>
      <c r="AF452" s="101"/>
      <c r="AG452" s="101"/>
    </row>
    <row r="453" spans="21:33" s="1" customFormat="1" x14ac:dyDescent="0.25">
      <c r="U453" s="101"/>
      <c r="V453" s="101"/>
      <c r="W453" s="101"/>
      <c r="X453" s="101"/>
      <c r="Y453" s="101"/>
      <c r="Z453" s="101"/>
      <c r="AA453" s="101"/>
      <c r="AB453" s="101"/>
      <c r="AC453" s="101"/>
      <c r="AD453" s="101"/>
      <c r="AE453" s="101"/>
      <c r="AF453" s="101"/>
      <c r="AG453" s="101"/>
    </row>
    <row r="454" spans="21:33" s="1" customFormat="1" x14ac:dyDescent="0.25">
      <c r="U454" s="101"/>
      <c r="V454" s="101"/>
      <c r="W454" s="101"/>
      <c r="X454" s="101"/>
      <c r="Y454" s="101"/>
      <c r="Z454" s="101"/>
      <c r="AA454" s="101"/>
      <c r="AB454" s="101"/>
      <c r="AC454" s="101"/>
      <c r="AD454" s="101"/>
      <c r="AE454" s="101"/>
      <c r="AF454" s="101"/>
      <c r="AG454" s="101"/>
    </row>
    <row r="455" spans="21:33" s="1" customFormat="1" x14ac:dyDescent="0.25">
      <c r="U455" s="101"/>
      <c r="V455" s="101"/>
      <c r="W455" s="101"/>
      <c r="X455" s="101"/>
      <c r="Y455" s="101"/>
      <c r="Z455" s="101"/>
      <c r="AA455" s="101"/>
      <c r="AB455" s="101"/>
      <c r="AC455" s="101"/>
      <c r="AD455" s="101"/>
      <c r="AE455" s="101"/>
      <c r="AF455" s="101"/>
      <c r="AG455" s="101"/>
    </row>
    <row r="456" spans="21:33" s="1" customFormat="1" x14ac:dyDescent="0.25"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101"/>
      <c r="AG456" s="101"/>
    </row>
    <row r="457" spans="21:33" s="1" customFormat="1" x14ac:dyDescent="0.25">
      <c r="U457" s="101"/>
      <c r="V457" s="101"/>
      <c r="W457" s="101"/>
      <c r="X457" s="101"/>
      <c r="Y457" s="101"/>
      <c r="Z457" s="101"/>
      <c r="AA457" s="101"/>
      <c r="AB457" s="101"/>
      <c r="AC457" s="101"/>
      <c r="AD457" s="101"/>
      <c r="AE457" s="101"/>
      <c r="AF457" s="101"/>
      <c r="AG457" s="101"/>
    </row>
    <row r="458" spans="21:33" s="1" customFormat="1" x14ac:dyDescent="0.25">
      <c r="U458" s="101"/>
      <c r="V458" s="101"/>
      <c r="W458" s="101"/>
      <c r="X458" s="101"/>
      <c r="Y458" s="101"/>
      <c r="Z458" s="101"/>
      <c r="AA458" s="101"/>
      <c r="AB458" s="101"/>
      <c r="AC458" s="101"/>
      <c r="AD458" s="101"/>
      <c r="AE458" s="101"/>
      <c r="AF458" s="101"/>
      <c r="AG458" s="101"/>
    </row>
    <row r="459" spans="21:33" s="1" customFormat="1" x14ac:dyDescent="0.25"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101"/>
      <c r="AG459" s="101"/>
    </row>
    <row r="460" spans="21:33" s="1" customFormat="1" x14ac:dyDescent="0.25">
      <c r="U460" s="101"/>
      <c r="V460" s="101"/>
      <c r="W460" s="101"/>
      <c r="X460" s="101"/>
      <c r="Y460" s="101"/>
      <c r="Z460" s="101"/>
      <c r="AA460" s="101"/>
      <c r="AB460" s="101"/>
      <c r="AC460" s="101"/>
      <c r="AD460" s="101"/>
      <c r="AE460" s="101"/>
      <c r="AF460" s="101"/>
      <c r="AG460" s="101"/>
    </row>
    <row r="461" spans="21:33" s="1" customFormat="1" x14ac:dyDescent="0.25">
      <c r="U461" s="101"/>
      <c r="V461" s="101"/>
      <c r="W461" s="101"/>
      <c r="X461" s="101"/>
      <c r="Y461" s="101"/>
      <c r="Z461" s="101"/>
      <c r="AA461" s="101"/>
      <c r="AB461" s="101"/>
      <c r="AC461" s="101"/>
      <c r="AD461" s="101"/>
      <c r="AE461" s="101"/>
      <c r="AF461" s="101"/>
      <c r="AG461" s="101"/>
    </row>
    <row r="462" spans="21:33" s="1" customFormat="1" x14ac:dyDescent="0.25">
      <c r="U462" s="101"/>
      <c r="V462" s="101"/>
      <c r="W462" s="101"/>
      <c r="X462" s="101"/>
      <c r="Y462" s="101"/>
      <c r="Z462" s="101"/>
      <c r="AA462" s="101"/>
      <c r="AB462" s="101"/>
      <c r="AC462" s="101"/>
      <c r="AD462" s="101"/>
      <c r="AE462" s="101"/>
      <c r="AF462" s="101"/>
      <c r="AG462" s="101"/>
    </row>
    <row r="463" spans="21:33" s="1" customFormat="1" x14ac:dyDescent="0.25">
      <c r="U463" s="101"/>
      <c r="V463" s="101"/>
      <c r="W463" s="101"/>
      <c r="X463" s="101"/>
      <c r="Y463" s="101"/>
      <c r="Z463" s="101"/>
      <c r="AA463" s="101"/>
      <c r="AB463" s="101"/>
      <c r="AC463" s="101"/>
      <c r="AD463" s="101"/>
      <c r="AE463" s="101"/>
      <c r="AF463" s="101"/>
      <c r="AG463" s="101"/>
    </row>
    <row r="464" spans="21:33" s="1" customFormat="1" x14ac:dyDescent="0.25">
      <c r="U464" s="101"/>
      <c r="V464" s="101"/>
      <c r="W464" s="101"/>
      <c r="X464" s="101"/>
      <c r="Y464" s="101"/>
      <c r="Z464" s="101"/>
      <c r="AA464" s="101"/>
      <c r="AB464" s="101"/>
      <c r="AC464" s="101"/>
      <c r="AD464" s="101"/>
      <c r="AE464" s="101"/>
      <c r="AF464" s="101"/>
      <c r="AG464" s="101"/>
    </row>
    <row r="465" spans="21:33" s="1" customFormat="1" x14ac:dyDescent="0.25">
      <c r="U465" s="101"/>
      <c r="V465" s="101"/>
      <c r="W465" s="101"/>
      <c r="X465" s="101"/>
      <c r="Y465" s="101"/>
      <c r="Z465" s="101"/>
      <c r="AA465" s="101"/>
      <c r="AB465" s="101"/>
      <c r="AC465" s="101"/>
      <c r="AD465" s="101"/>
      <c r="AE465" s="101"/>
      <c r="AF465" s="101"/>
      <c r="AG465" s="101"/>
    </row>
    <row r="466" spans="21:33" s="1" customFormat="1" x14ac:dyDescent="0.25">
      <c r="U466" s="101"/>
      <c r="V466" s="101"/>
      <c r="W466" s="101"/>
      <c r="X466" s="101"/>
      <c r="Y466" s="101"/>
      <c r="Z466" s="101"/>
      <c r="AA466" s="101"/>
      <c r="AB466" s="101"/>
      <c r="AC466" s="101"/>
      <c r="AD466" s="101"/>
      <c r="AE466" s="101"/>
      <c r="AF466" s="101"/>
      <c r="AG466" s="101"/>
    </row>
    <row r="467" spans="21:33" s="1" customFormat="1" x14ac:dyDescent="0.25">
      <c r="U467" s="101"/>
      <c r="V467" s="101"/>
      <c r="W467" s="101"/>
      <c r="X467" s="101"/>
      <c r="Y467" s="101"/>
      <c r="Z467" s="101"/>
      <c r="AA467" s="101"/>
      <c r="AB467" s="101"/>
      <c r="AC467" s="101"/>
      <c r="AD467" s="101"/>
      <c r="AE467" s="101"/>
      <c r="AF467" s="101"/>
      <c r="AG467" s="101"/>
    </row>
    <row r="468" spans="21:33" s="1" customFormat="1" x14ac:dyDescent="0.25">
      <c r="U468" s="101"/>
      <c r="V468" s="101"/>
      <c r="W468" s="101"/>
      <c r="X468" s="101"/>
      <c r="Y468" s="101"/>
      <c r="Z468" s="101"/>
      <c r="AA468" s="101"/>
      <c r="AB468" s="101"/>
      <c r="AC468" s="101"/>
      <c r="AD468" s="101"/>
      <c r="AE468" s="101"/>
      <c r="AF468" s="101"/>
      <c r="AG468" s="101"/>
    </row>
    <row r="469" spans="21:33" s="1" customFormat="1" x14ac:dyDescent="0.25">
      <c r="U469" s="101"/>
      <c r="V469" s="101"/>
      <c r="W469" s="101"/>
      <c r="X469" s="101"/>
      <c r="Y469" s="101"/>
      <c r="Z469" s="101"/>
      <c r="AA469" s="101"/>
      <c r="AB469" s="101"/>
      <c r="AC469" s="101"/>
      <c r="AD469" s="101"/>
      <c r="AE469" s="101"/>
      <c r="AF469" s="101"/>
      <c r="AG469" s="101"/>
    </row>
    <row r="470" spans="21:33" s="1" customFormat="1" x14ac:dyDescent="0.25">
      <c r="U470" s="101"/>
      <c r="V470" s="101"/>
      <c r="W470" s="101"/>
      <c r="X470" s="101"/>
      <c r="Y470" s="101"/>
      <c r="Z470" s="101"/>
      <c r="AA470" s="101"/>
      <c r="AB470" s="101"/>
      <c r="AC470" s="101"/>
      <c r="AD470" s="101"/>
      <c r="AE470" s="101"/>
      <c r="AF470" s="101"/>
      <c r="AG470" s="101"/>
    </row>
    <row r="471" spans="21:33" s="1" customFormat="1" x14ac:dyDescent="0.25">
      <c r="U471" s="101"/>
      <c r="V471" s="101"/>
      <c r="W471" s="101"/>
      <c r="X471" s="101"/>
      <c r="Y471" s="101"/>
      <c r="Z471" s="101"/>
      <c r="AA471" s="101"/>
      <c r="AB471" s="101"/>
      <c r="AC471" s="101"/>
      <c r="AD471" s="101"/>
      <c r="AE471" s="101"/>
      <c r="AF471" s="101"/>
      <c r="AG471" s="101"/>
    </row>
    <row r="472" spans="21:33" s="1" customFormat="1" x14ac:dyDescent="0.25"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101"/>
      <c r="AG472" s="101"/>
    </row>
    <row r="473" spans="21:33" s="1" customFormat="1" x14ac:dyDescent="0.25">
      <c r="U473" s="101"/>
      <c r="V473" s="101"/>
      <c r="W473" s="101"/>
      <c r="X473" s="101"/>
      <c r="Y473" s="101"/>
      <c r="Z473" s="101"/>
      <c r="AA473" s="101"/>
      <c r="AB473" s="101"/>
      <c r="AC473" s="101"/>
      <c r="AD473" s="101"/>
      <c r="AE473" s="101"/>
      <c r="AF473" s="101"/>
      <c r="AG473" s="101"/>
    </row>
    <row r="474" spans="21:33" s="1" customFormat="1" x14ac:dyDescent="0.25">
      <c r="U474" s="101"/>
      <c r="V474" s="101"/>
      <c r="W474" s="101"/>
      <c r="X474" s="101"/>
      <c r="Y474" s="101"/>
      <c r="Z474" s="101"/>
      <c r="AA474" s="101"/>
      <c r="AB474" s="101"/>
      <c r="AC474" s="101"/>
      <c r="AD474" s="101"/>
      <c r="AE474" s="101"/>
      <c r="AF474" s="101"/>
      <c r="AG474" s="101"/>
    </row>
    <row r="475" spans="21:33" s="1" customFormat="1" x14ac:dyDescent="0.25">
      <c r="U475" s="101"/>
      <c r="V475" s="101"/>
      <c r="W475" s="101"/>
      <c r="X475" s="101"/>
      <c r="Y475" s="101"/>
      <c r="Z475" s="101"/>
      <c r="AA475" s="101"/>
      <c r="AB475" s="101"/>
      <c r="AC475" s="101"/>
      <c r="AD475" s="101"/>
      <c r="AE475" s="101"/>
      <c r="AF475" s="101"/>
      <c r="AG475" s="101"/>
    </row>
    <row r="476" spans="21:33" s="1" customFormat="1" x14ac:dyDescent="0.25"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101"/>
      <c r="AG476" s="101"/>
    </row>
    <row r="477" spans="21:33" s="1" customFormat="1" x14ac:dyDescent="0.25">
      <c r="U477" s="101"/>
      <c r="V477" s="101"/>
      <c r="W477" s="101"/>
      <c r="X477" s="101"/>
      <c r="Y477" s="101"/>
      <c r="Z477" s="101"/>
      <c r="AA477" s="101"/>
      <c r="AB477" s="101"/>
      <c r="AC477" s="101"/>
      <c r="AD477" s="101"/>
      <c r="AE477" s="101"/>
      <c r="AF477" s="101"/>
      <c r="AG477" s="101"/>
    </row>
    <row r="478" spans="21:33" s="1" customFormat="1" x14ac:dyDescent="0.25">
      <c r="U478" s="101"/>
      <c r="V478" s="101"/>
      <c r="W478" s="101"/>
      <c r="X478" s="101"/>
      <c r="Y478" s="101"/>
      <c r="Z478" s="101"/>
      <c r="AA478" s="101"/>
      <c r="AB478" s="101"/>
      <c r="AC478" s="101"/>
      <c r="AD478" s="101"/>
      <c r="AE478" s="101"/>
      <c r="AF478" s="101"/>
      <c r="AG478" s="101"/>
    </row>
    <row r="479" spans="21:33" s="1" customFormat="1" x14ac:dyDescent="0.25">
      <c r="U479" s="101"/>
      <c r="V479" s="101"/>
      <c r="W479" s="101"/>
      <c r="X479" s="101"/>
      <c r="Y479" s="101"/>
      <c r="Z479" s="101"/>
      <c r="AA479" s="101"/>
      <c r="AB479" s="101"/>
      <c r="AC479" s="101"/>
      <c r="AD479" s="101"/>
      <c r="AE479" s="101"/>
      <c r="AF479" s="101"/>
      <c r="AG479" s="101"/>
    </row>
    <row r="480" spans="21:33" s="1" customFormat="1" x14ac:dyDescent="0.25">
      <c r="U480" s="101"/>
      <c r="V480" s="101"/>
      <c r="W480" s="101"/>
      <c r="X480" s="101"/>
      <c r="Y480" s="101"/>
      <c r="Z480" s="101"/>
      <c r="AA480" s="101"/>
      <c r="AB480" s="101"/>
      <c r="AC480" s="101"/>
      <c r="AD480" s="101"/>
      <c r="AE480" s="101"/>
      <c r="AF480" s="101"/>
      <c r="AG480" s="101"/>
    </row>
    <row r="481" spans="21:33" s="1" customFormat="1" x14ac:dyDescent="0.25">
      <c r="U481" s="101"/>
      <c r="V481" s="101"/>
      <c r="W481" s="101"/>
      <c r="X481" s="101"/>
      <c r="Y481" s="101"/>
      <c r="Z481" s="101"/>
      <c r="AA481" s="101"/>
      <c r="AB481" s="101"/>
      <c r="AC481" s="101"/>
      <c r="AD481" s="101"/>
      <c r="AE481" s="101"/>
      <c r="AF481" s="101"/>
      <c r="AG481" s="101"/>
    </row>
    <row r="482" spans="21:33" s="1" customFormat="1" x14ac:dyDescent="0.25">
      <c r="U482" s="101"/>
      <c r="V482" s="101"/>
      <c r="W482" s="101"/>
      <c r="X482" s="101"/>
      <c r="Y482" s="101"/>
      <c r="Z482" s="101"/>
      <c r="AA482" s="101"/>
      <c r="AB482" s="101"/>
      <c r="AC482" s="101"/>
      <c r="AD482" s="101"/>
      <c r="AE482" s="101"/>
      <c r="AF482" s="101"/>
      <c r="AG482" s="101"/>
    </row>
    <row r="483" spans="21:33" s="1" customFormat="1" x14ac:dyDescent="0.25"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101"/>
      <c r="AG483" s="101"/>
    </row>
    <row r="484" spans="21:33" s="1" customFormat="1" x14ac:dyDescent="0.25">
      <c r="U484" s="101"/>
      <c r="V484" s="101"/>
      <c r="W484" s="101"/>
      <c r="X484" s="101"/>
      <c r="Y484" s="101"/>
      <c r="Z484" s="101"/>
      <c r="AA484" s="101"/>
      <c r="AB484" s="101"/>
      <c r="AC484" s="101"/>
      <c r="AD484" s="101"/>
      <c r="AE484" s="101"/>
      <c r="AF484" s="101"/>
      <c r="AG484" s="101"/>
    </row>
    <row r="485" spans="21:33" s="1" customFormat="1" x14ac:dyDescent="0.25"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101"/>
      <c r="AG485" s="101"/>
    </row>
    <row r="486" spans="21:33" s="1" customFormat="1" x14ac:dyDescent="0.25">
      <c r="U486" s="101"/>
      <c r="V486" s="101"/>
      <c r="W486" s="101"/>
      <c r="X486" s="101"/>
      <c r="Y486" s="101"/>
      <c r="Z486" s="101"/>
      <c r="AA486" s="101"/>
      <c r="AB486" s="101"/>
      <c r="AC486" s="101"/>
      <c r="AD486" s="101"/>
      <c r="AE486" s="101"/>
      <c r="AF486" s="101"/>
      <c r="AG486" s="101"/>
    </row>
    <row r="487" spans="21:33" s="1" customFormat="1" x14ac:dyDescent="0.25">
      <c r="U487" s="101"/>
      <c r="V487" s="101"/>
      <c r="W487" s="101"/>
      <c r="X487" s="101"/>
      <c r="Y487" s="101"/>
      <c r="Z487" s="101"/>
      <c r="AA487" s="101"/>
      <c r="AB487" s="101"/>
      <c r="AC487" s="101"/>
      <c r="AD487" s="101"/>
      <c r="AE487" s="101"/>
      <c r="AF487" s="101"/>
      <c r="AG487" s="101"/>
    </row>
    <row r="488" spans="21:33" s="1" customFormat="1" x14ac:dyDescent="0.25">
      <c r="U488" s="101"/>
      <c r="V488" s="101"/>
      <c r="W488" s="101"/>
      <c r="X488" s="101"/>
      <c r="Y488" s="101"/>
      <c r="Z488" s="101"/>
      <c r="AA488" s="101"/>
      <c r="AB488" s="101"/>
      <c r="AC488" s="101"/>
      <c r="AD488" s="101"/>
      <c r="AE488" s="101"/>
      <c r="AF488" s="101"/>
      <c r="AG488" s="101"/>
    </row>
    <row r="489" spans="21:33" s="1" customFormat="1" x14ac:dyDescent="0.25">
      <c r="U489" s="101"/>
      <c r="V489" s="101"/>
      <c r="W489" s="101"/>
      <c r="X489" s="101"/>
      <c r="Y489" s="101"/>
      <c r="Z489" s="101"/>
      <c r="AA489" s="101"/>
      <c r="AB489" s="101"/>
      <c r="AC489" s="101"/>
      <c r="AD489" s="101"/>
      <c r="AE489" s="101"/>
      <c r="AF489" s="101"/>
      <c r="AG489" s="101"/>
    </row>
    <row r="490" spans="21:33" s="1" customFormat="1" x14ac:dyDescent="0.25">
      <c r="U490" s="101"/>
      <c r="V490" s="101"/>
      <c r="W490" s="101"/>
      <c r="X490" s="101"/>
      <c r="Y490" s="101"/>
      <c r="Z490" s="101"/>
      <c r="AA490" s="101"/>
      <c r="AB490" s="101"/>
      <c r="AC490" s="101"/>
      <c r="AD490" s="101"/>
      <c r="AE490" s="101"/>
      <c r="AF490" s="101"/>
      <c r="AG490" s="101"/>
    </row>
    <row r="491" spans="21:33" s="1" customFormat="1" x14ac:dyDescent="0.25">
      <c r="U491" s="101"/>
      <c r="V491" s="101"/>
      <c r="W491" s="101"/>
      <c r="X491" s="101"/>
      <c r="Y491" s="101"/>
      <c r="Z491" s="101"/>
      <c r="AA491" s="101"/>
      <c r="AB491" s="101"/>
      <c r="AC491" s="101"/>
      <c r="AD491" s="101"/>
      <c r="AE491" s="101"/>
      <c r="AF491" s="101"/>
      <c r="AG491" s="101"/>
    </row>
    <row r="492" spans="21:33" s="1" customFormat="1" x14ac:dyDescent="0.25">
      <c r="U492" s="101"/>
      <c r="V492" s="101"/>
      <c r="W492" s="101"/>
      <c r="X492" s="101"/>
      <c r="Y492" s="101"/>
      <c r="Z492" s="101"/>
      <c r="AA492" s="101"/>
      <c r="AB492" s="101"/>
      <c r="AC492" s="101"/>
      <c r="AD492" s="101"/>
      <c r="AE492" s="101"/>
      <c r="AF492" s="101"/>
      <c r="AG492" s="101"/>
    </row>
    <row r="493" spans="21:33" s="1" customFormat="1" x14ac:dyDescent="0.25">
      <c r="U493" s="101"/>
      <c r="V493" s="101"/>
      <c r="W493" s="101"/>
      <c r="X493" s="101"/>
      <c r="Y493" s="101"/>
      <c r="Z493" s="101"/>
      <c r="AA493" s="101"/>
      <c r="AB493" s="101"/>
      <c r="AC493" s="101"/>
      <c r="AD493" s="101"/>
      <c r="AE493" s="101"/>
      <c r="AF493" s="101"/>
      <c r="AG493" s="101"/>
    </row>
    <row r="494" spans="21:33" s="1" customFormat="1" x14ac:dyDescent="0.25">
      <c r="U494" s="101"/>
      <c r="V494" s="101"/>
      <c r="W494" s="101"/>
      <c r="X494" s="101"/>
      <c r="Y494" s="101"/>
      <c r="Z494" s="101"/>
      <c r="AA494" s="101"/>
      <c r="AB494" s="101"/>
      <c r="AC494" s="101"/>
      <c r="AD494" s="101"/>
      <c r="AE494" s="101"/>
      <c r="AF494" s="101"/>
      <c r="AG494" s="101"/>
    </row>
    <row r="495" spans="21:33" s="1" customFormat="1" x14ac:dyDescent="0.25">
      <c r="U495" s="101"/>
      <c r="V495" s="101"/>
      <c r="W495" s="101"/>
      <c r="X495" s="101"/>
      <c r="Y495" s="101"/>
      <c r="Z495" s="101"/>
      <c r="AA495" s="101"/>
      <c r="AB495" s="101"/>
      <c r="AC495" s="101"/>
      <c r="AD495" s="101"/>
      <c r="AE495" s="101"/>
      <c r="AF495" s="101"/>
      <c r="AG495" s="101"/>
    </row>
    <row r="496" spans="21:33" s="1" customFormat="1" x14ac:dyDescent="0.25">
      <c r="U496" s="101"/>
      <c r="V496" s="101"/>
      <c r="W496" s="101"/>
      <c r="X496" s="101"/>
      <c r="Y496" s="101"/>
      <c r="Z496" s="101"/>
      <c r="AA496" s="101"/>
      <c r="AB496" s="101"/>
      <c r="AC496" s="101"/>
      <c r="AD496" s="101"/>
      <c r="AE496" s="101"/>
      <c r="AF496" s="101"/>
      <c r="AG496" s="101"/>
    </row>
    <row r="497" spans="21:33" s="1" customFormat="1" x14ac:dyDescent="0.25">
      <c r="U497" s="101"/>
      <c r="V497" s="101"/>
      <c r="W497" s="101"/>
      <c r="X497" s="101"/>
      <c r="Y497" s="101"/>
      <c r="Z497" s="101"/>
      <c r="AA497" s="101"/>
      <c r="AB497" s="101"/>
      <c r="AC497" s="101"/>
      <c r="AD497" s="101"/>
      <c r="AE497" s="101"/>
      <c r="AF497" s="101"/>
      <c r="AG497" s="101"/>
    </row>
    <row r="498" spans="21:33" s="1" customFormat="1" x14ac:dyDescent="0.25">
      <c r="U498" s="101"/>
      <c r="V498" s="101"/>
      <c r="W498" s="101"/>
      <c r="X498" s="101"/>
      <c r="Y498" s="101"/>
      <c r="Z498" s="101"/>
      <c r="AA498" s="101"/>
      <c r="AB498" s="101"/>
      <c r="AC498" s="101"/>
      <c r="AD498" s="101"/>
      <c r="AE498" s="101"/>
      <c r="AF498" s="101"/>
      <c r="AG498" s="101"/>
    </row>
    <row r="499" spans="21:33" s="1" customFormat="1" x14ac:dyDescent="0.25">
      <c r="U499" s="101"/>
      <c r="V499" s="101"/>
      <c r="W499" s="101"/>
      <c r="X499" s="101"/>
      <c r="Y499" s="101"/>
      <c r="Z499" s="101"/>
      <c r="AA499" s="101"/>
      <c r="AB499" s="101"/>
      <c r="AC499" s="101"/>
      <c r="AD499" s="101"/>
      <c r="AE499" s="101"/>
      <c r="AF499" s="101"/>
      <c r="AG499" s="101"/>
    </row>
    <row r="500" spans="21:33" s="1" customFormat="1" x14ac:dyDescent="0.25">
      <c r="U500" s="101"/>
      <c r="V500" s="101"/>
      <c r="W500" s="101"/>
      <c r="X500" s="101"/>
      <c r="Y500" s="101"/>
      <c r="Z500" s="101"/>
      <c r="AA500" s="101"/>
      <c r="AB500" s="101"/>
      <c r="AC500" s="101"/>
      <c r="AD500" s="101"/>
      <c r="AE500" s="101"/>
      <c r="AF500" s="101"/>
      <c r="AG500" s="101"/>
    </row>
    <row r="501" spans="21:33" s="1" customFormat="1" x14ac:dyDescent="0.25">
      <c r="U501" s="101"/>
      <c r="V501" s="101"/>
      <c r="W501" s="101"/>
      <c r="X501" s="101"/>
      <c r="Y501" s="101"/>
      <c r="Z501" s="101"/>
      <c r="AA501" s="101"/>
      <c r="AB501" s="101"/>
      <c r="AC501" s="101"/>
      <c r="AD501" s="101"/>
      <c r="AE501" s="101"/>
      <c r="AF501" s="101"/>
      <c r="AG501" s="101"/>
    </row>
    <row r="502" spans="21:33" s="1" customFormat="1" x14ac:dyDescent="0.25">
      <c r="U502" s="101"/>
      <c r="V502" s="101"/>
      <c r="W502" s="101"/>
      <c r="X502" s="101"/>
      <c r="Y502" s="101"/>
      <c r="Z502" s="101"/>
      <c r="AA502" s="101"/>
      <c r="AB502" s="101"/>
      <c r="AC502" s="101"/>
      <c r="AD502" s="101"/>
      <c r="AE502" s="101"/>
      <c r="AF502" s="101"/>
      <c r="AG502" s="101"/>
    </row>
    <row r="503" spans="21:33" s="1" customFormat="1" x14ac:dyDescent="0.25">
      <c r="U503" s="101"/>
      <c r="V503" s="101"/>
      <c r="W503" s="101"/>
      <c r="X503" s="101"/>
      <c r="Y503" s="101"/>
      <c r="Z503" s="101"/>
      <c r="AA503" s="101"/>
      <c r="AB503" s="101"/>
      <c r="AC503" s="101"/>
      <c r="AD503" s="101"/>
      <c r="AE503" s="101"/>
      <c r="AF503" s="101"/>
      <c r="AG503" s="101"/>
    </row>
    <row r="504" spans="21:33" s="1" customFormat="1" x14ac:dyDescent="0.25">
      <c r="U504" s="101"/>
      <c r="V504" s="101"/>
      <c r="W504" s="101"/>
      <c r="X504" s="101"/>
      <c r="Y504" s="101"/>
      <c r="Z504" s="101"/>
      <c r="AA504" s="101"/>
      <c r="AB504" s="101"/>
      <c r="AC504" s="101"/>
      <c r="AD504" s="101"/>
      <c r="AE504" s="101"/>
      <c r="AF504" s="101"/>
      <c r="AG504" s="101"/>
    </row>
    <row r="505" spans="21:33" s="1" customFormat="1" x14ac:dyDescent="0.25">
      <c r="U505" s="101"/>
      <c r="V505" s="101"/>
      <c r="W505" s="101"/>
      <c r="X505" s="101"/>
      <c r="Y505" s="101"/>
      <c r="Z505" s="101"/>
      <c r="AA505" s="101"/>
      <c r="AB505" s="101"/>
      <c r="AC505" s="101"/>
      <c r="AD505" s="101"/>
      <c r="AE505" s="101"/>
      <c r="AF505" s="101"/>
      <c r="AG505" s="101"/>
    </row>
    <row r="506" spans="21:33" s="1" customFormat="1" x14ac:dyDescent="0.25">
      <c r="U506" s="101"/>
      <c r="V506" s="101"/>
      <c r="W506" s="101"/>
      <c r="X506" s="101"/>
      <c r="Y506" s="101"/>
      <c r="Z506" s="101"/>
      <c r="AA506" s="101"/>
      <c r="AB506" s="101"/>
      <c r="AC506" s="101"/>
      <c r="AD506" s="101"/>
      <c r="AE506" s="101"/>
      <c r="AF506" s="101"/>
      <c r="AG506" s="101"/>
    </row>
    <row r="507" spans="21:33" s="1" customFormat="1" x14ac:dyDescent="0.25">
      <c r="U507" s="101"/>
      <c r="V507" s="101"/>
      <c r="W507" s="101"/>
      <c r="X507" s="101"/>
      <c r="Y507" s="101"/>
      <c r="Z507" s="101"/>
      <c r="AA507" s="101"/>
      <c r="AB507" s="101"/>
      <c r="AC507" s="101"/>
      <c r="AD507" s="101"/>
      <c r="AE507" s="101"/>
      <c r="AF507" s="101"/>
      <c r="AG507" s="101"/>
    </row>
    <row r="508" spans="21:33" s="1" customFormat="1" x14ac:dyDescent="0.25">
      <c r="U508" s="101"/>
      <c r="V508" s="101"/>
      <c r="W508" s="101"/>
      <c r="X508" s="101"/>
      <c r="Y508" s="101"/>
      <c r="Z508" s="101"/>
      <c r="AA508" s="101"/>
      <c r="AB508" s="101"/>
      <c r="AC508" s="101"/>
      <c r="AD508" s="101"/>
      <c r="AE508" s="101"/>
      <c r="AF508" s="101"/>
      <c r="AG508" s="101"/>
    </row>
    <row r="509" spans="21:33" s="1" customFormat="1" x14ac:dyDescent="0.25">
      <c r="U509" s="101"/>
      <c r="V509" s="101"/>
      <c r="W509" s="101"/>
      <c r="X509" s="101"/>
      <c r="Y509" s="101"/>
      <c r="Z509" s="101"/>
      <c r="AA509" s="101"/>
      <c r="AB509" s="101"/>
      <c r="AC509" s="101"/>
      <c r="AD509" s="101"/>
      <c r="AE509" s="101"/>
      <c r="AF509" s="101"/>
      <c r="AG509" s="101"/>
    </row>
    <row r="510" spans="21:33" s="1" customFormat="1" x14ac:dyDescent="0.25">
      <c r="U510" s="101"/>
      <c r="V510" s="101"/>
      <c r="W510" s="101"/>
      <c r="X510" s="101"/>
      <c r="Y510" s="101"/>
      <c r="Z510" s="101"/>
      <c r="AA510" s="101"/>
      <c r="AB510" s="101"/>
      <c r="AC510" s="101"/>
      <c r="AD510" s="101"/>
      <c r="AE510" s="101"/>
      <c r="AF510" s="101"/>
      <c r="AG510" s="101"/>
    </row>
    <row r="511" spans="21:33" s="1" customFormat="1" x14ac:dyDescent="0.25">
      <c r="U511" s="101"/>
      <c r="V511" s="101"/>
      <c r="W511" s="101"/>
      <c r="X511" s="101"/>
      <c r="Y511" s="101"/>
      <c r="Z511" s="101"/>
      <c r="AA511" s="101"/>
      <c r="AB511" s="101"/>
      <c r="AC511" s="101"/>
      <c r="AD511" s="101"/>
      <c r="AE511" s="101"/>
      <c r="AF511" s="101"/>
      <c r="AG511" s="101"/>
    </row>
    <row r="512" spans="21:33" s="1" customFormat="1" x14ac:dyDescent="0.25">
      <c r="U512" s="101"/>
      <c r="V512" s="101"/>
      <c r="W512" s="101"/>
      <c r="X512" s="101"/>
      <c r="Y512" s="101"/>
      <c r="Z512" s="101"/>
      <c r="AA512" s="101"/>
      <c r="AB512" s="101"/>
      <c r="AC512" s="101"/>
      <c r="AD512" s="101"/>
      <c r="AE512" s="101"/>
      <c r="AF512" s="101"/>
      <c r="AG512" s="101"/>
    </row>
    <row r="513" spans="21:33" s="1" customFormat="1" x14ac:dyDescent="0.25">
      <c r="U513" s="101"/>
      <c r="V513" s="101"/>
      <c r="W513" s="101"/>
      <c r="X513" s="101"/>
      <c r="Y513" s="101"/>
      <c r="Z513" s="101"/>
      <c r="AA513" s="101"/>
      <c r="AB513" s="101"/>
      <c r="AC513" s="101"/>
      <c r="AD513" s="101"/>
      <c r="AE513" s="101"/>
      <c r="AF513" s="101"/>
      <c r="AG513" s="101"/>
    </row>
    <row r="514" spans="21:33" s="1" customFormat="1" x14ac:dyDescent="0.25">
      <c r="U514" s="101"/>
      <c r="V514" s="101"/>
      <c r="W514" s="101"/>
      <c r="X514" s="101"/>
      <c r="Y514" s="101"/>
      <c r="Z514" s="101"/>
      <c r="AA514" s="101"/>
      <c r="AB514" s="101"/>
      <c r="AC514" s="101"/>
      <c r="AD514" s="101"/>
      <c r="AE514" s="101"/>
      <c r="AF514" s="101"/>
      <c r="AG514" s="101"/>
    </row>
    <row r="515" spans="21:33" s="1" customFormat="1" x14ac:dyDescent="0.25">
      <c r="U515" s="101"/>
      <c r="V515" s="101"/>
      <c r="W515" s="101"/>
      <c r="X515" s="101"/>
      <c r="Y515" s="101"/>
      <c r="Z515" s="101"/>
      <c r="AA515" s="101"/>
      <c r="AB515" s="101"/>
      <c r="AC515" s="101"/>
      <c r="AD515" s="101"/>
      <c r="AE515" s="101"/>
      <c r="AF515" s="101"/>
      <c r="AG515" s="101"/>
    </row>
    <row r="516" spans="21:33" s="1" customFormat="1" x14ac:dyDescent="0.25">
      <c r="U516" s="101"/>
      <c r="V516" s="101"/>
      <c r="W516" s="101"/>
      <c r="X516" s="101"/>
      <c r="Y516" s="101"/>
      <c r="Z516" s="101"/>
      <c r="AA516" s="101"/>
      <c r="AB516" s="101"/>
      <c r="AC516" s="101"/>
      <c r="AD516" s="101"/>
      <c r="AE516" s="101"/>
      <c r="AF516" s="101"/>
      <c r="AG516" s="101"/>
    </row>
    <row r="517" spans="21:33" s="1" customFormat="1" x14ac:dyDescent="0.25">
      <c r="U517" s="101"/>
      <c r="V517" s="101"/>
      <c r="W517" s="101"/>
      <c r="X517" s="101"/>
      <c r="Y517" s="101"/>
      <c r="Z517" s="101"/>
      <c r="AA517" s="101"/>
      <c r="AB517" s="101"/>
      <c r="AC517" s="101"/>
      <c r="AD517" s="101"/>
      <c r="AE517" s="101"/>
      <c r="AF517" s="101"/>
      <c r="AG517" s="101"/>
    </row>
    <row r="518" spans="21:33" s="1" customFormat="1" x14ac:dyDescent="0.25">
      <c r="U518" s="101"/>
      <c r="V518" s="101"/>
      <c r="W518" s="101"/>
      <c r="X518" s="101"/>
      <c r="Y518" s="101"/>
      <c r="Z518" s="101"/>
      <c r="AA518" s="101"/>
      <c r="AB518" s="101"/>
      <c r="AC518" s="101"/>
      <c r="AD518" s="101"/>
      <c r="AE518" s="101"/>
      <c r="AF518" s="101"/>
      <c r="AG518" s="101"/>
    </row>
    <row r="519" spans="21:33" s="1" customFormat="1" x14ac:dyDescent="0.25">
      <c r="U519" s="101"/>
      <c r="V519" s="101"/>
      <c r="W519" s="101"/>
      <c r="X519" s="101"/>
      <c r="Y519" s="101"/>
      <c r="Z519" s="101"/>
      <c r="AA519" s="101"/>
      <c r="AB519" s="101"/>
      <c r="AC519" s="101"/>
      <c r="AD519" s="101"/>
      <c r="AE519" s="101"/>
      <c r="AF519" s="101"/>
      <c r="AG519" s="101"/>
    </row>
    <row r="520" spans="21:33" s="1" customFormat="1" x14ac:dyDescent="0.25">
      <c r="U520" s="101"/>
      <c r="V520" s="101"/>
      <c r="W520" s="101"/>
      <c r="X520" s="101"/>
      <c r="Y520" s="101"/>
      <c r="Z520" s="101"/>
      <c r="AA520" s="101"/>
      <c r="AB520" s="101"/>
      <c r="AC520" s="101"/>
      <c r="AD520" s="101"/>
      <c r="AE520" s="101"/>
      <c r="AF520" s="101"/>
      <c r="AG520" s="101"/>
    </row>
    <row r="521" spans="21:33" s="1" customFormat="1" x14ac:dyDescent="0.25">
      <c r="U521" s="101"/>
      <c r="V521" s="101"/>
      <c r="W521" s="101"/>
      <c r="X521" s="101"/>
      <c r="Y521" s="101"/>
      <c r="Z521" s="101"/>
      <c r="AA521" s="101"/>
      <c r="AB521" s="101"/>
      <c r="AC521" s="101"/>
      <c r="AD521" s="101"/>
      <c r="AE521" s="101"/>
      <c r="AF521" s="101"/>
      <c r="AG521" s="101"/>
    </row>
    <row r="522" spans="21:33" s="1" customFormat="1" x14ac:dyDescent="0.25">
      <c r="U522" s="101"/>
      <c r="V522" s="101"/>
      <c r="W522" s="101"/>
      <c r="X522" s="101"/>
      <c r="Y522" s="101"/>
      <c r="Z522" s="101"/>
      <c r="AA522" s="101"/>
      <c r="AB522" s="101"/>
      <c r="AC522" s="101"/>
      <c r="AD522" s="101"/>
      <c r="AE522" s="101"/>
      <c r="AF522" s="101"/>
      <c r="AG522" s="101"/>
    </row>
    <row r="523" spans="21:33" s="1" customFormat="1" x14ac:dyDescent="0.25">
      <c r="U523" s="101"/>
      <c r="V523" s="101"/>
      <c r="W523" s="101"/>
      <c r="X523" s="101"/>
      <c r="Y523" s="101"/>
      <c r="Z523" s="101"/>
      <c r="AA523" s="101"/>
      <c r="AB523" s="101"/>
      <c r="AC523" s="101"/>
      <c r="AD523" s="101"/>
      <c r="AE523" s="101"/>
      <c r="AF523" s="101"/>
      <c r="AG523" s="101"/>
    </row>
    <row r="524" spans="21:33" s="1" customFormat="1" x14ac:dyDescent="0.25">
      <c r="U524" s="101"/>
      <c r="V524" s="101"/>
      <c r="W524" s="101"/>
      <c r="X524" s="101"/>
      <c r="Y524" s="101"/>
      <c r="Z524" s="101"/>
      <c r="AA524" s="101"/>
      <c r="AB524" s="101"/>
      <c r="AC524" s="101"/>
      <c r="AD524" s="101"/>
      <c r="AE524" s="101"/>
      <c r="AF524" s="101"/>
      <c r="AG524" s="101"/>
    </row>
    <row r="525" spans="21:33" s="1" customFormat="1" x14ac:dyDescent="0.25">
      <c r="U525" s="101"/>
      <c r="V525" s="101"/>
      <c r="W525" s="101"/>
      <c r="X525" s="101"/>
      <c r="Y525" s="101"/>
      <c r="Z525" s="101"/>
      <c r="AA525" s="101"/>
      <c r="AB525" s="101"/>
      <c r="AC525" s="101"/>
      <c r="AD525" s="101"/>
      <c r="AE525" s="101"/>
      <c r="AF525" s="101"/>
      <c r="AG525" s="101"/>
    </row>
    <row r="526" spans="21:33" s="1" customFormat="1" x14ac:dyDescent="0.25">
      <c r="U526" s="101"/>
      <c r="V526" s="101"/>
      <c r="W526" s="101"/>
      <c r="X526" s="101"/>
      <c r="Y526" s="101"/>
      <c r="Z526" s="101"/>
      <c r="AA526" s="101"/>
      <c r="AB526" s="101"/>
      <c r="AC526" s="101"/>
      <c r="AD526" s="101"/>
      <c r="AE526" s="101"/>
      <c r="AF526" s="101"/>
      <c r="AG526" s="101"/>
    </row>
    <row r="527" spans="21:33" s="1" customFormat="1" x14ac:dyDescent="0.25">
      <c r="U527" s="101"/>
      <c r="V527" s="101"/>
      <c r="W527" s="101"/>
      <c r="X527" s="101"/>
      <c r="Y527" s="101"/>
      <c r="Z527" s="101"/>
      <c r="AA527" s="101"/>
      <c r="AB527" s="101"/>
      <c r="AC527" s="101"/>
      <c r="AD527" s="101"/>
      <c r="AE527" s="101"/>
      <c r="AF527" s="101"/>
      <c r="AG527" s="101"/>
    </row>
    <row r="528" spans="21:33" s="1" customFormat="1" x14ac:dyDescent="0.25">
      <c r="U528" s="101"/>
      <c r="V528" s="101"/>
      <c r="W528" s="101"/>
      <c r="X528" s="101"/>
      <c r="Y528" s="101"/>
      <c r="Z528" s="101"/>
      <c r="AA528" s="101"/>
      <c r="AB528" s="101"/>
      <c r="AC528" s="101"/>
      <c r="AD528" s="101"/>
      <c r="AE528" s="101"/>
      <c r="AF528" s="101"/>
      <c r="AG528" s="101"/>
    </row>
    <row r="529" spans="21:33" s="1" customFormat="1" x14ac:dyDescent="0.25">
      <c r="U529" s="101"/>
      <c r="V529" s="101"/>
      <c r="W529" s="101"/>
      <c r="X529" s="101"/>
      <c r="Y529" s="101"/>
      <c r="Z529" s="101"/>
      <c r="AA529" s="101"/>
      <c r="AB529" s="101"/>
      <c r="AC529" s="101"/>
      <c r="AD529" s="101"/>
      <c r="AE529" s="101"/>
      <c r="AF529" s="101"/>
      <c r="AG529" s="101"/>
    </row>
    <row r="530" spans="21:33" s="1" customFormat="1" x14ac:dyDescent="0.25">
      <c r="U530" s="101"/>
      <c r="V530" s="101"/>
      <c r="W530" s="101"/>
      <c r="X530" s="101"/>
      <c r="Y530" s="101"/>
      <c r="Z530" s="101"/>
      <c r="AA530" s="101"/>
      <c r="AB530" s="101"/>
      <c r="AC530" s="101"/>
      <c r="AD530" s="101"/>
      <c r="AE530" s="101"/>
      <c r="AF530" s="101"/>
      <c r="AG530" s="101"/>
    </row>
    <row r="531" spans="21:33" s="1" customFormat="1" x14ac:dyDescent="0.25">
      <c r="U531" s="101"/>
      <c r="V531" s="101"/>
      <c r="W531" s="101"/>
      <c r="X531" s="101"/>
      <c r="Y531" s="101"/>
      <c r="Z531" s="101"/>
      <c r="AA531" s="101"/>
      <c r="AB531" s="101"/>
      <c r="AC531" s="101"/>
      <c r="AD531" s="101"/>
      <c r="AE531" s="101"/>
      <c r="AF531" s="101"/>
      <c r="AG531" s="101"/>
    </row>
    <row r="532" spans="21:33" s="1" customFormat="1" x14ac:dyDescent="0.25">
      <c r="U532" s="101"/>
      <c r="V532" s="101"/>
      <c r="W532" s="101"/>
      <c r="X532" s="101"/>
      <c r="Y532" s="101"/>
      <c r="Z532" s="101"/>
      <c r="AA532" s="101"/>
      <c r="AB532" s="101"/>
      <c r="AC532" s="101"/>
      <c r="AD532" s="101"/>
      <c r="AE532" s="101"/>
      <c r="AF532" s="101"/>
      <c r="AG532" s="101"/>
    </row>
    <row r="533" spans="21:33" s="1" customFormat="1" x14ac:dyDescent="0.25">
      <c r="U533" s="101"/>
      <c r="V533" s="101"/>
      <c r="W533" s="101"/>
      <c r="X533" s="101"/>
      <c r="Y533" s="101"/>
      <c r="Z533" s="101"/>
      <c r="AA533" s="101"/>
      <c r="AB533" s="101"/>
      <c r="AC533" s="101"/>
      <c r="AD533" s="101"/>
      <c r="AE533" s="101"/>
      <c r="AF533" s="101"/>
      <c r="AG533" s="101"/>
    </row>
    <row r="534" spans="21:33" s="1" customFormat="1" x14ac:dyDescent="0.25">
      <c r="U534" s="101"/>
      <c r="V534" s="101"/>
      <c r="W534" s="101"/>
      <c r="X534" s="101"/>
      <c r="Y534" s="101"/>
      <c r="Z534" s="101"/>
      <c r="AA534" s="101"/>
      <c r="AB534" s="101"/>
      <c r="AC534" s="101"/>
      <c r="AD534" s="101"/>
      <c r="AE534" s="101"/>
      <c r="AF534" s="101"/>
      <c r="AG534" s="101"/>
    </row>
    <row r="535" spans="21:33" s="1" customFormat="1" x14ac:dyDescent="0.25">
      <c r="U535" s="101"/>
      <c r="V535" s="101"/>
      <c r="W535" s="101"/>
      <c r="X535" s="101"/>
      <c r="Y535" s="101"/>
      <c r="Z535" s="101"/>
      <c r="AA535" s="101"/>
      <c r="AB535" s="101"/>
      <c r="AC535" s="101"/>
      <c r="AD535" s="101"/>
      <c r="AE535" s="101"/>
      <c r="AF535" s="101"/>
      <c r="AG535" s="101"/>
    </row>
    <row r="536" spans="21:33" s="1" customFormat="1" x14ac:dyDescent="0.25">
      <c r="U536" s="101"/>
      <c r="V536" s="101"/>
      <c r="W536" s="101"/>
      <c r="X536" s="101"/>
      <c r="Y536" s="101"/>
      <c r="Z536" s="101"/>
      <c r="AA536" s="101"/>
      <c r="AB536" s="101"/>
      <c r="AC536" s="101"/>
      <c r="AD536" s="101"/>
      <c r="AE536" s="101"/>
      <c r="AF536" s="101"/>
      <c r="AG536" s="101"/>
    </row>
    <row r="537" spans="21:33" s="1" customFormat="1" x14ac:dyDescent="0.25">
      <c r="U537" s="101"/>
      <c r="V537" s="101"/>
      <c r="W537" s="101"/>
      <c r="X537" s="101"/>
      <c r="Y537" s="101"/>
      <c r="Z537" s="101"/>
      <c r="AA537" s="101"/>
      <c r="AB537" s="101"/>
      <c r="AC537" s="101"/>
      <c r="AD537" s="101"/>
      <c r="AE537" s="101"/>
      <c r="AF537" s="101"/>
      <c r="AG537" s="101"/>
    </row>
    <row r="538" spans="21:33" s="1" customFormat="1" x14ac:dyDescent="0.25">
      <c r="U538" s="101"/>
      <c r="V538" s="101"/>
      <c r="W538" s="101"/>
      <c r="X538" s="101"/>
      <c r="Y538" s="101"/>
      <c r="Z538" s="101"/>
      <c r="AA538" s="101"/>
      <c r="AB538" s="101"/>
      <c r="AC538" s="101"/>
      <c r="AD538" s="101"/>
      <c r="AE538" s="101"/>
      <c r="AF538" s="101"/>
      <c r="AG538" s="101"/>
    </row>
    <row r="539" spans="21:33" s="1" customFormat="1" x14ac:dyDescent="0.25">
      <c r="U539" s="101"/>
      <c r="V539" s="101"/>
      <c r="W539" s="101"/>
      <c r="X539" s="101"/>
      <c r="Y539" s="101"/>
      <c r="Z539" s="101"/>
      <c r="AA539" s="101"/>
      <c r="AB539" s="101"/>
      <c r="AC539" s="101"/>
      <c r="AD539" s="101"/>
      <c r="AE539" s="101"/>
      <c r="AF539" s="101"/>
      <c r="AG539" s="101"/>
    </row>
    <row r="540" spans="21:33" s="1" customFormat="1" x14ac:dyDescent="0.25">
      <c r="U540" s="101"/>
      <c r="V540" s="101"/>
      <c r="W540" s="101"/>
      <c r="X540" s="101"/>
      <c r="Y540" s="101"/>
      <c r="Z540" s="101"/>
      <c r="AA540" s="101"/>
      <c r="AB540" s="101"/>
      <c r="AC540" s="101"/>
      <c r="AD540" s="101"/>
      <c r="AE540" s="101"/>
      <c r="AF540" s="101"/>
      <c r="AG540" s="101"/>
    </row>
    <row r="541" spans="21:33" s="1" customFormat="1" x14ac:dyDescent="0.25">
      <c r="U541" s="101"/>
      <c r="V541" s="101"/>
      <c r="W541" s="101"/>
      <c r="X541" s="101"/>
      <c r="Y541" s="101"/>
      <c r="Z541" s="101"/>
      <c r="AA541" s="101"/>
      <c r="AB541" s="101"/>
      <c r="AC541" s="101"/>
      <c r="AD541" s="101"/>
      <c r="AE541" s="101"/>
      <c r="AF541" s="101"/>
      <c r="AG541" s="101"/>
    </row>
    <row r="542" spans="21:33" s="1" customFormat="1" x14ac:dyDescent="0.25">
      <c r="U542" s="101"/>
      <c r="V542" s="101"/>
      <c r="W542" s="101"/>
      <c r="X542" s="101"/>
      <c r="Y542" s="101"/>
      <c r="Z542" s="101"/>
      <c r="AA542" s="101"/>
      <c r="AB542" s="101"/>
      <c r="AC542" s="101"/>
      <c r="AD542" s="101"/>
      <c r="AE542" s="101"/>
      <c r="AF542" s="101"/>
      <c r="AG542" s="101"/>
    </row>
    <row r="543" spans="21:33" s="1" customFormat="1" x14ac:dyDescent="0.25">
      <c r="U543" s="101"/>
      <c r="V543" s="101"/>
      <c r="W543" s="101"/>
      <c r="X543" s="101"/>
      <c r="Y543" s="101"/>
      <c r="Z543" s="101"/>
      <c r="AA543" s="101"/>
      <c r="AB543" s="101"/>
      <c r="AC543" s="101"/>
      <c r="AD543" s="101"/>
      <c r="AE543" s="101"/>
      <c r="AF543" s="101"/>
      <c r="AG543" s="101"/>
    </row>
    <row r="544" spans="21:33" s="1" customFormat="1" x14ac:dyDescent="0.25">
      <c r="U544" s="101"/>
      <c r="V544" s="101"/>
      <c r="W544" s="101"/>
      <c r="X544" s="101"/>
      <c r="Y544" s="101"/>
      <c r="Z544" s="101"/>
      <c r="AA544" s="101"/>
      <c r="AB544" s="101"/>
      <c r="AC544" s="101"/>
      <c r="AD544" s="101"/>
      <c r="AE544" s="101"/>
      <c r="AF544" s="101"/>
      <c r="AG544" s="101"/>
    </row>
    <row r="545" spans="21:33" s="1" customFormat="1" x14ac:dyDescent="0.25">
      <c r="U545" s="101"/>
      <c r="V545" s="101"/>
      <c r="W545" s="101"/>
      <c r="X545" s="101"/>
      <c r="Y545" s="101"/>
      <c r="Z545" s="101"/>
      <c r="AA545" s="101"/>
      <c r="AB545" s="101"/>
      <c r="AC545" s="101"/>
      <c r="AD545" s="101"/>
      <c r="AE545" s="101"/>
      <c r="AF545" s="101"/>
      <c r="AG545" s="101"/>
    </row>
    <row r="546" spans="21:33" s="1" customFormat="1" x14ac:dyDescent="0.25">
      <c r="U546" s="101"/>
      <c r="V546" s="101"/>
      <c r="W546" s="101"/>
      <c r="X546" s="101"/>
      <c r="Y546" s="101"/>
      <c r="Z546" s="101"/>
      <c r="AA546" s="101"/>
      <c r="AB546" s="101"/>
      <c r="AC546" s="101"/>
      <c r="AD546" s="101"/>
      <c r="AE546" s="101"/>
      <c r="AF546" s="101"/>
      <c r="AG546" s="101"/>
    </row>
    <row r="547" spans="21:33" s="1" customFormat="1" x14ac:dyDescent="0.25"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101"/>
      <c r="AG547" s="101"/>
    </row>
    <row r="548" spans="21:33" s="1" customFormat="1" x14ac:dyDescent="0.25">
      <c r="U548" s="101"/>
      <c r="V548" s="101"/>
      <c r="W548" s="101"/>
      <c r="X548" s="101"/>
      <c r="Y548" s="101"/>
      <c r="Z548" s="101"/>
      <c r="AA548" s="101"/>
      <c r="AB548" s="101"/>
      <c r="AC548" s="101"/>
      <c r="AD548" s="101"/>
      <c r="AE548" s="101"/>
      <c r="AF548" s="101"/>
      <c r="AG548" s="101"/>
    </row>
    <row r="549" spans="21:33" s="1" customFormat="1" x14ac:dyDescent="0.25">
      <c r="U549" s="101"/>
      <c r="V549" s="101"/>
      <c r="W549" s="101"/>
      <c r="X549" s="101"/>
      <c r="Y549" s="101"/>
      <c r="Z549" s="101"/>
      <c r="AA549" s="101"/>
      <c r="AB549" s="101"/>
      <c r="AC549" s="101"/>
      <c r="AD549" s="101"/>
      <c r="AE549" s="101"/>
      <c r="AF549" s="101"/>
      <c r="AG549" s="101"/>
    </row>
    <row r="550" spans="21:33" s="1" customFormat="1" x14ac:dyDescent="0.25">
      <c r="U550" s="101"/>
      <c r="V550" s="101"/>
      <c r="W550" s="101"/>
      <c r="X550" s="101"/>
      <c r="Y550" s="101"/>
      <c r="Z550" s="101"/>
      <c r="AA550" s="101"/>
      <c r="AB550" s="101"/>
      <c r="AC550" s="101"/>
      <c r="AD550" s="101"/>
      <c r="AE550" s="101"/>
      <c r="AF550" s="101"/>
      <c r="AG550" s="101"/>
    </row>
    <row r="551" spans="21:33" s="1" customFormat="1" x14ac:dyDescent="0.25">
      <c r="U551" s="101"/>
      <c r="V551" s="101"/>
      <c r="W551" s="101"/>
      <c r="X551" s="101"/>
      <c r="Y551" s="101"/>
      <c r="Z551" s="101"/>
      <c r="AA551" s="101"/>
      <c r="AB551" s="101"/>
      <c r="AC551" s="101"/>
      <c r="AD551" s="101"/>
      <c r="AE551" s="101"/>
      <c r="AF551" s="101"/>
      <c r="AG551" s="101"/>
    </row>
    <row r="552" spans="21:33" s="1" customFormat="1" x14ac:dyDescent="0.25">
      <c r="U552" s="101"/>
      <c r="V552" s="101"/>
      <c r="W552" s="101"/>
      <c r="X552" s="101"/>
      <c r="Y552" s="101"/>
      <c r="Z552" s="101"/>
      <c r="AA552" s="101"/>
      <c r="AB552" s="101"/>
      <c r="AC552" s="101"/>
      <c r="AD552" s="101"/>
      <c r="AE552" s="101"/>
      <c r="AF552" s="101"/>
      <c r="AG552" s="101"/>
    </row>
    <row r="553" spans="21:33" s="1" customFormat="1" x14ac:dyDescent="0.25">
      <c r="U553" s="101"/>
      <c r="V553" s="101"/>
      <c r="W553" s="101"/>
      <c r="X553" s="101"/>
      <c r="Y553" s="101"/>
      <c r="Z553" s="101"/>
      <c r="AA553" s="101"/>
      <c r="AB553" s="101"/>
      <c r="AC553" s="101"/>
      <c r="AD553" s="101"/>
      <c r="AE553" s="101"/>
      <c r="AF553" s="101"/>
      <c r="AG553" s="101"/>
    </row>
    <row r="554" spans="21:33" s="1" customFormat="1" x14ac:dyDescent="0.25">
      <c r="U554" s="101"/>
      <c r="V554" s="101"/>
      <c r="W554" s="101"/>
      <c r="X554" s="101"/>
      <c r="Y554" s="101"/>
      <c r="Z554" s="101"/>
      <c r="AA554" s="101"/>
      <c r="AB554" s="101"/>
      <c r="AC554" s="101"/>
      <c r="AD554" s="101"/>
      <c r="AE554" s="101"/>
      <c r="AF554" s="101"/>
      <c r="AG554" s="101"/>
    </row>
    <row r="555" spans="21:33" s="1" customFormat="1" x14ac:dyDescent="0.25">
      <c r="U555" s="101"/>
      <c r="V555" s="101"/>
      <c r="W555" s="101"/>
      <c r="X555" s="101"/>
      <c r="Y555" s="101"/>
      <c r="Z555" s="101"/>
      <c r="AA555" s="101"/>
      <c r="AB555" s="101"/>
      <c r="AC555" s="101"/>
      <c r="AD555" s="101"/>
      <c r="AE555" s="101"/>
      <c r="AF555" s="101"/>
      <c r="AG555" s="101"/>
    </row>
    <row r="556" spans="21:33" s="1" customFormat="1" x14ac:dyDescent="0.25">
      <c r="U556" s="101"/>
      <c r="V556" s="101"/>
      <c r="W556" s="101"/>
      <c r="X556" s="101"/>
      <c r="Y556" s="101"/>
      <c r="Z556" s="101"/>
      <c r="AA556" s="101"/>
      <c r="AB556" s="101"/>
      <c r="AC556" s="101"/>
      <c r="AD556" s="101"/>
      <c r="AE556" s="101"/>
      <c r="AF556" s="101"/>
      <c r="AG556" s="101"/>
    </row>
    <row r="557" spans="21:33" s="1" customFormat="1" x14ac:dyDescent="0.25">
      <c r="U557" s="101"/>
      <c r="V557" s="101"/>
      <c r="W557" s="101"/>
      <c r="X557" s="101"/>
      <c r="Y557" s="101"/>
      <c r="Z557" s="101"/>
      <c r="AA557" s="101"/>
      <c r="AB557" s="101"/>
      <c r="AC557" s="101"/>
      <c r="AD557" s="101"/>
      <c r="AE557" s="101"/>
      <c r="AF557" s="101"/>
      <c r="AG557" s="101"/>
    </row>
    <row r="558" spans="21:33" s="1" customFormat="1" x14ac:dyDescent="0.25">
      <c r="U558" s="101"/>
      <c r="V558" s="101"/>
      <c r="W558" s="101"/>
      <c r="X558" s="101"/>
      <c r="Y558" s="101"/>
      <c r="Z558" s="101"/>
      <c r="AA558" s="101"/>
      <c r="AB558" s="101"/>
      <c r="AC558" s="101"/>
      <c r="AD558" s="101"/>
      <c r="AE558" s="101"/>
      <c r="AF558" s="101"/>
      <c r="AG558" s="101"/>
    </row>
    <row r="559" spans="21:33" s="1" customFormat="1" x14ac:dyDescent="0.25">
      <c r="U559" s="101"/>
      <c r="V559" s="101"/>
      <c r="W559" s="101"/>
      <c r="X559" s="101"/>
      <c r="Y559" s="101"/>
      <c r="Z559" s="101"/>
      <c r="AA559" s="101"/>
      <c r="AB559" s="101"/>
      <c r="AC559" s="101"/>
      <c r="AD559" s="101"/>
      <c r="AE559" s="101"/>
      <c r="AF559" s="101"/>
      <c r="AG559" s="101"/>
    </row>
    <row r="560" spans="21:33" s="1" customFormat="1" x14ac:dyDescent="0.25">
      <c r="U560" s="101"/>
      <c r="V560" s="101"/>
      <c r="W560" s="101"/>
      <c r="X560" s="101"/>
      <c r="Y560" s="101"/>
      <c r="Z560" s="101"/>
      <c r="AA560" s="101"/>
      <c r="AB560" s="101"/>
      <c r="AC560" s="101"/>
      <c r="AD560" s="101"/>
      <c r="AE560" s="101"/>
      <c r="AF560" s="101"/>
      <c r="AG560" s="101"/>
    </row>
    <row r="561" spans="21:33" s="1" customFormat="1" x14ac:dyDescent="0.25">
      <c r="U561" s="101"/>
      <c r="V561" s="101"/>
      <c r="W561" s="101"/>
      <c r="X561" s="101"/>
      <c r="Y561" s="101"/>
      <c r="Z561" s="101"/>
      <c r="AA561" s="101"/>
      <c r="AB561" s="101"/>
      <c r="AC561" s="101"/>
      <c r="AD561" s="101"/>
      <c r="AE561" s="101"/>
      <c r="AF561" s="101"/>
      <c r="AG561" s="101"/>
    </row>
    <row r="562" spans="21:33" s="1" customFormat="1" x14ac:dyDescent="0.25">
      <c r="U562" s="101"/>
      <c r="V562" s="101"/>
      <c r="W562" s="101"/>
      <c r="X562" s="101"/>
      <c r="Y562" s="101"/>
      <c r="Z562" s="101"/>
      <c r="AA562" s="101"/>
      <c r="AB562" s="101"/>
      <c r="AC562" s="101"/>
      <c r="AD562" s="101"/>
      <c r="AE562" s="101"/>
      <c r="AF562" s="101"/>
      <c r="AG562" s="101"/>
    </row>
    <row r="563" spans="21:33" s="1" customFormat="1" x14ac:dyDescent="0.25">
      <c r="U563" s="101"/>
      <c r="V563" s="101"/>
      <c r="W563" s="101"/>
      <c r="X563" s="101"/>
      <c r="Y563" s="101"/>
      <c r="Z563" s="101"/>
      <c r="AA563" s="101"/>
      <c r="AB563" s="101"/>
      <c r="AC563" s="101"/>
      <c r="AD563" s="101"/>
      <c r="AE563" s="101"/>
      <c r="AF563" s="101"/>
      <c r="AG563" s="101"/>
    </row>
    <row r="564" spans="21:33" s="1" customFormat="1" x14ac:dyDescent="0.25">
      <c r="U564" s="101"/>
      <c r="V564" s="101"/>
      <c r="W564" s="101"/>
      <c r="X564" s="101"/>
      <c r="Y564" s="101"/>
      <c r="Z564" s="101"/>
      <c r="AA564" s="101"/>
      <c r="AB564" s="101"/>
      <c r="AC564" s="101"/>
      <c r="AD564" s="101"/>
      <c r="AE564" s="101"/>
      <c r="AF564" s="101"/>
      <c r="AG564" s="101"/>
    </row>
    <row r="565" spans="21:33" s="1" customFormat="1" x14ac:dyDescent="0.25">
      <c r="U565" s="101"/>
      <c r="V565" s="101"/>
      <c r="W565" s="101"/>
      <c r="X565" s="101"/>
      <c r="Y565" s="101"/>
      <c r="Z565" s="101"/>
      <c r="AA565" s="101"/>
      <c r="AB565" s="101"/>
      <c r="AC565" s="101"/>
      <c r="AD565" s="101"/>
      <c r="AE565" s="101"/>
      <c r="AF565" s="101"/>
      <c r="AG565" s="101"/>
    </row>
    <row r="566" spans="21:33" s="1" customFormat="1" x14ac:dyDescent="0.25">
      <c r="U566" s="101"/>
      <c r="V566" s="101"/>
      <c r="W566" s="101"/>
      <c r="X566" s="101"/>
      <c r="Y566" s="101"/>
      <c r="Z566" s="101"/>
      <c r="AA566" s="101"/>
      <c r="AB566" s="101"/>
      <c r="AC566" s="101"/>
      <c r="AD566" s="101"/>
      <c r="AE566" s="101"/>
      <c r="AF566" s="101"/>
      <c r="AG566" s="101"/>
    </row>
    <row r="567" spans="21:33" s="1" customFormat="1" x14ac:dyDescent="0.25">
      <c r="U567" s="101"/>
      <c r="V567" s="101"/>
      <c r="W567" s="101"/>
      <c r="X567" s="101"/>
      <c r="Y567" s="101"/>
      <c r="Z567" s="101"/>
      <c r="AA567" s="101"/>
      <c r="AB567" s="101"/>
      <c r="AC567" s="101"/>
      <c r="AD567" s="101"/>
      <c r="AE567" s="101"/>
      <c r="AF567" s="101"/>
      <c r="AG567" s="101"/>
    </row>
    <row r="568" spans="21:33" s="1" customFormat="1" x14ac:dyDescent="0.25">
      <c r="U568" s="101"/>
      <c r="V568" s="101"/>
      <c r="W568" s="101"/>
      <c r="X568" s="101"/>
      <c r="Y568" s="101"/>
      <c r="Z568" s="101"/>
      <c r="AA568" s="101"/>
      <c r="AB568" s="101"/>
      <c r="AC568" s="101"/>
      <c r="AD568" s="101"/>
      <c r="AE568" s="101"/>
      <c r="AF568" s="101"/>
      <c r="AG568" s="101"/>
    </row>
    <row r="569" spans="21:33" s="1" customFormat="1" x14ac:dyDescent="0.25">
      <c r="U569" s="101"/>
      <c r="V569" s="101"/>
      <c r="W569" s="101"/>
      <c r="X569" s="101"/>
      <c r="Y569" s="101"/>
      <c r="Z569" s="101"/>
      <c r="AA569" s="101"/>
      <c r="AB569" s="101"/>
      <c r="AC569" s="101"/>
      <c r="AD569" s="101"/>
      <c r="AE569" s="101"/>
      <c r="AF569" s="101"/>
      <c r="AG569" s="101"/>
    </row>
    <row r="570" spans="21:33" s="1" customFormat="1" x14ac:dyDescent="0.25">
      <c r="U570" s="101"/>
      <c r="V570" s="101"/>
      <c r="W570" s="101"/>
      <c r="X570" s="101"/>
      <c r="Y570" s="101"/>
      <c r="Z570" s="101"/>
      <c r="AA570" s="101"/>
      <c r="AB570" s="101"/>
      <c r="AC570" s="101"/>
      <c r="AD570" s="101"/>
      <c r="AE570" s="101"/>
      <c r="AF570" s="101"/>
      <c r="AG570" s="101"/>
    </row>
    <row r="571" spans="21:33" s="1" customFormat="1" x14ac:dyDescent="0.25">
      <c r="U571" s="101"/>
      <c r="V571" s="101"/>
      <c r="W571" s="101"/>
      <c r="X571" s="101"/>
      <c r="Y571" s="101"/>
      <c r="Z571" s="101"/>
      <c r="AA571" s="101"/>
      <c r="AB571" s="101"/>
      <c r="AC571" s="101"/>
      <c r="AD571" s="101"/>
      <c r="AE571" s="101"/>
      <c r="AF571" s="101"/>
      <c r="AG571" s="101"/>
    </row>
    <row r="572" spans="21:33" s="1" customFormat="1" x14ac:dyDescent="0.25">
      <c r="U572" s="101"/>
      <c r="V572" s="101"/>
      <c r="W572" s="101"/>
      <c r="X572" s="101"/>
      <c r="Y572" s="101"/>
      <c r="Z572" s="101"/>
      <c r="AA572" s="101"/>
      <c r="AB572" s="101"/>
      <c r="AC572" s="101"/>
      <c r="AD572" s="101"/>
      <c r="AE572" s="101"/>
      <c r="AF572" s="101"/>
      <c r="AG572" s="101"/>
    </row>
    <row r="573" spans="21:33" s="1" customFormat="1" x14ac:dyDescent="0.25">
      <c r="U573" s="101"/>
      <c r="V573" s="101"/>
      <c r="W573" s="101"/>
      <c r="X573" s="101"/>
      <c r="Y573" s="101"/>
      <c r="Z573" s="101"/>
      <c r="AA573" s="101"/>
      <c r="AB573" s="101"/>
      <c r="AC573" s="101"/>
      <c r="AD573" s="101"/>
      <c r="AE573" s="101"/>
      <c r="AF573" s="101"/>
      <c r="AG573" s="101"/>
    </row>
    <row r="574" spans="21:33" s="1" customFormat="1" x14ac:dyDescent="0.25"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101"/>
      <c r="AG574" s="101"/>
    </row>
    <row r="575" spans="21:33" s="1" customFormat="1" x14ac:dyDescent="0.25">
      <c r="U575" s="101"/>
      <c r="V575" s="101"/>
      <c r="W575" s="101"/>
      <c r="X575" s="101"/>
      <c r="Y575" s="101"/>
      <c r="Z575" s="101"/>
      <c r="AA575" s="101"/>
      <c r="AB575" s="101"/>
      <c r="AC575" s="101"/>
      <c r="AD575" s="101"/>
      <c r="AE575" s="101"/>
      <c r="AF575" s="101"/>
      <c r="AG575" s="101"/>
    </row>
    <row r="576" spans="21:33" s="1" customFormat="1" x14ac:dyDescent="0.25">
      <c r="U576" s="101"/>
      <c r="V576" s="101"/>
      <c r="W576" s="101"/>
      <c r="X576" s="101"/>
      <c r="Y576" s="101"/>
      <c r="Z576" s="101"/>
      <c r="AA576" s="101"/>
      <c r="AB576" s="101"/>
      <c r="AC576" s="101"/>
      <c r="AD576" s="101"/>
      <c r="AE576" s="101"/>
      <c r="AF576" s="101"/>
      <c r="AG576" s="101"/>
    </row>
    <row r="577" spans="21:33" s="1" customFormat="1" x14ac:dyDescent="0.25"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101"/>
      <c r="AG577" s="101"/>
    </row>
    <row r="578" spans="21:33" s="1" customFormat="1" x14ac:dyDescent="0.25">
      <c r="U578" s="101"/>
      <c r="V578" s="101"/>
      <c r="W578" s="101"/>
      <c r="X578" s="101"/>
      <c r="Y578" s="101"/>
      <c r="Z578" s="101"/>
      <c r="AA578" s="101"/>
      <c r="AB578" s="101"/>
      <c r="AC578" s="101"/>
      <c r="AD578" s="101"/>
      <c r="AE578" s="101"/>
      <c r="AF578" s="101"/>
      <c r="AG578" s="101"/>
    </row>
    <row r="579" spans="21:33" s="1" customFormat="1" x14ac:dyDescent="0.25">
      <c r="U579" s="101"/>
      <c r="V579" s="101"/>
      <c r="W579" s="101"/>
      <c r="X579" s="101"/>
      <c r="Y579" s="101"/>
      <c r="Z579" s="101"/>
      <c r="AA579" s="101"/>
      <c r="AB579" s="101"/>
      <c r="AC579" s="101"/>
      <c r="AD579" s="101"/>
      <c r="AE579" s="101"/>
      <c r="AF579" s="101"/>
      <c r="AG579" s="101"/>
    </row>
    <row r="580" spans="21:33" s="1" customFormat="1" x14ac:dyDescent="0.25">
      <c r="U580" s="101"/>
      <c r="V580" s="101"/>
      <c r="W580" s="101"/>
      <c r="X580" s="101"/>
      <c r="Y580" s="101"/>
      <c r="Z580" s="101"/>
      <c r="AA580" s="101"/>
      <c r="AB580" s="101"/>
      <c r="AC580" s="101"/>
      <c r="AD580" s="101"/>
      <c r="AE580" s="101"/>
      <c r="AF580" s="101"/>
      <c r="AG580" s="101"/>
    </row>
    <row r="581" spans="21:33" s="1" customFormat="1" x14ac:dyDescent="0.25">
      <c r="U581" s="101"/>
      <c r="V581" s="101"/>
      <c r="W581" s="101"/>
      <c r="X581" s="101"/>
      <c r="Y581" s="101"/>
      <c r="Z581" s="101"/>
      <c r="AA581" s="101"/>
      <c r="AB581" s="101"/>
      <c r="AC581" s="101"/>
      <c r="AD581" s="101"/>
      <c r="AE581" s="101"/>
      <c r="AF581" s="101"/>
      <c r="AG581" s="101"/>
    </row>
    <row r="582" spans="21:33" s="1" customFormat="1" x14ac:dyDescent="0.25">
      <c r="U582" s="101"/>
      <c r="V582" s="101"/>
      <c r="W582" s="101"/>
      <c r="X582" s="101"/>
      <c r="Y582" s="101"/>
      <c r="Z582" s="101"/>
      <c r="AA582" s="101"/>
      <c r="AB582" s="101"/>
      <c r="AC582" s="101"/>
      <c r="AD582" s="101"/>
      <c r="AE582" s="101"/>
      <c r="AF582" s="101"/>
      <c r="AG582" s="101"/>
    </row>
    <row r="583" spans="21:33" s="1" customFormat="1" x14ac:dyDescent="0.25"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101"/>
      <c r="AG583" s="101"/>
    </row>
    <row r="584" spans="21:33" s="1" customFormat="1" x14ac:dyDescent="0.25">
      <c r="U584" s="101"/>
      <c r="V584" s="101"/>
      <c r="W584" s="101"/>
      <c r="X584" s="101"/>
      <c r="Y584" s="101"/>
      <c r="Z584" s="101"/>
      <c r="AA584" s="101"/>
      <c r="AB584" s="101"/>
      <c r="AC584" s="101"/>
      <c r="AD584" s="101"/>
      <c r="AE584" s="101"/>
      <c r="AF584" s="101"/>
      <c r="AG584" s="101"/>
    </row>
    <row r="585" spans="21:33" s="1" customFormat="1" x14ac:dyDescent="0.25">
      <c r="U585" s="101"/>
      <c r="V585" s="101"/>
      <c r="W585" s="101"/>
      <c r="X585" s="101"/>
      <c r="Y585" s="101"/>
      <c r="Z585" s="101"/>
      <c r="AA585" s="101"/>
      <c r="AB585" s="101"/>
      <c r="AC585" s="101"/>
      <c r="AD585" s="101"/>
      <c r="AE585" s="101"/>
      <c r="AF585" s="101"/>
      <c r="AG585" s="101"/>
    </row>
    <row r="586" spans="21:33" s="1" customFormat="1" x14ac:dyDescent="0.25">
      <c r="U586" s="101"/>
      <c r="V586" s="101"/>
      <c r="W586" s="101"/>
      <c r="X586" s="101"/>
      <c r="Y586" s="101"/>
      <c r="Z586" s="101"/>
      <c r="AA586" s="101"/>
      <c r="AB586" s="101"/>
      <c r="AC586" s="101"/>
      <c r="AD586" s="101"/>
      <c r="AE586" s="101"/>
      <c r="AF586" s="101"/>
      <c r="AG586" s="101"/>
    </row>
    <row r="587" spans="21:33" s="1" customFormat="1" x14ac:dyDescent="0.25">
      <c r="U587" s="101"/>
      <c r="V587" s="101"/>
      <c r="W587" s="101"/>
      <c r="X587" s="101"/>
      <c r="Y587" s="101"/>
      <c r="Z587" s="101"/>
      <c r="AA587" s="101"/>
      <c r="AB587" s="101"/>
      <c r="AC587" s="101"/>
      <c r="AD587" s="101"/>
      <c r="AE587" s="101"/>
      <c r="AF587" s="101"/>
      <c r="AG587" s="101"/>
    </row>
    <row r="588" spans="21:33" s="1" customFormat="1" x14ac:dyDescent="0.25"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101"/>
      <c r="AG588" s="101"/>
    </row>
    <row r="589" spans="21:33" s="1" customFormat="1" x14ac:dyDescent="0.25">
      <c r="U589" s="101"/>
      <c r="V589" s="101"/>
      <c r="W589" s="101"/>
      <c r="X589" s="101"/>
      <c r="Y589" s="101"/>
      <c r="Z589" s="101"/>
      <c r="AA589" s="101"/>
      <c r="AB589" s="101"/>
      <c r="AC589" s="101"/>
      <c r="AD589" s="101"/>
      <c r="AE589" s="101"/>
      <c r="AF589" s="101"/>
      <c r="AG589" s="101"/>
    </row>
    <row r="590" spans="21:33" s="1" customFormat="1" x14ac:dyDescent="0.25"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101"/>
      <c r="AG590" s="101"/>
    </row>
    <row r="591" spans="21:33" s="1" customFormat="1" x14ac:dyDescent="0.25">
      <c r="U591" s="101"/>
      <c r="V591" s="101"/>
      <c r="W591" s="101"/>
      <c r="X591" s="101"/>
      <c r="Y591" s="101"/>
      <c r="Z591" s="101"/>
      <c r="AA591" s="101"/>
      <c r="AB591" s="101"/>
      <c r="AC591" s="101"/>
      <c r="AD591" s="101"/>
      <c r="AE591" s="101"/>
      <c r="AF591" s="101"/>
      <c r="AG591" s="101"/>
    </row>
    <row r="592" spans="21:33" s="1" customFormat="1" x14ac:dyDescent="0.25">
      <c r="U592" s="101"/>
      <c r="V592" s="101"/>
      <c r="W592" s="101"/>
      <c r="X592" s="101"/>
      <c r="Y592" s="101"/>
      <c r="Z592" s="101"/>
      <c r="AA592" s="101"/>
      <c r="AB592" s="101"/>
      <c r="AC592" s="101"/>
      <c r="AD592" s="101"/>
      <c r="AE592" s="101"/>
      <c r="AF592" s="101"/>
      <c r="AG592" s="101"/>
    </row>
    <row r="593" spans="21:33" s="1" customFormat="1" x14ac:dyDescent="0.25">
      <c r="U593" s="101"/>
      <c r="V593" s="101"/>
      <c r="W593" s="101"/>
      <c r="X593" s="101"/>
      <c r="Y593" s="101"/>
      <c r="Z593" s="101"/>
      <c r="AA593" s="101"/>
      <c r="AB593" s="101"/>
      <c r="AC593" s="101"/>
      <c r="AD593" s="101"/>
      <c r="AE593" s="101"/>
      <c r="AF593" s="101"/>
      <c r="AG593" s="101"/>
    </row>
    <row r="594" spans="21:33" s="1" customFormat="1" x14ac:dyDescent="0.25">
      <c r="U594" s="101"/>
      <c r="V594" s="101"/>
      <c r="W594" s="101"/>
      <c r="X594" s="101"/>
      <c r="Y594" s="101"/>
      <c r="Z594" s="101"/>
      <c r="AA594" s="101"/>
      <c r="AB594" s="101"/>
      <c r="AC594" s="101"/>
      <c r="AD594" s="101"/>
      <c r="AE594" s="101"/>
      <c r="AF594" s="101"/>
      <c r="AG594" s="101"/>
    </row>
    <row r="595" spans="21:33" s="1" customFormat="1" x14ac:dyDescent="0.25">
      <c r="U595" s="101"/>
      <c r="V595" s="101"/>
      <c r="W595" s="101"/>
      <c r="X595" s="101"/>
      <c r="Y595" s="101"/>
      <c r="Z595" s="101"/>
      <c r="AA595" s="101"/>
      <c r="AB595" s="101"/>
      <c r="AC595" s="101"/>
      <c r="AD595" s="101"/>
      <c r="AE595" s="101"/>
      <c r="AF595" s="101"/>
      <c r="AG595" s="101"/>
    </row>
    <row r="596" spans="21:33" s="1" customFormat="1" x14ac:dyDescent="0.25">
      <c r="U596" s="101"/>
      <c r="V596" s="101"/>
      <c r="W596" s="101"/>
      <c r="X596" s="101"/>
      <c r="Y596" s="101"/>
      <c r="Z596" s="101"/>
      <c r="AA596" s="101"/>
      <c r="AB596" s="101"/>
      <c r="AC596" s="101"/>
      <c r="AD596" s="101"/>
      <c r="AE596" s="101"/>
      <c r="AF596" s="101"/>
      <c r="AG596" s="101"/>
    </row>
    <row r="597" spans="21:33" s="1" customFormat="1" x14ac:dyDescent="0.25">
      <c r="U597" s="101"/>
      <c r="V597" s="101"/>
      <c r="W597" s="101"/>
      <c r="X597" s="101"/>
      <c r="Y597" s="101"/>
      <c r="Z597" s="101"/>
      <c r="AA597" s="101"/>
      <c r="AB597" s="101"/>
      <c r="AC597" s="101"/>
      <c r="AD597" s="101"/>
      <c r="AE597" s="101"/>
      <c r="AF597" s="101"/>
      <c r="AG597" s="101"/>
    </row>
    <row r="598" spans="21:33" s="1" customFormat="1" x14ac:dyDescent="0.25">
      <c r="U598" s="101"/>
      <c r="V598" s="101"/>
      <c r="W598" s="101"/>
      <c r="X598" s="101"/>
      <c r="Y598" s="101"/>
      <c r="Z598" s="101"/>
      <c r="AA598" s="101"/>
      <c r="AB598" s="101"/>
      <c r="AC598" s="101"/>
      <c r="AD598" s="101"/>
      <c r="AE598" s="101"/>
      <c r="AF598" s="101"/>
      <c r="AG598" s="101"/>
    </row>
    <row r="599" spans="21:33" s="1" customFormat="1" x14ac:dyDescent="0.25">
      <c r="U599" s="101"/>
      <c r="V599" s="101"/>
      <c r="W599" s="101"/>
      <c r="X599" s="101"/>
      <c r="Y599" s="101"/>
      <c r="Z599" s="101"/>
      <c r="AA599" s="101"/>
      <c r="AB599" s="101"/>
      <c r="AC599" s="101"/>
      <c r="AD599" s="101"/>
      <c r="AE599" s="101"/>
      <c r="AF599" s="101"/>
      <c r="AG599" s="101"/>
    </row>
    <row r="600" spans="21:33" s="1" customFormat="1" x14ac:dyDescent="0.25">
      <c r="U600" s="101"/>
      <c r="V600" s="101"/>
      <c r="W600" s="101"/>
      <c r="X600" s="101"/>
      <c r="Y600" s="101"/>
      <c r="Z600" s="101"/>
      <c r="AA600" s="101"/>
      <c r="AB600" s="101"/>
      <c r="AC600" s="101"/>
      <c r="AD600" s="101"/>
      <c r="AE600" s="101"/>
      <c r="AF600" s="101"/>
      <c r="AG600" s="101"/>
    </row>
    <row r="601" spans="21:33" s="1" customFormat="1" x14ac:dyDescent="0.25">
      <c r="U601" s="101"/>
      <c r="V601" s="101"/>
      <c r="W601" s="101"/>
      <c r="X601" s="101"/>
      <c r="Y601" s="101"/>
      <c r="Z601" s="101"/>
      <c r="AA601" s="101"/>
      <c r="AB601" s="101"/>
      <c r="AC601" s="101"/>
      <c r="AD601" s="101"/>
      <c r="AE601" s="101"/>
      <c r="AF601" s="101"/>
      <c r="AG601" s="101"/>
    </row>
    <row r="602" spans="21:33" s="1" customFormat="1" x14ac:dyDescent="0.25">
      <c r="U602" s="101"/>
      <c r="V602" s="101"/>
      <c r="W602" s="101"/>
      <c r="X602" s="101"/>
      <c r="Y602" s="101"/>
      <c r="Z602" s="101"/>
      <c r="AA602" s="101"/>
      <c r="AB602" s="101"/>
      <c r="AC602" s="101"/>
      <c r="AD602" s="101"/>
      <c r="AE602" s="101"/>
      <c r="AF602" s="101"/>
      <c r="AG602" s="101"/>
    </row>
    <row r="603" spans="21:33" s="1" customFormat="1" x14ac:dyDescent="0.25">
      <c r="U603" s="101"/>
      <c r="V603" s="101"/>
      <c r="W603" s="101"/>
      <c r="X603" s="101"/>
      <c r="Y603" s="101"/>
      <c r="Z603" s="101"/>
      <c r="AA603" s="101"/>
      <c r="AB603" s="101"/>
      <c r="AC603" s="101"/>
      <c r="AD603" s="101"/>
      <c r="AE603" s="101"/>
      <c r="AF603" s="101"/>
      <c r="AG603" s="101"/>
    </row>
    <row r="604" spans="21:33" s="1" customFormat="1" x14ac:dyDescent="0.25"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101"/>
      <c r="AG604" s="101"/>
    </row>
    <row r="605" spans="21:33" s="1" customFormat="1" x14ac:dyDescent="0.25">
      <c r="U605" s="101"/>
      <c r="V605" s="101"/>
      <c r="W605" s="101"/>
      <c r="X605" s="101"/>
      <c r="Y605" s="101"/>
      <c r="Z605" s="101"/>
      <c r="AA605" s="101"/>
      <c r="AB605" s="101"/>
      <c r="AC605" s="101"/>
      <c r="AD605" s="101"/>
      <c r="AE605" s="101"/>
      <c r="AF605" s="101"/>
      <c r="AG605" s="101"/>
    </row>
    <row r="606" spans="21:33" s="1" customFormat="1" x14ac:dyDescent="0.25">
      <c r="U606" s="101"/>
      <c r="V606" s="101"/>
      <c r="W606" s="101"/>
      <c r="X606" s="101"/>
      <c r="Y606" s="101"/>
      <c r="Z606" s="101"/>
      <c r="AA606" s="101"/>
      <c r="AB606" s="101"/>
      <c r="AC606" s="101"/>
      <c r="AD606" s="101"/>
      <c r="AE606" s="101"/>
      <c r="AF606" s="101"/>
      <c r="AG606" s="101"/>
    </row>
    <row r="607" spans="21:33" s="1" customFormat="1" x14ac:dyDescent="0.25">
      <c r="U607" s="101"/>
      <c r="V607" s="101"/>
      <c r="W607" s="101"/>
      <c r="X607" s="101"/>
      <c r="Y607" s="101"/>
      <c r="Z607" s="101"/>
      <c r="AA607" s="101"/>
      <c r="AB607" s="101"/>
      <c r="AC607" s="101"/>
      <c r="AD607" s="101"/>
      <c r="AE607" s="101"/>
      <c r="AF607" s="101"/>
      <c r="AG607" s="101"/>
    </row>
    <row r="608" spans="21:33" s="1" customFormat="1" x14ac:dyDescent="0.25">
      <c r="U608" s="101"/>
      <c r="V608" s="101"/>
      <c r="W608" s="101"/>
      <c r="X608" s="101"/>
      <c r="Y608" s="101"/>
      <c r="Z608" s="101"/>
      <c r="AA608" s="101"/>
      <c r="AB608" s="101"/>
      <c r="AC608" s="101"/>
      <c r="AD608" s="101"/>
      <c r="AE608" s="101"/>
      <c r="AF608" s="101"/>
      <c r="AG608" s="101"/>
    </row>
    <row r="609" spans="21:33" s="1" customFormat="1" x14ac:dyDescent="0.25">
      <c r="U609" s="101"/>
      <c r="V609" s="101"/>
      <c r="W609" s="101"/>
      <c r="X609" s="101"/>
      <c r="Y609" s="101"/>
      <c r="Z609" s="101"/>
      <c r="AA609" s="101"/>
      <c r="AB609" s="101"/>
      <c r="AC609" s="101"/>
      <c r="AD609" s="101"/>
      <c r="AE609" s="101"/>
      <c r="AF609" s="101"/>
      <c r="AG609" s="101"/>
    </row>
    <row r="610" spans="21:33" s="1" customFormat="1" x14ac:dyDescent="0.25"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101"/>
      <c r="AG610" s="101"/>
    </row>
    <row r="611" spans="21:33" s="1" customFormat="1" x14ac:dyDescent="0.25">
      <c r="U611" s="101"/>
      <c r="V611" s="101"/>
      <c r="W611" s="101"/>
      <c r="X611" s="101"/>
      <c r="Y611" s="101"/>
      <c r="Z611" s="101"/>
      <c r="AA611" s="101"/>
      <c r="AB611" s="101"/>
      <c r="AC611" s="101"/>
      <c r="AD611" s="101"/>
      <c r="AE611" s="101"/>
      <c r="AF611" s="101"/>
      <c r="AG611" s="101"/>
    </row>
    <row r="612" spans="21:33" s="1" customFormat="1" x14ac:dyDescent="0.25">
      <c r="U612" s="101"/>
      <c r="V612" s="101"/>
      <c r="W612" s="101"/>
      <c r="X612" s="101"/>
      <c r="Y612" s="101"/>
      <c r="Z612" s="101"/>
      <c r="AA612" s="101"/>
      <c r="AB612" s="101"/>
      <c r="AC612" s="101"/>
      <c r="AD612" s="101"/>
      <c r="AE612" s="101"/>
      <c r="AF612" s="101"/>
      <c r="AG612" s="101"/>
    </row>
    <row r="613" spans="21:33" s="1" customFormat="1" x14ac:dyDescent="0.25">
      <c r="U613" s="101"/>
      <c r="V613" s="101"/>
      <c r="W613" s="101"/>
      <c r="X613" s="101"/>
      <c r="Y613" s="101"/>
      <c r="Z613" s="101"/>
      <c r="AA613" s="101"/>
      <c r="AB613" s="101"/>
      <c r="AC613" s="101"/>
      <c r="AD613" s="101"/>
      <c r="AE613" s="101"/>
      <c r="AF613" s="101"/>
      <c r="AG613" s="101"/>
    </row>
    <row r="614" spans="21:33" s="1" customFormat="1" x14ac:dyDescent="0.25">
      <c r="U614" s="101"/>
      <c r="V614" s="101"/>
      <c r="W614" s="101"/>
      <c r="X614" s="101"/>
      <c r="Y614" s="101"/>
      <c r="Z614" s="101"/>
      <c r="AA614" s="101"/>
      <c r="AB614" s="101"/>
      <c r="AC614" s="101"/>
      <c r="AD614" s="101"/>
      <c r="AE614" s="101"/>
      <c r="AF614" s="101"/>
      <c r="AG614" s="101"/>
    </row>
    <row r="615" spans="21:33" s="1" customFormat="1" x14ac:dyDescent="0.25">
      <c r="U615" s="101"/>
      <c r="V615" s="101"/>
      <c r="W615" s="101"/>
      <c r="X615" s="101"/>
      <c r="Y615" s="101"/>
      <c r="Z615" s="101"/>
      <c r="AA615" s="101"/>
      <c r="AB615" s="101"/>
      <c r="AC615" s="101"/>
      <c r="AD615" s="101"/>
      <c r="AE615" s="101"/>
      <c r="AF615" s="101"/>
      <c r="AG615" s="101"/>
    </row>
    <row r="616" spans="21:33" s="1" customFormat="1" x14ac:dyDescent="0.25">
      <c r="U616" s="101"/>
      <c r="V616" s="101"/>
      <c r="W616" s="101"/>
      <c r="X616" s="101"/>
      <c r="Y616" s="101"/>
      <c r="Z616" s="101"/>
      <c r="AA616" s="101"/>
      <c r="AB616" s="101"/>
      <c r="AC616" s="101"/>
      <c r="AD616" s="101"/>
      <c r="AE616" s="101"/>
      <c r="AF616" s="101"/>
      <c r="AG616" s="101"/>
    </row>
    <row r="617" spans="21:33" s="1" customFormat="1" x14ac:dyDescent="0.25"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101"/>
      <c r="AG617" s="101"/>
    </row>
    <row r="618" spans="21:33" s="1" customFormat="1" x14ac:dyDescent="0.25">
      <c r="U618" s="101"/>
      <c r="V618" s="101"/>
      <c r="W618" s="101"/>
      <c r="X618" s="101"/>
      <c r="Y618" s="101"/>
      <c r="Z618" s="101"/>
      <c r="AA618" s="101"/>
      <c r="AB618" s="101"/>
      <c r="AC618" s="101"/>
      <c r="AD618" s="101"/>
      <c r="AE618" s="101"/>
      <c r="AF618" s="101"/>
      <c r="AG618" s="101"/>
    </row>
    <row r="619" spans="21:33" s="1" customFormat="1" x14ac:dyDescent="0.25">
      <c r="U619" s="101"/>
      <c r="V619" s="101"/>
      <c r="W619" s="101"/>
      <c r="X619" s="101"/>
      <c r="Y619" s="101"/>
      <c r="Z619" s="101"/>
      <c r="AA619" s="101"/>
      <c r="AB619" s="101"/>
      <c r="AC619" s="101"/>
      <c r="AD619" s="101"/>
      <c r="AE619" s="101"/>
      <c r="AF619" s="101"/>
      <c r="AG619" s="101"/>
    </row>
    <row r="620" spans="21:33" s="1" customFormat="1" x14ac:dyDescent="0.25">
      <c r="U620" s="101"/>
      <c r="V620" s="101"/>
      <c r="W620" s="101"/>
      <c r="X620" s="101"/>
      <c r="Y620" s="101"/>
      <c r="Z620" s="101"/>
      <c r="AA620" s="101"/>
      <c r="AB620" s="101"/>
      <c r="AC620" s="101"/>
      <c r="AD620" s="101"/>
      <c r="AE620" s="101"/>
      <c r="AF620" s="101"/>
      <c r="AG620" s="101"/>
    </row>
    <row r="621" spans="21:33" s="1" customFormat="1" x14ac:dyDescent="0.25">
      <c r="U621" s="101"/>
      <c r="V621" s="101"/>
      <c r="W621" s="101"/>
      <c r="X621" s="101"/>
      <c r="Y621" s="101"/>
      <c r="Z621" s="101"/>
      <c r="AA621" s="101"/>
      <c r="AB621" s="101"/>
      <c r="AC621" s="101"/>
      <c r="AD621" s="101"/>
      <c r="AE621" s="101"/>
      <c r="AF621" s="101"/>
      <c r="AG621" s="101"/>
    </row>
    <row r="622" spans="21:33" s="1" customFormat="1" x14ac:dyDescent="0.25">
      <c r="U622" s="101"/>
      <c r="V622" s="101"/>
      <c r="W622" s="101"/>
      <c r="X622" s="101"/>
      <c r="Y622" s="101"/>
      <c r="Z622" s="101"/>
      <c r="AA622" s="101"/>
      <c r="AB622" s="101"/>
      <c r="AC622" s="101"/>
      <c r="AD622" s="101"/>
      <c r="AE622" s="101"/>
      <c r="AF622" s="101"/>
      <c r="AG622" s="101"/>
    </row>
    <row r="623" spans="21:33" s="1" customFormat="1" x14ac:dyDescent="0.25">
      <c r="U623" s="101"/>
      <c r="V623" s="101"/>
      <c r="W623" s="101"/>
      <c r="X623" s="101"/>
      <c r="Y623" s="101"/>
      <c r="Z623" s="101"/>
      <c r="AA623" s="101"/>
      <c r="AB623" s="101"/>
      <c r="AC623" s="101"/>
      <c r="AD623" s="101"/>
      <c r="AE623" s="101"/>
      <c r="AF623" s="101"/>
      <c r="AG623" s="101"/>
    </row>
    <row r="624" spans="21:33" s="1" customFormat="1" x14ac:dyDescent="0.25">
      <c r="U624" s="101"/>
      <c r="V624" s="101"/>
      <c r="W624" s="101"/>
      <c r="X624" s="101"/>
      <c r="Y624" s="101"/>
      <c r="Z624" s="101"/>
      <c r="AA624" s="101"/>
      <c r="AB624" s="101"/>
      <c r="AC624" s="101"/>
      <c r="AD624" s="101"/>
      <c r="AE624" s="101"/>
      <c r="AF624" s="101"/>
      <c r="AG624" s="101"/>
    </row>
    <row r="625" spans="21:33" s="1" customFormat="1" x14ac:dyDescent="0.25">
      <c r="U625" s="101"/>
      <c r="V625" s="101"/>
      <c r="W625" s="101"/>
      <c r="X625" s="101"/>
      <c r="Y625" s="101"/>
      <c r="Z625" s="101"/>
      <c r="AA625" s="101"/>
      <c r="AB625" s="101"/>
      <c r="AC625" s="101"/>
      <c r="AD625" s="101"/>
      <c r="AE625" s="101"/>
      <c r="AF625" s="101"/>
      <c r="AG625" s="101"/>
    </row>
    <row r="626" spans="21:33" s="1" customFormat="1" x14ac:dyDescent="0.25">
      <c r="U626" s="101"/>
      <c r="V626" s="101"/>
      <c r="W626" s="101"/>
      <c r="X626" s="101"/>
      <c r="Y626" s="101"/>
      <c r="Z626" s="101"/>
      <c r="AA626" s="101"/>
      <c r="AB626" s="101"/>
      <c r="AC626" s="101"/>
      <c r="AD626" s="101"/>
      <c r="AE626" s="101"/>
      <c r="AF626" s="101"/>
      <c r="AG626" s="101"/>
    </row>
    <row r="627" spans="21:33" s="1" customFormat="1" x14ac:dyDescent="0.25">
      <c r="U627" s="101"/>
      <c r="V627" s="101"/>
      <c r="W627" s="101"/>
      <c r="X627" s="101"/>
      <c r="Y627" s="101"/>
      <c r="Z627" s="101"/>
      <c r="AA627" s="101"/>
      <c r="AB627" s="101"/>
      <c r="AC627" s="101"/>
      <c r="AD627" s="101"/>
      <c r="AE627" s="101"/>
      <c r="AF627" s="101"/>
      <c r="AG627" s="101"/>
    </row>
    <row r="628" spans="21:33" s="1" customFormat="1" x14ac:dyDescent="0.25">
      <c r="U628" s="101"/>
      <c r="V628" s="101"/>
      <c r="W628" s="101"/>
      <c r="X628" s="101"/>
      <c r="Y628" s="101"/>
      <c r="Z628" s="101"/>
      <c r="AA628" s="101"/>
      <c r="AB628" s="101"/>
      <c r="AC628" s="101"/>
      <c r="AD628" s="101"/>
      <c r="AE628" s="101"/>
      <c r="AF628" s="101"/>
      <c r="AG628" s="101"/>
    </row>
    <row r="629" spans="21:33" s="1" customFormat="1" x14ac:dyDescent="0.25">
      <c r="U629" s="101"/>
      <c r="V629" s="101"/>
      <c r="W629" s="101"/>
      <c r="X629" s="101"/>
      <c r="Y629" s="101"/>
      <c r="Z629" s="101"/>
      <c r="AA629" s="101"/>
      <c r="AB629" s="101"/>
      <c r="AC629" s="101"/>
      <c r="AD629" s="101"/>
      <c r="AE629" s="101"/>
      <c r="AF629" s="101"/>
      <c r="AG629" s="101"/>
    </row>
    <row r="630" spans="21:33" s="1" customFormat="1" x14ac:dyDescent="0.25">
      <c r="U630" s="101"/>
      <c r="V630" s="101"/>
      <c r="W630" s="101"/>
      <c r="X630" s="101"/>
      <c r="Y630" s="101"/>
      <c r="Z630" s="101"/>
      <c r="AA630" s="101"/>
      <c r="AB630" s="101"/>
      <c r="AC630" s="101"/>
      <c r="AD630" s="101"/>
      <c r="AE630" s="101"/>
      <c r="AF630" s="101"/>
      <c r="AG630" s="101"/>
    </row>
    <row r="631" spans="21:33" s="1" customFormat="1" x14ac:dyDescent="0.25">
      <c r="U631" s="101"/>
      <c r="V631" s="101"/>
      <c r="W631" s="101"/>
      <c r="X631" s="101"/>
      <c r="Y631" s="101"/>
      <c r="Z631" s="101"/>
      <c r="AA631" s="101"/>
      <c r="AB631" s="101"/>
      <c r="AC631" s="101"/>
      <c r="AD631" s="101"/>
      <c r="AE631" s="101"/>
      <c r="AF631" s="101"/>
      <c r="AG631" s="101"/>
    </row>
    <row r="632" spans="21:33" s="1" customFormat="1" x14ac:dyDescent="0.25">
      <c r="U632" s="101"/>
      <c r="V632" s="101"/>
      <c r="W632" s="101"/>
      <c r="X632" s="101"/>
      <c r="Y632" s="101"/>
      <c r="Z632" s="101"/>
      <c r="AA632" s="101"/>
      <c r="AB632" s="101"/>
      <c r="AC632" s="101"/>
      <c r="AD632" s="101"/>
      <c r="AE632" s="101"/>
      <c r="AF632" s="101"/>
      <c r="AG632" s="101"/>
    </row>
    <row r="633" spans="21:33" s="1" customFormat="1" x14ac:dyDescent="0.25">
      <c r="U633" s="101"/>
      <c r="V633" s="101"/>
      <c r="W633" s="101"/>
      <c r="X633" s="101"/>
      <c r="Y633" s="101"/>
      <c r="Z633" s="101"/>
      <c r="AA633" s="101"/>
      <c r="AB633" s="101"/>
      <c r="AC633" s="101"/>
      <c r="AD633" s="101"/>
      <c r="AE633" s="101"/>
      <c r="AF633" s="101"/>
      <c r="AG633" s="101"/>
    </row>
    <row r="634" spans="21:33" s="1" customFormat="1" x14ac:dyDescent="0.25">
      <c r="U634" s="101"/>
      <c r="V634" s="101"/>
      <c r="W634" s="101"/>
      <c r="X634" s="101"/>
      <c r="Y634" s="101"/>
      <c r="Z634" s="101"/>
      <c r="AA634" s="101"/>
      <c r="AB634" s="101"/>
      <c r="AC634" s="101"/>
      <c r="AD634" s="101"/>
      <c r="AE634" s="101"/>
      <c r="AF634" s="101"/>
      <c r="AG634" s="101"/>
    </row>
    <row r="635" spans="21:33" s="1" customFormat="1" x14ac:dyDescent="0.25">
      <c r="U635" s="101"/>
      <c r="V635" s="101"/>
      <c r="W635" s="101"/>
      <c r="X635" s="101"/>
      <c r="Y635" s="101"/>
      <c r="Z635" s="101"/>
      <c r="AA635" s="101"/>
      <c r="AB635" s="101"/>
      <c r="AC635" s="101"/>
      <c r="AD635" s="101"/>
      <c r="AE635" s="101"/>
      <c r="AF635" s="101"/>
      <c r="AG635" s="101"/>
    </row>
    <row r="636" spans="21:33" s="1" customFormat="1" x14ac:dyDescent="0.25">
      <c r="U636" s="101"/>
      <c r="V636" s="101"/>
      <c r="W636" s="101"/>
      <c r="X636" s="101"/>
      <c r="Y636" s="101"/>
      <c r="Z636" s="101"/>
      <c r="AA636" s="101"/>
      <c r="AB636" s="101"/>
      <c r="AC636" s="101"/>
      <c r="AD636" s="101"/>
      <c r="AE636" s="101"/>
      <c r="AF636" s="101"/>
      <c r="AG636" s="101"/>
    </row>
    <row r="637" spans="21:33" s="1" customFormat="1" x14ac:dyDescent="0.25">
      <c r="U637" s="101"/>
      <c r="V637" s="101"/>
      <c r="W637" s="101"/>
      <c r="X637" s="101"/>
      <c r="Y637" s="101"/>
      <c r="Z637" s="101"/>
      <c r="AA637" s="101"/>
      <c r="AB637" s="101"/>
      <c r="AC637" s="101"/>
      <c r="AD637" s="101"/>
      <c r="AE637" s="101"/>
      <c r="AF637" s="101"/>
      <c r="AG637" s="101"/>
    </row>
    <row r="638" spans="21:33" s="1" customFormat="1" x14ac:dyDescent="0.25"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101"/>
      <c r="AG638" s="101"/>
    </row>
    <row r="639" spans="21:33" s="1" customFormat="1" x14ac:dyDescent="0.25">
      <c r="U639" s="101"/>
      <c r="V639" s="101"/>
      <c r="W639" s="101"/>
      <c r="X639" s="101"/>
      <c r="Y639" s="101"/>
      <c r="Z639" s="101"/>
      <c r="AA639" s="101"/>
      <c r="AB639" s="101"/>
      <c r="AC639" s="101"/>
      <c r="AD639" s="101"/>
      <c r="AE639" s="101"/>
      <c r="AF639" s="101"/>
      <c r="AG639" s="101"/>
    </row>
    <row r="640" spans="21:33" s="1" customFormat="1" x14ac:dyDescent="0.25">
      <c r="U640" s="101"/>
      <c r="V640" s="101"/>
      <c r="W640" s="101"/>
      <c r="X640" s="101"/>
      <c r="Y640" s="101"/>
      <c r="Z640" s="101"/>
      <c r="AA640" s="101"/>
      <c r="AB640" s="101"/>
      <c r="AC640" s="101"/>
      <c r="AD640" s="101"/>
      <c r="AE640" s="101"/>
      <c r="AF640" s="101"/>
      <c r="AG640" s="101"/>
    </row>
    <row r="641" spans="21:33" s="1" customFormat="1" x14ac:dyDescent="0.25">
      <c r="U641" s="101"/>
      <c r="V641" s="101"/>
      <c r="W641" s="101"/>
      <c r="X641" s="101"/>
      <c r="Y641" s="101"/>
      <c r="Z641" s="101"/>
      <c r="AA641" s="101"/>
      <c r="AB641" s="101"/>
      <c r="AC641" s="101"/>
      <c r="AD641" s="101"/>
      <c r="AE641" s="101"/>
      <c r="AF641" s="101"/>
      <c r="AG641" s="101"/>
    </row>
    <row r="642" spans="21:33" s="1" customFormat="1" x14ac:dyDescent="0.25"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101"/>
      <c r="AG642" s="101"/>
    </row>
    <row r="643" spans="21:33" s="1" customFormat="1" x14ac:dyDescent="0.25">
      <c r="U643" s="101"/>
      <c r="V643" s="101"/>
      <c r="W643" s="101"/>
      <c r="X643" s="101"/>
      <c r="Y643" s="101"/>
      <c r="Z643" s="101"/>
      <c r="AA643" s="101"/>
      <c r="AB643" s="101"/>
      <c r="AC643" s="101"/>
      <c r="AD643" s="101"/>
      <c r="AE643" s="101"/>
      <c r="AF643" s="101"/>
      <c r="AG643" s="101"/>
    </row>
    <row r="644" spans="21:33" s="1" customFormat="1" x14ac:dyDescent="0.25">
      <c r="U644" s="101"/>
      <c r="V644" s="101"/>
      <c r="W644" s="101"/>
      <c r="X644" s="101"/>
      <c r="Y644" s="101"/>
      <c r="Z644" s="101"/>
      <c r="AA644" s="101"/>
      <c r="AB644" s="101"/>
      <c r="AC644" s="101"/>
      <c r="AD644" s="101"/>
      <c r="AE644" s="101"/>
      <c r="AF644" s="101"/>
      <c r="AG644" s="101"/>
    </row>
    <row r="645" spans="21:33" s="1" customFormat="1" x14ac:dyDescent="0.25">
      <c r="U645" s="101"/>
      <c r="V645" s="101"/>
      <c r="W645" s="101"/>
      <c r="X645" s="101"/>
      <c r="Y645" s="101"/>
      <c r="Z645" s="101"/>
      <c r="AA645" s="101"/>
      <c r="AB645" s="101"/>
      <c r="AC645" s="101"/>
      <c r="AD645" s="101"/>
      <c r="AE645" s="101"/>
      <c r="AF645" s="101"/>
      <c r="AG645" s="101"/>
    </row>
    <row r="646" spans="21:33" s="1" customFormat="1" x14ac:dyDescent="0.25">
      <c r="U646" s="101"/>
      <c r="V646" s="101"/>
      <c r="W646" s="101"/>
      <c r="X646" s="101"/>
      <c r="Y646" s="101"/>
      <c r="Z646" s="101"/>
      <c r="AA646" s="101"/>
      <c r="AB646" s="101"/>
      <c r="AC646" s="101"/>
      <c r="AD646" s="101"/>
      <c r="AE646" s="101"/>
      <c r="AF646" s="101"/>
      <c r="AG646" s="101"/>
    </row>
    <row r="647" spans="21:33" s="1" customFormat="1" x14ac:dyDescent="0.25">
      <c r="U647" s="101"/>
      <c r="V647" s="101"/>
      <c r="W647" s="101"/>
      <c r="X647" s="101"/>
      <c r="Y647" s="101"/>
      <c r="Z647" s="101"/>
      <c r="AA647" s="101"/>
      <c r="AB647" s="101"/>
      <c r="AC647" s="101"/>
      <c r="AD647" s="101"/>
      <c r="AE647" s="101"/>
      <c r="AF647" s="101"/>
      <c r="AG647" s="101"/>
    </row>
    <row r="648" spans="21:33" s="1" customFormat="1" x14ac:dyDescent="0.25"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101"/>
      <c r="AG648" s="101"/>
    </row>
    <row r="649" spans="21:33" s="1" customFormat="1" x14ac:dyDescent="0.25">
      <c r="U649" s="101"/>
      <c r="V649" s="101"/>
      <c r="W649" s="101"/>
      <c r="X649" s="101"/>
      <c r="Y649" s="101"/>
      <c r="Z649" s="101"/>
      <c r="AA649" s="101"/>
      <c r="AB649" s="101"/>
      <c r="AC649" s="101"/>
      <c r="AD649" s="101"/>
      <c r="AE649" s="101"/>
      <c r="AF649" s="101"/>
      <c r="AG649" s="101"/>
    </row>
    <row r="650" spans="21:33" s="1" customFormat="1" x14ac:dyDescent="0.25">
      <c r="U650" s="101"/>
      <c r="V650" s="101"/>
      <c r="W650" s="101"/>
      <c r="X650" s="101"/>
      <c r="Y650" s="101"/>
      <c r="Z650" s="101"/>
      <c r="AA650" s="101"/>
      <c r="AB650" s="101"/>
      <c r="AC650" s="101"/>
      <c r="AD650" s="101"/>
      <c r="AE650" s="101"/>
      <c r="AF650" s="101"/>
      <c r="AG650" s="101"/>
    </row>
    <row r="651" spans="21:33" s="1" customFormat="1" x14ac:dyDescent="0.25"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101"/>
      <c r="AG651" s="101"/>
    </row>
    <row r="652" spans="21:33" s="1" customFormat="1" x14ac:dyDescent="0.25">
      <c r="U652" s="101"/>
      <c r="V652" s="101"/>
      <c r="W652" s="101"/>
      <c r="X652" s="101"/>
      <c r="Y652" s="101"/>
      <c r="Z652" s="101"/>
      <c r="AA652" s="101"/>
      <c r="AB652" s="101"/>
      <c r="AC652" s="101"/>
      <c r="AD652" s="101"/>
      <c r="AE652" s="101"/>
      <c r="AF652" s="101"/>
      <c r="AG652" s="101"/>
    </row>
    <row r="653" spans="21:33" s="1" customFormat="1" x14ac:dyDescent="0.25">
      <c r="U653" s="101"/>
      <c r="V653" s="101"/>
      <c r="W653" s="101"/>
      <c r="X653" s="101"/>
      <c r="Y653" s="101"/>
      <c r="Z653" s="101"/>
      <c r="AA653" s="101"/>
      <c r="AB653" s="101"/>
      <c r="AC653" s="101"/>
      <c r="AD653" s="101"/>
      <c r="AE653" s="101"/>
      <c r="AF653" s="101"/>
      <c r="AG653" s="101"/>
    </row>
    <row r="654" spans="21:33" s="1" customFormat="1" x14ac:dyDescent="0.25">
      <c r="U654" s="101"/>
      <c r="V654" s="101"/>
      <c r="W654" s="101"/>
      <c r="X654" s="101"/>
      <c r="Y654" s="101"/>
      <c r="Z654" s="101"/>
      <c r="AA654" s="101"/>
      <c r="AB654" s="101"/>
      <c r="AC654" s="101"/>
      <c r="AD654" s="101"/>
      <c r="AE654" s="101"/>
      <c r="AF654" s="101"/>
      <c r="AG654" s="101"/>
    </row>
    <row r="655" spans="21:33" s="1" customFormat="1" x14ac:dyDescent="0.25"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101"/>
      <c r="AG655" s="101"/>
    </row>
    <row r="656" spans="21:33" s="1" customFormat="1" x14ac:dyDescent="0.25">
      <c r="U656" s="101"/>
      <c r="V656" s="101"/>
      <c r="W656" s="101"/>
      <c r="X656" s="101"/>
      <c r="Y656" s="101"/>
      <c r="Z656" s="101"/>
      <c r="AA656" s="101"/>
      <c r="AB656" s="101"/>
      <c r="AC656" s="101"/>
      <c r="AD656" s="101"/>
      <c r="AE656" s="101"/>
      <c r="AF656" s="101"/>
      <c r="AG656" s="101"/>
    </row>
    <row r="657" spans="21:33" s="1" customFormat="1" x14ac:dyDescent="0.25"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101"/>
      <c r="AG657" s="101"/>
    </row>
    <row r="658" spans="21:33" s="1" customFormat="1" x14ac:dyDescent="0.25">
      <c r="U658" s="101"/>
      <c r="V658" s="101"/>
      <c r="W658" s="101"/>
      <c r="X658" s="101"/>
      <c r="Y658" s="101"/>
      <c r="Z658" s="101"/>
      <c r="AA658" s="101"/>
      <c r="AB658" s="101"/>
      <c r="AC658" s="101"/>
      <c r="AD658" s="101"/>
      <c r="AE658" s="101"/>
      <c r="AF658" s="101"/>
      <c r="AG658" s="101"/>
    </row>
    <row r="659" spans="21:33" s="1" customFormat="1" x14ac:dyDescent="0.25">
      <c r="U659" s="101"/>
      <c r="V659" s="101"/>
      <c r="W659" s="101"/>
      <c r="X659" s="101"/>
      <c r="Y659" s="101"/>
      <c r="Z659" s="101"/>
      <c r="AA659" s="101"/>
      <c r="AB659" s="101"/>
      <c r="AC659" s="101"/>
      <c r="AD659" s="101"/>
      <c r="AE659" s="101"/>
      <c r="AF659" s="101"/>
      <c r="AG659" s="101"/>
    </row>
    <row r="660" spans="21:33" s="1" customFormat="1" x14ac:dyDescent="0.25">
      <c r="U660" s="101"/>
      <c r="V660" s="101"/>
      <c r="W660" s="101"/>
      <c r="X660" s="101"/>
      <c r="Y660" s="101"/>
      <c r="Z660" s="101"/>
      <c r="AA660" s="101"/>
      <c r="AB660" s="101"/>
      <c r="AC660" s="101"/>
      <c r="AD660" s="101"/>
      <c r="AE660" s="101"/>
      <c r="AF660" s="101"/>
      <c r="AG660" s="101"/>
    </row>
    <row r="661" spans="21:33" s="1" customFormat="1" x14ac:dyDescent="0.25"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101"/>
      <c r="AG661" s="101"/>
    </row>
    <row r="662" spans="21:33" s="1" customFormat="1" x14ac:dyDescent="0.25">
      <c r="U662" s="101"/>
      <c r="V662" s="101"/>
      <c r="W662" s="101"/>
      <c r="X662" s="101"/>
      <c r="Y662" s="101"/>
      <c r="Z662" s="101"/>
      <c r="AA662" s="101"/>
      <c r="AB662" s="101"/>
      <c r="AC662" s="101"/>
      <c r="AD662" s="101"/>
      <c r="AE662" s="101"/>
      <c r="AF662" s="101"/>
      <c r="AG662" s="101"/>
    </row>
    <row r="663" spans="21:33" s="1" customFormat="1" x14ac:dyDescent="0.25">
      <c r="U663" s="101"/>
      <c r="V663" s="101"/>
      <c r="W663" s="101"/>
      <c r="X663" s="101"/>
      <c r="Y663" s="101"/>
      <c r="Z663" s="101"/>
      <c r="AA663" s="101"/>
      <c r="AB663" s="101"/>
      <c r="AC663" s="101"/>
      <c r="AD663" s="101"/>
      <c r="AE663" s="101"/>
      <c r="AF663" s="101"/>
      <c r="AG663" s="101"/>
    </row>
    <row r="664" spans="21:33" s="1" customFormat="1" x14ac:dyDescent="0.25">
      <c r="U664" s="101"/>
      <c r="V664" s="101"/>
      <c r="W664" s="101"/>
      <c r="X664" s="101"/>
      <c r="Y664" s="101"/>
      <c r="Z664" s="101"/>
      <c r="AA664" s="101"/>
      <c r="AB664" s="101"/>
      <c r="AC664" s="101"/>
      <c r="AD664" s="101"/>
      <c r="AE664" s="101"/>
      <c r="AF664" s="101"/>
      <c r="AG664" s="101"/>
    </row>
    <row r="665" spans="21:33" s="1" customFormat="1" x14ac:dyDescent="0.25">
      <c r="U665" s="101"/>
      <c r="V665" s="101"/>
      <c r="W665" s="101"/>
      <c r="X665" s="101"/>
      <c r="Y665" s="101"/>
      <c r="Z665" s="101"/>
      <c r="AA665" s="101"/>
      <c r="AB665" s="101"/>
      <c r="AC665" s="101"/>
      <c r="AD665" s="101"/>
      <c r="AE665" s="101"/>
      <c r="AF665" s="101"/>
      <c r="AG665" s="101"/>
    </row>
    <row r="666" spans="21:33" s="1" customFormat="1" x14ac:dyDescent="0.25">
      <c r="U666" s="101"/>
      <c r="V666" s="101"/>
      <c r="W666" s="101"/>
      <c r="X666" s="101"/>
      <c r="Y666" s="101"/>
      <c r="Z666" s="101"/>
      <c r="AA666" s="101"/>
      <c r="AB666" s="101"/>
      <c r="AC666" s="101"/>
      <c r="AD666" s="101"/>
      <c r="AE666" s="101"/>
      <c r="AF666" s="101"/>
      <c r="AG666" s="101"/>
    </row>
    <row r="667" spans="21:33" s="1" customFormat="1" x14ac:dyDescent="0.25">
      <c r="U667" s="101"/>
      <c r="V667" s="101"/>
      <c r="W667" s="101"/>
      <c r="X667" s="101"/>
      <c r="Y667" s="101"/>
      <c r="Z667" s="101"/>
      <c r="AA667" s="101"/>
      <c r="AB667" s="101"/>
      <c r="AC667" s="101"/>
      <c r="AD667" s="101"/>
      <c r="AE667" s="101"/>
      <c r="AF667" s="101"/>
      <c r="AG667" s="101"/>
    </row>
    <row r="668" spans="21:33" s="1" customFormat="1" x14ac:dyDescent="0.25">
      <c r="U668" s="101"/>
      <c r="V668" s="101"/>
      <c r="W668" s="101"/>
      <c r="X668" s="101"/>
      <c r="Y668" s="101"/>
      <c r="Z668" s="101"/>
      <c r="AA668" s="101"/>
      <c r="AB668" s="101"/>
      <c r="AC668" s="101"/>
      <c r="AD668" s="101"/>
      <c r="AE668" s="101"/>
      <c r="AF668" s="101"/>
      <c r="AG668" s="101"/>
    </row>
    <row r="669" spans="21:33" s="1" customFormat="1" x14ac:dyDescent="0.25">
      <c r="U669" s="101"/>
      <c r="V669" s="101"/>
      <c r="W669" s="101"/>
      <c r="X669" s="101"/>
      <c r="Y669" s="101"/>
      <c r="Z669" s="101"/>
      <c r="AA669" s="101"/>
      <c r="AB669" s="101"/>
      <c r="AC669" s="101"/>
      <c r="AD669" s="101"/>
      <c r="AE669" s="101"/>
      <c r="AF669" s="101"/>
      <c r="AG669" s="101"/>
    </row>
    <row r="670" spans="21:33" s="1" customFormat="1" x14ac:dyDescent="0.25">
      <c r="U670" s="101"/>
      <c r="V670" s="101"/>
      <c r="W670" s="101"/>
      <c r="X670" s="101"/>
      <c r="Y670" s="101"/>
      <c r="Z670" s="101"/>
      <c r="AA670" s="101"/>
      <c r="AB670" s="101"/>
      <c r="AC670" s="101"/>
      <c r="AD670" s="101"/>
      <c r="AE670" s="101"/>
      <c r="AF670" s="101"/>
      <c r="AG670" s="101"/>
    </row>
    <row r="671" spans="21:33" s="1" customFormat="1" x14ac:dyDescent="0.25">
      <c r="U671" s="101"/>
      <c r="V671" s="101"/>
      <c r="W671" s="101"/>
      <c r="X671" s="101"/>
      <c r="Y671" s="101"/>
      <c r="Z671" s="101"/>
      <c r="AA671" s="101"/>
      <c r="AB671" s="101"/>
      <c r="AC671" s="101"/>
      <c r="AD671" s="101"/>
      <c r="AE671" s="101"/>
      <c r="AF671" s="101"/>
      <c r="AG671" s="101"/>
    </row>
    <row r="672" spans="21:33" s="1" customFormat="1" x14ac:dyDescent="0.25">
      <c r="U672" s="101"/>
      <c r="V672" s="101"/>
      <c r="W672" s="101"/>
      <c r="X672" s="101"/>
      <c r="Y672" s="101"/>
      <c r="Z672" s="101"/>
      <c r="AA672" s="101"/>
      <c r="AB672" s="101"/>
      <c r="AC672" s="101"/>
      <c r="AD672" s="101"/>
      <c r="AE672" s="101"/>
      <c r="AF672" s="101"/>
      <c r="AG672" s="101"/>
    </row>
    <row r="673" spans="21:33" s="1" customFormat="1" x14ac:dyDescent="0.25">
      <c r="U673" s="101"/>
      <c r="V673" s="101"/>
      <c r="W673" s="101"/>
      <c r="X673" s="101"/>
      <c r="Y673" s="101"/>
      <c r="Z673" s="101"/>
      <c r="AA673" s="101"/>
      <c r="AB673" s="101"/>
      <c r="AC673" s="101"/>
      <c r="AD673" s="101"/>
      <c r="AE673" s="101"/>
      <c r="AF673" s="101"/>
      <c r="AG673" s="101"/>
    </row>
    <row r="674" spans="21:33" s="1" customFormat="1" x14ac:dyDescent="0.25">
      <c r="U674" s="101"/>
      <c r="V674" s="101"/>
      <c r="W674" s="101"/>
      <c r="X674" s="101"/>
      <c r="Y674" s="101"/>
      <c r="Z674" s="101"/>
      <c r="AA674" s="101"/>
      <c r="AB674" s="101"/>
      <c r="AC674" s="101"/>
      <c r="AD674" s="101"/>
      <c r="AE674" s="101"/>
      <c r="AF674" s="101"/>
      <c r="AG674" s="101"/>
    </row>
    <row r="675" spans="21:33" s="1" customFormat="1" x14ac:dyDescent="0.25">
      <c r="U675" s="101"/>
      <c r="V675" s="101"/>
      <c r="W675" s="101"/>
      <c r="X675" s="101"/>
      <c r="Y675" s="101"/>
      <c r="Z675" s="101"/>
      <c r="AA675" s="101"/>
      <c r="AB675" s="101"/>
      <c r="AC675" s="101"/>
      <c r="AD675" s="101"/>
      <c r="AE675" s="101"/>
      <c r="AF675" s="101"/>
      <c r="AG675" s="101"/>
    </row>
    <row r="676" spans="21:33" s="1" customFormat="1" x14ac:dyDescent="0.25">
      <c r="U676" s="101"/>
      <c r="V676" s="101"/>
      <c r="W676" s="101"/>
      <c r="X676" s="101"/>
      <c r="Y676" s="101"/>
      <c r="Z676" s="101"/>
      <c r="AA676" s="101"/>
      <c r="AB676" s="101"/>
      <c r="AC676" s="101"/>
      <c r="AD676" s="101"/>
      <c r="AE676" s="101"/>
      <c r="AF676" s="101"/>
      <c r="AG676" s="101"/>
    </row>
    <row r="677" spans="21:33" s="1" customFormat="1" x14ac:dyDescent="0.25">
      <c r="U677" s="101"/>
      <c r="V677" s="101"/>
      <c r="W677" s="101"/>
      <c r="X677" s="101"/>
      <c r="Y677" s="101"/>
      <c r="Z677" s="101"/>
      <c r="AA677" s="101"/>
      <c r="AB677" s="101"/>
      <c r="AC677" s="101"/>
      <c r="AD677" s="101"/>
      <c r="AE677" s="101"/>
      <c r="AF677" s="101"/>
      <c r="AG677" s="101"/>
    </row>
    <row r="678" spans="21:33" s="1" customFormat="1" x14ac:dyDescent="0.25">
      <c r="U678" s="101"/>
      <c r="V678" s="101"/>
      <c r="W678" s="101"/>
      <c r="X678" s="101"/>
      <c r="Y678" s="101"/>
      <c r="Z678" s="101"/>
      <c r="AA678" s="101"/>
      <c r="AB678" s="101"/>
      <c r="AC678" s="101"/>
      <c r="AD678" s="101"/>
      <c r="AE678" s="101"/>
      <c r="AF678" s="101"/>
      <c r="AG678" s="101"/>
    </row>
    <row r="679" spans="21:33" s="1" customFormat="1" x14ac:dyDescent="0.25">
      <c r="U679" s="101"/>
      <c r="V679" s="101"/>
      <c r="W679" s="101"/>
      <c r="X679" s="101"/>
      <c r="Y679" s="101"/>
      <c r="Z679" s="101"/>
      <c r="AA679" s="101"/>
      <c r="AB679" s="101"/>
      <c r="AC679" s="101"/>
      <c r="AD679" s="101"/>
      <c r="AE679" s="101"/>
      <c r="AF679" s="101"/>
      <c r="AG679" s="101"/>
    </row>
    <row r="680" spans="21:33" s="1" customFormat="1" x14ac:dyDescent="0.25">
      <c r="U680" s="101"/>
      <c r="V680" s="101"/>
      <c r="W680" s="101"/>
      <c r="X680" s="101"/>
      <c r="Y680" s="101"/>
      <c r="Z680" s="101"/>
      <c r="AA680" s="101"/>
      <c r="AB680" s="101"/>
      <c r="AC680" s="101"/>
      <c r="AD680" s="101"/>
      <c r="AE680" s="101"/>
      <c r="AF680" s="101"/>
      <c r="AG680" s="101"/>
    </row>
    <row r="681" spans="21:33" s="1" customFormat="1" x14ac:dyDescent="0.25">
      <c r="U681" s="101"/>
      <c r="V681" s="101"/>
      <c r="W681" s="101"/>
      <c r="X681" s="101"/>
      <c r="Y681" s="101"/>
      <c r="Z681" s="101"/>
      <c r="AA681" s="101"/>
      <c r="AB681" s="101"/>
      <c r="AC681" s="101"/>
      <c r="AD681" s="101"/>
      <c r="AE681" s="101"/>
      <c r="AF681" s="101"/>
      <c r="AG681" s="101"/>
    </row>
    <row r="682" spans="21:33" s="1" customFormat="1" x14ac:dyDescent="0.25">
      <c r="U682" s="101"/>
      <c r="V682" s="101"/>
      <c r="W682" s="101"/>
      <c r="X682" s="101"/>
      <c r="Y682" s="101"/>
      <c r="Z682" s="101"/>
      <c r="AA682" s="101"/>
      <c r="AB682" s="101"/>
      <c r="AC682" s="101"/>
      <c r="AD682" s="101"/>
      <c r="AE682" s="101"/>
      <c r="AF682" s="101"/>
      <c r="AG682" s="101"/>
    </row>
    <row r="683" spans="21:33" s="1" customFormat="1" x14ac:dyDescent="0.25">
      <c r="U683" s="101"/>
      <c r="V683" s="101"/>
      <c r="W683" s="101"/>
      <c r="X683" s="101"/>
      <c r="Y683" s="101"/>
      <c r="Z683" s="101"/>
      <c r="AA683" s="101"/>
      <c r="AB683" s="101"/>
      <c r="AC683" s="101"/>
      <c r="AD683" s="101"/>
      <c r="AE683" s="101"/>
      <c r="AF683" s="101"/>
      <c r="AG683" s="101"/>
    </row>
    <row r="684" spans="21:33" s="1" customFormat="1" x14ac:dyDescent="0.25">
      <c r="U684" s="101"/>
      <c r="V684" s="101"/>
      <c r="W684" s="101"/>
      <c r="X684" s="101"/>
      <c r="Y684" s="101"/>
      <c r="Z684" s="101"/>
      <c r="AA684" s="101"/>
      <c r="AB684" s="101"/>
      <c r="AC684" s="101"/>
      <c r="AD684" s="101"/>
      <c r="AE684" s="101"/>
      <c r="AF684" s="101"/>
      <c r="AG684" s="101"/>
    </row>
    <row r="685" spans="21:33" s="1" customFormat="1" x14ac:dyDescent="0.25">
      <c r="U685" s="101"/>
      <c r="V685" s="101"/>
      <c r="W685" s="101"/>
      <c r="X685" s="101"/>
      <c r="Y685" s="101"/>
      <c r="Z685" s="101"/>
      <c r="AA685" s="101"/>
      <c r="AB685" s="101"/>
      <c r="AC685" s="101"/>
      <c r="AD685" s="101"/>
      <c r="AE685" s="101"/>
      <c r="AF685" s="101"/>
      <c r="AG685" s="101"/>
    </row>
    <row r="686" spans="21:33" s="1" customFormat="1" x14ac:dyDescent="0.25">
      <c r="U686" s="101"/>
      <c r="V686" s="101"/>
      <c r="W686" s="101"/>
      <c r="X686" s="101"/>
      <c r="Y686" s="101"/>
      <c r="Z686" s="101"/>
      <c r="AA686" s="101"/>
      <c r="AB686" s="101"/>
      <c r="AC686" s="101"/>
      <c r="AD686" s="101"/>
      <c r="AE686" s="101"/>
      <c r="AF686" s="101"/>
      <c r="AG686" s="101"/>
    </row>
    <row r="687" spans="21:33" s="1" customFormat="1" x14ac:dyDescent="0.25">
      <c r="U687" s="101"/>
      <c r="V687" s="101"/>
      <c r="W687" s="101"/>
      <c r="X687" s="101"/>
      <c r="Y687" s="101"/>
      <c r="Z687" s="101"/>
      <c r="AA687" s="101"/>
      <c r="AB687" s="101"/>
      <c r="AC687" s="101"/>
      <c r="AD687" s="101"/>
      <c r="AE687" s="101"/>
      <c r="AF687" s="101"/>
      <c r="AG687" s="101"/>
    </row>
    <row r="688" spans="21:33" s="1" customFormat="1" x14ac:dyDescent="0.25">
      <c r="U688" s="101"/>
      <c r="V688" s="101"/>
      <c r="W688" s="101"/>
      <c r="X688" s="101"/>
      <c r="Y688" s="101"/>
      <c r="Z688" s="101"/>
      <c r="AA688" s="101"/>
      <c r="AB688" s="101"/>
      <c r="AC688" s="101"/>
      <c r="AD688" s="101"/>
      <c r="AE688" s="101"/>
      <c r="AF688" s="101"/>
      <c r="AG688" s="101"/>
    </row>
    <row r="689" spans="21:33" s="1" customFormat="1" x14ac:dyDescent="0.25">
      <c r="U689" s="101"/>
      <c r="V689" s="101"/>
      <c r="W689" s="101"/>
      <c r="X689" s="101"/>
      <c r="Y689" s="101"/>
      <c r="Z689" s="101"/>
      <c r="AA689" s="101"/>
      <c r="AB689" s="101"/>
      <c r="AC689" s="101"/>
      <c r="AD689" s="101"/>
      <c r="AE689" s="101"/>
      <c r="AF689" s="101"/>
      <c r="AG689" s="101"/>
    </row>
    <row r="690" spans="21:33" s="1" customFormat="1" x14ac:dyDescent="0.25">
      <c r="U690" s="101"/>
      <c r="V690" s="101"/>
      <c r="W690" s="101"/>
      <c r="X690" s="101"/>
      <c r="Y690" s="101"/>
      <c r="Z690" s="101"/>
      <c r="AA690" s="101"/>
      <c r="AB690" s="101"/>
      <c r="AC690" s="101"/>
      <c r="AD690" s="101"/>
      <c r="AE690" s="101"/>
      <c r="AF690" s="101"/>
      <c r="AG690" s="101"/>
    </row>
    <row r="691" spans="21:33" s="1" customFormat="1" x14ac:dyDescent="0.25">
      <c r="U691" s="101"/>
      <c r="V691" s="101"/>
      <c r="W691" s="101"/>
      <c r="X691" s="101"/>
      <c r="Y691" s="101"/>
      <c r="Z691" s="101"/>
      <c r="AA691" s="101"/>
      <c r="AB691" s="101"/>
      <c r="AC691" s="101"/>
      <c r="AD691" s="101"/>
      <c r="AE691" s="101"/>
      <c r="AF691" s="101"/>
      <c r="AG691" s="101"/>
    </row>
    <row r="692" spans="21:33" s="1" customFormat="1" x14ac:dyDescent="0.25">
      <c r="U692" s="101"/>
      <c r="V692" s="101"/>
      <c r="W692" s="101"/>
      <c r="X692" s="101"/>
      <c r="Y692" s="101"/>
      <c r="Z692" s="101"/>
      <c r="AA692" s="101"/>
      <c r="AB692" s="101"/>
      <c r="AC692" s="101"/>
      <c r="AD692" s="101"/>
      <c r="AE692" s="101"/>
      <c r="AF692" s="101"/>
      <c r="AG692" s="101"/>
    </row>
    <row r="693" spans="21:33" s="1" customFormat="1" x14ac:dyDescent="0.25">
      <c r="U693" s="101"/>
      <c r="V693" s="101"/>
      <c r="W693" s="101"/>
      <c r="X693" s="101"/>
      <c r="Y693" s="101"/>
      <c r="Z693" s="101"/>
      <c r="AA693" s="101"/>
      <c r="AB693" s="101"/>
      <c r="AC693" s="101"/>
      <c r="AD693" s="101"/>
      <c r="AE693" s="101"/>
      <c r="AF693" s="101"/>
      <c r="AG693" s="101"/>
    </row>
    <row r="694" spans="21:33" s="1" customFormat="1" x14ac:dyDescent="0.25">
      <c r="U694" s="101"/>
      <c r="V694" s="101"/>
      <c r="W694" s="101"/>
      <c r="X694" s="101"/>
      <c r="Y694" s="101"/>
      <c r="Z694" s="101"/>
      <c r="AA694" s="101"/>
      <c r="AB694" s="101"/>
      <c r="AC694" s="101"/>
      <c r="AD694" s="101"/>
      <c r="AE694" s="101"/>
      <c r="AF694" s="101"/>
      <c r="AG694" s="101"/>
    </row>
    <row r="695" spans="21:33" s="1" customFormat="1" x14ac:dyDescent="0.25">
      <c r="U695" s="101"/>
      <c r="V695" s="101"/>
      <c r="W695" s="101"/>
      <c r="X695" s="101"/>
      <c r="Y695" s="101"/>
      <c r="Z695" s="101"/>
      <c r="AA695" s="101"/>
      <c r="AB695" s="101"/>
      <c r="AC695" s="101"/>
      <c r="AD695" s="101"/>
      <c r="AE695" s="101"/>
      <c r="AF695" s="101"/>
      <c r="AG695" s="101"/>
    </row>
    <row r="696" spans="21:33" s="1" customFormat="1" x14ac:dyDescent="0.25">
      <c r="U696" s="101"/>
      <c r="V696" s="101"/>
      <c r="W696" s="101"/>
      <c r="X696" s="101"/>
      <c r="Y696" s="101"/>
      <c r="Z696" s="101"/>
      <c r="AA696" s="101"/>
      <c r="AB696" s="101"/>
      <c r="AC696" s="101"/>
      <c r="AD696" s="101"/>
      <c r="AE696" s="101"/>
      <c r="AF696" s="101"/>
      <c r="AG696" s="101"/>
    </row>
    <row r="697" spans="21:33" s="1" customFormat="1" x14ac:dyDescent="0.25">
      <c r="U697" s="101"/>
      <c r="V697" s="101"/>
      <c r="W697" s="101"/>
      <c r="X697" s="101"/>
      <c r="Y697" s="101"/>
      <c r="Z697" s="101"/>
      <c r="AA697" s="101"/>
      <c r="AB697" s="101"/>
      <c r="AC697" s="101"/>
      <c r="AD697" s="101"/>
      <c r="AE697" s="101"/>
      <c r="AF697" s="101"/>
      <c r="AG697" s="101"/>
    </row>
    <row r="698" spans="21:33" s="1" customFormat="1" x14ac:dyDescent="0.25">
      <c r="U698" s="101"/>
      <c r="V698" s="101"/>
      <c r="W698" s="101"/>
      <c r="X698" s="101"/>
      <c r="Y698" s="101"/>
      <c r="Z698" s="101"/>
      <c r="AA698" s="101"/>
      <c r="AB698" s="101"/>
      <c r="AC698" s="101"/>
      <c r="AD698" s="101"/>
      <c r="AE698" s="101"/>
      <c r="AF698" s="101"/>
      <c r="AG698" s="101"/>
    </row>
    <row r="699" spans="21:33" s="1" customFormat="1" x14ac:dyDescent="0.25">
      <c r="U699" s="101"/>
      <c r="V699" s="101"/>
      <c r="W699" s="101"/>
      <c r="X699" s="101"/>
      <c r="Y699" s="101"/>
      <c r="Z699" s="101"/>
      <c r="AA699" s="101"/>
      <c r="AB699" s="101"/>
      <c r="AC699" s="101"/>
      <c r="AD699" s="101"/>
      <c r="AE699" s="101"/>
      <c r="AF699" s="101"/>
      <c r="AG699" s="101"/>
    </row>
    <row r="700" spans="21:33" s="1" customFormat="1" x14ac:dyDescent="0.25">
      <c r="U700" s="101"/>
      <c r="V700" s="101"/>
      <c r="W700" s="101"/>
      <c r="X700" s="101"/>
      <c r="Y700" s="101"/>
      <c r="Z700" s="101"/>
      <c r="AA700" s="101"/>
      <c r="AB700" s="101"/>
      <c r="AC700" s="101"/>
      <c r="AD700" s="101"/>
      <c r="AE700" s="101"/>
      <c r="AF700" s="101"/>
      <c r="AG700" s="101"/>
    </row>
    <row r="701" spans="21:33" s="1" customFormat="1" x14ac:dyDescent="0.25">
      <c r="U701" s="101"/>
      <c r="V701" s="101"/>
      <c r="W701" s="101"/>
      <c r="X701" s="101"/>
      <c r="Y701" s="101"/>
      <c r="Z701" s="101"/>
      <c r="AA701" s="101"/>
      <c r="AB701" s="101"/>
      <c r="AC701" s="101"/>
      <c r="AD701" s="101"/>
      <c r="AE701" s="101"/>
      <c r="AF701" s="101"/>
      <c r="AG701" s="101"/>
    </row>
    <row r="702" spans="21:33" s="1" customFormat="1" x14ac:dyDescent="0.25">
      <c r="U702" s="101"/>
      <c r="V702" s="101"/>
      <c r="W702" s="101"/>
      <c r="X702" s="101"/>
      <c r="Y702" s="101"/>
      <c r="Z702" s="101"/>
      <c r="AA702" s="101"/>
      <c r="AB702" s="101"/>
      <c r="AC702" s="101"/>
      <c r="AD702" s="101"/>
      <c r="AE702" s="101"/>
      <c r="AF702" s="101"/>
      <c r="AG702" s="101"/>
    </row>
    <row r="703" spans="21:33" s="1" customFormat="1" x14ac:dyDescent="0.25">
      <c r="U703" s="101"/>
      <c r="V703" s="101"/>
      <c r="W703" s="101"/>
      <c r="X703" s="101"/>
      <c r="Y703" s="101"/>
      <c r="Z703" s="101"/>
      <c r="AA703" s="101"/>
      <c r="AB703" s="101"/>
      <c r="AC703" s="101"/>
      <c r="AD703" s="101"/>
      <c r="AE703" s="101"/>
      <c r="AF703" s="101"/>
      <c r="AG703" s="101"/>
    </row>
    <row r="704" spans="21:33" s="1" customFormat="1" x14ac:dyDescent="0.25">
      <c r="U704" s="101"/>
      <c r="V704" s="101"/>
      <c r="W704" s="101"/>
      <c r="X704" s="101"/>
      <c r="Y704" s="101"/>
      <c r="Z704" s="101"/>
      <c r="AA704" s="101"/>
      <c r="AB704" s="101"/>
      <c r="AC704" s="101"/>
      <c r="AD704" s="101"/>
      <c r="AE704" s="101"/>
      <c r="AF704" s="101"/>
      <c r="AG704" s="101"/>
    </row>
    <row r="705" spans="21:33" s="1" customFormat="1" x14ac:dyDescent="0.25">
      <c r="U705" s="101"/>
      <c r="V705" s="101"/>
      <c r="W705" s="101"/>
      <c r="X705" s="101"/>
      <c r="Y705" s="101"/>
      <c r="Z705" s="101"/>
      <c r="AA705" s="101"/>
      <c r="AB705" s="101"/>
      <c r="AC705" s="101"/>
      <c r="AD705" s="101"/>
      <c r="AE705" s="101"/>
      <c r="AF705" s="101"/>
      <c r="AG705" s="101"/>
    </row>
    <row r="706" spans="21:33" s="1" customFormat="1" x14ac:dyDescent="0.25">
      <c r="U706" s="101"/>
      <c r="V706" s="101"/>
      <c r="W706" s="101"/>
      <c r="X706" s="101"/>
      <c r="Y706" s="101"/>
      <c r="Z706" s="101"/>
      <c r="AA706" s="101"/>
      <c r="AB706" s="101"/>
      <c r="AC706" s="101"/>
      <c r="AD706" s="101"/>
      <c r="AE706" s="101"/>
      <c r="AF706" s="101"/>
      <c r="AG706" s="101"/>
    </row>
    <row r="707" spans="21:33" s="1" customFormat="1" x14ac:dyDescent="0.25">
      <c r="U707" s="101"/>
      <c r="V707" s="101"/>
      <c r="W707" s="101"/>
      <c r="X707" s="101"/>
      <c r="Y707" s="101"/>
      <c r="Z707" s="101"/>
      <c r="AA707" s="101"/>
      <c r="AB707" s="101"/>
      <c r="AC707" s="101"/>
      <c r="AD707" s="101"/>
      <c r="AE707" s="101"/>
      <c r="AF707" s="101"/>
      <c r="AG707" s="101"/>
    </row>
    <row r="708" spans="21:33" s="1" customFormat="1" x14ac:dyDescent="0.25">
      <c r="U708" s="101"/>
      <c r="V708" s="101"/>
      <c r="W708" s="101"/>
      <c r="X708" s="101"/>
      <c r="Y708" s="101"/>
      <c r="Z708" s="101"/>
      <c r="AA708" s="101"/>
      <c r="AB708" s="101"/>
      <c r="AC708" s="101"/>
      <c r="AD708" s="101"/>
      <c r="AE708" s="101"/>
      <c r="AF708" s="101"/>
      <c r="AG708" s="101"/>
    </row>
    <row r="709" spans="21:33" s="1" customFormat="1" x14ac:dyDescent="0.25">
      <c r="U709" s="101"/>
      <c r="V709" s="101"/>
      <c r="W709" s="101"/>
      <c r="X709" s="101"/>
      <c r="Y709" s="101"/>
      <c r="Z709" s="101"/>
      <c r="AA709" s="101"/>
      <c r="AB709" s="101"/>
      <c r="AC709" s="101"/>
      <c r="AD709" s="101"/>
      <c r="AE709" s="101"/>
      <c r="AF709" s="101"/>
      <c r="AG709" s="101"/>
    </row>
    <row r="710" spans="21:33" s="1" customFormat="1" x14ac:dyDescent="0.25">
      <c r="U710" s="101"/>
      <c r="V710" s="101"/>
      <c r="W710" s="101"/>
      <c r="X710" s="101"/>
      <c r="Y710" s="101"/>
      <c r="Z710" s="101"/>
      <c r="AA710" s="101"/>
      <c r="AB710" s="101"/>
      <c r="AC710" s="101"/>
      <c r="AD710" s="101"/>
      <c r="AE710" s="101"/>
      <c r="AF710" s="101"/>
      <c r="AG710" s="101"/>
    </row>
    <row r="711" spans="21:33" s="1" customFormat="1" x14ac:dyDescent="0.25">
      <c r="U711" s="101"/>
      <c r="V711" s="101"/>
      <c r="W711" s="101"/>
      <c r="X711" s="101"/>
      <c r="Y711" s="101"/>
      <c r="Z711" s="101"/>
      <c r="AA711" s="101"/>
      <c r="AB711" s="101"/>
      <c r="AC711" s="101"/>
      <c r="AD711" s="101"/>
      <c r="AE711" s="101"/>
      <c r="AF711" s="101"/>
      <c r="AG711" s="101"/>
    </row>
    <row r="712" spans="21:33" s="1" customFormat="1" x14ac:dyDescent="0.25">
      <c r="U712" s="101"/>
      <c r="V712" s="101"/>
      <c r="W712" s="101"/>
      <c r="X712" s="101"/>
      <c r="Y712" s="101"/>
      <c r="Z712" s="101"/>
      <c r="AA712" s="101"/>
      <c r="AB712" s="101"/>
      <c r="AC712" s="101"/>
      <c r="AD712" s="101"/>
      <c r="AE712" s="101"/>
      <c r="AF712" s="101"/>
      <c r="AG712" s="101"/>
    </row>
    <row r="713" spans="21:33" s="1" customFormat="1" x14ac:dyDescent="0.25">
      <c r="U713" s="101"/>
      <c r="V713" s="101"/>
      <c r="W713" s="101"/>
      <c r="X713" s="101"/>
      <c r="Y713" s="101"/>
      <c r="Z713" s="101"/>
      <c r="AA713" s="101"/>
      <c r="AB713" s="101"/>
      <c r="AC713" s="101"/>
      <c r="AD713" s="101"/>
      <c r="AE713" s="101"/>
      <c r="AF713" s="101"/>
      <c r="AG713" s="101"/>
    </row>
    <row r="714" spans="21:33" s="1" customFormat="1" x14ac:dyDescent="0.25">
      <c r="U714" s="101"/>
      <c r="V714" s="101"/>
      <c r="W714" s="101"/>
      <c r="X714" s="101"/>
      <c r="Y714" s="101"/>
      <c r="Z714" s="101"/>
      <c r="AA714" s="101"/>
      <c r="AB714" s="101"/>
      <c r="AC714" s="101"/>
      <c r="AD714" s="101"/>
      <c r="AE714" s="101"/>
      <c r="AF714" s="101"/>
      <c r="AG714" s="101"/>
    </row>
    <row r="715" spans="21:33" s="1" customFormat="1" x14ac:dyDescent="0.25">
      <c r="U715" s="101"/>
      <c r="V715" s="101"/>
      <c r="W715" s="101"/>
      <c r="X715" s="101"/>
      <c r="Y715" s="101"/>
      <c r="Z715" s="101"/>
      <c r="AA715" s="101"/>
      <c r="AB715" s="101"/>
      <c r="AC715" s="101"/>
      <c r="AD715" s="101"/>
      <c r="AE715" s="101"/>
      <c r="AF715" s="101"/>
      <c r="AG715" s="101"/>
    </row>
    <row r="716" spans="21:33" s="1" customFormat="1" x14ac:dyDescent="0.25">
      <c r="U716" s="101"/>
      <c r="V716" s="101"/>
      <c r="W716" s="101"/>
      <c r="X716" s="101"/>
      <c r="Y716" s="101"/>
      <c r="Z716" s="101"/>
      <c r="AA716" s="101"/>
      <c r="AB716" s="101"/>
      <c r="AC716" s="101"/>
      <c r="AD716" s="101"/>
      <c r="AE716" s="101"/>
      <c r="AF716" s="101"/>
      <c r="AG716" s="101"/>
    </row>
    <row r="717" spans="21:33" s="1" customFormat="1" x14ac:dyDescent="0.25">
      <c r="U717" s="101"/>
      <c r="V717" s="101"/>
      <c r="W717" s="101"/>
      <c r="X717" s="101"/>
      <c r="Y717" s="101"/>
      <c r="Z717" s="101"/>
      <c r="AA717" s="101"/>
      <c r="AB717" s="101"/>
      <c r="AC717" s="101"/>
      <c r="AD717" s="101"/>
      <c r="AE717" s="101"/>
      <c r="AF717" s="101"/>
      <c r="AG717" s="101"/>
    </row>
    <row r="718" spans="21:33" s="1" customFormat="1" x14ac:dyDescent="0.25">
      <c r="U718" s="101"/>
      <c r="V718" s="101"/>
      <c r="W718" s="101"/>
      <c r="X718" s="101"/>
      <c r="Y718" s="101"/>
      <c r="Z718" s="101"/>
      <c r="AA718" s="101"/>
      <c r="AB718" s="101"/>
      <c r="AC718" s="101"/>
      <c r="AD718" s="101"/>
      <c r="AE718" s="101"/>
      <c r="AF718" s="101"/>
      <c r="AG718" s="101"/>
    </row>
    <row r="719" spans="21:33" s="1" customFormat="1" x14ac:dyDescent="0.25">
      <c r="U719" s="101"/>
      <c r="V719" s="101"/>
      <c r="W719" s="101"/>
      <c r="X719" s="101"/>
      <c r="Y719" s="101"/>
      <c r="Z719" s="101"/>
      <c r="AA719" s="101"/>
      <c r="AB719" s="101"/>
      <c r="AC719" s="101"/>
      <c r="AD719" s="101"/>
      <c r="AE719" s="101"/>
      <c r="AF719" s="101"/>
      <c r="AG719" s="101"/>
    </row>
    <row r="720" spans="21:33" s="1" customFormat="1" x14ac:dyDescent="0.25">
      <c r="U720" s="101"/>
      <c r="V720" s="101"/>
      <c r="W720" s="101"/>
      <c r="X720" s="101"/>
      <c r="Y720" s="101"/>
      <c r="Z720" s="101"/>
      <c r="AA720" s="101"/>
      <c r="AB720" s="101"/>
      <c r="AC720" s="101"/>
      <c r="AD720" s="101"/>
      <c r="AE720" s="101"/>
      <c r="AF720" s="101"/>
      <c r="AG720" s="101"/>
    </row>
    <row r="721" spans="21:33" s="1" customFormat="1" x14ac:dyDescent="0.25">
      <c r="U721" s="101"/>
      <c r="V721" s="101"/>
      <c r="W721" s="101"/>
      <c r="X721" s="101"/>
      <c r="Y721" s="101"/>
      <c r="Z721" s="101"/>
      <c r="AA721" s="101"/>
      <c r="AB721" s="101"/>
      <c r="AC721" s="101"/>
      <c r="AD721" s="101"/>
      <c r="AE721" s="101"/>
      <c r="AF721" s="101"/>
      <c r="AG721" s="101"/>
    </row>
    <row r="722" spans="21:33" s="1" customFormat="1" x14ac:dyDescent="0.25">
      <c r="U722" s="101"/>
      <c r="V722" s="101"/>
      <c r="W722" s="101"/>
      <c r="X722" s="101"/>
      <c r="Y722" s="101"/>
      <c r="Z722" s="101"/>
      <c r="AA722" s="101"/>
      <c r="AB722" s="101"/>
      <c r="AC722" s="101"/>
      <c r="AD722" s="101"/>
      <c r="AE722" s="101"/>
      <c r="AF722" s="101"/>
      <c r="AG722" s="101"/>
    </row>
    <row r="723" spans="21:33" s="1" customFormat="1" x14ac:dyDescent="0.25">
      <c r="U723" s="101"/>
      <c r="V723" s="101"/>
      <c r="W723" s="101"/>
      <c r="X723" s="101"/>
      <c r="Y723" s="101"/>
      <c r="Z723" s="101"/>
      <c r="AA723" s="101"/>
      <c r="AB723" s="101"/>
      <c r="AC723" s="101"/>
      <c r="AD723" s="101"/>
      <c r="AE723" s="101"/>
      <c r="AF723" s="101"/>
      <c r="AG723" s="101"/>
    </row>
    <row r="724" spans="21:33" s="1" customFormat="1" x14ac:dyDescent="0.25">
      <c r="U724" s="101"/>
      <c r="V724" s="101"/>
      <c r="W724" s="101"/>
      <c r="X724" s="101"/>
      <c r="Y724" s="101"/>
      <c r="Z724" s="101"/>
      <c r="AA724" s="101"/>
      <c r="AB724" s="101"/>
      <c r="AC724" s="101"/>
      <c r="AD724" s="101"/>
      <c r="AE724" s="101"/>
      <c r="AF724" s="101"/>
      <c r="AG724" s="101"/>
    </row>
    <row r="725" spans="21:33" s="1" customFormat="1" x14ac:dyDescent="0.25">
      <c r="U725" s="101"/>
      <c r="V725" s="101"/>
      <c r="W725" s="101"/>
      <c r="X725" s="101"/>
      <c r="Y725" s="101"/>
      <c r="Z725" s="101"/>
      <c r="AA725" s="101"/>
      <c r="AB725" s="101"/>
      <c r="AC725" s="101"/>
      <c r="AD725" s="101"/>
      <c r="AE725" s="101"/>
      <c r="AF725" s="101"/>
      <c r="AG725" s="101"/>
    </row>
    <row r="726" spans="21:33" s="1" customFormat="1" x14ac:dyDescent="0.25">
      <c r="U726" s="101"/>
      <c r="V726" s="101"/>
      <c r="W726" s="101"/>
      <c r="X726" s="101"/>
      <c r="Y726" s="101"/>
      <c r="Z726" s="101"/>
      <c r="AA726" s="101"/>
      <c r="AB726" s="101"/>
      <c r="AC726" s="101"/>
      <c r="AD726" s="101"/>
      <c r="AE726" s="101"/>
      <c r="AF726" s="101"/>
      <c r="AG726" s="101"/>
    </row>
    <row r="727" spans="21:33" s="1" customFormat="1" x14ac:dyDescent="0.25">
      <c r="U727" s="101"/>
      <c r="V727" s="101"/>
      <c r="W727" s="101"/>
      <c r="X727" s="101"/>
      <c r="Y727" s="101"/>
      <c r="Z727" s="101"/>
      <c r="AA727" s="101"/>
      <c r="AB727" s="101"/>
      <c r="AC727" s="101"/>
      <c r="AD727" s="101"/>
      <c r="AE727" s="101"/>
      <c r="AF727" s="101"/>
      <c r="AG727" s="101"/>
    </row>
    <row r="728" spans="21:33" s="1" customFormat="1" x14ac:dyDescent="0.25">
      <c r="U728" s="101"/>
      <c r="V728" s="101"/>
      <c r="W728" s="101"/>
      <c r="X728" s="101"/>
      <c r="Y728" s="101"/>
      <c r="Z728" s="101"/>
      <c r="AA728" s="101"/>
      <c r="AB728" s="101"/>
      <c r="AC728" s="101"/>
      <c r="AD728" s="101"/>
      <c r="AE728" s="101"/>
      <c r="AF728" s="101"/>
      <c r="AG728" s="101"/>
    </row>
    <row r="729" spans="21:33" s="1" customFormat="1" x14ac:dyDescent="0.25">
      <c r="U729" s="101"/>
      <c r="V729" s="101"/>
      <c r="W729" s="101"/>
      <c r="X729" s="101"/>
      <c r="Y729" s="101"/>
      <c r="Z729" s="101"/>
      <c r="AA729" s="101"/>
      <c r="AB729" s="101"/>
      <c r="AC729" s="101"/>
      <c r="AD729" s="101"/>
      <c r="AE729" s="101"/>
      <c r="AF729" s="101"/>
      <c r="AG729" s="101"/>
    </row>
    <row r="730" spans="21:33" s="1" customFormat="1" x14ac:dyDescent="0.25">
      <c r="U730" s="101"/>
      <c r="V730" s="101"/>
      <c r="W730" s="101"/>
      <c r="X730" s="101"/>
      <c r="Y730" s="101"/>
      <c r="Z730" s="101"/>
      <c r="AA730" s="101"/>
      <c r="AB730" s="101"/>
      <c r="AC730" s="101"/>
      <c r="AD730" s="101"/>
      <c r="AE730" s="101"/>
      <c r="AF730" s="101"/>
      <c r="AG730" s="101"/>
    </row>
    <row r="731" spans="21:33" s="1" customFormat="1" x14ac:dyDescent="0.25">
      <c r="U731" s="101"/>
      <c r="V731" s="101"/>
      <c r="W731" s="101"/>
      <c r="X731" s="101"/>
      <c r="Y731" s="101"/>
      <c r="Z731" s="101"/>
      <c r="AA731" s="101"/>
      <c r="AB731" s="101"/>
      <c r="AC731" s="101"/>
      <c r="AD731" s="101"/>
      <c r="AE731" s="101"/>
      <c r="AF731" s="101"/>
      <c r="AG731" s="101"/>
    </row>
    <row r="732" spans="21:33" s="1" customFormat="1" x14ac:dyDescent="0.25">
      <c r="U732" s="101"/>
      <c r="V732" s="101"/>
      <c r="W732" s="101"/>
      <c r="X732" s="101"/>
      <c r="Y732" s="101"/>
      <c r="Z732" s="101"/>
      <c r="AA732" s="101"/>
      <c r="AB732" s="101"/>
      <c r="AC732" s="101"/>
      <c r="AD732" s="101"/>
      <c r="AE732" s="101"/>
      <c r="AF732" s="101"/>
      <c r="AG732" s="101"/>
    </row>
    <row r="733" spans="21:33" s="1" customFormat="1" x14ac:dyDescent="0.25">
      <c r="U733" s="101"/>
      <c r="V733" s="101"/>
      <c r="W733" s="101"/>
      <c r="X733" s="101"/>
      <c r="Y733" s="101"/>
      <c r="Z733" s="101"/>
      <c r="AA733" s="101"/>
      <c r="AB733" s="101"/>
      <c r="AC733" s="101"/>
      <c r="AD733" s="101"/>
      <c r="AE733" s="101"/>
      <c r="AF733" s="101"/>
      <c r="AG733" s="101"/>
    </row>
    <row r="734" spans="21:33" s="1" customFormat="1" x14ac:dyDescent="0.25">
      <c r="U734" s="101"/>
      <c r="V734" s="101"/>
      <c r="W734" s="101"/>
      <c r="X734" s="101"/>
      <c r="Y734" s="101"/>
      <c r="Z734" s="101"/>
      <c r="AA734" s="101"/>
      <c r="AB734" s="101"/>
      <c r="AC734" s="101"/>
      <c r="AD734" s="101"/>
      <c r="AE734" s="101"/>
      <c r="AF734" s="101"/>
      <c r="AG734" s="101"/>
    </row>
    <row r="735" spans="21:33" s="1" customFormat="1" x14ac:dyDescent="0.25">
      <c r="U735" s="101"/>
      <c r="V735" s="101"/>
      <c r="W735" s="101"/>
      <c r="X735" s="101"/>
      <c r="Y735" s="101"/>
      <c r="Z735" s="101"/>
      <c r="AA735" s="101"/>
      <c r="AB735" s="101"/>
      <c r="AC735" s="101"/>
      <c r="AD735" s="101"/>
      <c r="AE735" s="101"/>
      <c r="AF735" s="101"/>
      <c r="AG735" s="101"/>
    </row>
    <row r="736" spans="21:33" s="1" customFormat="1" x14ac:dyDescent="0.25">
      <c r="U736" s="101"/>
      <c r="V736" s="101"/>
      <c r="W736" s="101"/>
      <c r="X736" s="101"/>
      <c r="Y736" s="101"/>
      <c r="Z736" s="101"/>
      <c r="AA736" s="101"/>
      <c r="AB736" s="101"/>
      <c r="AC736" s="101"/>
      <c r="AD736" s="101"/>
      <c r="AE736" s="101"/>
      <c r="AF736" s="101"/>
      <c r="AG736" s="101"/>
    </row>
    <row r="737" spans="21:33" s="1" customFormat="1" x14ac:dyDescent="0.25">
      <c r="U737" s="101"/>
      <c r="V737" s="101"/>
      <c r="W737" s="101"/>
      <c r="X737" s="101"/>
      <c r="Y737" s="101"/>
      <c r="Z737" s="101"/>
      <c r="AA737" s="101"/>
      <c r="AB737" s="101"/>
      <c r="AC737" s="101"/>
      <c r="AD737" s="101"/>
      <c r="AE737" s="101"/>
      <c r="AF737" s="101"/>
      <c r="AG737" s="101"/>
    </row>
    <row r="738" spans="21:33" s="1" customFormat="1" x14ac:dyDescent="0.25">
      <c r="U738" s="101"/>
      <c r="V738" s="101"/>
      <c r="W738" s="101"/>
      <c r="X738" s="101"/>
      <c r="Y738" s="101"/>
      <c r="Z738" s="101"/>
      <c r="AA738" s="101"/>
      <c r="AB738" s="101"/>
      <c r="AC738" s="101"/>
      <c r="AD738" s="101"/>
      <c r="AE738" s="101"/>
      <c r="AF738" s="101"/>
      <c r="AG738" s="101"/>
    </row>
    <row r="739" spans="21:33" s="1" customFormat="1" x14ac:dyDescent="0.25">
      <c r="U739" s="101"/>
      <c r="V739" s="101"/>
      <c r="W739" s="101"/>
      <c r="X739" s="101"/>
      <c r="Y739" s="101"/>
      <c r="Z739" s="101"/>
      <c r="AA739" s="101"/>
      <c r="AB739" s="101"/>
      <c r="AC739" s="101"/>
      <c r="AD739" s="101"/>
      <c r="AE739" s="101"/>
      <c r="AF739" s="101"/>
      <c r="AG739" s="101"/>
    </row>
    <row r="740" spans="21:33" s="1" customFormat="1" x14ac:dyDescent="0.25">
      <c r="U740" s="101"/>
      <c r="V740" s="101"/>
      <c r="W740" s="101"/>
      <c r="X740" s="101"/>
      <c r="Y740" s="101"/>
      <c r="Z740" s="101"/>
      <c r="AA740" s="101"/>
      <c r="AB740" s="101"/>
      <c r="AC740" s="101"/>
      <c r="AD740" s="101"/>
      <c r="AE740" s="101"/>
      <c r="AF740" s="101"/>
      <c r="AG740" s="101"/>
    </row>
    <row r="741" spans="21:33" s="1" customFormat="1" x14ac:dyDescent="0.25">
      <c r="U741" s="101"/>
      <c r="V741" s="101"/>
      <c r="W741" s="101"/>
      <c r="X741" s="101"/>
      <c r="Y741" s="101"/>
      <c r="Z741" s="101"/>
      <c r="AA741" s="101"/>
      <c r="AB741" s="101"/>
      <c r="AC741" s="101"/>
      <c r="AD741" s="101"/>
      <c r="AE741" s="101"/>
      <c r="AF741" s="101"/>
      <c r="AG741" s="101"/>
    </row>
    <row r="742" spans="21:33" s="1" customFormat="1" x14ac:dyDescent="0.25">
      <c r="U742" s="101"/>
      <c r="V742" s="101"/>
      <c r="W742" s="101"/>
      <c r="X742" s="101"/>
      <c r="Y742" s="101"/>
      <c r="Z742" s="101"/>
      <c r="AA742" s="101"/>
      <c r="AB742" s="101"/>
      <c r="AC742" s="101"/>
      <c r="AD742" s="101"/>
      <c r="AE742" s="101"/>
      <c r="AF742" s="101"/>
      <c r="AG742" s="101"/>
    </row>
    <row r="743" spans="21:33" s="1" customFormat="1" x14ac:dyDescent="0.25">
      <c r="U743" s="101"/>
      <c r="V743" s="101"/>
      <c r="W743" s="101"/>
      <c r="X743" s="101"/>
      <c r="Y743" s="101"/>
      <c r="Z743" s="101"/>
      <c r="AA743" s="101"/>
      <c r="AB743" s="101"/>
      <c r="AC743" s="101"/>
      <c r="AD743" s="101"/>
      <c r="AE743" s="101"/>
      <c r="AF743" s="101"/>
      <c r="AG743" s="101"/>
    </row>
    <row r="744" spans="21:33" s="1" customFormat="1" x14ac:dyDescent="0.25">
      <c r="U744" s="101"/>
      <c r="V744" s="101"/>
      <c r="W744" s="101"/>
      <c r="X744" s="101"/>
      <c r="Y744" s="101"/>
      <c r="Z744" s="101"/>
      <c r="AA744" s="101"/>
      <c r="AB744" s="101"/>
      <c r="AC744" s="101"/>
      <c r="AD744" s="101"/>
      <c r="AE744" s="101"/>
      <c r="AF744" s="101"/>
      <c r="AG744" s="101"/>
    </row>
    <row r="745" spans="21:33" s="1" customFormat="1" x14ac:dyDescent="0.25">
      <c r="U745" s="101"/>
      <c r="V745" s="101"/>
      <c r="W745" s="101"/>
      <c r="X745" s="101"/>
      <c r="Y745" s="101"/>
      <c r="Z745" s="101"/>
      <c r="AA745" s="101"/>
      <c r="AB745" s="101"/>
      <c r="AC745" s="101"/>
      <c r="AD745" s="101"/>
      <c r="AE745" s="101"/>
      <c r="AF745" s="101"/>
      <c r="AG745" s="101"/>
    </row>
    <row r="746" spans="21:33" s="1" customFormat="1" x14ac:dyDescent="0.25">
      <c r="U746" s="101"/>
      <c r="V746" s="101"/>
      <c r="W746" s="101"/>
      <c r="X746" s="101"/>
      <c r="Y746" s="101"/>
      <c r="Z746" s="101"/>
      <c r="AA746" s="101"/>
      <c r="AB746" s="101"/>
      <c r="AC746" s="101"/>
      <c r="AD746" s="101"/>
      <c r="AE746" s="101"/>
      <c r="AF746" s="101"/>
      <c r="AG746" s="101"/>
    </row>
    <row r="747" spans="21:33" s="1" customFormat="1" x14ac:dyDescent="0.25">
      <c r="U747" s="101"/>
      <c r="V747" s="101"/>
      <c r="W747" s="101"/>
      <c r="X747" s="101"/>
      <c r="Y747" s="101"/>
      <c r="Z747" s="101"/>
      <c r="AA747" s="101"/>
      <c r="AB747" s="101"/>
      <c r="AC747" s="101"/>
      <c r="AD747" s="101"/>
      <c r="AE747" s="101"/>
      <c r="AF747" s="101"/>
      <c r="AG747" s="101"/>
    </row>
    <row r="748" spans="21:33" s="1" customFormat="1" x14ac:dyDescent="0.25">
      <c r="U748" s="101"/>
      <c r="V748" s="101"/>
      <c r="W748" s="101"/>
      <c r="X748" s="101"/>
      <c r="Y748" s="101"/>
      <c r="Z748" s="101"/>
      <c r="AA748" s="101"/>
      <c r="AB748" s="101"/>
      <c r="AC748" s="101"/>
      <c r="AD748" s="101"/>
      <c r="AE748" s="101"/>
      <c r="AF748" s="101"/>
      <c r="AG748" s="101"/>
    </row>
    <row r="749" spans="21:33" s="1" customFormat="1" x14ac:dyDescent="0.25">
      <c r="U749" s="101"/>
      <c r="V749" s="101"/>
      <c r="W749" s="101"/>
      <c r="X749" s="101"/>
      <c r="Y749" s="101"/>
      <c r="Z749" s="101"/>
      <c r="AA749" s="101"/>
      <c r="AB749" s="101"/>
      <c r="AC749" s="101"/>
      <c r="AD749" s="101"/>
      <c r="AE749" s="101"/>
      <c r="AF749" s="101"/>
      <c r="AG749" s="101"/>
    </row>
    <row r="750" spans="21:33" s="1" customFormat="1" x14ac:dyDescent="0.25">
      <c r="U750" s="101"/>
      <c r="V750" s="101"/>
      <c r="W750" s="101"/>
      <c r="X750" s="101"/>
      <c r="Y750" s="101"/>
      <c r="Z750" s="101"/>
      <c r="AA750" s="101"/>
      <c r="AB750" s="101"/>
      <c r="AC750" s="101"/>
      <c r="AD750" s="101"/>
      <c r="AE750" s="101"/>
      <c r="AF750" s="101"/>
      <c r="AG750" s="101"/>
    </row>
    <row r="751" spans="21:33" s="1" customFormat="1" x14ac:dyDescent="0.25">
      <c r="U751" s="101"/>
      <c r="V751" s="101"/>
      <c r="W751" s="101"/>
      <c r="X751" s="101"/>
      <c r="Y751" s="101"/>
      <c r="Z751" s="101"/>
      <c r="AA751" s="101"/>
      <c r="AB751" s="101"/>
      <c r="AC751" s="101"/>
      <c r="AD751" s="101"/>
      <c r="AE751" s="101"/>
      <c r="AF751" s="101"/>
      <c r="AG751" s="101"/>
    </row>
    <row r="752" spans="21:33" s="1" customFormat="1" x14ac:dyDescent="0.25">
      <c r="U752" s="101"/>
      <c r="V752" s="101"/>
      <c r="W752" s="101"/>
      <c r="X752" s="101"/>
      <c r="Y752" s="101"/>
      <c r="Z752" s="101"/>
      <c r="AA752" s="101"/>
      <c r="AB752" s="101"/>
      <c r="AC752" s="101"/>
      <c r="AD752" s="101"/>
      <c r="AE752" s="101"/>
      <c r="AF752" s="101"/>
      <c r="AG752" s="101"/>
    </row>
    <row r="753" spans="21:33" s="1" customFormat="1" x14ac:dyDescent="0.25">
      <c r="U753" s="101"/>
      <c r="V753" s="101"/>
      <c r="W753" s="101"/>
      <c r="X753" s="101"/>
      <c r="Y753" s="101"/>
      <c r="Z753" s="101"/>
      <c r="AA753" s="101"/>
      <c r="AB753" s="101"/>
      <c r="AC753" s="101"/>
      <c r="AD753" s="101"/>
      <c r="AE753" s="101"/>
      <c r="AF753" s="101"/>
      <c r="AG753" s="101"/>
    </row>
    <row r="754" spans="21:33" s="1" customFormat="1" x14ac:dyDescent="0.25">
      <c r="U754" s="101"/>
      <c r="V754" s="101"/>
      <c r="W754" s="101"/>
      <c r="X754" s="101"/>
      <c r="Y754" s="101"/>
      <c r="Z754" s="101"/>
      <c r="AA754" s="101"/>
      <c r="AB754" s="101"/>
      <c r="AC754" s="101"/>
      <c r="AD754" s="101"/>
      <c r="AE754" s="101"/>
      <c r="AF754" s="101"/>
      <c r="AG754" s="101"/>
    </row>
    <row r="755" spans="21:33" s="1" customFormat="1" x14ac:dyDescent="0.25">
      <c r="U755" s="101"/>
      <c r="V755" s="101"/>
      <c r="W755" s="101"/>
      <c r="X755" s="101"/>
      <c r="Y755" s="101"/>
      <c r="Z755" s="101"/>
      <c r="AA755" s="101"/>
      <c r="AB755" s="101"/>
      <c r="AC755" s="101"/>
      <c r="AD755" s="101"/>
      <c r="AE755" s="101"/>
      <c r="AF755" s="101"/>
      <c r="AG755" s="101"/>
    </row>
    <row r="756" spans="21:33" s="1" customFormat="1" x14ac:dyDescent="0.25">
      <c r="U756" s="101"/>
      <c r="V756" s="101"/>
      <c r="W756" s="101"/>
      <c r="X756" s="101"/>
      <c r="Y756" s="101"/>
      <c r="Z756" s="101"/>
      <c r="AA756" s="101"/>
      <c r="AB756" s="101"/>
      <c r="AC756" s="101"/>
      <c r="AD756" s="101"/>
      <c r="AE756" s="101"/>
      <c r="AF756" s="101"/>
      <c r="AG756" s="101"/>
    </row>
    <row r="757" spans="21:33" s="1" customFormat="1" x14ac:dyDescent="0.25">
      <c r="U757" s="101"/>
      <c r="V757" s="101"/>
      <c r="W757" s="101"/>
      <c r="X757" s="101"/>
      <c r="Y757" s="101"/>
      <c r="Z757" s="101"/>
      <c r="AA757" s="101"/>
      <c r="AB757" s="101"/>
      <c r="AC757" s="101"/>
      <c r="AD757" s="101"/>
      <c r="AE757" s="101"/>
      <c r="AF757" s="101"/>
      <c r="AG757" s="101"/>
    </row>
    <row r="758" spans="21:33" s="1" customFormat="1" x14ac:dyDescent="0.25">
      <c r="U758" s="101"/>
      <c r="V758" s="101"/>
      <c r="W758" s="101"/>
      <c r="X758" s="101"/>
      <c r="Y758" s="101"/>
      <c r="Z758" s="101"/>
      <c r="AA758" s="101"/>
      <c r="AB758" s="101"/>
      <c r="AC758" s="101"/>
      <c r="AD758" s="101"/>
      <c r="AE758" s="101"/>
      <c r="AF758" s="101"/>
      <c r="AG758" s="101"/>
    </row>
    <row r="759" spans="21:33" s="1" customFormat="1" x14ac:dyDescent="0.25">
      <c r="U759" s="101"/>
      <c r="V759" s="101"/>
      <c r="W759" s="101"/>
      <c r="X759" s="101"/>
      <c r="Y759" s="101"/>
      <c r="Z759" s="101"/>
      <c r="AA759" s="101"/>
      <c r="AB759" s="101"/>
      <c r="AC759" s="101"/>
      <c r="AD759" s="101"/>
      <c r="AE759" s="101"/>
      <c r="AF759" s="101"/>
      <c r="AG759" s="101"/>
    </row>
    <row r="760" spans="21:33" s="1" customFormat="1" x14ac:dyDescent="0.25">
      <c r="U760" s="101"/>
      <c r="V760" s="101"/>
      <c r="W760" s="101"/>
      <c r="X760" s="101"/>
      <c r="Y760" s="101"/>
      <c r="Z760" s="101"/>
      <c r="AA760" s="101"/>
      <c r="AB760" s="101"/>
      <c r="AC760" s="101"/>
      <c r="AD760" s="101"/>
      <c r="AE760" s="101"/>
      <c r="AF760" s="101"/>
      <c r="AG760" s="101"/>
    </row>
    <row r="761" spans="21:33" s="1" customFormat="1" x14ac:dyDescent="0.25">
      <c r="U761" s="101"/>
      <c r="V761" s="101"/>
      <c r="W761" s="101"/>
      <c r="X761" s="101"/>
      <c r="Y761" s="101"/>
      <c r="Z761" s="101"/>
      <c r="AA761" s="101"/>
      <c r="AB761" s="101"/>
      <c r="AC761" s="101"/>
      <c r="AD761" s="101"/>
      <c r="AE761" s="101"/>
      <c r="AF761" s="101"/>
      <c r="AG761" s="101"/>
    </row>
    <row r="762" spans="21:33" s="1" customFormat="1" x14ac:dyDescent="0.25">
      <c r="U762" s="101"/>
      <c r="V762" s="101"/>
      <c r="W762" s="101"/>
      <c r="X762" s="101"/>
      <c r="Y762" s="101"/>
      <c r="Z762" s="101"/>
      <c r="AA762" s="101"/>
      <c r="AB762" s="101"/>
      <c r="AC762" s="101"/>
      <c r="AD762" s="101"/>
      <c r="AE762" s="101"/>
      <c r="AF762" s="101"/>
      <c r="AG762" s="101"/>
    </row>
    <row r="763" spans="21:33" s="1" customFormat="1" x14ac:dyDescent="0.25">
      <c r="U763" s="101"/>
      <c r="V763" s="101"/>
      <c r="W763" s="101"/>
      <c r="X763" s="101"/>
      <c r="Y763" s="101"/>
      <c r="Z763" s="101"/>
      <c r="AA763" s="101"/>
      <c r="AB763" s="101"/>
      <c r="AC763" s="101"/>
      <c r="AD763" s="101"/>
      <c r="AE763" s="101"/>
      <c r="AF763" s="101"/>
      <c r="AG763" s="101"/>
    </row>
    <row r="764" spans="21:33" s="1" customFormat="1" x14ac:dyDescent="0.25">
      <c r="U764" s="101"/>
      <c r="V764" s="101"/>
      <c r="W764" s="101"/>
      <c r="X764" s="101"/>
      <c r="Y764" s="101"/>
      <c r="Z764" s="101"/>
      <c r="AA764" s="101"/>
      <c r="AB764" s="101"/>
      <c r="AC764" s="101"/>
      <c r="AD764" s="101"/>
      <c r="AE764" s="101"/>
      <c r="AF764" s="101"/>
      <c r="AG764" s="101"/>
    </row>
    <row r="765" spans="21:33" s="1" customFormat="1" x14ac:dyDescent="0.25">
      <c r="U765" s="101"/>
      <c r="V765" s="101"/>
      <c r="W765" s="101"/>
      <c r="X765" s="101"/>
      <c r="Y765" s="101"/>
      <c r="Z765" s="101"/>
      <c r="AA765" s="101"/>
      <c r="AB765" s="101"/>
      <c r="AC765" s="101"/>
      <c r="AD765" s="101"/>
      <c r="AE765" s="101"/>
      <c r="AF765" s="101"/>
      <c r="AG765" s="101"/>
    </row>
    <row r="766" spans="21:33" s="1" customFormat="1" x14ac:dyDescent="0.25">
      <c r="U766" s="101"/>
      <c r="V766" s="101"/>
      <c r="W766" s="101"/>
      <c r="X766" s="101"/>
      <c r="Y766" s="101"/>
      <c r="Z766" s="101"/>
      <c r="AA766" s="101"/>
      <c r="AB766" s="101"/>
      <c r="AC766" s="101"/>
      <c r="AD766" s="101"/>
      <c r="AE766" s="101"/>
      <c r="AF766" s="101"/>
      <c r="AG766" s="101"/>
    </row>
    <row r="767" spans="21:33" s="1" customFormat="1" x14ac:dyDescent="0.25">
      <c r="U767" s="101"/>
      <c r="V767" s="101"/>
      <c r="W767" s="101"/>
      <c r="X767" s="101"/>
      <c r="Y767" s="101"/>
      <c r="Z767" s="101"/>
      <c r="AA767" s="101"/>
      <c r="AB767" s="101"/>
      <c r="AC767" s="101"/>
      <c r="AD767" s="101"/>
      <c r="AE767" s="101"/>
      <c r="AF767" s="101"/>
      <c r="AG767" s="101"/>
    </row>
    <row r="768" spans="21:33" s="1" customFormat="1" x14ac:dyDescent="0.25">
      <c r="U768" s="101"/>
      <c r="V768" s="101"/>
      <c r="W768" s="101"/>
      <c r="X768" s="101"/>
      <c r="Y768" s="101"/>
      <c r="Z768" s="101"/>
      <c r="AA768" s="101"/>
      <c r="AB768" s="101"/>
      <c r="AC768" s="101"/>
      <c r="AD768" s="101"/>
      <c r="AE768" s="101"/>
      <c r="AF768" s="101"/>
      <c r="AG768" s="101"/>
    </row>
    <row r="769" spans="21:33" s="1" customFormat="1" x14ac:dyDescent="0.25">
      <c r="U769" s="101"/>
      <c r="V769" s="101"/>
      <c r="W769" s="101"/>
      <c r="X769" s="101"/>
      <c r="Y769" s="101"/>
      <c r="Z769" s="101"/>
      <c r="AA769" s="101"/>
      <c r="AB769" s="101"/>
      <c r="AC769" s="101"/>
      <c r="AD769" s="101"/>
      <c r="AE769" s="101"/>
      <c r="AF769" s="101"/>
      <c r="AG769" s="101"/>
    </row>
    <row r="770" spans="21:33" s="1" customFormat="1" x14ac:dyDescent="0.25">
      <c r="U770" s="101"/>
      <c r="V770" s="101"/>
      <c r="W770" s="101"/>
      <c r="X770" s="101"/>
      <c r="Y770" s="101"/>
      <c r="Z770" s="101"/>
      <c r="AA770" s="101"/>
      <c r="AB770" s="101"/>
      <c r="AC770" s="101"/>
      <c r="AD770" s="101"/>
      <c r="AE770" s="101"/>
      <c r="AF770" s="101"/>
      <c r="AG770" s="101"/>
    </row>
    <row r="771" spans="21:33" s="1" customFormat="1" x14ac:dyDescent="0.25">
      <c r="U771" s="101"/>
      <c r="V771" s="101"/>
      <c r="W771" s="101"/>
      <c r="X771" s="101"/>
      <c r="Y771" s="101"/>
      <c r="Z771" s="101"/>
      <c r="AA771" s="101"/>
      <c r="AB771" s="101"/>
      <c r="AC771" s="101"/>
      <c r="AD771" s="101"/>
      <c r="AE771" s="101"/>
      <c r="AF771" s="101"/>
      <c r="AG771" s="101"/>
    </row>
    <row r="772" spans="21:33" s="1" customFormat="1" x14ac:dyDescent="0.25">
      <c r="U772" s="101"/>
      <c r="V772" s="101"/>
      <c r="W772" s="101"/>
      <c r="X772" s="101"/>
      <c r="Y772" s="101"/>
      <c r="Z772" s="101"/>
      <c r="AA772" s="101"/>
      <c r="AB772" s="101"/>
      <c r="AC772" s="101"/>
      <c r="AD772" s="101"/>
      <c r="AE772" s="101"/>
      <c r="AF772" s="101"/>
      <c r="AG772" s="101"/>
    </row>
    <row r="773" spans="21:33" s="1" customFormat="1" x14ac:dyDescent="0.25">
      <c r="U773" s="101"/>
      <c r="V773" s="101"/>
      <c r="W773" s="101"/>
      <c r="X773" s="101"/>
      <c r="Y773" s="101"/>
      <c r="Z773" s="101"/>
      <c r="AA773" s="101"/>
      <c r="AB773" s="101"/>
      <c r="AC773" s="101"/>
      <c r="AD773" s="101"/>
      <c r="AE773" s="101"/>
      <c r="AF773" s="101"/>
      <c r="AG773" s="101"/>
    </row>
    <row r="774" spans="21:33" s="1" customFormat="1" x14ac:dyDescent="0.25">
      <c r="U774" s="101"/>
      <c r="V774" s="101"/>
      <c r="W774" s="101"/>
      <c r="X774" s="101"/>
      <c r="Y774" s="101"/>
      <c r="Z774" s="101"/>
      <c r="AA774" s="101"/>
      <c r="AB774" s="101"/>
      <c r="AC774" s="101"/>
      <c r="AD774" s="101"/>
      <c r="AE774" s="101"/>
      <c r="AF774" s="101"/>
      <c r="AG774" s="101"/>
    </row>
    <row r="775" spans="21:33" s="1" customFormat="1" x14ac:dyDescent="0.25">
      <c r="U775" s="101"/>
      <c r="V775" s="101"/>
      <c r="W775" s="101"/>
      <c r="X775" s="101"/>
      <c r="Y775" s="101"/>
      <c r="Z775" s="101"/>
      <c r="AA775" s="101"/>
      <c r="AB775" s="101"/>
      <c r="AC775" s="101"/>
      <c r="AD775" s="101"/>
      <c r="AE775" s="101"/>
      <c r="AF775" s="101"/>
      <c r="AG775" s="101"/>
    </row>
    <row r="776" spans="21:33" s="1" customFormat="1" x14ac:dyDescent="0.25">
      <c r="U776" s="101"/>
      <c r="V776" s="101"/>
      <c r="W776" s="101"/>
      <c r="X776" s="101"/>
      <c r="Y776" s="101"/>
      <c r="Z776" s="101"/>
      <c r="AA776" s="101"/>
      <c r="AB776" s="101"/>
      <c r="AC776" s="101"/>
      <c r="AD776" s="101"/>
      <c r="AE776" s="101"/>
      <c r="AF776" s="101"/>
      <c r="AG776" s="101"/>
    </row>
    <row r="777" spans="21:33" s="1" customFormat="1" x14ac:dyDescent="0.25">
      <c r="U777" s="101"/>
      <c r="V777" s="101"/>
      <c r="W777" s="101"/>
      <c r="X777" s="101"/>
      <c r="Y777" s="101"/>
      <c r="Z777" s="101"/>
      <c r="AA777" s="101"/>
      <c r="AB777" s="101"/>
      <c r="AC777" s="101"/>
      <c r="AD777" s="101"/>
      <c r="AE777" s="101"/>
      <c r="AF777" s="101"/>
      <c r="AG777" s="101"/>
    </row>
    <row r="778" spans="21:33" s="1" customFormat="1" x14ac:dyDescent="0.25">
      <c r="U778" s="101"/>
      <c r="V778" s="101"/>
      <c r="W778" s="101"/>
      <c r="X778" s="101"/>
      <c r="Y778" s="101"/>
      <c r="Z778" s="101"/>
      <c r="AA778" s="101"/>
      <c r="AB778" s="101"/>
      <c r="AC778" s="101"/>
      <c r="AD778" s="101"/>
      <c r="AE778" s="101"/>
      <c r="AF778" s="101"/>
      <c r="AG778" s="101"/>
    </row>
    <row r="779" spans="21:33" s="1" customFormat="1" x14ac:dyDescent="0.25">
      <c r="U779" s="101"/>
      <c r="V779" s="101"/>
      <c r="W779" s="101"/>
      <c r="X779" s="101"/>
      <c r="Y779" s="101"/>
      <c r="Z779" s="101"/>
      <c r="AA779" s="101"/>
      <c r="AB779" s="101"/>
      <c r="AC779" s="101"/>
      <c r="AD779" s="101"/>
      <c r="AE779" s="101"/>
      <c r="AF779" s="101"/>
      <c r="AG779" s="101"/>
    </row>
    <row r="780" spans="21:33" s="1" customFormat="1" x14ac:dyDescent="0.25">
      <c r="U780" s="101"/>
      <c r="V780" s="101"/>
      <c r="W780" s="101"/>
      <c r="X780" s="101"/>
      <c r="Y780" s="101"/>
      <c r="Z780" s="101"/>
      <c r="AA780" s="101"/>
      <c r="AB780" s="101"/>
      <c r="AC780" s="101"/>
      <c r="AD780" s="101"/>
      <c r="AE780" s="101"/>
      <c r="AF780" s="101"/>
      <c r="AG780" s="101"/>
    </row>
    <row r="781" spans="21:33" s="1" customFormat="1" x14ac:dyDescent="0.25">
      <c r="U781" s="101"/>
      <c r="V781" s="101"/>
      <c r="W781" s="101"/>
      <c r="X781" s="101"/>
      <c r="Y781" s="101"/>
      <c r="Z781" s="101"/>
      <c r="AA781" s="101"/>
      <c r="AB781" s="101"/>
      <c r="AC781" s="101"/>
      <c r="AD781" s="101"/>
      <c r="AE781" s="101"/>
      <c r="AF781" s="101"/>
      <c r="AG781" s="101"/>
    </row>
    <row r="782" spans="21:33" s="1" customFormat="1" x14ac:dyDescent="0.25">
      <c r="U782" s="101"/>
      <c r="V782" s="101"/>
      <c r="W782" s="101"/>
      <c r="X782" s="101"/>
      <c r="Y782" s="101"/>
      <c r="Z782" s="101"/>
      <c r="AA782" s="101"/>
      <c r="AB782" s="101"/>
      <c r="AC782" s="101"/>
      <c r="AD782" s="101"/>
      <c r="AE782" s="101"/>
      <c r="AF782" s="101"/>
      <c r="AG782" s="101"/>
    </row>
    <row r="783" spans="21:33" s="1" customFormat="1" x14ac:dyDescent="0.25">
      <c r="U783" s="101"/>
      <c r="V783" s="101"/>
      <c r="W783" s="101"/>
      <c r="X783" s="101"/>
      <c r="Y783" s="101"/>
      <c r="Z783" s="101"/>
      <c r="AA783" s="101"/>
      <c r="AB783" s="101"/>
      <c r="AC783" s="101"/>
      <c r="AD783" s="101"/>
      <c r="AE783" s="101"/>
      <c r="AF783" s="101"/>
      <c r="AG783" s="101"/>
    </row>
    <row r="784" spans="21:33" s="1" customFormat="1" x14ac:dyDescent="0.25">
      <c r="U784" s="101"/>
      <c r="V784" s="101"/>
      <c r="W784" s="101"/>
      <c r="X784" s="101"/>
      <c r="Y784" s="101"/>
      <c r="Z784" s="101"/>
      <c r="AA784" s="101"/>
      <c r="AB784" s="101"/>
      <c r="AC784" s="101"/>
      <c r="AD784" s="101"/>
      <c r="AE784" s="101"/>
      <c r="AF784" s="101"/>
      <c r="AG784" s="101"/>
    </row>
    <row r="785" spans="21:33" s="1" customFormat="1" x14ac:dyDescent="0.25">
      <c r="U785" s="101"/>
      <c r="V785" s="101"/>
      <c r="W785" s="101"/>
      <c r="X785" s="101"/>
      <c r="Y785" s="101"/>
      <c r="Z785" s="101"/>
      <c r="AA785" s="101"/>
      <c r="AB785" s="101"/>
      <c r="AC785" s="101"/>
      <c r="AD785" s="101"/>
      <c r="AE785" s="101"/>
      <c r="AF785" s="101"/>
      <c r="AG785" s="101"/>
    </row>
    <row r="786" spans="21:33" s="1" customFormat="1" x14ac:dyDescent="0.25">
      <c r="U786" s="101"/>
      <c r="V786" s="101"/>
      <c r="W786" s="101"/>
      <c r="X786" s="101"/>
      <c r="Y786" s="101"/>
      <c r="Z786" s="101"/>
      <c r="AA786" s="101"/>
      <c r="AB786" s="101"/>
      <c r="AC786" s="101"/>
      <c r="AD786" s="101"/>
      <c r="AE786" s="101"/>
      <c r="AF786" s="101"/>
      <c r="AG786" s="101"/>
    </row>
    <row r="787" spans="21:33" s="1" customFormat="1" x14ac:dyDescent="0.25">
      <c r="U787" s="101"/>
      <c r="V787" s="101"/>
      <c r="W787" s="101"/>
      <c r="X787" s="101"/>
      <c r="Y787" s="101"/>
      <c r="Z787" s="101"/>
      <c r="AA787" s="101"/>
      <c r="AB787" s="101"/>
      <c r="AC787" s="101"/>
      <c r="AD787" s="101"/>
      <c r="AE787" s="101"/>
      <c r="AF787" s="101"/>
      <c r="AG787" s="101"/>
    </row>
    <row r="788" spans="21:33" s="1" customFormat="1" x14ac:dyDescent="0.25">
      <c r="U788" s="101"/>
      <c r="V788" s="101"/>
      <c r="W788" s="101"/>
      <c r="X788" s="101"/>
      <c r="Y788" s="101"/>
      <c r="Z788" s="101"/>
      <c r="AA788" s="101"/>
      <c r="AB788" s="101"/>
      <c r="AC788" s="101"/>
      <c r="AD788" s="101"/>
      <c r="AE788" s="101"/>
      <c r="AF788" s="101"/>
      <c r="AG788" s="101"/>
    </row>
    <row r="789" spans="21:33" s="1" customFormat="1" x14ac:dyDescent="0.25">
      <c r="U789" s="101"/>
      <c r="V789" s="101"/>
      <c r="W789" s="101"/>
      <c r="X789" s="101"/>
      <c r="Y789" s="101"/>
      <c r="Z789" s="101"/>
      <c r="AA789" s="101"/>
      <c r="AB789" s="101"/>
      <c r="AC789" s="101"/>
      <c r="AD789" s="101"/>
      <c r="AE789" s="101"/>
      <c r="AF789" s="101"/>
      <c r="AG789" s="101"/>
    </row>
    <row r="790" spans="21:33" s="1" customFormat="1" x14ac:dyDescent="0.25">
      <c r="U790" s="101"/>
      <c r="V790" s="101"/>
      <c r="W790" s="101"/>
      <c r="X790" s="101"/>
      <c r="Y790" s="101"/>
      <c r="Z790" s="101"/>
      <c r="AA790" s="101"/>
      <c r="AB790" s="101"/>
      <c r="AC790" s="101"/>
      <c r="AD790" s="101"/>
      <c r="AE790" s="101"/>
      <c r="AF790" s="101"/>
      <c r="AG790" s="101"/>
    </row>
    <row r="791" spans="21:33" s="1" customFormat="1" x14ac:dyDescent="0.25">
      <c r="U791" s="101"/>
      <c r="V791" s="101"/>
      <c r="W791" s="101"/>
      <c r="X791" s="101"/>
      <c r="Y791" s="101"/>
      <c r="Z791" s="101"/>
      <c r="AA791" s="101"/>
      <c r="AB791" s="101"/>
      <c r="AC791" s="101"/>
      <c r="AD791" s="101"/>
      <c r="AE791" s="101"/>
      <c r="AF791" s="101"/>
      <c r="AG791" s="101"/>
    </row>
    <row r="792" spans="21:33" s="1" customFormat="1" x14ac:dyDescent="0.25">
      <c r="U792" s="101"/>
      <c r="V792" s="101"/>
      <c r="W792" s="101"/>
      <c r="X792" s="101"/>
      <c r="Y792" s="101"/>
      <c r="Z792" s="101"/>
      <c r="AA792" s="101"/>
      <c r="AB792" s="101"/>
      <c r="AC792" s="101"/>
      <c r="AD792" s="101"/>
      <c r="AE792" s="101"/>
      <c r="AF792" s="101"/>
      <c r="AG792" s="101"/>
    </row>
    <row r="793" spans="21:33" s="1" customFormat="1" x14ac:dyDescent="0.25">
      <c r="U793" s="101"/>
      <c r="V793" s="101"/>
      <c r="W793" s="101"/>
      <c r="X793" s="101"/>
      <c r="Y793" s="101"/>
      <c r="Z793" s="101"/>
      <c r="AA793" s="101"/>
      <c r="AB793" s="101"/>
      <c r="AC793" s="101"/>
      <c r="AD793" s="101"/>
      <c r="AE793" s="101"/>
      <c r="AF793" s="101"/>
      <c r="AG793" s="101"/>
    </row>
    <row r="794" spans="21:33" s="1" customFormat="1" x14ac:dyDescent="0.25">
      <c r="U794" s="101"/>
      <c r="V794" s="101"/>
      <c r="W794" s="101"/>
      <c r="X794" s="101"/>
      <c r="Y794" s="101"/>
      <c r="Z794" s="101"/>
      <c r="AA794" s="101"/>
      <c r="AB794" s="101"/>
      <c r="AC794" s="101"/>
      <c r="AD794" s="101"/>
      <c r="AE794" s="101"/>
      <c r="AF794" s="101"/>
      <c r="AG794" s="101"/>
    </row>
    <row r="795" spans="21:33" s="1" customFormat="1" x14ac:dyDescent="0.25">
      <c r="U795" s="101"/>
      <c r="V795" s="101"/>
      <c r="W795" s="101"/>
      <c r="X795" s="101"/>
      <c r="Y795" s="101"/>
      <c r="Z795" s="101"/>
      <c r="AA795" s="101"/>
      <c r="AB795" s="101"/>
      <c r="AC795" s="101"/>
      <c r="AD795" s="101"/>
      <c r="AE795" s="101"/>
      <c r="AF795" s="101"/>
      <c r="AG795" s="101"/>
    </row>
    <row r="796" spans="21:33" s="1" customFormat="1" x14ac:dyDescent="0.25">
      <c r="U796" s="101"/>
      <c r="V796" s="101"/>
      <c r="W796" s="101"/>
      <c r="X796" s="101"/>
      <c r="Y796" s="101"/>
      <c r="Z796" s="101"/>
      <c r="AA796" s="101"/>
      <c r="AB796" s="101"/>
      <c r="AC796" s="101"/>
      <c r="AD796" s="101"/>
      <c r="AE796" s="101"/>
      <c r="AF796" s="101"/>
      <c r="AG796" s="101"/>
    </row>
    <row r="797" spans="21:33" s="1" customFormat="1" x14ac:dyDescent="0.25">
      <c r="U797" s="101"/>
      <c r="V797" s="101"/>
      <c r="W797" s="101"/>
      <c r="X797" s="101"/>
      <c r="Y797" s="101"/>
      <c r="Z797" s="101"/>
      <c r="AA797" s="101"/>
      <c r="AB797" s="101"/>
      <c r="AC797" s="101"/>
      <c r="AD797" s="101"/>
      <c r="AE797" s="101"/>
      <c r="AF797" s="101"/>
      <c r="AG797" s="101"/>
    </row>
    <row r="798" spans="21:33" s="1" customFormat="1" x14ac:dyDescent="0.25">
      <c r="U798" s="101"/>
      <c r="V798" s="101"/>
      <c r="W798" s="101"/>
      <c r="X798" s="101"/>
      <c r="Y798" s="101"/>
      <c r="Z798" s="101"/>
      <c r="AA798" s="101"/>
      <c r="AB798" s="101"/>
      <c r="AC798" s="101"/>
      <c r="AD798" s="101"/>
      <c r="AE798" s="101"/>
      <c r="AF798" s="101"/>
      <c r="AG798" s="101"/>
    </row>
    <row r="799" spans="21:33" s="1" customFormat="1" x14ac:dyDescent="0.25">
      <c r="U799" s="101"/>
      <c r="V799" s="101"/>
      <c r="W799" s="101"/>
      <c r="X799" s="101"/>
      <c r="Y799" s="101"/>
      <c r="Z799" s="101"/>
      <c r="AA799" s="101"/>
      <c r="AB799" s="101"/>
      <c r="AC799" s="101"/>
      <c r="AD799" s="101"/>
      <c r="AE799" s="101"/>
      <c r="AF799" s="101"/>
      <c r="AG799" s="101"/>
    </row>
    <row r="800" spans="21:33" s="1" customFormat="1" x14ac:dyDescent="0.25">
      <c r="U800" s="101"/>
      <c r="V800" s="101"/>
      <c r="W800" s="101"/>
      <c r="X800" s="101"/>
      <c r="Y800" s="101"/>
      <c r="Z800" s="101"/>
      <c r="AA800" s="101"/>
      <c r="AB800" s="101"/>
      <c r="AC800" s="101"/>
      <c r="AD800" s="101"/>
      <c r="AE800" s="101"/>
      <c r="AF800" s="101"/>
      <c r="AG800" s="101"/>
    </row>
    <row r="801" spans="21:33" s="1" customFormat="1" x14ac:dyDescent="0.25">
      <c r="U801" s="101"/>
      <c r="V801" s="101"/>
      <c r="W801" s="101"/>
      <c r="X801" s="101"/>
      <c r="Y801" s="101"/>
      <c r="Z801" s="101"/>
      <c r="AA801" s="101"/>
      <c r="AB801" s="101"/>
      <c r="AC801" s="101"/>
      <c r="AD801" s="101"/>
      <c r="AE801" s="101"/>
      <c r="AF801" s="101"/>
      <c r="AG801" s="101"/>
    </row>
    <row r="802" spans="21:33" s="1" customFormat="1" x14ac:dyDescent="0.25">
      <c r="U802" s="101"/>
      <c r="V802" s="101"/>
      <c r="W802" s="101"/>
      <c r="X802" s="101"/>
      <c r="Y802" s="101"/>
      <c r="Z802" s="101"/>
      <c r="AA802" s="101"/>
      <c r="AB802" s="101"/>
      <c r="AC802" s="101"/>
      <c r="AD802" s="101"/>
      <c r="AE802" s="101"/>
      <c r="AF802" s="101"/>
      <c r="AG802" s="101"/>
    </row>
    <row r="803" spans="21:33" s="1" customFormat="1" x14ac:dyDescent="0.25">
      <c r="U803" s="101"/>
      <c r="V803" s="101"/>
      <c r="W803" s="101"/>
      <c r="X803" s="101"/>
      <c r="Y803" s="101"/>
      <c r="Z803" s="101"/>
      <c r="AA803" s="101"/>
      <c r="AB803" s="101"/>
      <c r="AC803" s="101"/>
      <c r="AD803" s="101"/>
      <c r="AE803" s="101"/>
      <c r="AF803" s="101"/>
      <c r="AG803" s="101"/>
    </row>
    <row r="804" spans="21:33" s="1" customFormat="1" x14ac:dyDescent="0.25">
      <c r="U804" s="101"/>
      <c r="V804" s="101"/>
      <c r="W804" s="101"/>
      <c r="X804" s="101"/>
      <c r="Y804" s="101"/>
      <c r="Z804" s="101"/>
      <c r="AA804" s="101"/>
      <c r="AB804" s="101"/>
      <c r="AC804" s="101"/>
      <c r="AD804" s="101"/>
      <c r="AE804" s="101"/>
      <c r="AF804" s="101"/>
      <c r="AG804" s="101"/>
    </row>
    <row r="805" spans="21:33" s="1" customFormat="1" x14ac:dyDescent="0.25">
      <c r="U805" s="101"/>
      <c r="V805" s="101"/>
      <c r="W805" s="101"/>
      <c r="X805" s="101"/>
      <c r="Y805" s="101"/>
      <c r="Z805" s="101"/>
      <c r="AA805" s="101"/>
      <c r="AB805" s="101"/>
      <c r="AC805" s="101"/>
      <c r="AD805" s="101"/>
      <c r="AE805" s="101"/>
      <c r="AF805" s="101"/>
      <c r="AG805" s="101"/>
    </row>
    <row r="806" spans="21:33" s="1" customFormat="1" x14ac:dyDescent="0.25">
      <c r="U806" s="101"/>
      <c r="V806" s="101"/>
      <c r="W806" s="101"/>
      <c r="X806" s="101"/>
      <c r="Y806" s="101"/>
      <c r="Z806" s="101"/>
      <c r="AA806" s="101"/>
      <c r="AB806" s="101"/>
      <c r="AC806" s="101"/>
      <c r="AD806" s="101"/>
      <c r="AE806" s="101"/>
      <c r="AF806" s="101"/>
      <c r="AG806" s="101"/>
    </row>
    <row r="807" spans="21:33" s="1" customFormat="1" x14ac:dyDescent="0.25">
      <c r="U807" s="101"/>
      <c r="V807" s="101"/>
      <c r="W807" s="101"/>
      <c r="X807" s="101"/>
      <c r="Y807" s="101"/>
      <c r="Z807" s="101"/>
      <c r="AA807" s="101"/>
      <c r="AB807" s="101"/>
      <c r="AC807" s="101"/>
      <c r="AD807" s="101"/>
      <c r="AE807" s="101"/>
      <c r="AF807" s="101"/>
      <c r="AG807" s="101"/>
    </row>
    <row r="808" spans="21:33" s="1" customFormat="1" x14ac:dyDescent="0.25">
      <c r="U808" s="101"/>
      <c r="V808" s="101"/>
      <c r="W808" s="101"/>
      <c r="X808" s="101"/>
      <c r="Y808" s="101"/>
      <c r="Z808" s="101"/>
      <c r="AA808" s="101"/>
      <c r="AB808" s="101"/>
      <c r="AC808" s="101"/>
      <c r="AD808" s="101"/>
      <c r="AE808" s="101"/>
      <c r="AF808" s="101"/>
      <c r="AG808" s="101"/>
    </row>
    <row r="809" spans="21:33" s="1" customFormat="1" x14ac:dyDescent="0.25">
      <c r="U809" s="101"/>
      <c r="V809" s="101"/>
      <c r="W809" s="101"/>
      <c r="X809" s="101"/>
      <c r="Y809" s="101"/>
      <c r="Z809" s="101"/>
      <c r="AA809" s="101"/>
      <c r="AB809" s="101"/>
      <c r="AC809" s="101"/>
      <c r="AD809" s="101"/>
      <c r="AE809" s="101"/>
      <c r="AF809" s="101"/>
      <c r="AG809" s="101"/>
    </row>
    <row r="810" spans="21:33" s="1" customFormat="1" x14ac:dyDescent="0.25">
      <c r="U810" s="101"/>
      <c r="V810" s="101"/>
      <c r="W810" s="101"/>
      <c r="X810" s="101"/>
      <c r="Y810" s="101"/>
      <c r="Z810" s="101"/>
      <c r="AA810" s="101"/>
      <c r="AB810" s="101"/>
      <c r="AC810" s="101"/>
      <c r="AD810" s="101"/>
      <c r="AE810" s="101"/>
      <c r="AF810" s="101"/>
      <c r="AG810" s="101"/>
    </row>
    <row r="811" spans="21:33" s="1" customFormat="1" x14ac:dyDescent="0.25">
      <c r="U811" s="101"/>
      <c r="V811" s="101"/>
      <c r="W811" s="101"/>
      <c r="X811" s="101"/>
      <c r="Y811" s="101"/>
      <c r="Z811" s="101"/>
      <c r="AA811" s="101"/>
      <c r="AB811" s="101"/>
      <c r="AC811" s="101"/>
      <c r="AD811" s="101"/>
      <c r="AE811" s="101"/>
      <c r="AF811" s="101"/>
      <c r="AG811" s="101"/>
    </row>
    <row r="812" spans="21:33" s="1" customFormat="1" x14ac:dyDescent="0.25">
      <c r="U812" s="101"/>
      <c r="V812" s="101"/>
      <c r="W812" s="101"/>
      <c r="X812" s="101"/>
      <c r="Y812" s="101"/>
      <c r="Z812" s="101"/>
      <c r="AA812" s="101"/>
      <c r="AB812" s="101"/>
      <c r="AC812" s="101"/>
      <c r="AD812" s="101"/>
      <c r="AE812" s="101"/>
      <c r="AF812" s="101"/>
      <c r="AG812" s="101"/>
    </row>
    <row r="813" spans="21:33" s="1" customFormat="1" x14ac:dyDescent="0.25">
      <c r="U813" s="101"/>
      <c r="V813" s="101"/>
      <c r="W813" s="101"/>
      <c r="X813" s="101"/>
      <c r="Y813" s="101"/>
      <c r="Z813" s="101"/>
      <c r="AA813" s="101"/>
      <c r="AB813" s="101"/>
      <c r="AC813" s="101"/>
      <c r="AD813" s="101"/>
      <c r="AE813" s="101"/>
      <c r="AF813" s="101"/>
      <c r="AG813" s="101"/>
    </row>
    <row r="814" spans="21:33" s="1" customFormat="1" x14ac:dyDescent="0.25">
      <c r="U814" s="101"/>
      <c r="V814" s="101"/>
      <c r="W814" s="101"/>
      <c r="X814" s="101"/>
      <c r="Y814" s="101"/>
      <c r="Z814" s="101"/>
      <c r="AA814" s="101"/>
      <c r="AB814" s="101"/>
      <c r="AC814" s="101"/>
      <c r="AD814" s="101"/>
      <c r="AE814" s="101"/>
      <c r="AF814" s="101"/>
      <c r="AG814" s="101"/>
    </row>
    <row r="815" spans="21:33" s="1" customFormat="1" x14ac:dyDescent="0.25">
      <c r="U815" s="101"/>
      <c r="V815" s="101"/>
      <c r="W815" s="101"/>
      <c r="X815" s="101"/>
      <c r="Y815" s="101"/>
      <c r="Z815" s="101"/>
      <c r="AA815" s="101"/>
      <c r="AB815" s="101"/>
      <c r="AC815" s="101"/>
      <c r="AD815" s="101"/>
      <c r="AE815" s="101"/>
      <c r="AF815" s="101"/>
      <c r="AG815" s="101"/>
    </row>
    <row r="816" spans="21:33" s="1" customFormat="1" x14ac:dyDescent="0.25">
      <c r="U816" s="101"/>
      <c r="V816" s="101"/>
      <c r="W816" s="101"/>
      <c r="X816" s="101"/>
      <c r="Y816" s="101"/>
      <c r="Z816" s="101"/>
      <c r="AA816" s="101"/>
      <c r="AB816" s="101"/>
      <c r="AC816" s="101"/>
      <c r="AD816" s="101"/>
      <c r="AE816" s="101"/>
      <c r="AF816" s="101"/>
      <c r="AG816" s="101"/>
    </row>
    <row r="817" spans="21:33" s="1" customFormat="1" x14ac:dyDescent="0.25">
      <c r="U817" s="101"/>
      <c r="V817" s="101"/>
      <c r="W817" s="101"/>
      <c r="X817" s="101"/>
      <c r="Y817" s="101"/>
      <c r="Z817" s="101"/>
      <c r="AA817" s="101"/>
      <c r="AB817" s="101"/>
      <c r="AC817" s="101"/>
      <c r="AD817" s="101"/>
      <c r="AE817" s="101"/>
      <c r="AF817" s="101"/>
      <c r="AG817" s="101"/>
    </row>
    <row r="818" spans="21:33" s="1" customFormat="1" x14ac:dyDescent="0.25">
      <c r="U818" s="101"/>
      <c r="V818" s="101"/>
      <c r="W818" s="101"/>
      <c r="X818" s="101"/>
      <c r="Y818" s="101"/>
      <c r="Z818" s="101"/>
      <c r="AA818" s="101"/>
      <c r="AB818" s="101"/>
      <c r="AC818" s="101"/>
      <c r="AD818" s="101"/>
      <c r="AE818" s="101"/>
      <c r="AF818" s="101"/>
      <c r="AG818" s="101"/>
    </row>
    <row r="819" spans="21:33" s="1" customFormat="1" x14ac:dyDescent="0.25">
      <c r="U819" s="101"/>
      <c r="V819" s="101"/>
      <c r="W819" s="101"/>
      <c r="X819" s="101"/>
      <c r="Y819" s="101"/>
      <c r="Z819" s="101"/>
      <c r="AA819" s="101"/>
      <c r="AB819" s="101"/>
      <c r="AC819" s="101"/>
      <c r="AD819" s="101"/>
      <c r="AE819" s="101"/>
      <c r="AF819" s="101"/>
      <c r="AG819" s="101"/>
    </row>
    <row r="820" spans="21:33" s="1" customFormat="1" x14ac:dyDescent="0.25">
      <c r="U820" s="101"/>
      <c r="V820" s="101"/>
      <c r="W820" s="101"/>
      <c r="X820" s="101"/>
      <c r="Y820" s="101"/>
      <c r="Z820" s="101"/>
      <c r="AA820" s="101"/>
      <c r="AB820" s="101"/>
      <c r="AC820" s="101"/>
      <c r="AD820" s="101"/>
      <c r="AE820" s="101"/>
      <c r="AF820" s="101"/>
      <c r="AG820" s="101"/>
    </row>
    <row r="821" spans="21:33" s="1" customFormat="1" x14ac:dyDescent="0.25">
      <c r="U821" s="101"/>
      <c r="V821" s="101"/>
      <c r="W821" s="101"/>
      <c r="X821" s="101"/>
      <c r="Y821" s="101"/>
      <c r="Z821" s="101"/>
      <c r="AA821" s="101"/>
      <c r="AB821" s="101"/>
      <c r="AC821" s="101"/>
      <c r="AD821" s="101"/>
      <c r="AE821" s="101"/>
      <c r="AF821" s="101"/>
      <c r="AG821" s="101"/>
    </row>
    <row r="822" spans="21:33" s="1" customFormat="1" x14ac:dyDescent="0.25">
      <c r="U822" s="101"/>
      <c r="V822" s="101"/>
      <c r="W822" s="101"/>
      <c r="X822" s="101"/>
      <c r="Y822" s="101"/>
      <c r="Z822" s="101"/>
      <c r="AA822" s="101"/>
      <c r="AB822" s="101"/>
      <c r="AC822" s="101"/>
      <c r="AD822" s="101"/>
      <c r="AE822" s="101"/>
      <c r="AF822" s="101"/>
      <c r="AG822" s="101"/>
    </row>
    <row r="823" spans="21:33" s="1" customFormat="1" x14ac:dyDescent="0.25">
      <c r="U823" s="101"/>
      <c r="V823" s="101"/>
      <c r="W823" s="101"/>
      <c r="X823" s="101"/>
      <c r="Y823" s="101"/>
      <c r="Z823" s="101"/>
      <c r="AA823" s="101"/>
      <c r="AB823" s="101"/>
      <c r="AC823" s="101"/>
      <c r="AD823" s="101"/>
      <c r="AE823" s="101"/>
      <c r="AF823" s="101"/>
      <c r="AG823" s="101"/>
    </row>
    <row r="824" spans="21:33" s="1" customFormat="1" x14ac:dyDescent="0.25">
      <c r="U824" s="101"/>
      <c r="V824" s="101"/>
      <c r="W824" s="101"/>
      <c r="X824" s="101"/>
      <c r="Y824" s="101"/>
      <c r="Z824" s="101"/>
      <c r="AA824" s="101"/>
      <c r="AB824" s="101"/>
      <c r="AC824" s="101"/>
      <c r="AD824" s="101"/>
      <c r="AE824" s="101"/>
      <c r="AF824" s="101"/>
      <c r="AG824" s="101"/>
    </row>
    <row r="825" spans="21:33" s="1" customFormat="1" x14ac:dyDescent="0.25">
      <c r="U825" s="101"/>
      <c r="V825" s="101"/>
      <c r="W825" s="101"/>
      <c r="X825" s="101"/>
      <c r="Y825" s="101"/>
      <c r="Z825" s="101"/>
      <c r="AA825" s="101"/>
      <c r="AB825" s="101"/>
      <c r="AC825" s="101"/>
      <c r="AD825" s="101"/>
      <c r="AE825" s="101"/>
      <c r="AF825" s="101"/>
      <c r="AG825" s="101"/>
    </row>
    <row r="826" spans="21:33" s="1" customFormat="1" x14ac:dyDescent="0.25">
      <c r="U826" s="101"/>
      <c r="V826" s="101"/>
      <c r="W826" s="101"/>
      <c r="X826" s="101"/>
      <c r="Y826" s="101"/>
      <c r="Z826" s="101"/>
      <c r="AA826" s="101"/>
      <c r="AB826" s="101"/>
      <c r="AC826" s="101"/>
      <c r="AD826" s="101"/>
      <c r="AE826" s="101"/>
      <c r="AF826" s="101"/>
      <c r="AG826" s="101"/>
    </row>
    <row r="827" spans="21:33" s="1" customFormat="1" x14ac:dyDescent="0.25">
      <c r="U827" s="101"/>
      <c r="V827" s="101"/>
      <c r="W827" s="101"/>
      <c r="X827" s="101"/>
      <c r="Y827" s="101"/>
      <c r="Z827" s="101"/>
      <c r="AA827" s="101"/>
      <c r="AB827" s="101"/>
      <c r="AC827" s="101"/>
      <c r="AD827" s="101"/>
      <c r="AE827" s="101"/>
      <c r="AF827" s="101"/>
      <c r="AG827" s="101"/>
    </row>
    <row r="828" spans="21:33" s="1" customFormat="1" x14ac:dyDescent="0.25">
      <c r="U828" s="101"/>
      <c r="V828" s="101"/>
      <c r="W828" s="101"/>
      <c r="X828" s="101"/>
      <c r="Y828" s="101"/>
      <c r="Z828" s="101"/>
      <c r="AA828" s="101"/>
      <c r="AB828" s="101"/>
      <c r="AC828" s="101"/>
      <c r="AD828" s="101"/>
      <c r="AE828" s="101"/>
      <c r="AF828" s="101"/>
      <c r="AG828" s="101"/>
    </row>
    <row r="829" spans="21:33" s="1" customFormat="1" x14ac:dyDescent="0.25">
      <c r="U829" s="101"/>
      <c r="V829" s="101"/>
      <c r="W829" s="101"/>
      <c r="X829" s="101"/>
      <c r="Y829" s="101"/>
      <c r="Z829" s="101"/>
      <c r="AA829" s="101"/>
      <c r="AB829" s="101"/>
      <c r="AC829" s="101"/>
      <c r="AD829" s="101"/>
      <c r="AE829" s="101"/>
      <c r="AF829" s="101"/>
      <c r="AG829" s="101"/>
    </row>
    <row r="830" spans="21:33" s="1" customFormat="1" x14ac:dyDescent="0.25">
      <c r="U830" s="101"/>
      <c r="V830" s="101"/>
      <c r="W830" s="101"/>
      <c r="X830" s="101"/>
      <c r="Y830" s="101"/>
      <c r="Z830" s="101"/>
      <c r="AA830" s="101"/>
      <c r="AB830" s="101"/>
      <c r="AC830" s="101"/>
      <c r="AD830" s="101"/>
      <c r="AE830" s="101"/>
      <c r="AF830" s="101"/>
      <c r="AG830" s="101"/>
    </row>
    <row r="831" spans="21:33" s="1" customFormat="1" x14ac:dyDescent="0.25">
      <c r="U831" s="101"/>
      <c r="V831" s="101"/>
      <c r="W831" s="101"/>
      <c r="X831" s="101"/>
      <c r="Y831" s="101"/>
      <c r="Z831" s="101"/>
      <c r="AA831" s="101"/>
      <c r="AB831" s="101"/>
      <c r="AC831" s="101"/>
      <c r="AD831" s="101"/>
      <c r="AE831" s="101"/>
      <c r="AF831" s="101"/>
      <c r="AG831" s="101"/>
    </row>
    <row r="832" spans="21:33" s="1" customFormat="1" x14ac:dyDescent="0.25">
      <c r="U832" s="101"/>
      <c r="V832" s="101"/>
      <c r="W832" s="101"/>
      <c r="X832" s="101"/>
      <c r="Y832" s="101"/>
      <c r="Z832" s="101"/>
      <c r="AA832" s="101"/>
      <c r="AB832" s="101"/>
      <c r="AC832" s="101"/>
      <c r="AD832" s="101"/>
      <c r="AE832" s="101"/>
      <c r="AF832" s="101"/>
      <c r="AG832" s="101"/>
    </row>
    <row r="833" spans="21:33" s="1" customFormat="1" x14ac:dyDescent="0.25">
      <c r="U833" s="101"/>
      <c r="V833" s="101"/>
      <c r="W833" s="101"/>
      <c r="X833" s="101"/>
      <c r="Y833" s="101"/>
      <c r="Z833" s="101"/>
      <c r="AA833" s="101"/>
      <c r="AB833" s="101"/>
      <c r="AC833" s="101"/>
      <c r="AD833" s="101"/>
      <c r="AE833" s="101"/>
      <c r="AF833" s="101"/>
      <c r="AG833" s="101"/>
    </row>
    <row r="834" spans="21:33" s="1" customFormat="1" x14ac:dyDescent="0.25">
      <c r="U834" s="101"/>
      <c r="V834" s="101"/>
      <c r="W834" s="101"/>
      <c r="X834" s="101"/>
      <c r="Y834" s="101"/>
      <c r="Z834" s="101"/>
      <c r="AA834" s="101"/>
      <c r="AB834" s="101"/>
      <c r="AC834" s="101"/>
      <c r="AD834" s="101"/>
      <c r="AE834" s="101"/>
      <c r="AF834" s="101"/>
      <c r="AG834" s="101"/>
    </row>
    <row r="835" spans="21:33" s="1" customFormat="1" x14ac:dyDescent="0.25">
      <c r="U835" s="101"/>
      <c r="V835" s="101"/>
      <c r="W835" s="101"/>
      <c r="X835" s="101"/>
      <c r="Y835" s="101"/>
      <c r="Z835" s="101"/>
      <c r="AA835" s="101"/>
      <c r="AB835" s="101"/>
      <c r="AC835" s="101"/>
      <c r="AD835" s="101"/>
      <c r="AE835" s="101"/>
      <c r="AF835" s="101"/>
      <c r="AG835" s="101"/>
    </row>
    <row r="836" spans="21:33" s="1" customFormat="1" x14ac:dyDescent="0.25">
      <c r="U836" s="101"/>
      <c r="V836" s="101"/>
      <c r="W836" s="101"/>
      <c r="X836" s="101"/>
      <c r="Y836" s="101"/>
      <c r="Z836" s="101"/>
      <c r="AA836" s="101"/>
      <c r="AB836" s="101"/>
      <c r="AC836" s="101"/>
      <c r="AD836" s="101"/>
      <c r="AE836" s="101"/>
      <c r="AF836" s="101"/>
      <c r="AG836" s="101"/>
    </row>
    <row r="837" spans="21:33" s="1" customFormat="1" x14ac:dyDescent="0.25">
      <c r="U837" s="101"/>
      <c r="V837" s="101"/>
      <c r="W837" s="101"/>
      <c r="X837" s="101"/>
      <c r="Y837" s="101"/>
      <c r="Z837" s="101"/>
      <c r="AA837" s="101"/>
      <c r="AB837" s="101"/>
      <c r="AC837" s="101"/>
      <c r="AD837" s="101"/>
      <c r="AE837" s="101"/>
      <c r="AF837" s="101"/>
      <c r="AG837" s="101"/>
    </row>
    <row r="838" spans="21:33" s="1" customFormat="1" x14ac:dyDescent="0.25">
      <c r="U838" s="101"/>
      <c r="V838" s="101"/>
      <c r="W838" s="101"/>
      <c r="X838" s="101"/>
      <c r="Y838" s="101"/>
      <c r="Z838" s="101"/>
      <c r="AA838" s="101"/>
      <c r="AB838" s="101"/>
      <c r="AC838" s="101"/>
      <c r="AD838" s="101"/>
      <c r="AE838" s="101"/>
      <c r="AF838" s="101"/>
      <c r="AG838" s="101"/>
    </row>
    <row r="839" spans="21:33" s="1" customFormat="1" x14ac:dyDescent="0.25">
      <c r="U839" s="101"/>
      <c r="V839" s="101"/>
      <c r="W839" s="101"/>
      <c r="X839" s="101"/>
      <c r="Y839" s="101"/>
      <c r="Z839" s="101"/>
      <c r="AA839" s="101"/>
      <c r="AB839" s="101"/>
      <c r="AC839" s="101"/>
      <c r="AD839" s="101"/>
      <c r="AE839" s="101"/>
      <c r="AF839" s="101"/>
      <c r="AG839" s="101"/>
    </row>
    <row r="840" spans="21:33" s="1" customFormat="1" x14ac:dyDescent="0.25">
      <c r="U840" s="101"/>
      <c r="V840" s="101"/>
      <c r="W840" s="101"/>
      <c r="X840" s="101"/>
      <c r="Y840" s="101"/>
      <c r="Z840" s="101"/>
      <c r="AA840" s="101"/>
      <c r="AB840" s="101"/>
      <c r="AC840" s="101"/>
      <c r="AD840" s="101"/>
      <c r="AE840" s="101"/>
      <c r="AF840" s="101"/>
      <c r="AG840" s="101"/>
    </row>
    <row r="841" spans="21:33" s="1" customFormat="1" x14ac:dyDescent="0.25">
      <c r="U841" s="101"/>
      <c r="V841" s="101"/>
      <c r="W841" s="101"/>
      <c r="X841" s="101"/>
      <c r="Y841" s="101"/>
      <c r="Z841" s="101"/>
      <c r="AA841" s="101"/>
      <c r="AB841" s="101"/>
      <c r="AC841" s="101"/>
      <c r="AD841" s="101"/>
      <c r="AE841" s="101"/>
      <c r="AF841" s="101"/>
      <c r="AG841" s="101"/>
    </row>
    <row r="842" spans="21:33" s="1" customFormat="1" x14ac:dyDescent="0.25">
      <c r="U842" s="101"/>
      <c r="V842" s="101"/>
      <c r="W842" s="101"/>
      <c r="X842" s="101"/>
      <c r="Y842" s="101"/>
      <c r="Z842" s="101"/>
      <c r="AA842" s="101"/>
      <c r="AB842" s="101"/>
      <c r="AC842" s="101"/>
      <c r="AD842" s="101"/>
      <c r="AE842" s="101"/>
      <c r="AF842" s="101"/>
      <c r="AG842" s="101"/>
    </row>
    <row r="843" spans="21:33" s="1" customFormat="1" x14ac:dyDescent="0.25">
      <c r="U843" s="101"/>
      <c r="V843" s="101"/>
      <c r="W843" s="101"/>
      <c r="X843" s="101"/>
      <c r="Y843" s="101"/>
      <c r="Z843" s="101"/>
      <c r="AA843" s="101"/>
      <c r="AB843" s="101"/>
      <c r="AC843" s="101"/>
      <c r="AD843" s="101"/>
      <c r="AE843" s="101"/>
      <c r="AF843" s="101"/>
      <c r="AG843" s="101"/>
    </row>
    <row r="844" spans="21:33" s="1" customFormat="1" x14ac:dyDescent="0.25">
      <c r="U844" s="101"/>
      <c r="V844" s="101"/>
      <c r="W844" s="101"/>
      <c r="X844" s="101"/>
      <c r="Y844" s="101"/>
      <c r="Z844" s="101"/>
      <c r="AA844" s="101"/>
      <c r="AB844" s="101"/>
      <c r="AC844" s="101"/>
      <c r="AD844" s="101"/>
      <c r="AE844" s="101"/>
      <c r="AF844" s="101"/>
      <c r="AG844" s="101"/>
    </row>
    <row r="845" spans="21:33" s="1" customFormat="1" x14ac:dyDescent="0.25">
      <c r="U845" s="101"/>
      <c r="V845" s="101"/>
      <c r="W845" s="101"/>
      <c r="X845" s="101"/>
      <c r="Y845" s="101"/>
      <c r="Z845" s="101"/>
      <c r="AA845" s="101"/>
      <c r="AB845" s="101"/>
      <c r="AC845" s="101"/>
      <c r="AD845" s="101"/>
      <c r="AE845" s="101"/>
      <c r="AF845" s="101"/>
      <c r="AG845" s="101"/>
    </row>
    <row r="846" spans="21:33" s="1" customFormat="1" x14ac:dyDescent="0.25">
      <c r="U846" s="101"/>
      <c r="V846" s="101"/>
      <c r="W846" s="101"/>
      <c r="X846" s="101"/>
      <c r="Y846" s="101"/>
      <c r="Z846" s="101"/>
      <c r="AA846" s="101"/>
      <c r="AB846" s="101"/>
      <c r="AC846" s="101"/>
      <c r="AD846" s="101"/>
      <c r="AE846" s="101"/>
      <c r="AF846" s="101"/>
      <c r="AG846" s="101"/>
    </row>
    <row r="847" spans="21:33" s="1" customFormat="1" x14ac:dyDescent="0.25">
      <c r="U847" s="101"/>
      <c r="V847" s="101"/>
      <c r="W847" s="101"/>
      <c r="X847" s="101"/>
      <c r="Y847" s="101"/>
      <c r="Z847" s="101"/>
      <c r="AA847" s="101"/>
      <c r="AB847" s="101"/>
      <c r="AC847" s="101"/>
      <c r="AD847" s="101"/>
      <c r="AE847" s="101"/>
      <c r="AF847" s="101"/>
      <c r="AG847" s="101"/>
    </row>
    <row r="848" spans="21:33" s="1" customFormat="1" x14ac:dyDescent="0.25">
      <c r="U848" s="101"/>
      <c r="V848" s="101"/>
      <c r="W848" s="101"/>
      <c r="X848" s="101"/>
      <c r="Y848" s="101"/>
      <c r="Z848" s="101"/>
      <c r="AA848" s="101"/>
      <c r="AB848" s="101"/>
      <c r="AC848" s="101"/>
      <c r="AD848" s="101"/>
      <c r="AE848" s="101"/>
      <c r="AF848" s="101"/>
      <c r="AG848" s="101"/>
    </row>
    <row r="849" spans="21:33" s="1" customFormat="1" x14ac:dyDescent="0.25">
      <c r="U849" s="101"/>
      <c r="V849" s="101"/>
      <c r="W849" s="101"/>
      <c r="X849" s="101"/>
      <c r="Y849" s="101"/>
      <c r="Z849" s="101"/>
      <c r="AA849" s="101"/>
      <c r="AB849" s="101"/>
      <c r="AC849" s="101"/>
      <c r="AD849" s="101"/>
      <c r="AE849" s="101"/>
      <c r="AF849" s="101"/>
      <c r="AG849" s="101"/>
    </row>
    <row r="850" spans="21:33" s="1" customFormat="1" x14ac:dyDescent="0.25">
      <c r="U850" s="101"/>
      <c r="V850" s="101"/>
      <c r="W850" s="101"/>
      <c r="X850" s="101"/>
      <c r="Y850" s="101"/>
      <c r="Z850" s="101"/>
      <c r="AA850" s="101"/>
      <c r="AB850" s="101"/>
      <c r="AC850" s="101"/>
      <c r="AD850" s="101"/>
      <c r="AE850" s="101"/>
      <c r="AF850" s="101"/>
      <c r="AG850" s="101"/>
    </row>
    <row r="851" spans="21:33" s="1" customFormat="1" x14ac:dyDescent="0.25">
      <c r="U851" s="101"/>
      <c r="V851" s="101"/>
      <c r="W851" s="101"/>
      <c r="X851" s="101"/>
      <c r="Y851" s="101"/>
      <c r="Z851" s="101"/>
      <c r="AA851" s="101"/>
      <c r="AB851" s="101"/>
      <c r="AC851" s="101"/>
      <c r="AD851" s="101"/>
      <c r="AE851" s="101"/>
      <c r="AF851" s="101"/>
      <c r="AG851" s="101"/>
    </row>
    <row r="852" spans="21:33" s="1" customFormat="1" x14ac:dyDescent="0.25">
      <c r="U852" s="101"/>
      <c r="V852" s="101"/>
      <c r="W852" s="101"/>
      <c r="X852" s="101"/>
      <c r="Y852" s="101"/>
      <c r="Z852" s="101"/>
      <c r="AA852" s="101"/>
      <c r="AB852" s="101"/>
      <c r="AC852" s="101"/>
      <c r="AD852" s="101"/>
      <c r="AE852" s="101"/>
      <c r="AF852" s="101"/>
      <c r="AG852" s="101"/>
    </row>
    <row r="853" spans="21:33" s="1" customFormat="1" x14ac:dyDescent="0.25">
      <c r="U853" s="101"/>
      <c r="V853" s="101"/>
      <c r="W853" s="101"/>
      <c r="X853" s="101"/>
      <c r="Y853" s="101"/>
      <c r="Z853" s="101"/>
      <c r="AA853" s="101"/>
      <c r="AB853" s="101"/>
      <c r="AC853" s="101"/>
      <c r="AD853" s="101"/>
      <c r="AE853" s="101"/>
      <c r="AF853" s="101"/>
      <c r="AG853" s="101"/>
    </row>
    <row r="854" spans="21:33" s="1" customFormat="1" x14ac:dyDescent="0.25">
      <c r="U854" s="101"/>
      <c r="V854" s="101"/>
      <c r="W854" s="101"/>
      <c r="X854" s="101"/>
      <c r="Y854" s="101"/>
      <c r="Z854" s="101"/>
      <c r="AA854" s="101"/>
      <c r="AB854" s="101"/>
      <c r="AC854" s="101"/>
      <c r="AD854" s="101"/>
      <c r="AE854" s="101"/>
      <c r="AF854" s="101"/>
      <c r="AG854" s="101"/>
    </row>
    <row r="855" spans="21:33" s="1" customFormat="1" x14ac:dyDescent="0.25">
      <c r="U855" s="101"/>
      <c r="V855" s="101"/>
      <c r="W855" s="101"/>
      <c r="X855" s="101"/>
      <c r="Y855" s="101"/>
      <c r="Z855" s="101"/>
      <c r="AA855" s="101"/>
      <c r="AB855" s="101"/>
      <c r="AC855" s="101"/>
      <c r="AD855" s="101"/>
      <c r="AE855" s="101"/>
      <c r="AF855" s="101"/>
      <c r="AG855" s="101"/>
    </row>
    <row r="856" spans="21:33" s="1" customFormat="1" x14ac:dyDescent="0.25">
      <c r="U856" s="101"/>
      <c r="V856" s="101"/>
      <c r="W856" s="101"/>
      <c r="X856" s="101"/>
      <c r="Y856" s="101"/>
      <c r="Z856" s="101"/>
      <c r="AA856" s="101"/>
      <c r="AB856" s="101"/>
      <c r="AC856" s="101"/>
      <c r="AD856" s="101"/>
      <c r="AE856" s="101"/>
      <c r="AF856" s="101"/>
      <c r="AG856" s="101"/>
    </row>
    <row r="857" spans="21:33" s="1" customFormat="1" x14ac:dyDescent="0.25">
      <c r="U857" s="101"/>
      <c r="V857" s="101"/>
      <c r="W857" s="101"/>
      <c r="X857" s="101"/>
      <c r="Y857" s="101"/>
      <c r="Z857" s="101"/>
      <c r="AA857" s="101"/>
      <c r="AB857" s="101"/>
      <c r="AC857" s="101"/>
      <c r="AD857" s="101"/>
      <c r="AE857" s="101"/>
      <c r="AF857" s="101"/>
      <c r="AG857" s="101"/>
    </row>
    <row r="858" spans="21:33" s="1" customFormat="1" x14ac:dyDescent="0.25">
      <c r="U858" s="101"/>
      <c r="V858" s="101"/>
      <c r="W858" s="101"/>
      <c r="X858" s="101"/>
      <c r="Y858" s="101"/>
      <c r="Z858" s="101"/>
      <c r="AA858" s="101"/>
      <c r="AB858" s="101"/>
      <c r="AC858" s="101"/>
      <c r="AD858" s="101"/>
      <c r="AE858" s="101"/>
      <c r="AF858" s="101"/>
      <c r="AG858" s="101"/>
    </row>
    <row r="859" spans="21:33" s="1" customFormat="1" x14ac:dyDescent="0.25">
      <c r="U859" s="101"/>
      <c r="V859" s="101"/>
      <c r="W859" s="101"/>
      <c r="X859" s="101"/>
      <c r="Y859" s="101"/>
      <c r="Z859" s="101"/>
      <c r="AA859" s="101"/>
      <c r="AB859" s="101"/>
      <c r="AC859" s="101"/>
      <c r="AD859" s="101"/>
      <c r="AE859" s="101"/>
      <c r="AF859" s="101"/>
      <c r="AG859" s="101"/>
    </row>
    <row r="860" spans="21:33" s="1" customFormat="1" x14ac:dyDescent="0.25">
      <c r="U860" s="101"/>
      <c r="V860" s="101"/>
      <c r="W860" s="101"/>
      <c r="X860" s="101"/>
      <c r="Y860" s="101"/>
      <c r="Z860" s="101"/>
      <c r="AA860" s="101"/>
      <c r="AB860" s="101"/>
      <c r="AC860" s="101"/>
      <c r="AD860" s="101"/>
      <c r="AE860" s="101"/>
      <c r="AF860" s="101"/>
      <c r="AG860" s="101"/>
    </row>
    <row r="861" spans="21:33" s="1" customFormat="1" x14ac:dyDescent="0.25">
      <c r="U861" s="101"/>
      <c r="V861" s="101"/>
      <c r="W861" s="101"/>
      <c r="X861" s="101"/>
      <c r="Y861" s="101"/>
      <c r="Z861" s="101"/>
      <c r="AA861" s="101"/>
      <c r="AB861" s="101"/>
      <c r="AC861" s="101"/>
      <c r="AD861" s="101"/>
      <c r="AE861" s="101"/>
      <c r="AF861" s="101"/>
      <c r="AG861" s="101"/>
    </row>
    <row r="862" spans="21:33" s="1" customFormat="1" x14ac:dyDescent="0.25">
      <c r="U862" s="101"/>
      <c r="V862" s="101"/>
      <c r="W862" s="101"/>
      <c r="X862" s="101"/>
      <c r="Y862" s="101"/>
      <c r="Z862" s="101"/>
      <c r="AA862" s="101"/>
      <c r="AB862" s="101"/>
      <c r="AC862" s="101"/>
      <c r="AD862" s="101"/>
      <c r="AE862" s="101"/>
      <c r="AF862" s="101"/>
      <c r="AG862" s="101"/>
    </row>
    <row r="863" spans="21:33" s="1" customFormat="1" x14ac:dyDescent="0.25">
      <c r="U863" s="101"/>
      <c r="V863" s="101"/>
      <c r="W863" s="101"/>
      <c r="X863" s="101"/>
      <c r="Y863" s="101"/>
      <c r="Z863" s="101"/>
      <c r="AA863" s="101"/>
      <c r="AB863" s="101"/>
      <c r="AC863" s="101"/>
      <c r="AD863" s="101"/>
      <c r="AE863" s="101"/>
      <c r="AF863" s="101"/>
      <c r="AG863" s="101"/>
    </row>
    <row r="864" spans="21:33" s="1" customFormat="1" x14ac:dyDescent="0.25">
      <c r="U864" s="101"/>
      <c r="V864" s="101"/>
      <c r="W864" s="101"/>
      <c r="X864" s="101"/>
      <c r="Y864" s="101"/>
      <c r="Z864" s="101"/>
      <c r="AA864" s="101"/>
      <c r="AB864" s="101"/>
      <c r="AC864" s="101"/>
      <c r="AD864" s="101"/>
      <c r="AE864" s="101"/>
      <c r="AF864" s="101"/>
      <c r="AG864" s="101"/>
    </row>
    <row r="865" spans="21:33" s="1" customFormat="1" x14ac:dyDescent="0.25">
      <c r="U865" s="101"/>
      <c r="V865" s="101"/>
      <c r="W865" s="101"/>
      <c r="X865" s="101"/>
      <c r="Y865" s="101"/>
      <c r="Z865" s="101"/>
      <c r="AA865" s="101"/>
      <c r="AB865" s="101"/>
      <c r="AC865" s="101"/>
      <c r="AD865" s="101"/>
      <c r="AE865" s="101"/>
      <c r="AF865" s="101"/>
      <c r="AG865" s="101"/>
    </row>
    <row r="866" spans="21:33" s="1" customFormat="1" x14ac:dyDescent="0.25">
      <c r="U866" s="101"/>
      <c r="V866" s="101"/>
      <c r="W866" s="101"/>
      <c r="X866" s="101"/>
      <c r="Y866" s="101"/>
      <c r="Z866" s="101"/>
      <c r="AA866" s="101"/>
      <c r="AB866" s="101"/>
      <c r="AC866" s="101"/>
      <c r="AD866" s="101"/>
      <c r="AE866" s="101"/>
      <c r="AF866" s="101"/>
      <c r="AG866" s="101"/>
    </row>
    <row r="867" spans="21:33" s="1" customFormat="1" x14ac:dyDescent="0.25">
      <c r="U867" s="101"/>
      <c r="V867" s="101"/>
      <c r="W867" s="101"/>
      <c r="X867" s="101"/>
      <c r="Y867" s="101"/>
      <c r="Z867" s="101"/>
      <c r="AA867" s="101"/>
      <c r="AB867" s="101"/>
      <c r="AC867" s="101"/>
      <c r="AD867" s="101"/>
      <c r="AE867" s="101"/>
      <c r="AF867" s="101"/>
      <c r="AG867" s="101"/>
    </row>
    <row r="868" spans="21:33" s="1" customFormat="1" x14ac:dyDescent="0.25">
      <c r="U868" s="101"/>
      <c r="V868" s="101"/>
      <c r="W868" s="101"/>
      <c r="X868" s="101"/>
      <c r="Y868" s="101"/>
      <c r="Z868" s="101"/>
      <c r="AA868" s="101"/>
      <c r="AB868" s="101"/>
      <c r="AC868" s="101"/>
      <c r="AD868" s="101"/>
      <c r="AE868" s="101"/>
      <c r="AF868" s="101"/>
      <c r="AG868" s="101"/>
    </row>
    <row r="869" spans="21:33" s="1" customFormat="1" x14ac:dyDescent="0.25">
      <c r="U869" s="101"/>
      <c r="V869" s="101"/>
      <c r="W869" s="101"/>
      <c r="X869" s="101"/>
      <c r="Y869" s="101"/>
      <c r="Z869" s="101"/>
      <c r="AA869" s="101"/>
      <c r="AB869" s="101"/>
      <c r="AC869" s="101"/>
      <c r="AD869" s="101"/>
      <c r="AE869" s="101"/>
      <c r="AF869" s="101"/>
      <c r="AG869" s="101"/>
    </row>
    <row r="870" spans="21:33" s="1" customFormat="1" x14ac:dyDescent="0.25">
      <c r="U870" s="101"/>
      <c r="V870" s="101"/>
      <c r="W870" s="101"/>
      <c r="X870" s="101"/>
      <c r="Y870" s="101"/>
      <c r="Z870" s="101"/>
      <c r="AA870" s="101"/>
      <c r="AB870" s="101"/>
      <c r="AC870" s="101"/>
      <c r="AD870" s="101"/>
      <c r="AE870" s="101"/>
      <c r="AF870" s="101"/>
      <c r="AG870" s="101"/>
    </row>
    <row r="871" spans="21:33" s="1" customFormat="1" x14ac:dyDescent="0.25">
      <c r="U871" s="101"/>
      <c r="V871" s="101"/>
      <c r="W871" s="101"/>
      <c r="X871" s="101"/>
      <c r="Y871" s="101"/>
      <c r="Z871" s="101"/>
      <c r="AA871" s="101"/>
      <c r="AB871" s="101"/>
      <c r="AC871" s="101"/>
      <c r="AD871" s="101"/>
      <c r="AE871" s="101"/>
      <c r="AF871" s="101"/>
      <c r="AG871" s="101"/>
    </row>
    <row r="872" spans="21:33" s="1" customFormat="1" x14ac:dyDescent="0.25">
      <c r="U872" s="101"/>
      <c r="V872" s="101"/>
      <c r="W872" s="101"/>
      <c r="X872" s="101"/>
      <c r="Y872" s="101"/>
      <c r="Z872" s="101"/>
      <c r="AA872" s="101"/>
      <c r="AB872" s="101"/>
      <c r="AC872" s="101"/>
      <c r="AD872" s="101"/>
      <c r="AE872" s="101"/>
      <c r="AF872" s="101"/>
      <c r="AG872" s="101"/>
    </row>
    <row r="873" spans="21:33" s="1" customFormat="1" x14ac:dyDescent="0.25">
      <c r="U873" s="101"/>
      <c r="V873" s="101"/>
      <c r="W873" s="101"/>
      <c r="X873" s="101"/>
      <c r="Y873" s="101"/>
      <c r="Z873" s="101"/>
      <c r="AA873" s="101"/>
      <c r="AB873" s="101"/>
      <c r="AC873" s="101"/>
      <c r="AD873" s="101"/>
      <c r="AE873" s="101"/>
      <c r="AF873" s="101"/>
      <c r="AG873" s="101"/>
    </row>
    <row r="874" spans="21:33" s="1" customFormat="1" x14ac:dyDescent="0.25">
      <c r="U874" s="101"/>
      <c r="V874" s="101"/>
      <c r="W874" s="101"/>
      <c r="X874" s="101"/>
      <c r="Y874" s="101"/>
      <c r="Z874" s="101"/>
      <c r="AA874" s="101"/>
      <c r="AB874" s="101"/>
      <c r="AC874" s="101"/>
      <c r="AD874" s="101"/>
      <c r="AE874" s="101"/>
      <c r="AF874" s="101"/>
      <c r="AG874" s="101"/>
    </row>
    <row r="875" spans="21:33" s="1" customFormat="1" x14ac:dyDescent="0.25">
      <c r="U875" s="101"/>
      <c r="V875" s="101"/>
      <c r="W875" s="101"/>
      <c r="X875" s="101"/>
      <c r="Y875" s="101"/>
      <c r="Z875" s="101"/>
      <c r="AA875" s="101"/>
      <c r="AB875" s="101"/>
      <c r="AC875" s="101"/>
      <c r="AD875" s="101"/>
      <c r="AE875" s="101"/>
      <c r="AF875" s="101"/>
      <c r="AG875" s="101"/>
    </row>
    <row r="876" spans="21:33" s="1" customFormat="1" x14ac:dyDescent="0.25">
      <c r="U876" s="101"/>
      <c r="V876" s="101"/>
      <c r="W876" s="101"/>
      <c r="X876" s="101"/>
      <c r="Y876" s="101"/>
      <c r="Z876" s="101"/>
      <c r="AA876" s="101"/>
      <c r="AB876" s="101"/>
      <c r="AC876" s="101"/>
      <c r="AD876" s="101"/>
      <c r="AE876" s="101"/>
      <c r="AF876" s="101"/>
      <c r="AG876" s="101"/>
    </row>
    <row r="877" spans="21:33" s="1" customFormat="1" x14ac:dyDescent="0.25">
      <c r="U877" s="101"/>
      <c r="V877" s="101"/>
      <c r="W877" s="101"/>
      <c r="X877" s="101"/>
      <c r="Y877" s="101"/>
      <c r="Z877" s="101"/>
      <c r="AA877" s="101"/>
      <c r="AB877" s="101"/>
      <c r="AC877" s="101"/>
      <c r="AD877" s="101"/>
      <c r="AE877" s="101"/>
      <c r="AF877" s="101"/>
      <c r="AG877" s="101"/>
    </row>
    <row r="878" spans="21:33" s="1" customFormat="1" x14ac:dyDescent="0.25">
      <c r="U878" s="101"/>
      <c r="V878" s="101"/>
      <c r="W878" s="101"/>
      <c r="X878" s="101"/>
      <c r="Y878" s="101"/>
      <c r="Z878" s="101"/>
      <c r="AA878" s="101"/>
      <c r="AB878" s="101"/>
      <c r="AC878" s="101"/>
      <c r="AD878" s="101"/>
      <c r="AE878" s="101"/>
      <c r="AF878" s="101"/>
      <c r="AG878" s="101"/>
    </row>
    <row r="879" spans="21:33" s="1" customFormat="1" x14ac:dyDescent="0.25">
      <c r="U879" s="101"/>
      <c r="V879" s="101"/>
      <c r="W879" s="101"/>
      <c r="X879" s="101"/>
      <c r="Y879" s="101"/>
      <c r="Z879" s="101"/>
      <c r="AA879" s="101"/>
      <c r="AB879" s="101"/>
      <c r="AC879" s="101"/>
      <c r="AD879" s="101"/>
      <c r="AE879" s="101"/>
      <c r="AF879" s="101"/>
      <c r="AG879" s="101"/>
    </row>
    <row r="880" spans="21:33" s="1" customFormat="1" x14ac:dyDescent="0.25">
      <c r="U880" s="101"/>
      <c r="V880" s="101"/>
      <c r="W880" s="101"/>
      <c r="X880" s="101"/>
      <c r="Y880" s="101"/>
      <c r="Z880" s="101"/>
      <c r="AA880" s="101"/>
      <c r="AB880" s="101"/>
      <c r="AC880" s="101"/>
      <c r="AD880" s="101"/>
      <c r="AE880" s="101"/>
      <c r="AF880" s="101"/>
      <c r="AG880" s="101"/>
    </row>
    <row r="881" spans="21:33" s="1" customFormat="1" x14ac:dyDescent="0.25">
      <c r="U881" s="101"/>
      <c r="V881" s="101"/>
      <c r="W881" s="101"/>
      <c r="X881" s="101"/>
      <c r="Y881" s="101"/>
      <c r="Z881" s="101"/>
      <c r="AA881" s="101"/>
      <c r="AB881" s="101"/>
      <c r="AC881" s="101"/>
      <c r="AD881" s="101"/>
      <c r="AE881" s="101"/>
      <c r="AF881" s="101"/>
      <c r="AG881" s="101"/>
    </row>
    <row r="882" spans="21:33" s="1" customFormat="1" x14ac:dyDescent="0.25">
      <c r="U882" s="101"/>
      <c r="V882" s="101"/>
      <c r="W882" s="101"/>
      <c r="X882" s="101"/>
      <c r="Y882" s="101"/>
      <c r="Z882" s="101"/>
      <c r="AA882" s="101"/>
      <c r="AB882" s="101"/>
      <c r="AC882" s="101"/>
      <c r="AD882" s="101"/>
      <c r="AE882" s="101"/>
      <c r="AF882" s="101"/>
      <c r="AG882" s="101"/>
    </row>
    <row r="883" spans="21:33" s="1" customFormat="1" x14ac:dyDescent="0.25">
      <c r="U883" s="101"/>
      <c r="V883" s="101"/>
      <c r="W883" s="101"/>
      <c r="X883" s="101"/>
      <c r="Y883" s="101"/>
      <c r="Z883" s="101"/>
      <c r="AA883" s="101"/>
      <c r="AB883" s="101"/>
      <c r="AC883" s="101"/>
      <c r="AD883" s="101"/>
      <c r="AE883" s="101"/>
      <c r="AF883" s="101"/>
      <c r="AG883" s="101"/>
    </row>
    <row r="884" spans="21:33" s="1" customFormat="1" x14ac:dyDescent="0.25">
      <c r="U884" s="101"/>
      <c r="V884" s="101"/>
      <c r="W884" s="101"/>
      <c r="X884" s="101"/>
      <c r="Y884" s="101"/>
      <c r="Z884" s="101"/>
      <c r="AA884" s="101"/>
      <c r="AB884" s="101"/>
      <c r="AC884" s="101"/>
      <c r="AD884" s="101"/>
      <c r="AE884" s="101"/>
      <c r="AF884" s="101"/>
      <c r="AG884" s="101"/>
    </row>
    <row r="885" spans="21:33" s="1" customFormat="1" x14ac:dyDescent="0.25">
      <c r="U885" s="101"/>
      <c r="V885" s="101"/>
      <c r="W885" s="101"/>
      <c r="X885" s="101"/>
      <c r="Y885" s="101"/>
      <c r="Z885" s="101"/>
      <c r="AA885" s="101"/>
      <c r="AB885" s="101"/>
      <c r="AC885" s="101"/>
      <c r="AD885" s="101"/>
      <c r="AE885" s="101"/>
      <c r="AF885" s="101"/>
      <c r="AG885" s="101"/>
    </row>
    <row r="886" spans="21:33" s="1" customFormat="1" x14ac:dyDescent="0.25">
      <c r="U886" s="101"/>
      <c r="V886" s="101"/>
      <c r="W886" s="101"/>
      <c r="X886" s="101"/>
      <c r="Y886" s="101"/>
      <c r="Z886" s="101"/>
      <c r="AA886" s="101"/>
      <c r="AB886" s="101"/>
      <c r="AC886" s="101"/>
      <c r="AD886" s="101"/>
      <c r="AE886" s="101"/>
      <c r="AF886" s="101"/>
      <c r="AG886" s="101"/>
    </row>
    <row r="887" spans="21:33" s="1" customFormat="1" x14ac:dyDescent="0.25"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101"/>
      <c r="AG887" s="101"/>
    </row>
    <row r="888" spans="21:33" s="1" customFormat="1" x14ac:dyDescent="0.25">
      <c r="U888" s="101"/>
      <c r="V888" s="101"/>
      <c r="W888" s="101"/>
      <c r="X888" s="101"/>
      <c r="Y888" s="101"/>
      <c r="Z888" s="101"/>
      <c r="AA888" s="101"/>
      <c r="AB888" s="101"/>
      <c r="AC888" s="101"/>
      <c r="AD888" s="101"/>
      <c r="AE888" s="101"/>
      <c r="AF888" s="101"/>
      <c r="AG888" s="101"/>
    </row>
    <row r="889" spans="21:33" s="1" customFormat="1" x14ac:dyDescent="0.25">
      <c r="U889" s="101"/>
      <c r="V889" s="101"/>
      <c r="W889" s="101"/>
      <c r="X889" s="101"/>
      <c r="Y889" s="101"/>
      <c r="Z889" s="101"/>
      <c r="AA889" s="101"/>
      <c r="AB889" s="101"/>
      <c r="AC889" s="101"/>
      <c r="AD889" s="101"/>
      <c r="AE889" s="101"/>
      <c r="AF889" s="101"/>
      <c r="AG889" s="101"/>
    </row>
    <row r="890" spans="21:33" s="1" customFormat="1" x14ac:dyDescent="0.25">
      <c r="U890" s="101"/>
      <c r="V890" s="101"/>
      <c r="W890" s="101"/>
      <c r="X890" s="101"/>
      <c r="Y890" s="101"/>
      <c r="Z890" s="101"/>
      <c r="AA890" s="101"/>
      <c r="AB890" s="101"/>
      <c r="AC890" s="101"/>
      <c r="AD890" s="101"/>
      <c r="AE890" s="101"/>
      <c r="AF890" s="101"/>
      <c r="AG890" s="101"/>
    </row>
    <row r="891" spans="21:33" s="1" customFormat="1" x14ac:dyDescent="0.25">
      <c r="U891" s="101"/>
      <c r="V891" s="101"/>
      <c r="W891" s="101"/>
      <c r="X891" s="101"/>
      <c r="Y891" s="101"/>
      <c r="Z891" s="101"/>
      <c r="AA891" s="101"/>
      <c r="AB891" s="101"/>
      <c r="AC891" s="101"/>
      <c r="AD891" s="101"/>
      <c r="AE891" s="101"/>
      <c r="AF891" s="101"/>
      <c r="AG891" s="101"/>
    </row>
    <row r="892" spans="21:33" s="1" customFormat="1" x14ac:dyDescent="0.25">
      <c r="U892" s="101"/>
      <c r="V892" s="101"/>
      <c r="W892" s="101"/>
      <c r="X892" s="101"/>
      <c r="Y892" s="101"/>
      <c r="Z892" s="101"/>
      <c r="AA892" s="101"/>
      <c r="AB892" s="101"/>
      <c r="AC892" s="101"/>
      <c r="AD892" s="101"/>
      <c r="AE892" s="101"/>
      <c r="AF892" s="101"/>
      <c r="AG892" s="101"/>
    </row>
    <row r="893" spans="21:33" s="1" customFormat="1" x14ac:dyDescent="0.25">
      <c r="U893" s="101"/>
      <c r="V893" s="101"/>
      <c r="W893" s="101"/>
      <c r="X893" s="101"/>
      <c r="Y893" s="101"/>
      <c r="Z893" s="101"/>
      <c r="AA893" s="101"/>
      <c r="AB893" s="101"/>
      <c r="AC893" s="101"/>
      <c r="AD893" s="101"/>
      <c r="AE893" s="101"/>
      <c r="AF893" s="101"/>
      <c r="AG893" s="101"/>
    </row>
    <row r="894" spans="21:33" s="1" customFormat="1" x14ac:dyDescent="0.25"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101"/>
      <c r="AG894" s="101"/>
    </row>
    <row r="895" spans="21:33" s="1" customFormat="1" x14ac:dyDescent="0.25">
      <c r="U895" s="101"/>
      <c r="V895" s="101"/>
      <c r="W895" s="101"/>
      <c r="X895" s="101"/>
      <c r="Y895" s="101"/>
      <c r="Z895" s="101"/>
      <c r="AA895" s="101"/>
      <c r="AB895" s="101"/>
      <c r="AC895" s="101"/>
      <c r="AD895" s="101"/>
      <c r="AE895" s="101"/>
      <c r="AF895" s="101"/>
      <c r="AG895" s="101"/>
    </row>
    <row r="896" spans="21:33" s="1" customFormat="1" x14ac:dyDescent="0.25">
      <c r="U896" s="101"/>
      <c r="V896" s="101"/>
      <c r="W896" s="101"/>
      <c r="X896" s="101"/>
      <c r="Y896" s="101"/>
      <c r="Z896" s="101"/>
      <c r="AA896" s="101"/>
      <c r="AB896" s="101"/>
      <c r="AC896" s="101"/>
      <c r="AD896" s="101"/>
      <c r="AE896" s="101"/>
      <c r="AF896" s="101"/>
      <c r="AG896" s="101"/>
    </row>
    <row r="897" spans="21:33" s="1" customFormat="1" x14ac:dyDescent="0.25">
      <c r="U897" s="101"/>
      <c r="V897" s="101"/>
      <c r="W897" s="101"/>
      <c r="X897" s="101"/>
      <c r="Y897" s="101"/>
      <c r="Z897" s="101"/>
      <c r="AA897" s="101"/>
      <c r="AB897" s="101"/>
      <c r="AC897" s="101"/>
      <c r="AD897" s="101"/>
      <c r="AE897" s="101"/>
      <c r="AF897" s="101"/>
      <c r="AG897" s="101"/>
    </row>
    <row r="898" spans="21:33" s="1" customFormat="1" x14ac:dyDescent="0.25">
      <c r="U898" s="101"/>
      <c r="V898" s="101"/>
      <c r="W898" s="101"/>
      <c r="X898" s="101"/>
      <c r="Y898" s="101"/>
      <c r="Z898" s="101"/>
      <c r="AA898" s="101"/>
      <c r="AB898" s="101"/>
      <c r="AC898" s="101"/>
      <c r="AD898" s="101"/>
      <c r="AE898" s="101"/>
      <c r="AF898" s="101"/>
      <c r="AG898" s="101"/>
    </row>
    <row r="899" spans="21:33" s="1" customFormat="1" x14ac:dyDescent="0.25">
      <c r="U899" s="101"/>
      <c r="V899" s="101"/>
      <c r="W899" s="101"/>
      <c r="X899" s="101"/>
      <c r="Y899" s="101"/>
      <c r="Z899" s="101"/>
      <c r="AA899" s="101"/>
      <c r="AB899" s="101"/>
      <c r="AC899" s="101"/>
      <c r="AD899" s="101"/>
      <c r="AE899" s="101"/>
      <c r="AF899" s="101"/>
      <c r="AG899" s="101"/>
    </row>
    <row r="900" spans="21:33" s="1" customFormat="1" x14ac:dyDescent="0.25"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101"/>
      <c r="AG900" s="101"/>
    </row>
    <row r="901" spans="21:33" s="1" customFormat="1" x14ac:dyDescent="0.25">
      <c r="U901" s="101"/>
      <c r="V901" s="101"/>
      <c r="W901" s="101"/>
      <c r="X901" s="101"/>
      <c r="Y901" s="101"/>
      <c r="Z901" s="101"/>
      <c r="AA901" s="101"/>
      <c r="AB901" s="101"/>
      <c r="AC901" s="101"/>
      <c r="AD901" s="101"/>
      <c r="AE901" s="101"/>
      <c r="AF901" s="101"/>
      <c r="AG901" s="101"/>
    </row>
    <row r="902" spans="21:33" s="1" customFormat="1" x14ac:dyDescent="0.25">
      <c r="U902" s="101"/>
      <c r="V902" s="101"/>
      <c r="W902" s="101"/>
      <c r="X902" s="101"/>
      <c r="Y902" s="101"/>
      <c r="Z902" s="101"/>
      <c r="AA902" s="101"/>
      <c r="AB902" s="101"/>
      <c r="AC902" s="101"/>
      <c r="AD902" s="101"/>
      <c r="AE902" s="101"/>
      <c r="AF902" s="101"/>
      <c r="AG902" s="101"/>
    </row>
    <row r="903" spans="21:33" s="1" customFormat="1" x14ac:dyDescent="0.25">
      <c r="U903" s="101"/>
      <c r="V903" s="101"/>
      <c r="W903" s="101"/>
      <c r="X903" s="101"/>
      <c r="Y903" s="101"/>
      <c r="Z903" s="101"/>
      <c r="AA903" s="101"/>
      <c r="AB903" s="101"/>
      <c r="AC903" s="101"/>
      <c r="AD903" s="101"/>
      <c r="AE903" s="101"/>
      <c r="AF903" s="101"/>
      <c r="AG903" s="101"/>
    </row>
    <row r="904" spans="21:33" s="1" customFormat="1" x14ac:dyDescent="0.25">
      <c r="U904" s="101"/>
      <c r="V904" s="101"/>
      <c r="W904" s="101"/>
      <c r="X904" s="101"/>
      <c r="Y904" s="101"/>
      <c r="Z904" s="101"/>
      <c r="AA904" s="101"/>
      <c r="AB904" s="101"/>
      <c r="AC904" s="101"/>
      <c r="AD904" s="101"/>
      <c r="AE904" s="101"/>
      <c r="AF904" s="101"/>
      <c r="AG904" s="101"/>
    </row>
    <row r="905" spans="21:33" s="1" customFormat="1" x14ac:dyDescent="0.25">
      <c r="U905" s="101"/>
      <c r="V905" s="101"/>
      <c r="W905" s="101"/>
      <c r="X905" s="101"/>
      <c r="Y905" s="101"/>
      <c r="Z905" s="101"/>
      <c r="AA905" s="101"/>
      <c r="AB905" s="101"/>
      <c r="AC905" s="101"/>
      <c r="AD905" s="101"/>
      <c r="AE905" s="101"/>
      <c r="AF905" s="101"/>
      <c r="AG905" s="101"/>
    </row>
    <row r="906" spans="21:33" s="1" customFormat="1" x14ac:dyDescent="0.25">
      <c r="U906" s="101"/>
      <c r="V906" s="101"/>
      <c r="W906" s="101"/>
      <c r="X906" s="101"/>
      <c r="Y906" s="101"/>
      <c r="Z906" s="101"/>
      <c r="AA906" s="101"/>
      <c r="AB906" s="101"/>
      <c r="AC906" s="101"/>
      <c r="AD906" s="101"/>
      <c r="AE906" s="101"/>
      <c r="AF906" s="101"/>
      <c r="AG906" s="101"/>
    </row>
    <row r="907" spans="21:33" s="1" customFormat="1" x14ac:dyDescent="0.25">
      <c r="U907" s="101"/>
      <c r="V907" s="101"/>
      <c r="W907" s="101"/>
      <c r="X907" s="101"/>
      <c r="Y907" s="101"/>
      <c r="Z907" s="101"/>
      <c r="AA907" s="101"/>
      <c r="AB907" s="101"/>
      <c r="AC907" s="101"/>
      <c r="AD907" s="101"/>
      <c r="AE907" s="101"/>
      <c r="AF907" s="101"/>
      <c r="AG907" s="101"/>
    </row>
    <row r="908" spans="21:33" s="1" customFormat="1" x14ac:dyDescent="0.25"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101"/>
      <c r="AG908" s="101"/>
    </row>
    <row r="909" spans="21:33" s="1" customFormat="1" x14ac:dyDescent="0.25">
      <c r="U909" s="101"/>
      <c r="V909" s="101"/>
      <c r="W909" s="101"/>
      <c r="X909" s="101"/>
      <c r="Y909" s="101"/>
      <c r="Z909" s="101"/>
      <c r="AA909" s="101"/>
      <c r="AB909" s="101"/>
      <c r="AC909" s="101"/>
      <c r="AD909" s="101"/>
      <c r="AE909" s="101"/>
      <c r="AF909" s="101"/>
      <c r="AG909" s="101"/>
    </row>
    <row r="910" spans="21:33" s="1" customFormat="1" x14ac:dyDescent="0.25">
      <c r="U910" s="101"/>
      <c r="V910" s="101"/>
      <c r="W910" s="101"/>
      <c r="X910" s="101"/>
      <c r="Y910" s="101"/>
      <c r="Z910" s="101"/>
      <c r="AA910" s="101"/>
      <c r="AB910" s="101"/>
      <c r="AC910" s="101"/>
      <c r="AD910" s="101"/>
      <c r="AE910" s="101"/>
      <c r="AF910" s="101"/>
      <c r="AG910" s="101"/>
    </row>
    <row r="911" spans="21:33" s="1" customFormat="1" x14ac:dyDescent="0.25">
      <c r="U911" s="101"/>
      <c r="V911" s="101"/>
      <c r="W911" s="101"/>
      <c r="X911" s="101"/>
      <c r="Y911" s="101"/>
      <c r="Z911" s="101"/>
      <c r="AA911" s="101"/>
      <c r="AB911" s="101"/>
      <c r="AC911" s="101"/>
      <c r="AD911" s="101"/>
      <c r="AE911" s="101"/>
      <c r="AF911" s="101"/>
      <c r="AG911" s="101"/>
    </row>
    <row r="912" spans="21:33" s="1" customFormat="1" x14ac:dyDescent="0.25">
      <c r="U912" s="101"/>
      <c r="V912" s="101"/>
      <c r="W912" s="101"/>
      <c r="X912" s="101"/>
      <c r="Y912" s="101"/>
      <c r="Z912" s="101"/>
      <c r="AA912" s="101"/>
      <c r="AB912" s="101"/>
      <c r="AC912" s="101"/>
      <c r="AD912" s="101"/>
      <c r="AE912" s="101"/>
      <c r="AF912" s="101"/>
      <c r="AG912" s="101"/>
    </row>
    <row r="913" spans="21:33" s="1" customFormat="1" x14ac:dyDescent="0.25">
      <c r="U913" s="101"/>
      <c r="V913" s="101"/>
      <c r="W913" s="101"/>
      <c r="X913" s="101"/>
      <c r="Y913" s="101"/>
      <c r="Z913" s="101"/>
      <c r="AA913" s="101"/>
      <c r="AB913" s="101"/>
      <c r="AC913" s="101"/>
      <c r="AD913" s="101"/>
      <c r="AE913" s="101"/>
      <c r="AF913" s="101"/>
      <c r="AG913" s="101"/>
    </row>
    <row r="914" spans="21:33" s="1" customFormat="1" x14ac:dyDescent="0.25">
      <c r="U914" s="101"/>
      <c r="V914" s="101"/>
      <c r="W914" s="101"/>
      <c r="X914" s="101"/>
      <c r="Y914" s="101"/>
      <c r="Z914" s="101"/>
      <c r="AA914" s="101"/>
      <c r="AB914" s="101"/>
      <c r="AC914" s="101"/>
      <c r="AD914" s="101"/>
      <c r="AE914" s="101"/>
      <c r="AF914" s="101"/>
      <c r="AG914" s="101"/>
    </row>
    <row r="915" spans="21:33" s="1" customFormat="1" x14ac:dyDescent="0.25">
      <c r="U915" s="101"/>
      <c r="V915" s="101"/>
      <c r="W915" s="101"/>
      <c r="X915" s="101"/>
      <c r="Y915" s="101"/>
      <c r="Z915" s="101"/>
      <c r="AA915" s="101"/>
      <c r="AB915" s="101"/>
      <c r="AC915" s="101"/>
      <c r="AD915" s="101"/>
      <c r="AE915" s="101"/>
      <c r="AF915" s="101"/>
      <c r="AG915" s="101"/>
    </row>
    <row r="916" spans="21:33" s="1" customFormat="1" x14ac:dyDescent="0.25">
      <c r="U916" s="101"/>
      <c r="V916" s="101"/>
      <c r="W916" s="101"/>
      <c r="X916" s="101"/>
      <c r="Y916" s="101"/>
      <c r="Z916" s="101"/>
      <c r="AA916" s="101"/>
      <c r="AB916" s="101"/>
      <c r="AC916" s="101"/>
      <c r="AD916" s="101"/>
      <c r="AE916" s="101"/>
      <c r="AF916" s="101"/>
      <c r="AG916" s="101"/>
    </row>
    <row r="917" spans="21:33" s="1" customFormat="1" x14ac:dyDescent="0.25">
      <c r="U917" s="101"/>
      <c r="V917" s="101"/>
      <c r="W917" s="101"/>
      <c r="X917" s="101"/>
      <c r="Y917" s="101"/>
      <c r="Z917" s="101"/>
      <c r="AA917" s="101"/>
      <c r="AB917" s="101"/>
      <c r="AC917" s="101"/>
      <c r="AD917" s="101"/>
      <c r="AE917" s="101"/>
      <c r="AF917" s="101"/>
      <c r="AG917" s="101"/>
    </row>
    <row r="918" spans="21:33" s="1" customFormat="1" x14ac:dyDescent="0.25"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101"/>
      <c r="AG918" s="101"/>
    </row>
    <row r="919" spans="21:33" s="1" customFormat="1" x14ac:dyDescent="0.25">
      <c r="U919" s="101"/>
      <c r="V919" s="101"/>
      <c r="W919" s="101"/>
      <c r="X919" s="101"/>
      <c r="Y919" s="101"/>
      <c r="Z919" s="101"/>
      <c r="AA919" s="101"/>
      <c r="AB919" s="101"/>
      <c r="AC919" s="101"/>
      <c r="AD919" s="101"/>
      <c r="AE919" s="101"/>
      <c r="AF919" s="101"/>
      <c r="AG919" s="101"/>
    </row>
    <row r="920" spans="21:33" s="1" customFormat="1" x14ac:dyDescent="0.25">
      <c r="U920" s="101"/>
      <c r="V920" s="101"/>
      <c r="W920" s="101"/>
      <c r="X920" s="101"/>
      <c r="Y920" s="101"/>
      <c r="Z920" s="101"/>
      <c r="AA920" s="101"/>
      <c r="AB920" s="101"/>
      <c r="AC920" s="101"/>
      <c r="AD920" s="101"/>
      <c r="AE920" s="101"/>
      <c r="AF920" s="101"/>
      <c r="AG920" s="101"/>
    </row>
    <row r="921" spans="21:33" s="1" customFormat="1" x14ac:dyDescent="0.25">
      <c r="U921" s="101"/>
      <c r="V921" s="101"/>
      <c r="W921" s="101"/>
      <c r="X921" s="101"/>
      <c r="Y921" s="101"/>
      <c r="Z921" s="101"/>
      <c r="AA921" s="101"/>
      <c r="AB921" s="101"/>
      <c r="AC921" s="101"/>
      <c r="AD921" s="101"/>
      <c r="AE921" s="101"/>
      <c r="AF921" s="101"/>
      <c r="AG921" s="101"/>
    </row>
    <row r="922" spans="21:33" s="1" customFormat="1" x14ac:dyDescent="0.25">
      <c r="U922" s="101"/>
      <c r="V922" s="101"/>
      <c r="W922" s="101"/>
      <c r="X922" s="101"/>
      <c r="Y922" s="101"/>
      <c r="Z922" s="101"/>
      <c r="AA922" s="101"/>
      <c r="AB922" s="101"/>
      <c r="AC922" s="101"/>
      <c r="AD922" s="101"/>
      <c r="AE922" s="101"/>
      <c r="AF922" s="101"/>
      <c r="AG922" s="101"/>
    </row>
    <row r="923" spans="21:33" s="1" customFormat="1" x14ac:dyDescent="0.25">
      <c r="U923" s="101"/>
      <c r="V923" s="101"/>
      <c r="W923" s="101"/>
      <c r="X923" s="101"/>
      <c r="Y923" s="101"/>
      <c r="Z923" s="101"/>
      <c r="AA923" s="101"/>
      <c r="AB923" s="101"/>
      <c r="AC923" s="101"/>
      <c r="AD923" s="101"/>
      <c r="AE923" s="101"/>
      <c r="AF923" s="101"/>
      <c r="AG923" s="101"/>
    </row>
    <row r="924" spans="21:33" s="1" customFormat="1" x14ac:dyDescent="0.25">
      <c r="U924" s="101"/>
      <c r="V924" s="101"/>
      <c r="W924" s="101"/>
      <c r="X924" s="101"/>
      <c r="Y924" s="101"/>
      <c r="Z924" s="101"/>
      <c r="AA924" s="101"/>
      <c r="AB924" s="101"/>
      <c r="AC924" s="101"/>
      <c r="AD924" s="101"/>
      <c r="AE924" s="101"/>
      <c r="AF924" s="101"/>
      <c r="AG924" s="101"/>
    </row>
    <row r="925" spans="21:33" s="1" customFormat="1" x14ac:dyDescent="0.25">
      <c r="U925" s="101"/>
      <c r="V925" s="101"/>
      <c r="W925" s="101"/>
      <c r="X925" s="101"/>
      <c r="Y925" s="101"/>
      <c r="Z925" s="101"/>
      <c r="AA925" s="101"/>
      <c r="AB925" s="101"/>
      <c r="AC925" s="101"/>
      <c r="AD925" s="101"/>
      <c r="AE925" s="101"/>
      <c r="AF925" s="101"/>
      <c r="AG925" s="101"/>
    </row>
    <row r="926" spans="21:33" s="1" customFormat="1" x14ac:dyDescent="0.25">
      <c r="U926" s="101"/>
      <c r="V926" s="101"/>
      <c r="W926" s="101"/>
      <c r="X926" s="101"/>
      <c r="Y926" s="101"/>
      <c r="Z926" s="101"/>
      <c r="AA926" s="101"/>
      <c r="AB926" s="101"/>
      <c r="AC926" s="101"/>
      <c r="AD926" s="101"/>
      <c r="AE926" s="101"/>
      <c r="AF926" s="101"/>
      <c r="AG926" s="101"/>
    </row>
    <row r="927" spans="21:33" s="1" customFormat="1" x14ac:dyDescent="0.25"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01"/>
      <c r="AF927" s="101"/>
      <c r="AG927" s="101"/>
    </row>
    <row r="928" spans="21:33" s="1" customFormat="1" x14ac:dyDescent="0.25">
      <c r="U928" s="101"/>
      <c r="V928" s="101"/>
      <c r="W928" s="101"/>
      <c r="X928" s="101"/>
      <c r="Y928" s="101"/>
      <c r="Z928" s="101"/>
      <c r="AA928" s="101"/>
      <c r="AB928" s="101"/>
      <c r="AC928" s="101"/>
      <c r="AD928" s="101"/>
      <c r="AE928" s="101"/>
      <c r="AF928" s="101"/>
      <c r="AG928" s="101"/>
    </row>
    <row r="929" spans="21:33" s="1" customFormat="1" x14ac:dyDescent="0.25">
      <c r="U929" s="101"/>
      <c r="V929" s="101"/>
      <c r="W929" s="101"/>
      <c r="X929" s="101"/>
      <c r="Y929" s="101"/>
      <c r="Z929" s="101"/>
      <c r="AA929" s="101"/>
      <c r="AB929" s="101"/>
      <c r="AC929" s="101"/>
      <c r="AD929" s="101"/>
      <c r="AE929" s="101"/>
      <c r="AF929" s="101"/>
      <c r="AG929" s="101"/>
    </row>
    <row r="930" spans="21:33" s="1" customFormat="1" x14ac:dyDescent="0.25"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01"/>
      <c r="AF930" s="101"/>
      <c r="AG930" s="101"/>
    </row>
    <row r="931" spans="21:33" s="1" customFormat="1" x14ac:dyDescent="0.25">
      <c r="U931" s="101"/>
      <c r="V931" s="101"/>
      <c r="W931" s="101"/>
      <c r="X931" s="101"/>
      <c r="Y931" s="101"/>
      <c r="Z931" s="101"/>
      <c r="AA931" s="101"/>
      <c r="AB931" s="101"/>
      <c r="AC931" s="101"/>
      <c r="AD931" s="101"/>
      <c r="AE931" s="101"/>
      <c r="AF931" s="101"/>
      <c r="AG931" s="101"/>
    </row>
    <row r="932" spans="21:33" s="1" customFormat="1" x14ac:dyDescent="0.25">
      <c r="U932" s="101"/>
      <c r="V932" s="101"/>
      <c r="W932" s="101"/>
      <c r="X932" s="101"/>
      <c r="Y932" s="101"/>
      <c r="Z932" s="101"/>
      <c r="AA932" s="101"/>
      <c r="AB932" s="101"/>
      <c r="AC932" s="101"/>
      <c r="AD932" s="101"/>
      <c r="AE932" s="101"/>
      <c r="AF932" s="101"/>
      <c r="AG932" s="101"/>
    </row>
    <row r="933" spans="21:33" s="1" customFormat="1" x14ac:dyDescent="0.25">
      <c r="U933" s="101"/>
      <c r="V933" s="101"/>
      <c r="W933" s="101"/>
      <c r="X933" s="101"/>
      <c r="Y933" s="101"/>
      <c r="Z933" s="101"/>
      <c r="AA933" s="101"/>
      <c r="AB933" s="101"/>
      <c r="AC933" s="101"/>
      <c r="AD933" s="101"/>
      <c r="AE933" s="101"/>
      <c r="AF933" s="101"/>
      <c r="AG933" s="101"/>
    </row>
    <row r="934" spans="21:33" s="1" customFormat="1" x14ac:dyDescent="0.25">
      <c r="U934" s="101"/>
      <c r="V934" s="101"/>
      <c r="W934" s="101"/>
      <c r="X934" s="101"/>
      <c r="Y934" s="101"/>
      <c r="Z934" s="101"/>
      <c r="AA934" s="101"/>
      <c r="AB934" s="101"/>
      <c r="AC934" s="101"/>
      <c r="AD934" s="101"/>
      <c r="AE934" s="101"/>
      <c r="AF934" s="101"/>
      <c r="AG934" s="101"/>
    </row>
    <row r="935" spans="21:33" s="1" customFormat="1" x14ac:dyDescent="0.25">
      <c r="U935" s="101"/>
      <c r="V935" s="101"/>
      <c r="W935" s="101"/>
      <c r="X935" s="101"/>
      <c r="Y935" s="101"/>
      <c r="Z935" s="101"/>
      <c r="AA935" s="101"/>
      <c r="AB935" s="101"/>
      <c r="AC935" s="101"/>
      <c r="AD935" s="101"/>
      <c r="AE935" s="101"/>
      <c r="AF935" s="101"/>
      <c r="AG935" s="101"/>
    </row>
    <row r="936" spans="21:33" s="1" customFormat="1" x14ac:dyDescent="0.25">
      <c r="U936" s="101"/>
      <c r="V936" s="101"/>
      <c r="W936" s="101"/>
      <c r="X936" s="101"/>
      <c r="Y936" s="101"/>
      <c r="Z936" s="101"/>
      <c r="AA936" s="101"/>
      <c r="AB936" s="101"/>
      <c r="AC936" s="101"/>
      <c r="AD936" s="101"/>
      <c r="AE936" s="101"/>
      <c r="AF936" s="101"/>
      <c r="AG936" s="101"/>
    </row>
    <row r="937" spans="21:33" s="1" customFormat="1" x14ac:dyDescent="0.25">
      <c r="U937" s="101"/>
      <c r="V937" s="101"/>
      <c r="W937" s="101"/>
      <c r="X937" s="101"/>
      <c r="Y937" s="101"/>
      <c r="Z937" s="101"/>
      <c r="AA937" s="101"/>
      <c r="AB937" s="101"/>
      <c r="AC937" s="101"/>
      <c r="AD937" s="101"/>
      <c r="AE937" s="101"/>
      <c r="AF937" s="101"/>
      <c r="AG937" s="101"/>
    </row>
    <row r="938" spans="21:33" s="1" customFormat="1" x14ac:dyDescent="0.25">
      <c r="U938" s="101"/>
      <c r="V938" s="101"/>
      <c r="W938" s="101"/>
      <c r="X938" s="101"/>
      <c r="Y938" s="101"/>
      <c r="Z938" s="101"/>
      <c r="AA938" s="101"/>
      <c r="AB938" s="101"/>
      <c r="AC938" s="101"/>
      <c r="AD938" s="101"/>
      <c r="AE938" s="101"/>
      <c r="AF938" s="101"/>
      <c r="AG938" s="101"/>
    </row>
    <row r="939" spans="21:33" s="1" customFormat="1" x14ac:dyDescent="0.25">
      <c r="U939" s="101"/>
      <c r="V939" s="101"/>
      <c r="W939" s="101"/>
      <c r="X939" s="101"/>
      <c r="Y939" s="101"/>
      <c r="Z939" s="101"/>
      <c r="AA939" s="101"/>
      <c r="AB939" s="101"/>
      <c r="AC939" s="101"/>
      <c r="AD939" s="101"/>
      <c r="AE939" s="101"/>
      <c r="AF939" s="101"/>
      <c r="AG939" s="101"/>
    </row>
    <row r="940" spans="21:33" s="1" customFormat="1" x14ac:dyDescent="0.25">
      <c r="U940" s="101"/>
      <c r="V940" s="101"/>
      <c r="W940" s="101"/>
      <c r="X940" s="101"/>
      <c r="Y940" s="101"/>
      <c r="Z940" s="101"/>
      <c r="AA940" s="101"/>
      <c r="AB940" s="101"/>
      <c r="AC940" s="101"/>
      <c r="AD940" s="101"/>
      <c r="AE940" s="101"/>
      <c r="AF940" s="101"/>
      <c r="AG940" s="101"/>
    </row>
    <row r="941" spans="21:33" s="1" customFormat="1" x14ac:dyDescent="0.25">
      <c r="U941" s="101"/>
      <c r="V941" s="101"/>
      <c r="W941" s="101"/>
      <c r="X941" s="101"/>
      <c r="Y941" s="101"/>
      <c r="Z941" s="101"/>
      <c r="AA941" s="101"/>
      <c r="AB941" s="101"/>
      <c r="AC941" s="101"/>
      <c r="AD941" s="101"/>
      <c r="AE941" s="101"/>
      <c r="AF941" s="101"/>
      <c r="AG941" s="101"/>
    </row>
    <row r="942" spans="21:33" s="1" customFormat="1" x14ac:dyDescent="0.25">
      <c r="U942" s="101"/>
      <c r="V942" s="101"/>
      <c r="W942" s="101"/>
      <c r="X942" s="101"/>
      <c r="Y942" s="101"/>
      <c r="Z942" s="101"/>
      <c r="AA942" s="101"/>
      <c r="AB942" s="101"/>
      <c r="AC942" s="101"/>
      <c r="AD942" s="101"/>
      <c r="AE942" s="101"/>
      <c r="AF942" s="101"/>
      <c r="AG942" s="101"/>
    </row>
    <row r="943" spans="21:33" s="1" customFormat="1" x14ac:dyDescent="0.25">
      <c r="U943" s="101"/>
      <c r="V943" s="101"/>
      <c r="W943" s="101"/>
      <c r="X943" s="101"/>
      <c r="Y943" s="101"/>
      <c r="Z943" s="101"/>
      <c r="AA943" s="101"/>
      <c r="AB943" s="101"/>
      <c r="AC943" s="101"/>
      <c r="AD943" s="101"/>
      <c r="AE943" s="101"/>
      <c r="AF943" s="101"/>
      <c r="AG943" s="101"/>
    </row>
    <row r="944" spans="21:33" s="1" customFormat="1" x14ac:dyDescent="0.25">
      <c r="U944" s="101"/>
      <c r="V944" s="101"/>
      <c r="W944" s="101"/>
      <c r="X944" s="101"/>
      <c r="Y944" s="101"/>
      <c r="Z944" s="101"/>
      <c r="AA944" s="101"/>
      <c r="AB944" s="101"/>
      <c r="AC944" s="101"/>
      <c r="AD944" s="101"/>
      <c r="AE944" s="101"/>
      <c r="AF944" s="101"/>
      <c r="AG944" s="101"/>
    </row>
    <row r="945" spans="21:33" s="1" customFormat="1" x14ac:dyDescent="0.25">
      <c r="U945" s="101"/>
      <c r="V945" s="101"/>
      <c r="W945" s="101"/>
      <c r="X945" s="101"/>
      <c r="Y945" s="101"/>
      <c r="Z945" s="101"/>
      <c r="AA945" s="101"/>
      <c r="AB945" s="101"/>
      <c r="AC945" s="101"/>
      <c r="AD945" s="101"/>
      <c r="AE945" s="101"/>
      <c r="AF945" s="101"/>
      <c r="AG945" s="101"/>
    </row>
    <row r="946" spans="21:33" s="1" customFormat="1" x14ac:dyDescent="0.25">
      <c r="U946" s="101"/>
      <c r="V946" s="101"/>
      <c r="W946" s="101"/>
      <c r="X946" s="101"/>
      <c r="Y946" s="101"/>
      <c r="Z946" s="101"/>
      <c r="AA946" s="101"/>
      <c r="AB946" s="101"/>
      <c r="AC946" s="101"/>
      <c r="AD946" s="101"/>
      <c r="AE946" s="101"/>
      <c r="AF946" s="101"/>
      <c r="AG946" s="101"/>
    </row>
    <row r="947" spans="21:33" s="1" customFormat="1" x14ac:dyDescent="0.25">
      <c r="U947" s="101"/>
      <c r="V947" s="101"/>
      <c r="W947" s="101"/>
      <c r="X947" s="101"/>
      <c r="Y947" s="101"/>
      <c r="Z947" s="101"/>
      <c r="AA947" s="101"/>
      <c r="AB947" s="101"/>
      <c r="AC947" s="101"/>
      <c r="AD947" s="101"/>
      <c r="AE947" s="101"/>
      <c r="AF947" s="101"/>
      <c r="AG947" s="101"/>
    </row>
    <row r="948" spans="21:33" s="1" customFormat="1" x14ac:dyDescent="0.25">
      <c r="U948" s="101"/>
      <c r="V948" s="101"/>
      <c r="W948" s="101"/>
      <c r="X948" s="101"/>
      <c r="Y948" s="101"/>
      <c r="Z948" s="101"/>
      <c r="AA948" s="101"/>
      <c r="AB948" s="101"/>
      <c r="AC948" s="101"/>
      <c r="AD948" s="101"/>
      <c r="AE948" s="101"/>
      <c r="AF948" s="101"/>
      <c r="AG948" s="101"/>
    </row>
    <row r="949" spans="21:33" s="1" customFormat="1" x14ac:dyDescent="0.25">
      <c r="U949" s="101"/>
      <c r="V949" s="101"/>
      <c r="W949" s="101"/>
      <c r="X949" s="101"/>
      <c r="Y949" s="101"/>
      <c r="Z949" s="101"/>
      <c r="AA949" s="101"/>
      <c r="AB949" s="101"/>
      <c r="AC949" s="101"/>
      <c r="AD949" s="101"/>
      <c r="AE949" s="101"/>
      <c r="AF949" s="101"/>
      <c r="AG949" s="101"/>
    </row>
    <row r="950" spans="21:33" s="1" customFormat="1" x14ac:dyDescent="0.25">
      <c r="U950" s="101"/>
      <c r="V950" s="101"/>
      <c r="W950" s="101"/>
      <c r="X950" s="101"/>
      <c r="Y950" s="101"/>
      <c r="Z950" s="101"/>
      <c r="AA950" s="101"/>
      <c r="AB950" s="101"/>
      <c r="AC950" s="101"/>
      <c r="AD950" s="101"/>
      <c r="AE950" s="101"/>
      <c r="AF950" s="101"/>
      <c r="AG950" s="101"/>
    </row>
    <row r="951" spans="21:33" s="1" customFormat="1" x14ac:dyDescent="0.25">
      <c r="U951" s="101"/>
      <c r="V951" s="101"/>
      <c r="W951" s="101"/>
      <c r="X951" s="101"/>
      <c r="Y951" s="101"/>
      <c r="Z951" s="101"/>
      <c r="AA951" s="101"/>
      <c r="AB951" s="101"/>
      <c r="AC951" s="101"/>
      <c r="AD951" s="101"/>
      <c r="AE951" s="101"/>
      <c r="AF951" s="101"/>
      <c r="AG951" s="101"/>
    </row>
    <row r="952" spans="21:33" s="1" customFormat="1" x14ac:dyDescent="0.25">
      <c r="U952" s="101"/>
      <c r="V952" s="101"/>
      <c r="W952" s="101"/>
      <c r="X952" s="101"/>
      <c r="Y952" s="101"/>
      <c r="Z952" s="101"/>
      <c r="AA952" s="101"/>
      <c r="AB952" s="101"/>
      <c r="AC952" s="101"/>
      <c r="AD952" s="101"/>
      <c r="AE952" s="101"/>
      <c r="AF952" s="101"/>
      <c r="AG952" s="101"/>
    </row>
    <row r="953" spans="21:33" s="1" customFormat="1" x14ac:dyDescent="0.25">
      <c r="U953" s="101"/>
      <c r="V953" s="101"/>
      <c r="W953" s="101"/>
      <c r="X953" s="101"/>
      <c r="Y953" s="101"/>
      <c r="Z953" s="101"/>
      <c r="AA953" s="101"/>
      <c r="AB953" s="101"/>
      <c r="AC953" s="101"/>
      <c r="AD953" s="101"/>
      <c r="AE953" s="101"/>
      <c r="AF953" s="101"/>
      <c r="AG953" s="101"/>
    </row>
    <row r="954" spans="21:33" s="1" customFormat="1" x14ac:dyDescent="0.25">
      <c r="U954" s="101"/>
      <c r="V954" s="101"/>
      <c r="W954" s="101"/>
      <c r="X954" s="101"/>
      <c r="Y954" s="101"/>
      <c r="Z954" s="101"/>
      <c r="AA954" s="101"/>
      <c r="AB954" s="101"/>
      <c r="AC954" s="101"/>
      <c r="AD954" s="101"/>
      <c r="AE954" s="101"/>
      <c r="AF954" s="101"/>
      <c r="AG954" s="101"/>
    </row>
    <row r="955" spans="21:33" s="1" customFormat="1" x14ac:dyDescent="0.25">
      <c r="U955" s="101"/>
      <c r="V955" s="101"/>
      <c r="W955" s="101"/>
      <c r="X955" s="101"/>
      <c r="Y955" s="101"/>
      <c r="Z955" s="101"/>
      <c r="AA955" s="101"/>
      <c r="AB955" s="101"/>
      <c r="AC955" s="101"/>
      <c r="AD955" s="101"/>
      <c r="AE955" s="101"/>
      <c r="AF955" s="101"/>
      <c r="AG955" s="101"/>
    </row>
    <row r="956" spans="21:33" s="1" customFormat="1" x14ac:dyDescent="0.25">
      <c r="U956" s="101"/>
      <c r="V956" s="101"/>
      <c r="W956" s="101"/>
      <c r="X956" s="101"/>
      <c r="Y956" s="101"/>
      <c r="Z956" s="101"/>
      <c r="AA956" s="101"/>
      <c r="AB956" s="101"/>
      <c r="AC956" s="101"/>
      <c r="AD956" s="101"/>
      <c r="AE956" s="101"/>
      <c r="AF956" s="101"/>
      <c r="AG956" s="101"/>
    </row>
    <row r="957" spans="21:33" s="1" customFormat="1" x14ac:dyDescent="0.25">
      <c r="U957" s="101"/>
      <c r="V957" s="101"/>
      <c r="W957" s="101"/>
      <c r="X957" s="101"/>
      <c r="Y957" s="101"/>
      <c r="Z957" s="101"/>
      <c r="AA957" s="101"/>
      <c r="AB957" s="101"/>
      <c r="AC957" s="101"/>
      <c r="AD957" s="101"/>
      <c r="AE957" s="101"/>
      <c r="AF957" s="101"/>
      <c r="AG957" s="101"/>
    </row>
    <row r="958" spans="21:33" s="1" customFormat="1" x14ac:dyDescent="0.25">
      <c r="U958" s="101"/>
      <c r="V958" s="101"/>
      <c r="W958" s="101"/>
      <c r="X958" s="101"/>
      <c r="Y958" s="101"/>
      <c r="Z958" s="101"/>
      <c r="AA958" s="101"/>
      <c r="AB958" s="101"/>
      <c r="AC958" s="101"/>
      <c r="AD958" s="101"/>
      <c r="AE958" s="101"/>
      <c r="AF958" s="101"/>
      <c r="AG958" s="101"/>
    </row>
    <row r="959" spans="21:33" s="1" customFormat="1" x14ac:dyDescent="0.25">
      <c r="U959" s="101"/>
      <c r="V959" s="101"/>
      <c r="W959" s="101"/>
      <c r="X959" s="101"/>
      <c r="Y959" s="101"/>
      <c r="Z959" s="101"/>
      <c r="AA959" s="101"/>
      <c r="AB959" s="101"/>
      <c r="AC959" s="101"/>
      <c r="AD959" s="101"/>
      <c r="AE959" s="101"/>
      <c r="AF959" s="101"/>
      <c r="AG959" s="101"/>
    </row>
    <row r="960" spans="21:33" s="1" customFormat="1" x14ac:dyDescent="0.25">
      <c r="U960" s="101"/>
      <c r="V960" s="101"/>
      <c r="W960" s="101"/>
      <c r="X960" s="101"/>
      <c r="Y960" s="101"/>
      <c r="Z960" s="101"/>
      <c r="AA960" s="101"/>
      <c r="AB960" s="101"/>
      <c r="AC960" s="101"/>
      <c r="AD960" s="101"/>
      <c r="AE960" s="101"/>
      <c r="AF960" s="101"/>
      <c r="AG960" s="101"/>
    </row>
    <row r="961" spans="21:33" s="1" customFormat="1" x14ac:dyDescent="0.25">
      <c r="U961" s="101"/>
      <c r="V961" s="101"/>
      <c r="W961" s="101"/>
      <c r="X961" s="101"/>
      <c r="Y961" s="101"/>
      <c r="Z961" s="101"/>
      <c r="AA961" s="101"/>
      <c r="AB961" s="101"/>
      <c r="AC961" s="101"/>
      <c r="AD961" s="101"/>
      <c r="AE961" s="101"/>
      <c r="AF961" s="101"/>
      <c r="AG961" s="101"/>
    </row>
    <row r="962" spans="21:33" s="1" customFormat="1" x14ac:dyDescent="0.25">
      <c r="U962" s="101"/>
      <c r="V962" s="101"/>
      <c r="W962" s="101"/>
      <c r="X962" s="101"/>
      <c r="Y962" s="101"/>
      <c r="Z962" s="101"/>
      <c r="AA962" s="101"/>
      <c r="AB962" s="101"/>
      <c r="AC962" s="101"/>
      <c r="AD962" s="101"/>
      <c r="AE962" s="101"/>
      <c r="AF962" s="101"/>
      <c r="AG962" s="101"/>
    </row>
    <row r="963" spans="21:33" s="1" customFormat="1" x14ac:dyDescent="0.25">
      <c r="U963" s="101"/>
      <c r="V963" s="101"/>
      <c r="W963" s="101"/>
      <c r="X963" s="101"/>
      <c r="Y963" s="101"/>
      <c r="Z963" s="101"/>
      <c r="AA963" s="101"/>
      <c r="AB963" s="101"/>
      <c r="AC963" s="101"/>
      <c r="AD963" s="101"/>
      <c r="AE963" s="101"/>
      <c r="AF963" s="101"/>
      <c r="AG963" s="101"/>
    </row>
    <row r="964" spans="21:33" s="1" customFormat="1" x14ac:dyDescent="0.25">
      <c r="U964" s="101"/>
      <c r="V964" s="101"/>
      <c r="W964" s="101"/>
      <c r="X964" s="101"/>
      <c r="Y964" s="101"/>
      <c r="Z964" s="101"/>
      <c r="AA964" s="101"/>
      <c r="AB964" s="101"/>
      <c r="AC964" s="101"/>
      <c r="AD964" s="101"/>
      <c r="AE964" s="101"/>
      <c r="AF964" s="101"/>
      <c r="AG964" s="101"/>
    </row>
    <row r="965" spans="21:33" s="1" customFormat="1" x14ac:dyDescent="0.25">
      <c r="U965" s="101"/>
      <c r="V965" s="101"/>
      <c r="W965" s="101"/>
      <c r="X965" s="101"/>
      <c r="Y965" s="101"/>
      <c r="Z965" s="101"/>
      <c r="AA965" s="101"/>
      <c r="AB965" s="101"/>
      <c r="AC965" s="101"/>
      <c r="AD965" s="101"/>
      <c r="AE965" s="101"/>
      <c r="AF965" s="101"/>
      <c r="AG965" s="101"/>
    </row>
    <row r="966" spans="21:33" s="1" customFormat="1" x14ac:dyDescent="0.25">
      <c r="U966" s="101"/>
      <c r="V966" s="101"/>
      <c r="W966" s="101"/>
      <c r="X966" s="101"/>
      <c r="Y966" s="101"/>
      <c r="Z966" s="101"/>
      <c r="AA966" s="101"/>
      <c r="AB966" s="101"/>
      <c r="AC966" s="101"/>
      <c r="AD966" s="101"/>
      <c r="AE966" s="101"/>
      <c r="AF966" s="101"/>
      <c r="AG966" s="101"/>
    </row>
    <row r="967" spans="21:33" s="1" customFormat="1" x14ac:dyDescent="0.25">
      <c r="U967" s="101"/>
      <c r="V967" s="101"/>
      <c r="W967" s="101"/>
      <c r="X967" s="101"/>
      <c r="Y967" s="101"/>
      <c r="Z967" s="101"/>
      <c r="AA967" s="101"/>
      <c r="AB967" s="101"/>
      <c r="AC967" s="101"/>
      <c r="AD967" s="101"/>
      <c r="AE967" s="101"/>
      <c r="AF967" s="101"/>
      <c r="AG967" s="101"/>
    </row>
    <row r="968" spans="21:33" s="1" customFormat="1" x14ac:dyDescent="0.25">
      <c r="U968" s="101"/>
      <c r="V968" s="101"/>
      <c r="W968" s="101"/>
      <c r="X968" s="101"/>
      <c r="Y968" s="101"/>
      <c r="Z968" s="101"/>
      <c r="AA968" s="101"/>
      <c r="AB968" s="101"/>
      <c r="AC968" s="101"/>
      <c r="AD968" s="101"/>
      <c r="AE968" s="101"/>
      <c r="AF968" s="101"/>
      <c r="AG968" s="101"/>
    </row>
    <row r="969" spans="21:33" s="1" customFormat="1" x14ac:dyDescent="0.25">
      <c r="U969" s="101"/>
      <c r="V969" s="101"/>
      <c r="W969" s="101"/>
      <c r="X969" s="101"/>
      <c r="Y969" s="101"/>
      <c r="Z969" s="101"/>
      <c r="AA969" s="101"/>
      <c r="AB969" s="101"/>
      <c r="AC969" s="101"/>
      <c r="AD969" s="101"/>
      <c r="AE969" s="101"/>
      <c r="AF969" s="101"/>
      <c r="AG969" s="101"/>
    </row>
    <row r="970" spans="21:33" s="1" customFormat="1" x14ac:dyDescent="0.25">
      <c r="U970" s="101"/>
      <c r="V970" s="101"/>
      <c r="W970" s="101"/>
      <c r="X970" s="101"/>
      <c r="Y970" s="101"/>
      <c r="Z970" s="101"/>
      <c r="AA970" s="101"/>
      <c r="AB970" s="101"/>
      <c r="AC970" s="101"/>
      <c r="AD970" s="101"/>
      <c r="AE970" s="101"/>
      <c r="AF970" s="101"/>
      <c r="AG970" s="101"/>
    </row>
    <row r="971" spans="21:33" s="1" customFormat="1" x14ac:dyDescent="0.25">
      <c r="U971" s="101"/>
      <c r="V971" s="101"/>
      <c r="W971" s="101"/>
      <c r="X971" s="101"/>
      <c r="Y971" s="101"/>
      <c r="Z971" s="101"/>
      <c r="AA971" s="101"/>
      <c r="AB971" s="101"/>
      <c r="AC971" s="101"/>
      <c r="AD971" s="101"/>
      <c r="AE971" s="101"/>
      <c r="AF971" s="101"/>
      <c r="AG971" s="101"/>
    </row>
    <row r="972" spans="21:33" s="1" customFormat="1" x14ac:dyDescent="0.25">
      <c r="U972" s="101"/>
      <c r="V972" s="101"/>
      <c r="W972" s="101"/>
      <c r="X972" s="101"/>
      <c r="Y972" s="101"/>
      <c r="Z972" s="101"/>
      <c r="AA972" s="101"/>
      <c r="AB972" s="101"/>
      <c r="AC972" s="101"/>
      <c r="AD972" s="101"/>
      <c r="AE972" s="101"/>
      <c r="AF972" s="101"/>
      <c r="AG972" s="101"/>
    </row>
    <row r="973" spans="21:33" s="1" customFormat="1" x14ac:dyDescent="0.25">
      <c r="U973" s="101"/>
      <c r="V973" s="101"/>
      <c r="W973" s="101"/>
      <c r="X973" s="101"/>
      <c r="Y973" s="101"/>
      <c r="Z973" s="101"/>
      <c r="AA973" s="101"/>
      <c r="AB973" s="101"/>
      <c r="AC973" s="101"/>
      <c r="AD973" s="101"/>
      <c r="AE973" s="101"/>
      <c r="AF973" s="101"/>
      <c r="AG973" s="101"/>
    </row>
    <row r="974" spans="21:33" s="1" customFormat="1" x14ac:dyDescent="0.25">
      <c r="U974" s="101"/>
      <c r="V974" s="101"/>
      <c r="W974" s="101"/>
      <c r="X974" s="101"/>
      <c r="Y974" s="101"/>
      <c r="Z974" s="101"/>
      <c r="AA974" s="101"/>
      <c r="AB974" s="101"/>
      <c r="AC974" s="101"/>
      <c r="AD974" s="101"/>
      <c r="AE974" s="101"/>
      <c r="AF974" s="101"/>
      <c r="AG974" s="101"/>
    </row>
    <row r="975" spans="21:33" s="1" customFormat="1" x14ac:dyDescent="0.25">
      <c r="U975" s="101"/>
      <c r="V975" s="101"/>
      <c r="W975" s="101"/>
      <c r="X975" s="101"/>
      <c r="Y975" s="101"/>
      <c r="Z975" s="101"/>
      <c r="AA975" s="101"/>
      <c r="AB975" s="101"/>
      <c r="AC975" s="101"/>
      <c r="AD975" s="101"/>
      <c r="AE975" s="101"/>
      <c r="AF975" s="101"/>
      <c r="AG975" s="101"/>
    </row>
    <row r="976" spans="21:33" s="1" customFormat="1" x14ac:dyDescent="0.25">
      <c r="U976" s="101"/>
      <c r="V976" s="101"/>
      <c r="W976" s="101"/>
      <c r="X976" s="101"/>
      <c r="Y976" s="101"/>
      <c r="Z976" s="101"/>
      <c r="AA976" s="101"/>
      <c r="AB976" s="101"/>
      <c r="AC976" s="101"/>
      <c r="AD976" s="101"/>
      <c r="AE976" s="101"/>
      <c r="AF976" s="101"/>
      <c r="AG976" s="101"/>
    </row>
    <row r="977" spans="21:33" s="1" customFormat="1" x14ac:dyDescent="0.25">
      <c r="U977" s="101"/>
      <c r="V977" s="101"/>
      <c r="W977" s="101"/>
      <c r="X977" s="101"/>
      <c r="Y977" s="101"/>
      <c r="Z977" s="101"/>
      <c r="AA977" s="101"/>
      <c r="AB977" s="101"/>
      <c r="AC977" s="101"/>
      <c r="AD977" s="101"/>
      <c r="AE977" s="101"/>
      <c r="AF977" s="101"/>
      <c r="AG977" s="101"/>
    </row>
    <row r="978" spans="21:33" s="1" customFormat="1" x14ac:dyDescent="0.25">
      <c r="U978" s="101"/>
      <c r="V978" s="101"/>
      <c r="W978" s="101"/>
      <c r="X978" s="101"/>
      <c r="Y978" s="101"/>
      <c r="Z978" s="101"/>
      <c r="AA978" s="101"/>
      <c r="AB978" s="101"/>
      <c r="AC978" s="101"/>
      <c r="AD978" s="101"/>
      <c r="AE978" s="101"/>
      <c r="AF978" s="101"/>
      <c r="AG978" s="101"/>
    </row>
    <row r="979" spans="21:33" s="1" customFormat="1" x14ac:dyDescent="0.25">
      <c r="U979" s="101"/>
      <c r="V979" s="101"/>
      <c r="W979" s="101"/>
      <c r="X979" s="101"/>
      <c r="Y979" s="101"/>
      <c r="Z979" s="101"/>
      <c r="AA979" s="101"/>
      <c r="AB979" s="101"/>
      <c r="AC979" s="101"/>
      <c r="AD979" s="101"/>
      <c r="AE979" s="101"/>
      <c r="AF979" s="101"/>
      <c r="AG979" s="101"/>
    </row>
    <row r="980" spans="21:33" s="1" customFormat="1" x14ac:dyDescent="0.25">
      <c r="U980" s="101"/>
      <c r="V980" s="101"/>
      <c r="W980" s="101"/>
      <c r="X980" s="101"/>
      <c r="Y980" s="101"/>
      <c r="Z980" s="101"/>
      <c r="AA980" s="101"/>
      <c r="AB980" s="101"/>
      <c r="AC980" s="101"/>
      <c r="AD980" s="101"/>
      <c r="AE980" s="101"/>
      <c r="AF980" s="101"/>
      <c r="AG980" s="101"/>
    </row>
    <row r="981" spans="21:33" s="1" customFormat="1" x14ac:dyDescent="0.25">
      <c r="U981" s="101"/>
      <c r="V981" s="101"/>
      <c r="W981" s="101"/>
      <c r="X981" s="101"/>
      <c r="Y981" s="101"/>
      <c r="Z981" s="101"/>
      <c r="AA981" s="101"/>
      <c r="AB981" s="101"/>
      <c r="AC981" s="101"/>
      <c r="AD981" s="101"/>
      <c r="AE981" s="101"/>
      <c r="AF981" s="101"/>
      <c r="AG981" s="101"/>
    </row>
    <row r="982" spans="21:33" s="1" customFormat="1" x14ac:dyDescent="0.25">
      <c r="U982" s="101"/>
      <c r="V982" s="101"/>
      <c r="W982" s="101"/>
      <c r="X982" s="101"/>
      <c r="Y982" s="101"/>
      <c r="Z982" s="101"/>
      <c r="AA982" s="101"/>
      <c r="AB982" s="101"/>
      <c r="AC982" s="101"/>
      <c r="AD982" s="101"/>
      <c r="AE982" s="101"/>
      <c r="AF982" s="101"/>
      <c r="AG982" s="101"/>
    </row>
    <row r="983" spans="21:33" s="1" customFormat="1" x14ac:dyDescent="0.25">
      <c r="U983" s="101"/>
      <c r="V983" s="101"/>
      <c r="W983" s="101"/>
      <c r="X983" s="101"/>
      <c r="Y983" s="101"/>
      <c r="Z983" s="101"/>
      <c r="AA983" s="101"/>
      <c r="AB983" s="101"/>
      <c r="AC983" s="101"/>
      <c r="AD983" s="101"/>
      <c r="AE983" s="101"/>
      <c r="AF983" s="101"/>
      <c r="AG983" s="101"/>
    </row>
    <row r="984" spans="21:33" s="1" customFormat="1" x14ac:dyDescent="0.25">
      <c r="U984" s="101"/>
      <c r="V984" s="101"/>
      <c r="W984" s="101"/>
      <c r="X984" s="101"/>
      <c r="Y984" s="101"/>
      <c r="Z984" s="101"/>
      <c r="AA984" s="101"/>
      <c r="AB984" s="101"/>
      <c r="AC984" s="101"/>
      <c r="AD984" s="101"/>
      <c r="AE984" s="101"/>
      <c r="AF984" s="101"/>
      <c r="AG984" s="101"/>
    </row>
    <row r="985" spans="21:33" s="1" customFormat="1" x14ac:dyDescent="0.25">
      <c r="U985" s="101"/>
      <c r="V985" s="101"/>
      <c r="W985" s="101"/>
      <c r="X985" s="101"/>
      <c r="Y985" s="101"/>
      <c r="Z985" s="101"/>
      <c r="AA985" s="101"/>
      <c r="AB985" s="101"/>
      <c r="AC985" s="101"/>
      <c r="AD985" s="101"/>
      <c r="AE985" s="101"/>
      <c r="AF985" s="101"/>
      <c r="AG985" s="101"/>
    </row>
    <row r="986" spans="21:33" s="1" customFormat="1" x14ac:dyDescent="0.25">
      <c r="U986" s="101"/>
      <c r="V986" s="101"/>
      <c r="W986" s="101"/>
      <c r="X986" s="101"/>
      <c r="Y986" s="101"/>
      <c r="Z986" s="101"/>
      <c r="AA986" s="101"/>
      <c r="AB986" s="101"/>
      <c r="AC986" s="101"/>
      <c r="AD986" s="101"/>
      <c r="AE986" s="101"/>
      <c r="AF986" s="101"/>
      <c r="AG986" s="101"/>
    </row>
    <row r="987" spans="21:33" s="1" customFormat="1" x14ac:dyDescent="0.25">
      <c r="U987" s="101"/>
      <c r="V987" s="101"/>
      <c r="W987" s="101"/>
      <c r="X987" s="101"/>
      <c r="Y987" s="101"/>
      <c r="Z987" s="101"/>
      <c r="AA987" s="101"/>
      <c r="AB987" s="101"/>
      <c r="AC987" s="101"/>
      <c r="AD987" s="101"/>
      <c r="AE987" s="101"/>
      <c r="AF987" s="101"/>
      <c r="AG987" s="101"/>
    </row>
    <row r="988" spans="21:33" s="1" customFormat="1" x14ac:dyDescent="0.25">
      <c r="U988" s="101"/>
      <c r="V988" s="101"/>
      <c r="W988" s="101"/>
      <c r="X988" s="101"/>
      <c r="Y988" s="101"/>
      <c r="Z988" s="101"/>
      <c r="AA988" s="101"/>
      <c r="AB988" s="101"/>
      <c r="AC988" s="101"/>
      <c r="AD988" s="101"/>
      <c r="AE988" s="101"/>
      <c r="AF988" s="101"/>
      <c r="AG988" s="101"/>
    </row>
    <row r="989" spans="21:33" s="1" customFormat="1" x14ac:dyDescent="0.25">
      <c r="U989" s="101"/>
      <c r="V989" s="101"/>
      <c r="W989" s="101"/>
      <c r="X989" s="101"/>
      <c r="Y989" s="101"/>
      <c r="Z989" s="101"/>
      <c r="AA989" s="101"/>
      <c r="AB989" s="101"/>
      <c r="AC989" s="101"/>
      <c r="AD989" s="101"/>
      <c r="AE989" s="101"/>
      <c r="AF989" s="101"/>
      <c r="AG989" s="101"/>
    </row>
    <row r="990" spans="21:33" s="1" customFormat="1" x14ac:dyDescent="0.25">
      <c r="U990" s="101"/>
      <c r="V990" s="101"/>
      <c r="W990" s="101"/>
      <c r="X990" s="101"/>
      <c r="Y990" s="101"/>
      <c r="Z990" s="101"/>
      <c r="AA990" s="101"/>
      <c r="AB990" s="101"/>
      <c r="AC990" s="101"/>
      <c r="AD990" s="101"/>
      <c r="AE990" s="101"/>
      <c r="AF990" s="101"/>
      <c r="AG990" s="101"/>
    </row>
    <row r="991" spans="21:33" s="1" customFormat="1" x14ac:dyDescent="0.25">
      <c r="U991" s="101"/>
      <c r="V991" s="101"/>
      <c r="W991" s="101"/>
      <c r="X991" s="101"/>
      <c r="Y991" s="101"/>
      <c r="Z991" s="101"/>
      <c r="AA991" s="101"/>
      <c r="AB991" s="101"/>
      <c r="AC991" s="101"/>
      <c r="AD991" s="101"/>
      <c r="AE991" s="101"/>
      <c r="AF991" s="101"/>
      <c r="AG991" s="101"/>
    </row>
    <row r="992" spans="21:33" s="1" customFormat="1" x14ac:dyDescent="0.25">
      <c r="U992" s="101"/>
      <c r="V992" s="101"/>
      <c r="W992" s="101"/>
      <c r="X992" s="101"/>
      <c r="Y992" s="101"/>
      <c r="Z992" s="101"/>
      <c r="AA992" s="101"/>
      <c r="AB992" s="101"/>
      <c r="AC992" s="101"/>
      <c r="AD992" s="101"/>
      <c r="AE992" s="101"/>
      <c r="AF992" s="101"/>
      <c r="AG992" s="101"/>
    </row>
    <row r="993" spans="21:33" s="1" customFormat="1" x14ac:dyDescent="0.25">
      <c r="U993" s="101"/>
      <c r="V993" s="101"/>
      <c r="W993" s="101"/>
      <c r="X993" s="101"/>
      <c r="Y993" s="101"/>
      <c r="Z993" s="101"/>
      <c r="AA993" s="101"/>
      <c r="AB993" s="101"/>
      <c r="AC993" s="101"/>
      <c r="AD993" s="101"/>
      <c r="AE993" s="101"/>
      <c r="AF993" s="101"/>
      <c r="AG993" s="101"/>
    </row>
    <row r="994" spans="21:33" s="1" customFormat="1" x14ac:dyDescent="0.25">
      <c r="U994" s="101"/>
      <c r="V994" s="101"/>
      <c r="W994" s="101"/>
      <c r="X994" s="101"/>
      <c r="Y994" s="101"/>
      <c r="Z994" s="101"/>
      <c r="AA994" s="101"/>
      <c r="AB994" s="101"/>
      <c r="AC994" s="101"/>
      <c r="AD994" s="101"/>
      <c r="AE994" s="101"/>
      <c r="AF994" s="101"/>
      <c r="AG994" s="101"/>
    </row>
    <row r="995" spans="21:33" s="1" customFormat="1" x14ac:dyDescent="0.25">
      <c r="U995" s="101"/>
      <c r="V995" s="101"/>
      <c r="W995" s="101"/>
      <c r="X995" s="101"/>
      <c r="Y995" s="101"/>
      <c r="Z995" s="101"/>
      <c r="AA995" s="101"/>
      <c r="AB995" s="101"/>
      <c r="AC995" s="101"/>
      <c r="AD995" s="101"/>
      <c r="AE995" s="101"/>
      <c r="AF995" s="101"/>
      <c r="AG995" s="101"/>
    </row>
    <row r="996" spans="21:33" s="1" customFormat="1" x14ac:dyDescent="0.25">
      <c r="U996" s="101"/>
      <c r="V996" s="101"/>
      <c r="W996" s="101"/>
      <c r="X996" s="101"/>
      <c r="Y996" s="101"/>
      <c r="Z996" s="101"/>
      <c r="AA996" s="101"/>
      <c r="AB996" s="101"/>
      <c r="AC996" s="101"/>
      <c r="AD996" s="101"/>
      <c r="AE996" s="101"/>
      <c r="AF996" s="101"/>
      <c r="AG996" s="101"/>
    </row>
    <row r="997" spans="21:33" s="1" customFormat="1" x14ac:dyDescent="0.25">
      <c r="U997" s="101"/>
      <c r="V997" s="101"/>
      <c r="W997" s="101"/>
      <c r="X997" s="101"/>
      <c r="Y997" s="101"/>
      <c r="Z997" s="101"/>
      <c r="AA997" s="101"/>
      <c r="AB997" s="101"/>
      <c r="AC997" s="101"/>
      <c r="AD997" s="101"/>
      <c r="AE997" s="101"/>
      <c r="AF997" s="101"/>
      <c r="AG997" s="101"/>
    </row>
    <row r="998" spans="21:33" s="1" customFormat="1" x14ac:dyDescent="0.25">
      <c r="U998" s="101"/>
      <c r="V998" s="101"/>
      <c r="W998" s="101"/>
      <c r="X998" s="101"/>
      <c r="Y998" s="101"/>
      <c r="Z998" s="101"/>
      <c r="AA998" s="101"/>
      <c r="AB998" s="101"/>
      <c r="AC998" s="101"/>
      <c r="AD998" s="101"/>
      <c r="AE998" s="101"/>
      <c r="AF998" s="101"/>
      <c r="AG998" s="101"/>
    </row>
    <row r="999" spans="21:33" s="1" customFormat="1" x14ac:dyDescent="0.25">
      <c r="U999" s="101"/>
      <c r="V999" s="101"/>
      <c r="W999" s="101"/>
      <c r="X999" s="101"/>
      <c r="Y999" s="101"/>
      <c r="Z999" s="101"/>
      <c r="AA999" s="101"/>
      <c r="AB999" s="101"/>
      <c r="AC999" s="101"/>
      <c r="AD999" s="101"/>
      <c r="AE999" s="101"/>
      <c r="AF999" s="101"/>
      <c r="AG999" s="101"/>
    </row>
    <row r="1000" spans="21:33" s="1" customFormat="1" x14ac:dyDescent="0.25">
      <c r="U1000" s="101"/>
      <c r="V1000" s="101"/>
      <c r="W1000" s="101"/>
      <c r="X1000" s="101"/>
      <c r="Y1000" s="101"/>
      <c r="Z1000" s="101"/>
      <c r="AA1000" s="101"/>
      <c r="AB1000" s="101"/>
      <c r="AC1000" s="101"/>
      <c r="AD1000" s="101"/>
      <c r="AE1000" s="101"/>
      <c r="AF1000" s="101"/>
      <c r="AG1000" s="101"/>
    </row>
    <row r="1001" spans="21:33" s="1" customFormat="1" x14ac:dyDescent="0.25">
      <c r="U1001" s="101"/>
      <c r="V1001" s="101"/>
      <c r="W1001" s="101"/>
      <c r="X1001" s="101"/>
      <c r="Y1001" s="101"/>
      <c r="Z1001" s="101"/>
      <c r="AA1001" s="101"/>
      <c r="AB1001" s="101"/>
      <c r="AC1001" s="101"/>
      <c r="AD1001" s="101"/>
      <c r="AE1001" s="101"/>
      <c r="AF1001" s="101"/>
      <c r="AG1001" s="101"/>
    </row>
    <row r="1002" spans="21:33" s="1" customFormat="1" x14ac:dyDescent="0.25">
      <c r="U1002" s="101"/>
      <c r="V1002" s="101"/>
      <c r="W1002" s="101"/>
      <c r="X1002" s="101"/>
      <c r="Y1002" s="101"/>
      <c r="Z1002" s="101"/>
      <c r="AA1002" s="101"/>
      <c r="AB1002" s="101"/>
      <c r="AC1002" s="101"/>
      <c r="AD1002" s="101"/>
      <c r="AE1002" s="101"/>
      <c r="AF1002" s="101"/>
      <c r="AG1002" s="101"/>
    </row>
    <row r="1003" spans="21:33" s="1" customFormat="1" x14ac:dyDescent="0.25">
      <c r="U1003" s="101"/>
      <c r="V1003" s="101"/>
      <c r="W1003" s="101"/>
      <c r="X1003" s="101"/>
      <c r="Y1003" s="101"/>
      <c r="Z1003" s="101"/>
      <c r="AA1003" s="101"/>
      <c r="AB1003" s="101"/>
      <c r="AC1003" s="101"/>
      <c r="AD1003" s="101"/>
      <c r="AE1003" s="101"/>
      <c r="AF1003" s="101"/>
      <c r="AG1003" s="101"/>
    </row>
    <row r="1004" spans="21:33" s="1" customFormat="1" x14ac:dyDescent="0.25">
      <c r="U1004" s="101"/>
      <c r="V1004" s="101"/>
      <c r="W1004" s="101"/>
      <c r="X1004" s="101"/>
      <c r="Y1004" s="101"/>
      <c r="Z1004" s="101"/>
      <c r="AA1004" s="101"/>
      <c r="AB1004" s="101"/>
      <c r="AC1004" s="101"/>
      <c r="AD1004" s="101"/>
      <c r="AE1004" s="101"/>
      <c r="AF1004" s="101"/>
      <c r="AG1004" s="101"/>
    </row>
    <row r="1005" spans="21:33" s="1" customFormat="1" x14ac:dyDescent="0.25">
      <c r="U1005" s="101"/>
      <c r="V1005" s="101"/>
      <c r="W1005" s="101"/>
      <c r="X1005" s="101"/>
      <c r="Y1005" s="101"/>
      <c r="Z1005" s="101"/>
      <c r="AA1005" s="101"/>
      <c r="AB1005" s="101"/>
      <c r="AC1005" s="101"/>
      <c r="AD1005" s="101"/>
      <c r="AE1005" s="101"/>
      <c r="AF1005" s="101"/>
      <c r="AG1005" s="101"/>
    </row>
    <row r="1006" spans="21:33" s="1" customFormat="1" x14ac:dyDescent="0.25">
      <c r="U1006" s="101"/>
      <c r="V1006" s="101"/>
      <c r="W1006" s="101"/>
      <c r="X1006" s="101"/>
      <c r="Y1006" s="101"/>
      <c r="Z1006" s="101"/>
      <c r="AA1006" s="101"/>
      <c r="AB1006" s="101"/>
      <c r="AC1006" s="101"/>
      <c r="AD1006" s="101"/>
      <c r="AE1006" s="101"/>
      <c r="AF1006" s="101"/>
      <c r="AG1006" s="101"/>
    </row>
    <row r="1007" spans="21:33" s="1" customFormat="1" x14ac:dyDescent="0.25">
      <c r="U1007" s="101"/>
      <c r="V1007" s="101"/>
      <c r="W1007" s="101"/>
      <c r="X1007" s="101"/>
      <c r="Y1007" s="101"/>
      <c r="Z1007" s="101"/>
      <c r="AA1007" s="101"/>
      <c r="AB1007" s="101"/>
      <c r="AC1007" s="101"/>
      <c r="AD1007" s="101"/>
      <c r="AE1007" s="101"/>
      <c r="AF1007" s="101"/>
      <c r="AG1007" s="101"/>
    </row>
    <row r="1008" spans="21:33" s="1" customFormat="1" x14ac:dyDescent="0.25">
      <c r="U1008" s="101"/>
      <c r="V1008" s="101"/>
      <c r="W1008" s="101"/>
      <c r="X1008" s="101"/>
      <c r="Y1008" s="101"/>
      <c r="Z1008" s="101"/>
      <c r="AA1008" s="101"/>
      <c r="AB1008" s="101"/>
      <c r="AC1008" s="101"/>
      <c r="AD1008" s="101"/>
      <c r="AE1008" s="101"/>
      <c r="AF1008" s="101"/>
      <c r="AG1008" s="101"/>
    </row>
    <row r="1009" spans="21:33" s="1" customFormat="1" x14ac:dyDescent="0.25">
      <c r="U1009" s="101"/>
      <c r="V1009" s="101"/>
      <c r="W1009" s="101"/>
      <c r="X1009" s="101"/>
      <c r="Y1009" s="101"/>
      <c r="Z1009" s="101"/>
      <c r="AA1009" s="101"/>
      <c r="AB1009" s="101"/>
      <c r="AC1009" s="101"/>
      <c r="AD1009" s="101"/>
      <c r="AE1009" s="101"/>
      <c r="AF1009" s="101"/>
      <c r="AG1009" s="101"/>
    </row>
    <row r="1010" spans="21:33" s="1" customFormat="1" x14ac:dyDescent="0.25">
      <c r="U1010" s="101"/>
      <c r="V1010" s="101"/>
      <c r="W1010" s="101"/>
      <c r="X1010" s="101"/>
      <c r="Y1010" s="101"/>
      <c r="Z1010" s="101"/>
      <c r="AA1010" s="101"/>
      <c r="AB1010" s="101"/>
      <c r="AC1010" s="101"/>
      <c r="AD1010" s="101"/>
      <c r="AE1010" s="101"/>
      <c r="AF1010" s="101"/>
      <c r="AG1010" s="101"/>
    </row>
    <row r="1011" spans="21:33" s="1" customFormat="1" x14ac:dyDescent="0.25">
      <c r="U1011" s="101"/>
      <c r="V1011" s="101"/>
      <c r="W1011" s="101"/>
      <c r="X1011" s="101"/>
      <c r="Y1011" s="101"/>
      <c r="Z1011" s="101"/>
      <c r="AA1011" s="101"/>
      <c r="AB1011" s="101"/>
      <c r="AC1011" s="101"/>
      <c r="AD1011" s="101"/>
      <c r="AE1011" s="101"/>
      <c r="AF1011" s="101"/>
      <c r="AG1011" s="101"/>
    </row>
    <row r="1012" spans="21:33" s="1" customFormat="1" x14ac:dyDescent="0.25">
      <c r="U1012" s="101"/>
      <c r="V1012" s="101"/>
      <c r="W1012" s="101"/>
      <c r="X1012" s="101"/>
      <c r="Y1012" s="101"/>
      <c r="Z1012" s="101"/>
      <c r="AA1012" s="101"/>
      <c r="AB1012" s="101"/>
      <c r="AC1012" s="101"/>
      <c r="AD1012" s="101"/>
      <c r="AE1012" s="101"/>
      <c r="AF1012" s="101"/>
      <c r="AG1012" s="101"/>
    </row>
    <row r="1013" spans="21:33" s="1" customFormat="1" x14ac:dyDescent="0.25">
      <c r="U1013" s="101"/>
      <c r="V1013" s="101"/>
      <c r="W1013" s="101"/>
      <c r="X1013" s="101"/>
      <c r="Y1013" s="101"/>
      <c r="Z1013" s="101"/>
      <c r="AA1013" s="101"/>
      <c r="AB1013" s="101"/>
      <c r="AC1013" s="101"/>
      <c r="AD1013" s="101"/>
      <c r="AE1013" s="101"/>
      <c r="AF1013" s="101"/>
      <c r="AG1013" s="101"/>
    </row>
    <row r="1014" spans="21:33" s="1" customFormat="1" x14ac:dyDescent="0.25">
      <c r="U1014" s="101"/>
      <c r="V1014" s="101"/>
      <c r="W1014" s="101"/>
      <c r="X1014" s="101"/>
      <c r="Y1014" s="101"/>
      <c r="Z1014" s="101"/>
      <c r="AA1014" s="101"/>
      <c r="AB1014" s="101"/>
      <c r="AC1014" s="101"/>
      <c r="AD1014" s="101"/>
      <c r="AE1014" s="101"/>
      <c r="AF1014" s="101"/>
      <c r="AG1014" s="101"/>
    </row>
    <row r="1015" spans="21:33" s="1" customFormat="1" x14ac:dyDescent="0.25">
      <c r="U1015" s="101"/>
      <c r="V1015" s="101"/>
      <c r="W1015" s="101"/>
      <c r="X1015" s="101"/>
      <c r="Y1015" s="101"/>
      <c r="Z1015" s="101"/>
      <c r="AA1015" s="101"/>
      <c r="AB1015" s="101"/>
      <c r="AC1015" s="101"/>
      <c r="AD1015" s="101"/>
      <c r="AE1015" s="101"/>
      <c r="AF1015" s="101"/>
      <c r="AG1015" s="101"/>
    </row>
    <row r="1016" spans="21:33" s="1" customFormat="1" x14ac:dyDescent="0.25">
      <c r="U1016" s="101"/>
      <c r="V1016" s="101"/>
      <c r="W1016" s="101"/>
      <c r="X1016" s="101"/>
      <c r="Y1016" s="101"/>
      <c r="Z1016" s="101"/>
      <c r="AA1016" s="101"/>
      <c r="AB1016" s="101"/>
      <c r="AC1016" s="101"/>
      <c r="AD1016" s="101"/>
      <c r="AE1016" s="101"/>
      <c r="AF1016" s="101"/>
      <c r="AG1016" s="101"/>
    </row>
    <row r="1017" spans="21:33" s="1" customFormat="1" x14ac:dyDescent="0.25">
      <c r="U1017" s="101"/>
      <c r="V1017" s="101"/>
      <c r="W1017" s="101"/>
      <c r="X1017" s="101"/>
      <c r="Y1017" s="101"/>
      <c r="Z1017" s="101"/>
      <c r="AA1017" s="101"/>
      <c r="AB1017" s="101"/>
      <c r="AC1017" s="101"/>
      <c r="AD1017" s="101"/>
      <c r="AE1017" s="101"/>
      <c r="AF1017" s="101"/>
      <c r="AG1017" s="101"/>
    </row>
    <row r="1018" spans="21:33" s="1" customFormat="1" x14ac:dyDescent="0.25">
      <c r="U1018" s="101"/>
      <c r="V1018" s="101"/>
      <c r="W1018" s="101"/>
      <c r="X1018" s="101"/>
      <c r="Y1018" s="101"/>
      <c r="Z1018" s="101"/>
      <c r="AA1018" s="101"/>
      <c r="AB1018" s="101"/>
      <c r="AC1018" s="101"/>
      <c r="AD1018" s="101"/>
      <c r="AE1018" s="101"/>
      <c r="AF1018" s="101"/>
      <c r="AG1018" s="101"/>
    </row>
    <row r="1019" spans="21:33" s="1" customFormat="1" x14ac:dyDescent="0.25">
      <c r="U1019" s="101"/>
      <c r="V1019" s="101"/>
      <c r="W1019" s="101"/>
      <c r="X1019" s="101"/>
      <c r="Y1019" s="101"/>
      <c r="Z1019" s="101"/>
      <c r="AA1019" s="101"/>
      <c r="AB1019" s="101"/>
      <c r="AC1019" s="101"/>
      <c r="AD1019" s="101"/>
      <c r="AE1019" s="101"/>
      <c r="AF1019" s="101"/>
      <c r="AG1019" s="101"/>
    </row>
    <row r="1020" spans="21:33" s="1" customFormat="1" x14ac:dyDescent="0.25">
      <c r="U1020" s="101"/>
      <c r="V1020" s="101"/>
      <c r="W1020" s="101"/>
      <c r="X1020" s="101"/>
      <c r="Y1020" s="101"/>
      <c r="Z1020" s="101"/>
      <c r="AA1020" s="101"/>
      <c r="AB1020" s="101"/>
      <c r="AC1020" s="101"/>
      <c r="AD1020" s="101"/>
      <c r="AE1020" s="101"/>
      <c r="AF1020" s="101"/>
      <c r="AG1020" s="101"/>
    </row>
    <row r="1021" spans="21:33" s="1" customFormat="1" x14ac:dyDescent="0.25">
      <c r="U1021" s="101"/>
      <c r="V1021" s="101"/>
      <c r="W1021" s="101"/>
      <c r="X1021" s="101"/>
      <c r="Y1021" s="101"/>
      <c r="Z1021" s="101"/>
      <c r="AA1021" s="101"/>
      <c r="AB1021" s="101"/>
      <c r="AC1021" s="101"/>
      <c r="AD1021" s="101"/>
      <c r="AE1021" s="101"/>
      <c r="AF1021" s="101"/>
      <c r="AG1021" s="101"/>
    </row>
    <row r="1022" spans="21:33" s="1" customFormat="1" x14ac:dyDescent="0.25">
      <c r="U1022" s="101"/>
      <c r="V1022" s="101"/>
      <c r="W1022" s="101"/>
      <c r="X1022" s="101"/>
      <c r="Y1022" s="101"/>
      <c r="Z1022" s="101"/>
      <c r="AA1022" s="101"/>
      <c r="AB1022" s="101"/>
      <c r="AC1022" s="101"/>
      <c r="AD1022" s="101"/>
      <c r="AE1022" s="101"/>
      <c r="AF1022" s="101"/>
      <c r="AG1022" s="101"/>
    </row>
    <row r="1023" spans="21:33" s="1" customFormat="1" x14ac:dyDescent="0.25">
      <c r="U1023" s="101"/>
      <c r="V1023" s="101"/>
      <c r="W1023" s="101"/>
      <c r="X1023" s="101"/>
      <c r="Y1023" s="101"/>
      <c r="Z1023" s="101"/>
      <c r="AA1023" s="101"/>
      <c r="AB1023" s="101"/>
      <c r="AC1023" s="101"/>
      <c r="AD1023" s="101"/>
      <c r="AE1023" s="101"/>
      <c r="AF1023" s="101"/>
      <c r="AG1023" s="101"/>
    </row>
    <row r="1024" spans="21:33" s="1" customFormat="1" x14ac:dyDescent="0.25">
      <c r="U1024" s="101"/>
      <c r="V1024" s="101"/>
      <c r="W1024" s="101"/>
      <c r="X1024" s="101"/>
      <c r="Y1024" s="101"/>
      <c r="Z1024" s="101"/>
      <c r="AA1024" s="101"/>
      <c r="AB1024" s="101"/>
      <c r="AC1024" s="101"/>
      <c r="AD1024" s="101"/>
      <c r="AE1024" s="101"/>
      <c r="AF1024" s="101"/>
      <c r="AG1024" s="101"/>
    </row>
    <row r="1025" spans="21:33" s="1" customFormat="1" x14ac:dyDescent="0.25">
      <c r="U1025" s="101"/>
      <c r="V1025" s="101"/>
      <c r="W1025" s="101"/>
      <c r="X1025" s="101"/>
      <c r="Y1025" s="101"/>
      <c r="Z1025" s="101"/>
      <c r="AA1025" s="101"/>
      <c r="AB1025" s="101"/>
      <c r="AC1025" s="101"/>
      <c r="AD1025" s="101"/>
      <c r="AE1025" s="101"/>
      <c r="AF1025" s="101"/>
      <c r="AG1025" s="101"/>
    </row>
    <row r="1026" spans="21:33" s="1" customFormat="1" x14ac:dyDescent="0.25">
      <c r="U1026" s="101"/>
      <c r="V1026" s="101"/>
      <c r="W1026" s="101"/>
      <c r="X1026" s="101"/>
      <c r="Y1026" s="101"/>
      <c r="Z1026" s="101"/>
      <c r="AA1026" s="101"/>
      <c r="AB1026" s="101"/>
      <c r="AC1026" s="101"/>
      <c r="AD1026" s="101"/>
      <c r="AE1026" s="101"/>
      <c r="AF1026" s="101"/>
      <c r="AG1026" s="101"/>
    </row>
    <row r="1027" spans="21:33" s="1" customFormat="1" x14ac:dyDescent="0.25">
      <c r="U1027" s="101"/>
      <c r="V1027" s="101"/>
      <c r="W1027" s="101"/>
      <c r="X1027" s="101"/>
      <c r="Y1027" s="101"/>
      <c r="Z1027" s="101"/>
      <c r="AA1027" s="101"/>
      <c r="AB1027" s="101"/>
      <c r="AC1027" s="101"/>
      <c r="AD1027" s="101"/>
      <c r="AE1027" s="101"/>
      <c r="AF1027" s="101"/>
      <c r="AG1027" s="101"/>
    </row>
    <row r="1028" spans="21:33" s="1" customFormat="1" x14ac:dyDescent="0.25">
      <c r="U1028" s="101"/>
      <c r="V1028" s="101"/>
      <c r="W1028" s="101"/>
      <c r="X1028" s="101"/>
      <c r="Y1028" s="101"/>
      <c r="Z1028" s="101"/>
      <c r="AA1028" s="101"/>
      <c r="AB1028" s="101"/>
      <c r="AC1028" s="101"/>
      <c r="AD1028" s="101"/>
      <c r="AE1028" s="101"/>
      <c r="AF1028" s="101"/>
      <c r="AG1028" s="101"/>
    </row>
    <row r="1029" spans="21:33" s="1" customFormat="1" x14ac:dyDescent="0.25">
      <c r="U1029" s="101"/>
      <c r="V1029" s="101"/>
      <c r="W1029" s="101"/>
      <c r="X1029" s="101"/>
      <c r="Y1029" s="101"/>
      <c r="Z1029" s="101"/>
      <c r="AA1029" s="101"/>
      <c r="AB1029" s="101"/>
      <c r="AC1029" s="101"/>
      <c r="AD1029" s="101"/>
      <c r="AE1029" s="101"/>
      <c r="AF1029" s="101"/>
      <c r="AG1029" s="101"/>
    </row>
    <row r="1030" spans="21:33" s="1" customFormat="1" x14ac:dyDescent="0.25">
      <c r="U1030" s="101"/>
      <c r="V1030" s="101"/>
      <c r="W1030" s="101"/>
      <c r="X1030" s="101"/>
      <c r="Y1030" s="101"/>
      <c r="Z1030" s="101"/>
      <c r="AA1030" s="101"/>
      <c r="AB1030" s="101"/>
      <c r="AC1030" s="101"/>
      <c r="AD1030" s="101"/>
      <c r="AE1030" s="101"/>
      <c r="AF1030" s="101"/>
      <c r="AG1030" s="101"/>
    </row>
    <row r="1031" spans="21:33" s="1" customFormat="1" x14ac:dyDescent="0.25">
      <c r="U1031" s="101"/>
      <c r="V1031" s="101"/>
      <c r="W1031" s="101"/>
      <c r="X1031" s="101"/>
      <c r="Y1031" s="101"/>
      <c r="Z1031" s="101"/>
      <c r="AA1031" s="101"/>
      <c r="AB1031" s="101"/>
      <c r="AC1031" s="101"/>
      <c r="AD1031" s="101"/>
      <c r="AE1031" s="101"/>
      <c r="AF1031" s="101"/>
      <c r="AG1031" s="101"/>
    </row>
    <row r="1032" spans="21:33" s="1" customFormat="1" x14ac:dyDescent="0.25">
      <c r="U1032" s="101"/>
      <c r="V1032" s="101"/>
      <c r="W1032" s="101"/>
      <c r="X1032" s="101"/>
      <c r="Y1032" s="101"/>
      <c r="Z1032" s="101"/>
      <c r="AA1032" s="101"/>
      <c r="AB1032" s="101"/>
      <c r="AC1032" s="101"/>
      <c r="AD1032" s="101"/>
      <c r="AE1032" s="101"/>
      <c r="AF1032" s="101"/>
      <c r="AG1032" s="101"/>
    </row>
    <row r="1033" spans="21:33" s="1" customFormat="1" x14ac:dyDescent="0.25">
      <c r="U1033" s="101"/>
      <c r="V1033" s="101"/>
      <c r="W1033" s="101"/>
      <c r="X1033" s="101"/>
      <c r="Y1033" s="101"/>
      <c r="Z1033" s="101"/>
      <c r="AA1033" s="101"/>
      <c r="AB1033" s="101"/>
      <c r="AC1033" s="101"/>
      <c r="AD1033" s="101"/>
      <c r="AE1033" s="101"/>
      <c r="AF1033" s="101"/>
      <c r="AG1033" s="101"/>
    </row>
    <row r="1034" spans="21:33" s="1" customFormat="1" x14ac:dyDescent="0.25">
      <c r="U1034" s="101"/>
      <c r="V1034" s="101"/>
      <c r="W1034" s="101"/>
      <c r="X1034" s="101"/>
      <c r="Y1034" s="101"/>
      <c r="Z1034" s="101"/>
      <c r="AA1034" s="101"/>
      <c r="AB1034" s="101"/>
      <c r="AC1034" s="101"/>
      <c r="AD1034" s="101"/>
      <c r="AE1034" s="101"/>
      <c r="AF1034" s="101"/>
      <c r="AG1034" s="101"/>
    </row>
    <row r="1035" spans="21:33" s="1" customFormat="1" x14ac:dyDescent="0.25">
      <c r="U1035" s="101"/>
      <c r="V1035" s="101"/>
      <c r="W1035" s="101"/>
      <c r="X1035" s="101"/>
      <c r="Y1035" s="101"/>
      <c r="Z1035" s="101"/>
      <c r="AA1035" s="101"/>
      <c r="AB1035" s="101"/>
      <c r="AC1035" s="101"/>
      <c r="AD1035" s="101"/>
      <c r="AE1035" s="101"/>
      <c r="AF1035" s="101"/>
      <c r="AG1035" s="101"/>
    </row>
    <row r="1036" spans="21:33" s="1" customFormat="1" x14ac:dyDescent="0.25">
      <c r="U1036" s="101"/>
      <c r="V1036" s="101"/>
      <c r="W1036" s="101"/>
      <c r="X1036" s="101"/>
      <c r="Y1036" s="101"/>
      <c r="Z1036" s="101"/>
      <c r="AA1036" s="101"/>
      <c r="AB1036" s="101"/>
      <c r="AC1036" s="101"/>
      <c r="AD1036" s="101"/>
      <c r="AE1036" s="101"/>
      <c r="AF1036" s="101"/>
      <c r="AG1036" s="101"/>
    </row>
    <row r="1037" spans="21:33" s="1" customFormat="1" x14ac:dyDescent="0.25">
      <c r="U1037" s="101"/>
      <c r="V1037" s="101"/>
      <c r="W1037" s="101"/>
      <c r="X1037" s="101"/>
      <c r="Y1037" s="101"/>
      <c r="Z1037" s="101"/>
      <c r="AA1037" s="101"/>
      <c r="AB1037" s="101"/>
      <c r="AC1037" s="101"/>
      <c r="AD1037" s="101"/>
      <c r="AE1037" s="101"/>
      <c r="AF1037" s="101"/>
      <c r="AG1037" s="101"/>
    </row>
    <row r="1038" spans="21:33" s="1" customFormat="1" x14ac:dyDescent="0.25">
      <c r="U1038" s="101"/>
      <c r="V1038" s="101"/>
      <c r="W1038" s="101"/>
      <c r="X1038" s="101"/>
      <c r="Y1038" s="101"/>
      <c r="Z1038" s="101"/>
      <c r="AA1038" s="101"/>
      <c r="AB1038" s="101"/>
      <c r="AC1038" s="101"/>
      <c r="AD1038" s="101"/>
      <c r="AE1038" s="101"/>
      <c r="AF1038" s="101"/>
      <c r="AG1038" s="101"/>
    </row>
    <row r="1039" spans="21:33" s="1" customFormat="1" x14ac:dyDescent="0.25">
      <c r="U1039" s="101"/>
      <c r="V1039" s="101"/>
      <c r="W1039" s="101"/>
      <c r="X1039" s="101"/>
      <c r="Y1039" s="101"/>
      <c r="Z1039" s="101"/>
      <c r="AA1039" s="101"/>
      <c r="AB1039" s="101"/>
      <c r="AC1039" s="101"/>
      <c r="AD1039" s="101"/>
      <c r="AE1039" s="101"/>
      <c r="AF1039" s="101"/>
      <c r="AG1039" s="101"/>
    </row>
    <row r="1040" spans="21:33" s="1" customFormat="1" x14ac:dyDescent="0.25">
      <c r="U1040" s="101"/>
      <c r="V1040" s="101"/>
      <c r="W1040" s="101"/>
      <c r="X1040" s="101"/>
      <c r="Y1040" s="101"/>
      <c r="Z1040" s="101"/>
      <c r="AA1040" s="101"/>
      <c r="AB1040" s="101"/>
      <c r="AC1040" s="101"/>
      <c r="AD1040" s="101"/>
      <c r="AE1040" s="101"/>
      <c r="AF1040" s="101"/>
      <c r="AG1040" s="101"/>
    </row>
    <row r="1041" spans="21:33" s="1" customFormat="1" x14ac:dyDescent="0.25">
      <c r="U1041" s="101"/>
      <c r="V1041" s="101"/>
      <c r="W1041" s="101"/>
      <c r="X1041" s="101"/>
      <c r="Y1041" s="101"/>
      <c r="Z1041" s="101"/>
      <c r="AA1041" s="101"/>
      <c r="AB1041" s="101"/>
      <c r="AC1041" s="101"/>
      <c r="AD1041" s="101"/>
      <c r="AE1041" s="101"/>
      <c r="AF1041" s="101"/>
      <c r="AG1041" s="101"/>
    </row>
    <row r="1042" spans="21:33" s="1" customFormat="1" x14ac:dyDescent="0.25">
      <c r="U1042" s="101"/>
      <c r="V1042" s="101"/>
      <c r="W1042" s="101"/>
      <c r="X1042" s="101"/>
      <c r="Y1042" s="101"/>
      <c r="Z1042" s="101"/>
      <c r="AA1042" s="101"/>
      <c r="AB1042" s="101"/>
      <c r="AC1042" s="101"/>
      <c r="AD1042" s="101"/>
      <c r="AE1042" s="101"/>
      <c r="AF1042" s="101"/>
      <c r="AG1042" s="101"/>
    </row>
    <row r="1043" spans="21:33" s="1" customFormat="1" x14ac:dyDescent="0.25">
      <c r="U1043" s="101"/>
      <c r="V1043" s="101"/>
      <c r="W1043" s="101"/>
      <c r="X1043" s="101"/>
      <c r="Y1043" s="101"/>
      <c r="Z1043" s="101"/>
      <c r="AA1043" s="101"/>
      <c r="AB1043" s="101"/>
      <c r="AC1043" s="101"/>
      <c r="AD1043" s="101"/>
      <c r="AE1043" s="101"/>
      <c r="AF1043" s="101"/>
      <c r="AG1043" s="101"/>
    </row>
    <row r="1044" spans="21:33" s="1" customFormat="1" x14ac:dyDescent="0.25">
      <c r="U1044" s="101"/>
      <c r="V1044" s="101"/>
      <c r="W1044" s="101"/>
      <c r="X1044" s="101"/>
      <c r="Y1044" s="101"/>
      <c r="Z1044" s="101"/>
      <c r="AA1044" s="101"/>
      <c r="AB1044" s="101"/>
      <c r="AC1044" s="101"/>
      <c r="AD1044" s="101"/>
      <c r="AE1044" s="101"/>
      <c r="AF1044" s="101"/>
      <c r="AG1044" s="101"/>
    </row>
    <row r="1045" spans="21:33" s="1" customFormat="1" x14ac:dyDescent="0.25">
      <c r="U1045" s="101"/>
      <c r="V1045" s="101"/>
      <c r="W1045" s="101"/>
      <c r="X1045" s="101"/>
      <c r="Y1045" s="101"/>
      <c r="Z1045" s="101"/>
      <c r="AA1045" s="101"/>
      <c r="AB1045" s="101"/>
      <c r="AC1045" s="101"/>
      <c r="AD1045" s="101"/>
      <c r="AE1045" s="101"/>
      <c r="AF1045" s="101"/>
      <c r="AG1045" s="101"/>
    </row>
    <row r="1046" spans="21:33" s="1" customFormat="1" x14ac:dyDescent="0.25">
      <c r="U1046" s="101"/>
      <c r="V1046" s="101"/>
      <c r="W1046" s="101"/>
      <c r="X1046" s="101"/>
      <c r="Y1046" s="101"/>
      <c r="Z1046" s="101"/>
      <c r="AA1046" s="101"/>
      <c r="AB1046" s="101"/>
      <c r="AC1046" s="101"/>
      <c r="AD1046" s="101"/>
      <c r="AE1046" s="101"/>
      <c r="AF1046" s="101"/>
      <c r="AG1046" s="101"/>
    </row>
    <row r="1047" spans="21:33" s="1" customFormat="1" x14ac:dyDescent="0.25">
      <c r="U1047" s="101"/>
      <c r="V1047" s="101"/>
      <c r="W1047" s="101"/>
      <c r="X1047" s="101"/>
      <c r="Y1047" s="101"/>
      <c r="Z1047" s="101"/>
      <c r="AA1047" s="101"/>
      <c r="AB1047" s="101"/>
      <c r="AC1047" s="101"/>
      <c r="AD1047" s="101"/>
      <c r="AE1047" s="101"/>
      <c r="AF1047" s="101"/>
      <c r="AG1047" s="101"/>
    </row>
    <row r="1048" spans="21:33" s="1" customFormat="1" x14ac:dyDescent="0.25">
      <c r="U1048" s="101"/>
      <c r="V1048" s="101"/>
      <c r="W1048" s="101"/>
      <c r="X1048" s="101"/>
      <c r="Y1048" s="101"/>
      <c r="Z1048" s="101"/>
      <c r="AA1048" s="101"/>
      <c r="AB1048" s="101"/>
      <c r="AC1048" s="101"/>
      <c r="AD1048" s="101"/>
      <c r="AE1048" s="101"/>
      <c r="AF1048" s="101"/>
      <c r="AG1048" s="101"/>
    </row>
    <row r="1049" spans="21:33" s="1" customFormat="1" x14ac:dyDescent="0.25">
      <c r="U1049" s="101"/>
      <c r="V1049" s="101"/>
      <c r="W1049" s="101"/>
      <c r="X1049" s="101"/>
      <c r="Y1049" s="101"/>
      <c r="Z1049" s="101"/>
      <c r="AA1049" s="101"/>
      <c r="AB1049" s="101"/>
      <c r="AC1049" s="101"/>
      <c r="AD1049" s="101"/>
      <c r="AE1049" s="101"/>
      <c r="AF1049" s="101"/>
      <c r="AG1049" s="101"/>
    </row>
    <row r="1050" spans="21:33" s="1" customFormat="1" x14ac:dyDescent="0.25">
      <c r="U1050" s="101"/>
      <c r="V1050" s="101"/>
      <c r="W1050" s="101"/>
      <c r="X1050" s="101"/>
      <c r="Y1050" s="101"/>
      <c r="Z1050" s="101"/>
      <c r="AA1050" s="101"/>
      <c r="AB1050" s="101"/>
      <c r="AC1050" s="101"/>
      <c r="AD1050" s="101"/>
      <c r="AE1050" s="101"/>
      <c r="AF1050" s="101"/>
      <c r="AG1050" s="101"/>
    </row>
    <row r="1051" spans="21:33" s="1" customFormat="1" x14ac:dyDescent="0.25">
      <c r="U1051" s="101"/>
      <c r="V1051" s="101"/>
      <c r="W1051" s="101"/>
      <c r="X1051" s="101"/>
      <c r="Y1051" s="101"/>
      <c r="Z1051" s="101"/>
      <c r="AA1051" s="101"/>
      <c r="AB1051" s="101"/>
      <c r="AC1051" s="101"/>
      <c r="AD1051" s="101"/>
      <c r="AE1051" s="101"/>
      <c r="AF1051" s="101"/>
      <c r="AG1051" s="101"/>
    </row>
    <row r="1052" spans="21:33" s="1" customFormat="1" x14ac:dyDescent="0.25">
      <c r="U1052" s="101"/>
      <c r="V1052" s="101"/>
      <c r="W1052" s="101"/>
      <c r="X1052" s="101"/>
      <c r="Y1052" s="101"/>
      <c r="Z1052" s="101"/>
      <c r="AA1052" s="101"/>
      <c r="AB1052" s="101"/>
      <c r="AC1052" s="101"/>
      <c r="AD1052" s="101"/>
      <c r="AE1052" s="101"/>
      <c r="AF1052" s="101"/>
      <c r="AG1052" s="101"/>
    </row>
    <row r="1053" spans="21:33" s="1" customFormat="1" x14ac:dyDescent="0.25">
      <c r="U1053" s="101"/>
      <c r="V1053" s="101"/>
      <c r="W1053" s="101"/>
      <c r="X1053" s="101"/>
      <c r="Y1053" s="101"/>
      <c r="Z1053" s="101"/>
      <c r="AA1053" s="101"/>
      <c r="AB1053" s="101"/>
      <c r="AC1053" s="101"/>
      <c r="AD1053" s="101"/>
      <c r="AE1053" s="101"/>
      <c r="AF1053" s="101"/>
      <c r="AG1053" s="101"/>
    </row>
    <row r="1054" spans="21:33" s="1" customFormat="1" x14ac:dyDescent="0.25">
      <c r="U1054" s="101"/>
      <c r="V1054" s="101"/>
      <c r="W1054" s="101"/>
      <c r="X1054" s="101"/>
      <c r="Y1054" s="101"/>
      <c r="Z1054" s="101"/>
      <c r="AA1054" s="101"/>
      <c r="AB1054" s="101"/>
      <c r="AC1054" s="101"/>
      <c r="AD1054" s="101"/>
      <c r="AE1054" s="101"/>
      <c r="AF1054" s="101"/>
      <c r="AG1054" s="101"/>
    </row>
    <row r="1055" spans="21:33" s="1" customFormat="1" x14ac:dyDescent="0.25">
      <c r="U1055" s="101"/>
      <c r="V1055" s="101"/>
      <c r="W1055" s="101"/>
      <c r="X1055" s="101"/>
      <c r="Y1055" s="101"/>
      <c r="Z1055" s="101"/>
      <c r="AA1055" s="101"/>
      <c r="AB1055" s="101"/>
      <c r="AC1055" s="101"/>
      <c r="AD1055" s="101"/>
      <c r="AE1055" s="101"/>
      <c r="AF1055" s="101"/>
      <c r="AG1055" s="101"/>
    </row>
    <row r="1056" spans="21:33" s="1" customFormat="1" x14ac:dyDescent="0.25">
      <c r="U1056" s="101"/>
      <c r="V1056" s="101"/>
      <c r="W1056" s="101"/>
      <c r="X1056" s="101"/>
      <c r="Y1056" s="101"/>
      <c r="Z1056" s="101"/>
      <c r="AA1056" s="101"/>
      <c r="AB1056" s="101"/>
      <c r="AC1056" s="101"/>
      <c r="AD1056" s="101"/>
      <c r="AE1056" s="101"/>
      <c r="AF1056" s="101"/>
      <c r="AG1056" s="101"/>
    </row>
    <row r="1057" spans="21:33" s="1" customFormat="1" x14ac:dyDescent="0.25">
      <c r="U1057" s="101"/>
      <c r="V1057" s="101"/>
      <c r="W1057" s="101"/>
      <c r="X1057" s="101"/>
      <c r="Y1057" s="101"/>
      <c r="Z1057" s="101"/>
      <c r="AA1057" s="101"/>
      <c r="AB1057" s="101"/>
      <c r="AC1057" s="101"/>
      <c r="AD1057" s="101"/>
      <c r="AE1057" s="101"/>
      <c r="AF1057" s="101"/>
      <c r="AG1057" s="101"/>
    </row>
    <row r="1058" spans="21:33" s="1" customFormat="1" x14ac:dyDescent="0.25">
      <c r="U1058" s="101"/>
      <c r="V1058" s="101"/>
      <c r="W1058" s="101"/>
      <c r="X1058" s="101"/>
      <c r="Y1058" s="101"/>
      <c r="Z1058" s="101"/>
      <c r="AA1058" s="101"/>
      <c r="AB1058" s="101"/>
      <c r="AC1058" s="101"/>
      <c r="AD1058" s="101"/>
      <c r="AE1058" s="101"/>
      <c r="AF1058" s="101"/>
      <c r="AG1058" s="101"/>
    </row>
    <row r="1059" spans="21:33" s="1" customFormat="1" x14ac:dyDescent="0.25">
      <c r="U1059" s="101"/>
      <c r="V1059" s="101"/>
      <c r="W1059" s="101"/>
      <c r="X1059" s="101"/>
      <c r="Y1059" s="101"/>
      <c r="Z1059" s="101"/>
      <c r="AA1059" s="101"/>
      <c r="AB1059" s="101"/>
      <c r="AC1059" s="101"/>
      <c r="AD1059" s="101"/>
      <c r="AE1059" s="101"/>
      <c r="AF1059" s="101"/>
      <c r="AG1059" s="101"/>
    </row>
    <row r="1060" spans="21:33" s="1" customFormat="1" x14ac:dyDescent="0.25">
      <c r="U1060" s="101"/>
      <c r="V1060" s="101"/>
      <c r="W1060" s="101"/>
      <c r="X1060" s="101"/>
      <c r="Y1060" s="101"/>
      <c r="Z1060" s="101"/>
      <c r="AA1060" s="101"/>
      <c r="AB1060" s="101"/>
      <c r="AC1060" s="101"/>
      <c r="AD1060" s="101"/>
      <c r="AE1060" s="101"/>
      <c r="AF1060" s="101"/>
      <c r="AG1060" s="101"/>
    </row>
    <row r="1061" spans="21:33" s="1" customFormat="1" x14ac:dyDescent="0.25">
      <c r="U1061" s="101"/>
      <c r="V1061" s="101"/>
      <c r="W1061" s="101"/>
      <c r="X1061" s="101"/>
      <c r="Y1061" s="101"/>
      <c r="Z1061" s="101"/>
      <c r="AA1061" s="101"/>
      <c r="AB1061" s="101"/>
      <c r="AC1061" s="101"/>
      <c r="AD1061" s="101"/>
      <c r="AE1061" s="101"/>
      <c r="AF1061" s="101"/>
      <c r="AG1061" s="101"/>
    </row>
    <row r="1062" spans="21:33" s="1" customFormat="1" x14ac:dyDescent="0.25">
      <c r="U1062" s="101"/>
      <c r="V1062" s="101"/>
      <c r="W1062" s="101"/>
      <c r="X1062" s="101"/>
      <c r="Y1062" s="101"/>
      <c r="Z1062" s="101"/>
      <c r="AA1062" s="101"/>
      <c r="AB1062" s="101"/>
      <c r="AC1062" s="101"/>
      <c r="AD1062" s="101"/>
      <c r="AE1062" s="101"/>
      <c r="AF1062" s="101"/>
      <c r="AG1062" s="101"/>
    </row>
    <row r="1063" spans="21:33" s="1" customFormat="1" x14ac:dyDescent="0.25">
      <c r="U1063" s="101"/>
      <c r="V1063" s="101"/>
      <c r="W1063" s="101"/>
      <c r="X1063" s="101"/>
      <c r="Y1063" s="101"/>
      <c r="Z1063" s="101"/>
      <c r="AA1063" s="101"/>
      <c r="AB1063" s="101"/>
      <c r="AC1063" s="101"/>
      <c r="AD1063" s="101"/>
      <c r="AE1063" s="101"/>
      <c r="AF1063" s="101"/>
      <c r="AG1063" s="101"/>
    </row>
    <row r="1064" spans="21:33" s="1" customFormat="1" x14ac:dyDescent="0.25">
      <c r="U1064" s="101"/>
      <c r="V1064" s="101"/>
      <c r="W1064" s="101"/>
      <c r="X1064" s="101"/>
      <c r="Y1064" s="101"/>
      <c r="Z1064" s="101"/>
      <c r="AA1064" s="101"/>
      <c r="AB1064" s="101"/>
      <c r="AC1064" s="101"/>
      <c r="AD1064" s="101"/>
      <c r="AE1064" s="101"/>
      <c r="AF1064" s="101"/>
      <c r="AG1064" s="101"/>
    </row>
    <row r="1065" spans="21:33" s="1" customFormat="1" x14ac:dyDescent="0.25">
      <c r="U1065" s="101"/>
      <c r="V1065" s="101"/>
      <c r="W1065" s="101"/>
      <c r="X1065" s="101"/>
      <c r="Y1065" s="101"/>
      <c r="Z1065" s="101"/>
      <c r="AA1065" s="101"/>
      <c r="AB1065" s="101"/>
      <c r="AC1065" s="101"/>
      <c r="AD1065" s="101"/>
      <c r="AE1065" s="101"/>
      <c r="AF1065" s="101"/>
      <c r="AG1065" s="101"/>
    </row>
    <row r="1066" spans="21:33" s="1" customFormat="1" x14ac:dyDescent="0.25">
      <c r="U1066" s="101"/>
      <c r="V1066" s="101"/>
      <c r="W1066" s="101"/>
      <c r="X1066" s="101"/>
      <c r="Y1066" s="101"/>
      <c r="Z1066" s="101"/>
      <c r="AA1066" s="101"/>
      <c r="AB1066" s="101"/>
      <c r="AC1066" s="101"/>
      <c r="AD1066" s="101"/>
      <c r="AE1066" s="101"/>
      <c r="AF1066" s="101"/>
      <c r="AG1066" s="101"/>
    </row>
    <row r="1067" spans="21:33" s="1" customFormat="1" x14ac:dyDescent="0.25">
      <c r="U1067" s="101"/>
      <c r="V1067" s="101"/>
      <c r="W1067" s="101"/>
      <c r="X1067" s="101"/>
      <c r="Y1067" s="101"/>
      <c r="Z1067" s="101"/>
      <c r="AA1067" s="101"/>
      <c r="AB1067" s="101"/>
      <c r="AC1067" s="101"/>
      <c r="AD1067" s="101"/>
      <c r="AE1067" s="101"/>
      <c r="AF1067" s="101"/>
      <c r="AG1067" s="101"/>
    </row>
    <row r="1068" spans="21:33" s="1" customFormat="1" x14ac:dyDescent="0.25">
      <c r="U1068" s="101"/>
      <c r="V1068" s="101"/>
      <c r="W1068" s="101"/>
      <c r="X1068" s="101"/>
      <c r="Y1068" s="101"/>
      <c r="Z1068" s="101"/>
      <c r="AA1068" s="101"/>
      <c r="AB1068" s="101"/>
      <c r="AC1068" s="101"/>
      <c r="AD1068" s="101"/>
      <c r="AE1068" s="101"/>
      <c r="AF1068" s="101"/>
      <c r="AG1068" s="101"/>
    </row>
    <row r="1069" spans="21:33" s="1" customFormat="1" x14ac:dyDescent="0.25">
      <c r="U1069" s="101"/>
      <c r="V1069" s="101"/>
      <c r="W1069" s="101"/>
      <c r="X1069" s="101"/>
      <c r="Y1069" s="101"/>
      <c r="Z1069" s="101"/>
      <c r="AA1069" s="101"/>
      <c r="AB1069" s="101"/>
      <c r="AC1069" s="101"/>
      <c r="AD1069" s="101"/>
      <c r="AE1069" s="101"/>
      <c r="AF1069" s="101"/>
      <c r="AG1069" s="101"/>
    </row>
    <row r="1070" spans="21:33" s="1" customFormat="1" x14ac:dyDescent="0.25">
      <c r="U1070" s="101"/>
      <c r="V1070" s="101"/>
      <c r="W1070" s="101"/>
      <c r="X1070" s="101"/>
      <c r="Y1070" s="101"/>
      <c r="Z1070" s="101"/>
      <c r="AA1070" s="101"/>
      <c r="AB1070" s="101"/>
      <c r="AC1070" s="101"/>
      <c r="AD1070" s="101"/>
      <c r="AE1070" s="101"/>
      <c r="AF1070" s="101"/>
      <c r="AG1070" s="101"/>
    </row>
    <row r="1071" spans="21:33" s="1" customFormat="1" x14ac:dyDescent="0.25">
      <c r="U1071" s="101"/>
      <c r="V1071" s="101"/>
      <c r="W1071" s="101"/>
      <c r="X1071" s="101"/>
      <c r="Y1071" s="101"/>
      <c r="Z1071" s="101"/>
      <c r="AA1071" s="101"/>
      <c r="AB1071" s="101"/>
      <c r="AC1071" s="101"/>
      <c r="AD1071" s="101"/>
      <c r="AE1071" s="101"/>
      <c r="AF1071" s="101"/>
      <c r="AG1071" s="101"/>
    </row>
    <row r="1072" spans="21:33" s="1" customFormat="1" x14ac:dyDescent="0.25">
      <c r="U1072" s="101"/>
      <c r="V1072" s="101"/>
      <c r="W1072" s="101"/>
      <c r="X1072" s="101"/>
      <c r="Y1072" s="101"/>
      <c r="Z1072" s="101"/>
      <c r="AA1072" s="101"/>
      <c r="AB1072" s="101"/>
      <c r="AC1072" s="101"/>
      <c r="AD1072" s="101"/>
      <c r="AE1072" s="101"/>
      <c r="AF1072" s="101"/>
      <c r="AG1072" s="101"/>
    </row>
    <row r="1073" spans="21:33" s="1" customFormat="1" x14ac:dyDescent="0.25">
      <c r="U1073" s="101"/>
      <c r="V1073" s="101"/>
      <c r="W1073" s="101"/>
      <c r="X1073" s="101"/>
      <c r="Y1073" s="101"/>
      <c r="Z1073" s="101"/>
      <c r="AA1073" s="101"/>
      <c r="AB1073" s="101"/>
      <c r="AC1073" s="101"/>
      <c r="AD1073" s="101"/>
      <c r="AE1073" s="101"/>
      <c r="AF1073" s="101"/>
      <c r="AG1073" s="101"/>
    </row>
    <row r="1074" spans="21:33" s="1" customFormat="1" x14ac:dyDescent="0.25">
      <c r="U1074" s="101"/>
      <c r="V1074" s="101"/>
      <c r="W1074" s="101"/>
      <c r="X1074" s="101"/>
      <c r="Y1074" s="101"/>
      <c r="Z1074" s="101"/>
      <c r="AA1074" s="101"/>
      <c r="AB1074" s="101"/>
      <c r="AC1074" s="101"/>
      <c r="AD1074" s="101"/>
      <c r="AE1074" s="101"/>
      <c r="AF1074" s="101"/>
      <c r="AG1074" s="101"/>
    </row>
    <row r="1075" spans="21:33" s="1" customFormat="1" x14ac:dyDescent="0.25">
      <c r="U1075" s="101"/>
      <c r="V1075" s="101"/>
      <c r="W1075" s="101"/>
      <c r="X1075" s="101"/>
      <c r="Y1075" s="101"/>
      <c r="Z1075" s="101"/>
      <c r="AA1075" s="101"/>
      <c r="AB1075" s="101"/>
      <c r="AC1075" s="101"/>
      <c r="AD1075" s="101"/>
      <c r="AE1075" s="101"/>
      <c r="AF1075" s="101"/>
      <c r="AG1075" s="101"/>
    </row>
    <row r="1076" spans="21:33" s="1" customFormat="1" x14ac:dyDescent="0.25">
      <c r="U1076" s="101"/>
      <c r="V1076" s="101"/>
      <c r="W1076" s="101"/>
      <c r="X1076" s="101"/>
      <c r="Y1076" s="101"/>
      <c r="Z1076" s="101"/>
      <c r="AA1076" s="101"/>
      <c r="AB1076" s="101"/>
      <c r="AC1076" s="101"/>
      <c r="AD1076" s="101"/>
      <c r="AE1076" s="101"/>
      <c r="AF1076" s="101"/>
      <c r="AG1076" s="101"/>
    </row>
    <row r="1077" spans="21:33" s="1" customFormat="1" x14ac:dyDescent="0.25">
      <c r="U1077" s="101"/>
      <c r="V1077" s="101"/>
      <c r="W1077" s="101"/>
      <c r="X1077" s="101"/>
      <c r="Y1077" s="101"/>
      <c r="Z1077" s="101"/>
      <c r="AA1077" s="101"/>
      <c r="AB1077" s="101"/>
      <c r="AC1077" s="101"/>
      <c r="AD1077" s="101"/>
      <c r="AE1077" s="101"/>
      <c r="AF1077" s="101"/>
      <c r="AG1077" s="101"/>
    </row>
    <row r="1078" spans="21:33" s="1" customFormat="1" x14ac:dyDescent="0.25">
      <c r="U1078" s="101"/>
      <c r="V1078" s="101"/>
      <c r="W1078" s="101"/>
      <c r="X1078" s="101"/>
      <c r="Y1078" s="101"/>
      <c r="Z1078" s="101"/>
      <c r="AA1078" s="101"/>
      <c r="AB1078" s="101"/>
      <c r="AC1078" s="101"/>
      <c r="AD1078" s="101"/>
      <c r="AE1078" s="101"/>
      <c r="AF1078" s="101"/>
      <c r="AG1078" s="101"/>
    </row>
    <row r="1079" spans="21:33" s="1" customFormat="1" x14ac:dyDescent="0.25">
      <c r="U1079" s="101"/>
      <c r="V1079" s="101"/>
      <c r="W1079" s="101"/>
      <c r="X1079" s="101"/>
      <c r="Y1079" s="101"/>
      <c r="Z1079" s="101"/>
      <c r="AA1079" s="101"/>
      <c r="AB1079" s="101"/>
      <c r="AC1079" s="101"/>
      <c r="AD1079" s="101"/>
      <c r="AE1079" s="101"/>
      <c r="AF1079" s="101"/>
      <c r="AG1079" s="101"/>
    </row>
    <row r="1080" spans="21:33" s="1" customFormat="1" x14ac:dyDescent="0.25">
      <c r="U1080" s="101"/>
      <c r="V1080" s="101"/>
      <c r="W1080" s="101"/>
      <c r="X1080" s="101"/>
      <c r="Y1080" s="101"/>
      <c r="Z1080" s="101"/>
      <c r="AA1080" s="101"/>
      <c r="AB1080" s="101"/>
      <c r="AC1080" s="101"/>
      <c r="AD1080" s="101"/>
      <c r="AE1080" s="101"/>
      <c r="AF1080" s="101"/>
      <c r="AG1080" s="101"/>
    </row>
    <row r="1081" spans="21:33" s="1" customFormat="1" x14ac:dyDescent="0.25">
      <c r="U1081" s="101"/>
      <c r="V1081" s="101"/>
      <c r="W1081" s="101"/>
      <c r="X1081" s="101"/>
      <c r="Y1081" s="101"/>
      <c r="Z1081" s="101"/>
      <c r="AA1081" s="101"/>
      <c r="AB1081" s="101"/>
      <c r="AC1081" s="101"/>
      <c r="AD1081" s="101"/>
      <c r="AE1081" s="101"/>
      <c r="AF1081" s="101"/>
      <c r="AG1081" s="101"/>
    </row>
    <row r="1082" spans="21:33" s="1" customFormat="1" x14ac:dyDescent="0.25">
      <c r="U1082" s="101"/>
      <c r="V1082" s="101"/>
      <c r="W1082" s="101"/>
      <c r="X1082" s="101"/>
      <c r="Y1082" s="101"/>
      <c r="Z1082" s="101"/>
      <c r="AA1082" s="101"/>
      <c r="AB1082" s="101"/>
      <c r="AC1082" s="101"/>
      <c r="AD1082" s="101"/>
      <c r="AE1082" s="101"/>
      <c r="AF1082" s="101"/>
      <c r="AG1082" s="101"/>
    </row>
    <row r="1083" spans="21:33" s="1" customFormat="1" x14ac:dyDescent="0.25">
      <c r="U1083" s="101"/>
      <c r="V1083" s="101"/>
      <c r="W1083" s="101"/>
      <c r="X1083" s="101"/>
      <c r="Y1083" s="101"/>
      <c r="Z1083" s="101"/>
      <c r="AA1083" s="101"/>
      <c r="AB1083" s="101"/>
      <c r="AC1083" s="101"/>
      <c r="AD1083" s="101"/>
      <c r="AE1083" s="101"/>
      <c r="AF1083" s="101"/>
      <c r="AG1083" s="101"/>
    </row>
    <row r="1084" spans="21:33" s="1" customFormat="1" x14ac:dyDescent="0.25">
      <c r="U1084" s="101"/>
      <c r="V1084" s="101"/>
      <c r="W1084" s="101"/>
      <c r="X1084" s="101"/>
      <c r="Y1084" s="101"/>
      <c r="Z1084" s="101"/>
      <c r="AA1084" s="101"/>
      <c r="AB1084" s="101"/>
      <c r="AC1084" s="101"/>
      <c r="AD1084" s="101"/>
      <c r="AE1084" s="101"/>
      <c r="AF1084" s="101"/>
      <c r="AG1084" s="101"/>
    </row>
    <row r="1085" spans="21:33" s="1" customFormat="1" x14ac:dyDescent="0.25">
      <c r="U1085" s="101"/>
      <c r="V1085" s="101"/>
      <c r="W1085" s="101"/>
      <c r="X1085" s="101"/>
      <c r="Y1085" s="101"/>
      <c r="Z1085" s="101"/>
      <c r="AA1085" s="101"/>
      <c r="AB1085" s="101"/>
      <c r="AC1085" s="101"/>
      <c r="AD1085" s="101"/>
      <c r="AE1085" s="101"/>
      <c r="AF1085" s="101"/>
      <c r="AG1085" s="101"/>
    </row>
    <row r="1086" spans="21:33" s="1" customFormat="1" x14ac:dyDescent="0.25">
      <c r="U1086" s="101"/>
      <c r="V1086" s="101"/>
      <c r="W1086" s="101"/>
      <c r="X1086" s="101"/>
      <c r="Y1086" s="101"/>
      <c r="Z1086" s="101"/>
      <c r="AA1086" s="101"/>
      <c r="AB1086" s="101"/>
      <c r="AC1086" s="101"/>
      <c r="AD1086" s="101"/>
      <c r="AE1086" s="101"/>
      <c r="AF1086" s="101"/>
      <c r="AG1086" s="101"/>
    </row>
    <row r="1087" spans="21:33" s="1" customFormat="1" x14ac:dyDescent="0.25">
      <c r="U1087" s="101"/>
      <c r="V1087" s="101"/>
      <c r="W1087" s="101"/>
      <c r="X1087" s="101"/>
      <c r="Y1087" s="101"/>
      <c r="Z1087" s="101"/>
      <c r="AA1087" s="101"/>
      <c r="AB1087" s="101"/>
      <c r="AC1087" s="101"/>
      <c r="AD1087" s="101"/>
      <c r="AE1087" s="101"/>
      <c r="AF1087" s="101"/>
      <c r="AG1087" s="101"/>
    </row>
    <row r="1088" spans="21:33" s="1" customFormat="1" x14ac:dyDescent="0.25">
      <c r="U1088" s="101"/>
      <c r="V1088" s="101"/>
      <c r="W1088" s="101"/>
      <c r="X1088" s="101"/>
      <c r="Y1088" s="101"/>
      <c r="Z1088" s="101"/>
      <c r="AA1088" s="101"/>
      <c r="AB1088" s="101"/>
      <c r="AC1088" s="101"/>
      <c r="AD1088" s="101"/>
      <c r="AE1088" s="101"/>
      <c r="AF1088" s="101"/>
      <c r="AG1088" s="101"/>
    </row>
    <row r="1089" spans="21:33" s="1" customFormat="1" x14ac:dyDescent="0.25">
      <c r="U1089" s="101"/>
      <c r="V1089" s="101"/>
      <c r="W1089" s="101"/>
      <c r="X1089" s="101"/>
      <c r="Y1089" s="101"/>
      <c r="Z1089" s="101"/>
      <c r="AA1089" s="101"/>
      <c r="AB1089" s="101"/>
      <c r="AC1089" s="101"/>
      <c r="AD1089" s="101"/>
      <c r="AE1089" s="101"/>
      <c r="AF1089" s="101"/>
      <c r="AG1089" s="101"/>
    </row>
    <row r="1090" spans="21:33" s="1" customFormat="1" x14ac:dyDescent="0.25">
      <c r="U1090" s="101"/>
      <c r="V1090" s="101"/>
      <c r="W1090" s="101"/>
      <c r="X1090" s="101"/>
      <c r="Y1090" s="101"/>
      <c r="Z1090" s="101"/>
      <c r="AA1090" s="101"/>
      <c r="AB1090" s="101"/>
      <c r="AC1090" s="101"/>
      <c r="AD1090" s="101"/>
      <c r="AE1090" s="101"/>
      <c r="AF1090" s="101"/>
      <c r="AG1090" s="101"/>
    </row>
    <row r="1091" spans="21:33" s="1" customFormat="1" x14ac:dyDescent="0.25">
      <c r="U1091" s="101"/>
      <c r="V1091" s="101"/>
      <c r="W1091" s="101"/>
      <c r="X1091" s="101"/>
      <c r="Y1091" s="101"/>
      <c r="Z1091" s="101"/>
      <c r="AA1091" s="101"/>
      <c r="AB1091" s="101"/>
      <c r="AC1091" s="101"/>
      <c r="AD1091" s="101"/>
      <c r="AE1091" s="101"/>
      <c r="AF1091" s="101"/>
      <c r="AG1091" s="101"/>
    </row>
    <row r="1092" spans="21:33" s="1" customFormat="1" x14ac:dyDescent="0.25">
      <c r="U1092" s="101"/>
      <c r="V1092" s="101"/>
      <c r="W1092" s="101"/>
      <c r="X1092" s="101"/>
      <c r="Y1092" s="101"/>
      <c r="Z1092" s="101"/>
      <c r="AA1092" s="101"/>
      <c r="AB1092" s="101"/>
      <c r="AC1092" s="101"/>
      <c r="AD1092" s="101"/>
      <c r="AE1092" s="101"/>
      <c r="AF1092" s="101"/>
      <c r="AG1092" s="101"/>
    </row>
    <row r="1093" spans="21:33" s="1" customFormat="1" x14ac:dyDescent="0.25">
      <c r="U1093" s="101"/>
      <c r="V1093" s="101"/>
      <c r="W1093" s="101"/>
      <c r="X1093" s="101"/>
      <c r="Y1093" s="101"/>
      <c r="Z1093" s="101"/>
      <c r="AA1093" s="101"/>
      <c r="AB1093" s="101"/>
      <c r="AC1093" s="101"/>
      <c r="AD1093" s="101"/>
      <c r="AE1093" s="101"/>
      <c r="AF1093" s="101"/>
      <c r="AG1093" s="101"/>
    </row>
    <row r="1094" spans="21:33" s="1" customFormat="1" x14ac:dyDescent="0.25">
      <c r="U1094" s="101"/>
      <c r="V1094" s="101"/>
      <c r="W1094" s="101"/>
      <c r="X1094" s="101"/>
      <c r="Y1094" s="101"/>
      <c r="Z1094" s="101"/>
      <c r="AA1094" s="101"/>
      <c r="AB1094" s="101"/>
      <c r="AC1094" s="101"/>
      <c r="AD1094" s="101"/>
      <c r="AE1094" s="101"/>
      <c r="AF1094" s="101"/>
      <c r="AG1094" s="101"/>
    </row>
    <row r="1095" spans="21:33" s="1" customFormat="1" x14ac:dyDescent="0.25">
      <c r="U1095" s="101"/>
      <c r="V1095" s="101"/>
      <c r="W1095" s="101"/>
      <c r="X1095" s="101"/>
      <c r="Y1095" s="101"/>
      <c r="Z1095" s="101"/>
      <c r="AA1095" s="101"/>
      <c r="AB1095" s="101"/>
      <c r="AC1095" s="101"/>
      <c r="AD1095" s="101"/>
      <c r="AE1095" s="101"/>
      <c r="AF1095" s="101"/>
      <c r="AG1095" s="101"/>
    </row>
    <row r="1096" spans="21:33" s="1" customFormat="1" x14ac:dyDescent="0.25">
      <c r="U1096" s="101"/>
      <c r="V1096" s="101"/>
      <c r="W1096" s="101"/>
      <c r="X1096" s="101"/>
      <c r="Y1096" s="101"/>
      <c r="Z1096" s="101"/>
      <c r="AA1096" s="101"/>
      <c r="AB1096" s="101"/>
      <c r="AC1096" s="101"/>
      <c r="AD1096" s="101"/>
      <c r="AE1096" s="101"/>
      <c r="AF1096" s="101"/>
      <c r="AG1096" s="101"/>
    </row>
    <row r="1097" spans="21:33" s="1" customFormat="1" x14ac:dyDescent="0.25">
      <c r="U1097" s="101"/>
      <c r="V1097" s="101"/>
      <c r="W1097" s="101"/>
      <c r="X1097" s="101"/>
      <c r="Y1097" s="101"/>
      <c r="Z1097" s="101"/>
      <c r="AA1097" s="101"/>
      <c r="AB1097" s="101"/>
      <c r="AC1097" s="101"/>
      <c r="AD1097" s="101"/>
      <c r="AE1097" s="101"/>
      <c r="AF1097" s="101"/>
      <c r="AG1097" s="101"/>
    </row>
    <row r="1098" spans="21:33" s="1" customFormat="1" x14ac:dyDescent="0.25">
      <c r="U1098" s="101"/>
      <c r="V1098" s="101"/>
      <c r="W1098" s="101"/>
      <c r="X1098" s="101"/>
      <c r="Y1098" s="101"/>
      <c r="Z1098" s="101"/>
      <c r="AA1098" s="101"/>
      <c r="AB1098" s="101"/>
      <c r="AC1098" s="101"/>
      <c r="AD1098" s="101"/>
      <c r="AE1098" s="101"/>
      <c r="AF1098" s="101"/>
      <c r="AG1098" s="101"/>
    </row>
    <row r="1099" spans="21:33" s="1" customFormat="1" x14ac:dyDescent="0.25">
      <c r="U1099" s="101"/>
      <c r="V1099" s="101"/>
      <c r="W1099" s="101"/>
      <c r="X1099" s="101"/>
      <c r="Y1099" s="101"/>
      <c r="Z1099" s="101"/>
      <c r="AA1099" s="101"/>
      <c r="AB1099" s="101"/>
      <c r="AC1099" s="101"/>
      <c r="AD1099" s="101"/>
      <c r="AE1099" s="101"/>
      <c r="AF1099" s="101"/>
      <c r="AG1099" s="101"/>
    </row>
    <row r="1100" spans="21:33" s="1" customFormat="1" x14ac:dyDescent="0.25">
      <c r="U1100" s="101"/>
      <c r="V1100" s="101"/>
      <c r="W1100" s="101"/>
      <c r="X1100" s="101"/>
      <c r="Y1100" s="101"/>
      <c r="Z1100" s="101"/>
      <c r="AA1100" s="101"/>
      <c r="AB1100" s="101"/>
      <c r="AC1100" s="101"/>
      <c r="AD1100" s="101"/>
      <c r="AE1100" s="101"/>
      <c r="AF1100" s="101"/>
      <c r="AG1100" s="101"/>
    </row>
    <row r="1101" spans="21:33" s="1" customFormat="1" x14ac:dyDescent="0.25">
      <c r="U1101" s="101"/>
      <c r="V1101" s="101"/>
      <c r="W1101" s="101"/>
      <c r="X1101" s="101"/>
      <c r="Y1101" s="101"/>
      <c r="Z1101" s="101"/>
      <c r="AA1101" s="101"/>
      <c r="AB1101" s="101"/>
      <c r="AC1101" s="101"/>
      <c r="AD1101" s="101"/>
      <c r="AE1101" s="101"/>
      <c r="AF1101" s="101"/>
      <c r="AG1101" s="101"/>
    </row>
    <row r="1102" spans="21:33" s="1" customFormat="1" x14ac:dyDescent="0.25">
      <c r="U1102" s="101"/>
      <c r="V1102" s="101"/>
      <c r="W1102" s="101"/>
      <c r="X1102" s="101"/>
      <c r="Y1102" s="101"/>
      <c r="Z1102" s="101"/>
      <c r="AA1102" s="101"/>
      <c r="AB1102" s="101"/>
      <c r="AC1102" s="101"/>
      <c r="AD1102" s="101"/>
      <c r="AE1102" s="101"/>
      <c r="AF1102" s="101"/>
      <c r="AG1102" s="101"/>
    </row>
    <row r="1103" spans="21:33" s="1" customFormat="1" x14ac:dyDescent="0.25">
      <c r="U1103" s="101"/>
      <c r="V1103" s="101"/>
      <c r="W1103" s="101"/>
      <c r="X1103" s="101"/>
      <c r="Y1103" s="101"/>
      <c r="Z1103" s="101"/>
      <c r="AA1103" s="101"/>
      <c r="AB1103" s="101"/>
      <c r="AC1103" s="101"/>
      <c r="AD1103" s="101"/>
      <c r="AE1103" s="101"/>
      <c r="AF1103" s="101"/>
      <c r="AG1103" s="101"/>
    </row>
    <row r="1104" spans="21:33" s="1" customFormat="1" x14ac:dyDescent="0.25">
      <c r="U1104" s="101"/>
      <c r="V1104" s="101"/>
      <c r="W1104" s="101"/>
      <c r="X1104" s="101"/>
      <c r="Y1104" s="101"/>
      <c r="Z1104" s="101"/>
      <c r="AA1104" s="101"/>
      <c r="AB1104" s="101"/>
      <c r="AC1104" s="101"/>
      <c r="AD1104" s="101"/>
      <c r="AE1104" s="101"/>
      <c r="AF1104" s="101"/>
      <c r="AG1104" s="101"/>
    </row>
    <row r="1105" spans="21:33" s="1" customFormat="1" x14ac:dyDescent="0.25">
      <c r="U1105" s="101"/>
      <c r="V1105" s="101"/>
      <c r="W1105" s="101"/>
      <c r="X1105" s="101"/>
      <c r="Y1105" s="101"/>
      <c r="Z1105" s="101"/>
      <c r="AA1105" s="101"/>
      <c r="AB1105" s="101"/>
      <c r="AC1105" s="101"/>
      <c r="AD1105" s="101"/>
      <c r="AE1105" s="101"/>
      <c r="AF1105" s="101"/>
      <c r="AG1105" s="101"/>
    </row>
    <row r="1106" spans="21:33" s="1" customFormat="1" x14ac:dyDescent="0.25">
      <c r="U1106" s="101"/>
      <c r="V1106" s="101"/>
      <c r="W1106" s="101"/>
      <c r="X1106" s="101"/>
      <c r="Y1106" s="101"/>
      <c r="Z1106" s="101"/>
      <c r="AA1106" s="101"/>
      <c r="AB1106" s="101"/>
      <c r="AC1106" s="101"/>
      <c r="AD1106" s="101"/>
      <c r="AE1106" s="101"/>
      <c r="AF1106" s="101"/>
      <c r="AG1106" s="101"/>
    </row>
    <row r="1107" spans="21:33" s="1" customFormat="1" x14ac:dyDescent="0.25">
      <c r="U1107" s="101"/>
      <c r="V1107" s="101"/>
      <c r="W1107" s="101"/>
      <c r="X1107" s="101"/>
      <c r="Y1107" s="101"/>
      <c r="Z1107" s="101"/>
      <c r="AA1107" s="101"/>
      <c r="AB1107" s="101"/>
      <c r="AC1107" s="101"/>
      <c r="AD1107" s="101"/>
      <c r="AE1107" s="101"/>
      <c r="AF1107" s="101"/>
      <c r="AG1107" s="101"/>
    </row>
    <row r="1108" spans="21:33" s="1" customFormat="1" x14ac:dyDescent="0.25">
      <c r="U1108" s="101"/>
      <c r="V1108" s="101"/>
      <c r="W1108" s="101"/>
      <c r="X1108" s="101"/>
      <c r="Y1108" s="101"/>
      <c r="Z1108" s="101"/>
      <c r="AA1108" s="101"/>
      <c r="AB1108" s="101"/>
      <c r="AC1108" s="101"/>
      <c r="AD1108" s="101"/>
      <c r="AE1108" s="101"/>
      <c r="AF1108" s="101"/>
      <c r="AG1108" s="101"/>
    </row>
    <row r="1109" spans="21:33" s="1" customFormat="1" x14ac:dyDescent="0.25">
      <c r="U1109" s="101"/>
      <c r="V1109" s="101"/>
      <c r="W1109" s="101"/>
      <c r="X1109" s="101"/>
      <c r="Y1109" s="101"/>
      <c r="Z1109" s="101"/>
      <c r="AA1109" s="101"/>
      <c r="AB1109" s="101"/>
      <c r="AC1109" s="101"/>
      <c r="AD1109" s="101"/>
      <c r="AE1109" s="101"/>
      <c r="AF1109" s="101"/>
      <c r="AG1109" s="101"/>
    </row>
    <row r="1110" spans="21:33" s="1" customFormat="1" x14ac:dyDescent="0.25">
      <c r="U1110" s="101"/>
      <c r="V1110" s="101"/>
      <c r="W1110" s="101"/>
      <c r="X1110" s="101"/>
      <c r="Y1110" s="101"/>
      <c r="Z1110" s="101"/>
      <c r="AA1110" s="101"/>
      <c r="AB1110" s="101"/>
      <c r="AC1110" s="101"/>
      <c r="AD1110" s="101"/>
      <c r="AE1110" s="101"/>
      <c r="AF1110" s="101"/>
      <c r="AG1110" s="101"/>
    </row>
    <row r="1111" spans="21:33" s="1" customFormat="1" x14ac:dyDescent="0.25">
      <c r="U1111" s="101"/>
      <c r="V1111" s="101"/>
      <c r="W1111" s="101"/>
      <c r="X1111" s="101"/>
      <c r="Y1111" s="101"/>
      <c r="Z1111" s="101"/>
      <c r="AA1111" s="101"/>
      <c r="AB1111" s="101"/>
      <c r="AC1111" s="101"/>
      <c r="AD1111" s="101"/>
      <c r="AE1111" s="101"/>
      <c r="AF1111" s="101"/>
      <c r="AG1111" s="101"/>
    </row>
    <row r="1112" spans="21:33" s="1" customFormat="1" x14ac:dyDescent="0.25">
      <c r="U1112" s="101"/>
      <c r="V1112" s="101"/>
      <c r="W1112" s="101"/>
      <c r="X1112" s="101"/>
      <c r="Y1112" s="101"/>
      <c r="Z1112" s="101"/>
      <c r="AA1112" s="101"/>
      <c r="AB1112" s="101"/>
      <c r="AC1112" s="101"/>
      <c r="AD1112" s="101"/>
      <c r="AE1112" s="101"/>
      <c r="AF1112" s="101"/>
      <c r="AG1112" s="101"/>
    </row>
    <row r="1113" spans="21:33" s="1" customFormat="1" x14ac:dyDescent="0.25">
      <c r="U1113" s="101"/>
      <c r="V1113" s="101"/>
      <c r="W1113" s="101"/>
      <c r="X1113" s="101"/>
      <c r="Y1113" s="101"/>
      <c r="Z1113" s="101"/>
      <c r="AA1113" s="101"/>
      <c r="AB1113" s="101"/>
      <c r="AC1113" s="101"/>
      <c r="AD1113" s="101"/>
      <c r="AE1113" s="101"/>
      <c r="AF1113" s="101"/>
      <c r="AG1113" s="101"/>
    </row>
    <row r="1114" spans="21:33" s="1" customFormat="1" x14ac:dyDescent="0.25">
      <c r="U1114" s="101"/>
      <c r="V1114" s="101"/>
      <c r="W1114" s="101"/>
      <c r="X1114" s="101"/>
      <c r="Y1114" s="101"/>
      <c r="Z1114" s="101"/>
      <c r="AA1114" s="101"/>
      <c r="AB1114" s="101"/>
      <c r="AC1114" s="101"/>
      <c r="AD1114" s="101"/>
      <c r="AE1114" s="101"/>
      <c r="AF1114" s="101"/>
      <c r="AG1114" s="101"/>
    </row>
    <row r="1115" spans="21:33" s="1" customFormat="1" x14ac:dyDescent="0.25">
      <c r="U1115" s="101"/>
      <c r="V1115" s="101"/>
      <c r="W1115" s="101"/>
      <c r="X1115" s="101"/>
      <c r="Y1115" s="101"/>
      <c r="Z1115" s="101"/>
      <c r="AA1115" s="101"/>
      <c r="AB1115" s="101"/>
      <c r="AC1115" s="101"/>
      <c r="AD1115" s="101"/>
      <c r="AE1115" s="101"/>
      <c r="AF1115" s="101"/>
      <c r="AG1115" s="101"/>
    </row>
    <row r="1116" spans="21:33" s="1" customFormat="1" x14ac:dyDescent="0.25">
      <c r="U1116" s="101"/>
      <c r="V1116" s="101"/>
      <c r="W1116" s="101"/>
      <c r="X1116" s="101"/>
      <c r="Y1116" s="101"/>
      <c r="Z1116" s="101"/>
      <c r="AA1116" s="101"/>
      <c r="AB1116" s="101"/>
      <c r="AC1116" s="101"/>
      <c r="AD1116" s="101"/>
      <c r="AE1116" s="101"/>
      <c r="AF1116" s="101"/>
      <c r="AG1116" s="101"/>
    </row>
    <row r="1117" spans="21:33" s="1" customFormat="1" x14ac:dyDescent="0.25">
      <c r="U1117" s="101"/>
      <c r="V1117" s="101"/>
      <c r="W1117" s="101"/>
      <c r="X1117" s="101"/>
      <c r="Y1117" s="101"/>
      <c r="Z1117" s="101"/>
      <c r="AA1117" s="101"/>
      <c r="AB1117" s="101"/>
      <c r="AC1117" s="101"/>
      <c r="AD1117" s="101"/>
      <c r="AE1117" s="101"/>
      <c r="AF1117" s="101"/>
      <c r="AG1117" s="101"/>
    </row>
    <row r="1118" spans="21:33" s="1" customFormat="1" x14ac:dyDescent="0.25">
      <c r="U1118" s="101"/>
      <c r="V1118" s="101"/>
      <c r="W1118" s="101"/>
      <c r="X1118" s="101"/>
      <c r="Y1118" s="101"/>
      <c r="Z1118" s="101"/>
      <c r="AA1118" s="101"/>
      <c r="AB1118" s="101"/>
      <c r="AC1118" s="101"/>
      <c r="AD1118" s="101"/>
      <c r="AE1118" s="101"/>
      <c r="AF1118" s="101"/>
      <c r="AG1118" s="101"/>
    </row>
    <row r="1119" spans="21:33" s="1" customFormat="1" x14ac:dyDescent="0.25">
      <c r="U1119" s="101"/>
      <c r="V1119" s="101"/>
      <c r="W1119" s="101"/>
      <c r="X1119" s="101"/>
      <c r="Y1119" s="101"/>
      <c r="Z1119" s="101"/>
      <c r="AA1119" s="101"/>
      <c r="AB1119" s="101"/>
      <c r="AC1119" s="101"/>
      <c r="AD1119" s="101"/>
      <c r="AE1119" s="101"/>
      <c r="AF1119" s="101"/>
      <c r="AG1119" s="101"/>
    </row>
    <row r="1120" spans="21:33" s="1" customFormat="1" x14ac:dyDescent="0.25">
      <c r="U1120" s="101"/>
      <c r="V1120" s="101"/>
      <c r="W1120" s="101"/>
      <c r="X1120" s="101"/>
      <c r="Y1120" s="101"/>
      <c r="Z1120" s="101"/>
      <c r="AA1120" s="101"/>
      <c r="AB1120" s="101"/>
      <c r="AC1120" s="101"/>
      <c r="AD1120" s="101"/>
      <c r="AE1120" s="101"/>
      <c r="AF1120" s="101"/>
      <c r="AG1120" s="101"/>
    </row>
    <row r="1121" spans="21:33" s="1" customFormat="1" x14ac:dyDescent="0.25">
      <c r="U1121" s="101"/>
      <c r="V1121" s="101"/>
      <c r="W1121" s="101"/>
      <c r="X1121" s="101"/>
      <c r="Y1121" s="101"/>
      <c r="Z1121" s="101"/>
      <c r="AA1121" s="101"/>
      <c r="AB1121" s="101"/>
      <c r="AC1121" s="101"/>
      <c r="AD1121" s="101"/>
      <c r="AE1121" s="101"/>
      <c r="AF1121" s="101"/>
      <c r="AG1121" s="101"/>
    </row>
    <row r="1122" spans="21:33" s="1" customFormat="1" x14ac:dyDescent="0.25">
      <c r="U1122" s="101"/>
      <c r="V1122" s="101"/>
      <c r="W1122" s="101"/>
      <c r="X1122" s="101"/>
      <c r="Y1122" s="101"/>
      <c r="Z1122" s="101"/>
      <c r="AA1122" s="101"/>
      <c r="AB1122" s="101"/>
      <c r="AC1122" s="101"/>
      <c r="AD1122" s="101"/>
      <c r="AE1122" s="101"/>
      <c r="AF1122" s="101"/>
      <c r="AG1122" s="101"/>
    </row>
    <row r="1123" spans="21:33" s="1" customFormat="1" x14ac:dyDescent="0.25">
      <c r="U1123" s="101"/>
      <c r="V1123" s="101"/>
      <c r="W1123" s="101"/>
      <c r="X1123" s="101"/>
      <c r="Y1123" s="101"/>
      <c r="Z1123" s="101"/>
      <c r="AA1123" s="101"/>
      <c r="AB1123" s="101"/>
      <c r="AC1123" s="101"/>
      <c r="AD1123" s="101"/>
      <c r="AE1123" s="101"/>
      <c r="AF1123" s="101"/>
      <c r="AG1123" s="101"/>
    </row>
    <row r="1124" spans="21:33" s="1" customFormat="1" x14ac:dyDescent="0.25">
      <c r="U1124" s="101"/>
      <c r="V1124" s="101"/>
      <c r="W1124" s="101"/>
      <c r="X1124" s="101"/>
      <c r="Y1124" s="101"/>
      <c r="Z1124" s="101"/>
      <c r="AA1124" s="101"/>
      <c r="AB1124" s="101"/>
      <c r="AC1124" s="101"/>
      <c r="AD1124" s="101"/>
      <c r="AE1124" s="101"/>
      <c r="AF1124" s="101"/>
      <c r="AG1124" s="101"/>
    </row>
    <row r="1125" spans="21:33" s="1" customFormat="1" x14ac:dyDescent="0.25">
      <c r="U1125" s="101"/>
      <c r="V1125" s="101"/>
      <c r="W1125" s="101"/>
      <c r="X1125" s="101"/>
      <c r="Y1125" s="101"/>
      <c r="Z1125" s="101"/>
      <c r="AA1125" s="101"/>
      <c r="AB1125" s="101"/>
      <c r="AC1125" s="101"/>
      <c r="AD1125" s="101"/>
      <c r="AE1125" s="101"/>
      <c r="AF1125" s="101"/>
      <c r="AG1125" s="101"/>
    </row>
    <row r="1126" spans="21:33" s="1" customFormat="1" x14ac:dyDescent="0.25">
      <c r="U1126" s="101"/>
      <c r="V1126" s="101"/>
      <c r="W1126" s="101"/>
      <c r="X1126" s="101"/>
      <c r="Y1126" s="101"/>
      <c r="Z1126" s="101"/>
      <c r="AA1126" s="101"/>
      <c r="AB1126" s="101"/>
      <c r="AC1126" s="101"/>
      <c r="AD1126" s="101"/>
      <c r="AE1126" s="101"/>
      <c r="AF1126" s="101"/>
      <c r="AG1126" s="101"/>
    </row>
    <row r="1127" spans="21:33" s="1" customFormat="1" x14ac:dyDescent="0.25">
      <c r="U1127" s="101"/>
      <c r="V1127" s="101"/>
      <c r="W1127" s="101"/>
      <c r="X1127" s="101"/>
      <c r="Y1127" s="101"/>
      <c r="Z1127" s="101"/>
      <c r="AA1127" s="101"/>
      <c r="AB1127" s="101"/>
      <c r="AC1127" s="101"/>
      <c r="AD1127" s="101"/>
      <c r="AE1127" s="101"/>
      <c r="AF1127" s="101"/>
      <c r="AG1127" s="101"/>
    </row>
    <row r="1128" spans="21:33" s="1" customFormat="1" x14ac:dyDescent="0.25">
      <c r="U1128" s="101"/>
      <c r="V1128" s="101"/>
      <c r="W1128" s="101"/>
      <c r="X1128" s="101"/>
      <c r="Y1128" s="101"/>
      <c r="Z1128" s="101"/>
      <c r="AA1128" s="101"/>
      <c r="AB1128" s="101"/>
      <c r="AC1128" s="101"/>
      <c r="AD1128" s="101"/>
      <c r="AE1128" s="101"/>
      <c r="AF1128" s="101"/>
      <c r="AG1128" s="101"/>
    </row>
    <row r="1129" spans="21:33" s="1" customFormat="1" x14ac:dyDescent="0.25">
      <c r="U1129" s="101"/>
      <c r="V1129" s="101"/>
      <c r="W1129" s="101"/>
      <c r="X1129" s="101"/>
      <c r="Y1129" s="101"/>
      <c r="Z1129" s="101"/>
      <c r="AA1129" s="101"/>
      <c r="AB1129" s="101"/>
      <c r="AC1129" s="101"/>
      <c r="AD1129" s="101"/>
      <c r="AE1129" s="101"/>
      <c r="AF1129" s="101"/>
      <c r="AG1129" s="101"/>
    </row>
    <row r="1130" spans="21:33" s="1" customFormat="1" x14ac:dyDescent="0.25">
      <c r="U1130" s="101"/>
      <c r="V1130" s="101"/>
      <c r="W1130" s="101"/>
      <c r="X1130" s="101"/>
      <c r="Y1130" s="101"/>
      <c r="Z1130" s="101"/>
      <c r="AA1130" s="101"/>
      <c r="AB1130" s="101"/>
      <c r="AC1130" s="101"/>
      <c r="AD1130" s="101"/>
      <c r="AE1130" s="101"/>
      <c r="AF1130" s="101"/>
      <c r="AG1130" s="101"/>
    </row>
    <row r="1131" spans="21:33" s="1" customFormat="1" x14ac:dyDescent="0.25">
      <c r="U1131" s="101"/>
      <c r="V1131" s="101"/>
      <c r="W1131" s="101"/>
      <c r="X1131" s="101"/>
      <c r="Y1131" s="101"/>
      <c r="Z1131" s="101"/>
      <c r="AA1131" s="101"/>
      <c r="AB1131" s="101"/>
      <c r="AC1131" s="101"/>
      <c r="AD1131" s="101"/>
      <c r="AE1131" s="101"/>
      <c r="AF1131" s="101"/>
      <c r="AG1131" s="101"/>
    </row>
    <row r="1132" spans="21:33" s="1" customFormat="1" x14ac:dyDescent="0.25">
      <c r="U1132" s="101"/>
      <c r="V1132" s="101"/>
      <c r="W1132" s="101"/>
      <c r="X1132" s="101"/>
      <c r="Y1132" s="101"/>
      <c r="Z1132" s="101"/>
      <c r="AA1132" s="101"/>
      <c r="AB1132" s="101"/>
      <c r="AC1132" s="101"/>
      <c r="AD1132" s="101"/>
      <c r="AE1132" s="101"/>
      <c r="AF1132" s="101"/>
      <c r="AG1132" s="101"/>
    </row>
    <row r="1133" spans="21:33" s="1" customFormat="1" x14ac:dyDescent="0.25">
      <c r="U1133" s="101"/>
      <c r="V1133" s="101"/>
      <c r="W1133" s="101"/>
      <c r="X1133" s="101"/>
      <c r="Y1133" s="101"/>
      <c r="Z1133" s="101"/>
      <c r="AA1133" s="101"/>
      <c r="AB1133" s="101"/>
      <c r="AC1133" s="101"/>
      <c r="AD1133" s="101"/>
      <c r="AE1133" s="101"/>
      <c r="AF1133" s="101"/>
      <c r="AG1133" s="101"/>
    </row>
    <row r="1134" spans="21:33" s="1" customFormat="1" x14ac:dyDescent="0.25">
      <c r="U1134" s="101"/>
      <c r="V1134" s="101"/>
      <c r="W1134" s="101"/>
      <c r="X1134" s="101"/>
      <c r="Y1134" s="101"/>
      <c r="Z1134" s="101"/>
      <c r="AA1134" s="101"/>
      <c r="AB1134" s="101"/>
      <c r="AC1134" s="101"/>
      <c r="AD1134" s="101"/>
      <c r="AE1134" s="101"/>
      <c r="AF1134" s="101"/>
      <c r="AG1134" s="101"/>
    </row>
    <row r="1135" spans="21:33" s="1" customFormat="1" x14ac:dyDescent="0.25">
      <c r="U1135" s="101"/>
      <c r="V1135" s="101"/>
      <c r="W1135" s="101"/>
      <c r="X1135" s="101"/>
      <c r="Y1135" s="101"/>
      <c r="Z1135" s="101"/>
      <c r="AA1135" s="101"/>
      <c r="AB1135" s="101"/>
      <c r="AC1135" s="101"/>
      <c r="AD1135" s="101"/>
      <c r="AE1135" s="101"/>
      <c r="AF1135" s="101"/>
      <c r="AG1135" s="101"/>
    </row>
    <row r="1136" spans="21:33" s="1" customFormat="1" x14ac:dyDescent="0.25">
      <c r="U1136" s="101"/>
      <c r="V1136" s="101"/>
      <c r="W1136" s="101"/>
      <c r="X1136" s="101"/>
      <c r="Y1136" s="101"/>
      <c r="Z1136" s="101"/>
      <c r="AA1136" s="101"/>
      <c r="AB1136" s="101"/>
      <c r="AC1136" s="101"/>
      <c r="AD1136" s="101"/>
      <c r="AE1136" s="101"/>
      <c r="AF1136" s="101"/>
      <c r="AG1136" s="101"/>
    </row>
    <row r="1137" spans="21:33" s="1" customFormat="1" x14ac:dyDescent="0.25">
      <c r="U1137" s="101"/>
      <c r="V1137" s="101"/>
      <c r="W1137" s="101"/>
      <c r="X1137" s="101"/>
      <c r="Y1137" s="101"/>
      <c r="Z1137" s="101"/>
      <c r="AA1137" s="101"/>
      <c r="AB1137" s="101"/>
      <c r="AC1137" s="101"/>
      <c r="AD1137" s="101"/>
      <c r="AE1137" s="101"/>
      <c r="AF1137" s="101"/>
      <c r="AG1137" s="101"/>
    </row>
    <row r="1138" spans="21:33" s="1" customFormat="1" x14ac:dyDescent="0.25">
      <c r="U1138" s="101"/>
      <c r="V1138" s="101"/>
      <c r="W1138" s="101"/>
      <c r="X1138" s="101"/>
      <c r="Y1138" s="101"/>
      <c r="Z1138" s="101"/>
      <c r="AA1138" s="101"/>
      <c r="AB1138" s="101"/>
      <c r="AC1138" s="101"/>
      <c r="AD1138" s="101"/>
      <c r="AE1138" s="101"/>
      <c r="AF1138" s="101"/>
      <c r="AG1138" s="101"/>
    </row>
    <row r="1139" spans="21:33" s="1" customFormat="1" x14ac:dyDescent="0.25">
      <c r="U1139" s="101"/>
      <c r="V1139" s="101"/>
      <c r="W1139" s="101"/>
      <c r="X1139" s="101"/>
      <c r="Y1139" s="101"/>
      <c r="Z1139" s="101"/>
      <c r="AA1139" s="101"/>
      <c r="AB1139" s="101"/>
      <c r="AC1139" s="101"/>
      <c r="AD1139" s="101"/>
      <c r="AE1139" s="101"/>
      <c r="AF1139" s="101"/>
      <c r="AG1139" s="101"/>
    </row>
    <row r="1140" spans="21:33" s="1" customFormat="1" x14ac:dyDescent="0.25">
      <c r="U1140" s="101"/>
      <c r="V1140" s="101"/>
      <c r="W1140" s="101"/>
      <c r="X1140" s="101"/>
      <c r="Y1140" s="101"/>
      <c r="Z1140" s="101"/>
      <c r="AA1140" s="101"/>
      <c r="AB1140" s="101"/>
      <c r="AC1140" s="101"/>
      <c r="AD1140" s="101"/>
      <c r="AE1140" s="101"/>
      <c r="AF1140" s="101"/>
      <c r="AG1140" s="101"/>
    </row>
    <row r="1141" spans="21:33" s="1" customFormat="1" x14ac:dyDescent="0.25">
      <c r="U1141" s="101"/>
      <c r="V1141" s="101"/>
      <c r="W1141" s="101"/>
      <c r="X1141" s="101"/>
      <c r="Y1141" s="101"/>
      <c r="Z1141" s="101"/>
      <c r="AA1141" s="101"/>
      <c r="AB1141" s="101"/>
      <c r="AC1141" s="101"/>
      <c r="AD1141" s="101"/>
      <c r="AE1141" s="101"/>
      <c r="AF1141" s="101"/>
      <c r="AG1141" s="101"/>
    </row>
    <row r="1142" spans="21:33" s="1" customFormat="1" x14ac:dyDescent="0.25">
      <c r="U1142" s="101"/>
      <c r="V1142" s="101"/>
      <c r="W1142" s="101"/>
      <c r="X1142" s="101"/>
      <c r="Y1142" s="101"/>
      <c r="Z1142" s="101"/>
      <c r="AA1142" s="101"/>
      <c r="AB1142" s="101"/>
      <c r="AC1142" s="101"/>
      <c r="AD1142" s="101"/>
      <c r="AE1142" s="101"/>
      <c r="AF1142" s="101"/>
      <c r="AG1142" s="101"/>
    </row>
    <row r="1143" spans="21:33" s="1" customFormat="1" x14ac:dyDescent="0.25">
      <c r="U1143" s="101"/>
      <c r="V1143" s="101"/>
      <c r="W1143" s="101"/>
      <c r="X1143" s="101"/>
      <c r="Y1143" s="101"/>
      <c r="Z1143" s="101"/>
      <c r="AA1143" s="101"/>
      <c r="AB1143" s="101"/>
      <c r="AC1143" s="101"/>
      <c r="AD1143" s="101"/>
      <c r="AE1143" s="101"/>
      <c r="AF1143" s="101"/>
      <c r="AG1143" s="101"/>
    </row>
    <row r="1144" spans="21:33" s="1" customFormat="1" x14ac:dyDescent="0.25">
      <c r="U1144" s="101"/>
      <c r="V1144" s="101"/>
      <c r="W1144" s="101"/>
      <c r="X1144" s="101"/>
      <c r="Y1144" s="101"/>
      <c r="Z1144" s="101"/>
      <c r="AA1144" s="101"/>
      <c r="AB1144" s="101"/>
      <c r="AC1144" s="101"/>
      <c r="AD1144" s="101"/>
      <c r="AE1144" s="101"/>
      <c r="AF1144" s="101"/>
      <c r="AG1144" s="101"/>
    </row>
    <row r="1145" spans="21:33" s="1" customFormat="1" x14ac:dyDescent="0.25">
      <c r="U1145" s="101"/>
      <c r="V1145" s="101"/>
      <c r="W1145" s="101"/>
      <c r="X1145" s="101"/>
      <c r="Y1145" s="101"/>
      <c r="Z1145" s="101"/>
      <c r="AA1145" s="101"/>
      <c r="AB1145" s="101"/>
      <c r="AC1145" s="101"/>
      <c r="AD1145" s="101"/>
      <c r="AE1145" s="101"/>
      <c r="AF1145" s="101"/>
      <c r="AG1145" s="101"/>
    </row>
    <row r="1146" spans="21:33" s="1" customFormat="1" x14ac:dyDescent="0.25">
      <c r="U1146" s="101"/>
      <c r="V1146" s="101"/>
      <c r="W1146" s="101"/>
      <c r="X1146" s="101"/>
      <c r="Y1146" s="101"/>
      <c r="Z1146" s="101"/>
      <c r="AA1146" s="101"/>
      <c r="AB1146" s="101"/>
      <c r="AC1146" s="101"/>
      <c r="AD1146" s="101"/>
      <c r="AE1146" s="101"/>
      <c r="AF1146" s="101"/>
      <c r="AG1146" s="101"/>
    </row>
    <row r="1147" spans="21:33" s="1" customFormat="1" x14ac:dyDescent="0.25">
      <c r="U1147" s="101"/>
      <c r="V1147" s="101"/>
      <c r="W1147" s="101"/>
      <c r="X1147" s="101"/>
      <c r="Y1147" s="101"/>
      <c r="Z1147" s="101"/>
      <c r="AA1147" s="101"/>
      <c r="AB1147" s="101"/>
      <c r="AC1147" s="101"/>
      <c r="AD1147" s="101"/>
      <c r="AE1147" s="101"/>
      <c r="AF1147" s="101"/>
      <c r="AG1147" s="101"/>
    </row>
    <row r="1148" spans="21:33" s="1" customFormat="1" x14ac:dyDescent="0.25">
      <c r="U1148" s="101"/>
      <c r="V1148" s="101"/>
      <c r="W1148" s="101"/>
      <c r="X1148" s="101"/>
      <c r="Y1148" s="101"/>
      <c r="Z1148" s="101"/>
      <c r="AA1148" s="101"/>
      <c r="AB1148" s="101"/>
      <c r="AC1148" s="101"/>
      <c r="AD1148" s="101"/>
      <c r="AE1148" s="101"/>
      <c r="AF1148" s="101"/>
      <c r="AG1148" s="101"/>
    </row>
    <row r="1149" spans="21:33" s="1" customFormat="1" x14ac:dyDescent="0.25">
      <c r="U1149" s="101"/>
      <c r="V1149" s="101"/>
      <c r="W1149" s="101"/>
      <c r="X1149" s="101"/>
      <c r="Y1149" s="101"/>
      <c r="Z1149" s="101"/>
      <c r="AA1149" s="101"/>
      <c r="AB1149" s="101"/>
      <c r="AC1149" s="101"/>
      <c r="AD1149" s="101"/>
      <c r="AE1149" s="101"/>
      <c r="AF1149" s="101"/>
      <c r="AG1149" s="101"/>
    </row>
    <row r="1150" spans="21:33" s="1" customFormat="1" x14ac:dyDescent="0.25">
      <c r="U1150" s="101"/>
      <c r="V1150" s="101"/>
      <c r="W1150" s="101"/>
      <c r="X1150" s="101"/>
      <c r="Y1150" s="101"/>
      <c r="Z1150" s="101"/>
      <c r="AA1150" s="101"/>
      <c r="AB1150" s="101"/>
      <c r="AC1150" s="101"/>
      <c r="AD1150" s="101"/>
      <c r="AE1150" s="101"/>
      <c r="AF1150" s="101"/>
      <c r="AG1150" s="101"/>
    </row>
  </sheetData>
  <sheetProtection algorithmName="SHA-512" hashValue="l7EK8Lxv9w9lIAwmCeZf98p/OjSU/BDpgz54Ruf9J/uK8WVfO2X1AeEvlD7kF7PRx2t2Ftu+zeSVqJDirvxyjA==" saltValue="u2zFaKWaZJwLBJTY7WoZjw==" spinCount="100000" sheet="1"/>
  <phoneticPr fontId="17" type="noConversion"/>
  <conditionalFormatting sqref="C10:I19 K9 B9:I9">
    <cfRule type="cellIs" dxfId="19" priority="21" stopIfTrue="1" operator="lessThanOrEqual">
      <formula>0</formula>
    </cfRule>
  </conditionalFormatting>
  <conditionalFormatting sqref="J9:J20 J23">
    <cfRule type="cellIs" dxfId="18" priority="11" stopIfTrue="1" operator="equal">
      <formula>0</formula>
    </cfRule>
  </conditionalFormatting>
  <conditionalFormatting sqref="M9:M20 M23">
    <cfRule type="cellIs" dxfId="17" priority="10" stopIfTrue="1" operator="equal">
      <formula>0</formula>
    </cfRule>
  </conditionalFormatting>
  <conditionalFormatting sqref="X10:AD19 AF9 W9:AD9">
    <cfRule type="cellIs" dxfId="16" priority="9" stopIfTrue="1" operator="lessThanOrEqual">
      <formula>0</formula>
    </cfRule>
  </conditionalFormatting>
  <conditionalFormatting sqref="AE9:AE20 AE23">
    <cfRule type="cellIs" dxfId="15" priority="8" stopIfTrue="1" operator="equal">
      <formula>0</formula>
    </cfRule>
  </conditionalFormatting>
  <conditionalFormatting sqref="AH9:AH20 AH23">
    <cfRule type="cellIs" dxfId="14" priority="7" stopIfTrue="1" operator="equal">
      <formula>0</formula>
    </cfRule>
  </conditionalFormatting>
  <conditionalFormatting sqref="C21:I21">
    <cfRule type="cellIs" dxfId="13" priority="6" stopIfTrue="1" operator="lessThanOrEqual">
      <formula>0</formula>
    </cfRule>
  </conditionalFormatting>
  <conditionalFormatting sqref="J21:J22">
    <cfRule type="cellIs" dxfId="12" priority="5" stopIfTrue="1" operator="equal">
      <formula>0</formula>
    </cfRule>
  </conditionalFormatting>
  <conditionalFormatting sqref="M21:M22">
    <cfRule type="cellIs" dxfId="11" priority="4" stopIfTrue="1" operator="equal">
      <formula>0</formula>
    </cfRule>
  </conditionalFormatting>
  <conditionalFormatting sqref="X21:AD21">
    <cfRule type="cellIs" dxfId="10" priority="3" stopIfTrue="1" operator="lessThanOrEqual">
      <formula>0</formula>
    </cfRule>
  </conditionalFormatting>
  <conditionalFormatting sqref="AE21:AE22">
    <cfRule type="cellIs" dxfId="9" priority="2" stopIfTrue="1" operator="equal">
      <formula>0</formula>
    </cfRule>
  </conditionalFormatting>
  <conditionalFormatting sqref="AH21:AH22">
    <cfRule type="cellIs" dxfId="8" priority="1" stopIfTrue="1" operator="equal">
      <formula>0</formula>
    </cfRule>
  </conditionalFormatting>
  <pageMargins left="0.75" right="0.75" top="1" bottom="1" header="0.5" footer="0.5"/>
  <pageSetup paperSize="9" scale="62" orientation="portrait" r:id="rId1"/>
  <headerFooter alignWithMargins="0"/>
  <colBreaks count="1" manualBreakCount="1">
    <brk id="18" max="42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114"/>
  <sheetViews>
    <sheetView tabSelected="1" zoomScaleNormal="100" workbookViewId="0">
      <pane xSplit="2" ySplit="10" topLeftCell="AO40" activePane="bottomRight" state="frozen"/>
      <selection pane="topRight" activeCell="C1" sqref="C1"/>
      <selection pane="bottomLeft" activeCell="A11" sqref="A11"/>
      <selection pane="bottomRight" activeCell="AU31" sqref="AU31"/>
    </sheetView>
  </sheetViews>
  <sheetFormatPr defaultColWidth="9.109375" defaultRowHeight="13.2" x14ac:dyDescent="0.25"/>
  <cols>
    <col min="1" max="1" width="12.88671875" style="2" customWidth="1"/>
    <col min="2" max="2" width="1" style="2" customWidth="1"/>
    <col min="3" max="4" width="12.88671875" style="2" customWidth="1"/>
    <col min="5" max="5" width="8.88671875" style="2" customWidth="1"/>
    <col min="6" max="7" width="12.88671875" style="2" customWidth="1"/>
    <col min="8" max="8" width="8.88671875" style="2" customWidth="1"/>
    <col min="9" max="10" width="12.88671875" style="2" customWidth="1"/>
    <col min="11" max="11" width="8.88671875" style="2" customWidth="1"/>
    <col min="12" max="13" width="12.88671875" style="2" customWidth="1"/>
    <col min="14" max="14" width="8.88671875" style="2" customWidth="1"/>
    <col min="15" max="16" width="12.88671875" style="2" customWidth="1"/>
    <col min="17" max="17" width="8.88671875" style="2" customWidth="1"/>
    <col min="18" max="19" width="12.88671875" style="2" customWidth="1"/>
    <col min="20" max="20" width="8.88671875" style="2" customWidth="1"/>
    <col min="21" max="22" width="12.88671875" style="2" customWidth="1"/>
    <col min="23" max="23" width="8.88671875" style="2" customWidth="1"/>
    <col min="24" max="24" width="3.88671875" style="2" customWidth="1"/>
    <col min="25" max="25" width="3.109375" style="2" customWidth="1"/>
    <col min="26" max="26" width="9.109375" style="46"/>
    <col min="27" max="27" width="12.109375" style="46" customWidth="1"/>
    <col min="28" max="28" width="1.109375" style="46" customWidth="1"/>
    <col min="29" max="30" width="12.88671875" style="46" customWidth="1"/>
    <col min="31" max="31" width="8.88671875" style="46" customWidth="1"/>
    <col min="32" max="33" width="12.88671875" style="46" customWidth="1"/>
    <col min="34" max="34" width="8.88671875" style="46" customWidth="1"/>
    <col min="35" max="36" width="12.88671875" style="46" customWidth="1"/>
    <col min="37" max="37" width="8.88671875" style="46" customWidth="1"/>
    <col min="38" max="39" width="12.88671875" style="46" customWidth="1"/>
    <col min="40" max="40" width="8.88671875" style="46" customWidth="1"/>
    <col min="41" max="42" width="12.88671875" style="46" customWidth="1"/>
    <col min="43" max="43" width="8.88671875" style="46" customWidth="1"/>
    <col min="44" max="44" width="14" style="46" bestFit="1" customWidth="1"/>
    <col min="45" max="45" width="12.88671875" style="46" customWidth="1"/>
    <col min="46" max="46" width="8.88671875" style="46" customWidth="1"/>
    <col min="47" max="48" width="12.88671875" style="46" customWidth="1"/>
    <col min="49" max="49" width="8.88671875" style="46" customWidth="1"/>
    <col min="50" max="50" width="5.109375" style="46" customWidth="1"/>
    <col min="51" max="51" width="4.44140625" style="46" customWidth="1"/>
    <col min="52" max="97" width="9.109375" style="46"/>
    <col min="98" max="16384" width="9.109375" style="2"/>
  </cols>
  <sheetData>
    <row r="1" spans="1:97" s="46" customFormat="1" ht="24.75" customHeight="1" thickBot="1" x14ac:dyDescent="0.3"/>
    <row r="2" spans="1:97" ht="10.199999999999999" customHeight="1" x14ac:dyDescent="0.25">
      <c r="A2" s="47"/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50"/>
      <c r="Y2" s="50"/>
      <c r="AA2" s="47"/>
      <c r="AB2" s="48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50"/>
      <c r="AY2" s="50"/>
    </row>
    <row r="3" spans="1:97" ht="10.199999999999999" customHeight="1" x14ac:dyDescent="0.25">
      <c r="A3" s="51"/>
      <c r="B3" s="23"/>
      <c r="C3" s="52"/>
      <c r="D3" s="52"/>
      <c r="E3" s="52"/>
      <c r="F3" s="53"/>
      <c r="G3" s="52"/>
      <c r="H3" s="52"/>
      <c r="I3" s="52"/>
      <c r="J3" s="52"/>
      <c r="K3" s="52"/>
      <c r="L3" s="52"/>
      <c r="M3" s="52"/>
      <c r="N3" s="52"/>
      <c r="O3" s="54"/>
      <c r="P3" s="54"/>
      <c r="Q3" s="54"/>
      <c r="R3" s="54"/>
      <c r="S3" s="52"/>
      <c r="T3" s="52"/>
      <c r="U3" s="54"/>
      <c r="V3" s="52"/>
      <c r="W3" s="52"/>
      <c r="X3" s="50"/>
      <c r="Y3" s="50"/>
      <c r="AA3" s="51"/>
      <c r="AB3" s="23"/>
      <c r="AC3" s="52"/>
      <c r="AD3" s="52"/>
      <c r="AE3" s="52"/>
      <c r="AF3" s="53"/>
      <c r="AG3" s="52"/>
      <c r="AH3" s="52"/>
      <c r="AI3" s="52"/>
      <c r="AJ3" s="52"/>
      <c r="AK3" s="52"/>
      <c r="AL3" s="52"/>
      <c r="AM3" s="52"/>
      <c r="AN3" s="52"/>
      <c r="AO3" s="54"/>
      <c r="AP3" s="54"/>
      <c r="AQ3" s="54"/>
      <c r="AR3" s="54"/>
      <c r="AS3" s="52"/>
      <c r="AT3" s="52"/>
      <c r="AU3" s="54"/>
      <c r="AV3" s="52"/>
      <c r="AW3" s="52"/>
      <c r="AX3" s="50"/>
      <c r="AY3" s="50"/>
    </row>
    <row r="4" spans="1:97" s="5" customFormat="1" ht="10.199999999999999" customHeight="1" x14ac:dyDescent="0.25">
      <c r="A4" s="55"/>
      <c r="B4" s="2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  <c r="Y4" s="57"/>
      <c r="Z4" s="58"/>
      <c r="AA4" s="55"/>
      <c r="AB4" s="24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7"/>
      <c r="AY4" s="57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</row>
    <row r="5" spans="1:97" s="5" customFormat="1" ht="10.199999999999999" customHeight="1" x14ac:dyDescent="0.25">
      <c r="A5" s="55"/>
      <c r="B5" s="24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4"/>
      <c r="P5" s="54"/>
      <c r="Q5" s="54"/>
      <c r="R5" s="54"/>
      <c r="S5" s="56"/>
      <c r="T5" s="56"/>
      <c r="U5" s="54"/>
      <c r="V5" s="56"/>
      <c r="W5" s="56"/>
      <c r="X5" s="57"/>
      <c r="Y5" s="57"/>
      <c r="Z5" s="58"/>
      <c r="AA5" s="55"/>
      <c r="AB5" s="24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4"/>
      <c r="AP5" s="54"/>
      <c r="AQ5" s="54"/>
      <c r="AR5" s="54"/>
      <c r="AS5" s="56"/>
      <c r="AT5" s="56"/>
      <c r="AU5" s="54"/>
      <c r="AV5" s="56"/>
      <c r="AW5" s="56"/>
      <c r="AX5" s="57"/>
      <c r="AY5" s="57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</row>
    <row r="6" spans="1:97" s="5" customFormat="1" ht="10.199999999999999" customHeight="1" x14ac:dyDescent="0.25">
      <c r="A6" s="55"/>
      <c r="B6" s="24"/>
      <c r="C6" s="56"/>
      <c r="D6" s="56"/>
      <c r="E6" s="56"/>
      <c r="F6" s="56"/>
      <c r="G6" s="56"/>
      <c r="H6" s="56"/>
      <c r="I6" s="56"/>
      <c r="J6" s="56"/>
      <c r="K6" s="56"/>
      <c r="L6" s="59"/>
      <c r="M6" s="56"/>
      <c r="N6" s="56"/>
      <c r="O6" s="60"/>
      <c r="P6" s="60"/>
      <c r="Q6" s="60"/>
      <c r="R6" s="60"/>
      <c r="S6" s="56"/>
      <c r="T6" s="56"/>
      <c r="U6" s="60"/>
      <c r="V6" s="56"/>
      <c r="W6" s="56"/>
      <c r="X6" s="57"/>
      <c r="Y6" s="57"/>
      <c r="Z6" s="58"/>
      <c r="AA6" s="55"/>
      <c r="AB6" s="24"/>
      <c r="AC6" s="56"/>
      <c r="AD6" s="56"/>
      <c r="AE6" s="56"/>
      <c r="AF6" s="56"/>
      <c r="AG6" s="56"/>
      <c r="AH6" s="56"/>
      <c r="AI6" s="56"/>
      <c r="AJ6" s="56"/>
      <c r="AK6" s="56"/>
      <c r="AL6" s="59"/>
      <c r="AM6" s="56"/>
      <c r="AN6" s="56"/>
      <c r="AO6" s="60"/>
      <c r="AP6" s="60"/>
      <c r="AQ6" s="60"/>
      <c r="AR6" s="60"/>
      <c r="AS6" s="56"/>
      <c r="AT6" s="56"/>
      <c r="AU6" s="60"/>
      <c r="AV6" s="56"/>
      <c r="AW6" s="56"/>
      <c r="AX6" s="57"/>
      <c r="AY6" s="57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</row>
    <row r="7" spans="1:97" s="8" customFormat="1" ht="10.199999999999999" customHeight="1" x14ac:dyDescent="0.25">
      <c r="A7" s="61"/>
      <c r="B7" s="62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4"/>
      <c r="Y7" s="64"/>
      <c r="Z7" s="65"/>
      <c r="AA7" s="61"/>
      <c r="AB7" s="62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4"/>
      <c r="AY7" s="64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</row>
    <row r="8" spans="1:97" s="100" customFormat="1" ht="12.3" customHeight="1" thickBot="1" x14ac:dyDescent="0.3">
      <c r="A8" s="94"/>
      <c r="B8" s="95"/>
      <c r="C8" s="96"/>
      <c r="D8" s="97">
        <v>1</v>
      </c>
      <c r="E8" s="97"/>
      <c r="F8" s="97"/>
      <c r="G8" s="96">
        <v>2</v>
      </c>
      <c r="H8" s="96"/>
      <c r="I8" s="96"/>
      <c r="J8" s="97">
        <v>3</v>
      </c>
      <c r="K8" s="97"/>
      <c r="L8" s="97"/>
      <c r="M8" s="97">
        <v>4</v>
      </c>
      <c r="N8" s="97"/>
      <c r="O8" s="97"/>
      <c r="P8" s="97">
        <v>5</v>
      </c>
      <c r="Q8" s="97"/>
      <c r="R8" s="97"/>
      <c r="S8" s="97">
        <v>6</v>
      </c>
      <c r="T8" s="97"/>
      <c r="U8" s="97"/>
      <c r="V8" s="97">
        <v>7</v>
      </c>
      <c r="W8" s="97"/>
      <c r="X8" s="98"/>
      <c r="Y8" s="98"/>
      <c r="Z8" s="99"/>
      <c r="AA8" s="94"/>
      <c r="AB8" s="95"/>
      <c r="AC8" s="96"/>
      <c r="AD8" s="97">
        <v>1</v>
      </c>
      <c r="AE8" s="97"/>
      <c r="AF8" s="97"/>
      <c r="AG8" s="96">
        <v>2</v>
      </c>
      <c r="AH8" s="96"/>
      <c r="AI8" s="96"/>
      <c r="AJ8" s="97">
        <v>3</v>
      </c>
      <c r="AK8" s="97"/>
      <c r="AL8" s="97"/>
      <c r="AM8" s="97">
        <v>4</v>
      </c>
      <c r="AN8" s="97"/>
      <c r="AO8" s="97"/>
      <c r="AP8" s="97">
        <v>5</v>
      </c>
      <c r="AQ8" s="97"/>
      <c r="AR8" s="97"/>
      <c r="AS8" s="97">
        <v>6</v>
      </c>
      <c r="AT8" s="97"/>
      <c r="AU8" s="97"/>
      <c r="AV8" s="97">
        <v>7</v>
      </c>
      <c r="AW8" s="97"/>
      <c r="AX8" s="98"/>
      <c r="AY8" s="98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  <c r="CH8" s="99"/>
      <c r="CI8" s="99"/>
      <c r="CJ8" s="99"/>
      <c r="CK8" s="99"/>
      <c r="CL8" s="99"/>
      <c r="CM8" s="99"/>
      <c r="CN8" s="99"/>
      <c r="CO8" s="99"/>
      <c r="CP8" s="99"/>
      <c r="CQ8" s="99"/>
      <c r="CR8" s="99"/>
      <c r="CS8" s="99"/>
    </row>
    <row r="9" spans="1:97" s="150" customFormat="1" ht="54" customHeight="1" thickBot="1" x14ac:dyDescent="0.3">
      <c r="A9" s="146"/>
      <c r="B9" s="147"/>
      <c r="C9" s="191" t="str">
        <f>[1]Control!$HE$10</f>
        <v>-</v>
      </c>
      <c r="D9" s="191"/>
      <c r="E9" s="191"/>
      <c r="F9" s="191" t="str">
        <f>[1]Control!$HF$10</f>
        <v xml:space="preserve"> P_NORTH
ATTAKA</v>
      </c>
      <c r="G9" s="191"/>
      <c r="H9" s="191"/>
      <c r="I9" s="191" t="str">
        <f>[1]Control!$HG$10</f>
        <v>P_NORTH
NIB</v>
      </c>
      <c r="J9" s="191"/>
      <c r="K9" s="191"/>
      <c r="L9" s="191" t="str">
        <f>[1]Control!$HH$10</f>
        <v>P_NORTH
SANTAN
TERMINAL</v>
      </c>
      <c r="M9" s="191"/>
      <c r="N9" s="191"/>
      <c r="O9" s="191" t="str">
        <f>[1]Control!$HI$10</f>
        <v>P_NORTH
SECURITY PATROL</v>
      </c>
      <c r="P9" s="191"/>
      <c r="Q9" s="192"/>
      <c r="R9" s="191" t="str">
        <f>[1]Control!$HJ$10</f>
        <v>P_SOUTH</v>
      </c>
      <c r="S9" s="191"/>
      <c r="T9" s="191"/>
      <c r="U9" s="191" t="str">
        <f>[1]Control!$HK$10</f>
        <v>P_SOUTH SECURITY PATROL</v>
      </c>
      <c r="V9" s="191"/>
      <c r="W9" s="191"/>
      <c r="X9" s="148"/>
      <c r="Y9" s="148"/>
      <c r="Z9" s="149"/>
      <c r="AA9" s="146"/>
      <c r="AB9" s="147"/>
      <c r="AC9" s="191" t="str">
        <f>[1]Control!$HE$10</f>
        <v>-</v>
      </c>
      <c r="AD9" s="191"/>
      <c r="AE9" s="191"/>
      <c r="AF9" s="191" t="str">
        <f>[1]Control!$HF$10</f>
        <v xml:space="preserve"> P_NORTH
ATTAKA</v>
      </c>
      <c r="AG9" s="191"/>
      <c r="AH9" s="191"/>
      <c r="AI9" s="191" t="str">
        <f>[1]Control!$HG$10</f>
        <v>P_NORTH
NIB</v>
      </c>
      <c r="AJ9" s="191"/>
      <c r="AK9" s="191"/>
      <c r="AL9" s="191" t="str">
        <f>[1]Control!$HH$10</f>
        <v>P_NORTH
SANTAN
TERMINAL</v>
      </c>
      <c r="AM9" s="191"/>
      <c r="AN9" s="191"/>
      <c r="AO9" s="191" t="str">
        <f>[1]Control!$HI$10</f>
        <v>P_NORTH
SECURITY PATROL</v>
      </c>
      <c r="AP9" s="191"/>
      <c r="AQ9" s="192"/>
      <c r="AR9" s="191" t="str">
        <f>[1]Control!$HJ$10</f>
        <v>P_SOUTH</v>
      </c>
      <c r="AS9" s="191"/>
      <c r="AT9" s="191"/>
      <c r="AU9" s="191" t="str">
        <f>[1]Control!$HK$10</f>
        <v>P_SOUTH SECURITY PATROL</v>
      </c>
      <c r="AV9" s="191"/>
      <c r="AW9" s="191"/>
      <c r="AX9" s="148"/>
      <c r="AY9" s="148"/>
      <c r="AZ9" s="149"/>
      <c r="BA9" s="149"/>
      <c r="BB9" s="149"/>
      <c r="BC9" s="149"/>
      <c r="BD9" s="149"/>
      <c r="BE9" s="149"/>
      <c r="BF9" s="149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</row>
    <row r="10" spans="1:97" s="145" customFormat="1" ht="35.85" customHeight="1" thickBot="1" x14ac:dyDescent="0.3">
      <c r="A10" s="151" t="s">
        <v>10</v>
      </c>
      <c r="B10" s="152"/>
      <c r="C10" s="153" t="s">
        <v>11</v>
      </c>
      <c r="D10" s="154" t="s">
        <v>12</v>
      </c>
      <c r="E10" s="155" t="s">
        <v>4</v>
      </c>
      <c r="F10" s="153" t="s">
        <v>11</v>
      </c>
      <c r="G10" s="154" t="s">
        <v>12</v>
      </c>
      <c r="H10" s="155" t="s">
        <v>4</v>
      </c>
      <c r="I10" s="153" t="s">
        <v>11</v>
      </c>
      <c r="J10" s="154" t="s">
        <v>12</v>
      </c>
      <c r="K10" s="155" t="s">
        <v>4</v>
      </c>
      <c r="L10" s="153" t="s">
        <v>11</v>
      </c>
      <c r="M10" s="154" t="s">
        <v>12</v>
      </c>
      <c r="N10" s="155" t="s">
        <v>4</v>
      </c>
      <c r="O10" s="153" t="s">
        <v>11</v>
      </c>
      <c r="P10" s="154" t="s">
        <v>12</v>
      </c>
      <c r="Q10" s="156" t="s">
        <v>4</v>
      </c>
      <c r="R10" s="157" t="s">
        <v>11</v>
      </c>
      <c r="S10" s="154" t="s">
        <v>12</v>
      </c>
      <c r="T10" s="158" t="s">
        <v>4</v>
      </c>
      <c r="U10" s="157" t="s">
        <v>11</v>
      </c>
      <c r="V10" s="154" t="s">
        <v>12</v>
      </c>
      <c r="W10" s="158" t="s">
        <v>4</v>
      </c>
      <c r="X10" s="143"/>
      <c r="Y10" s="143"/>
      <c r="Z10" s="144"/>
      <c r="AA10" s="151" t="s">
        <v>10</v>
      </c>
      <c r="AB10" s="152"/>
      <c r="AC10" s="153" t="s">
        <v>11</v>
      </c>
      <c r="AD10" s="154" t="s">
        <v>12</v>
      </c>
      <c r="AE10" s="155" t="s">
        <v>4</v>
      </c>
      <c r="AF10" s="153" t="s">
        <v>11</v>
      </c>
      <c r="AG10" s="154" t="s">
        <v>12</v>
      </c>
      <c r="AH10" s="155" t="s">
        <v>4</v>
      </c>
      <c r="AI10" s="153" t="s">
        <v>11</v>
      </c>
      <c r="AJ10" s="154" t="s">
        <v>12</v>
      </c>
      <c r="AK10" s="155" t="s">
        <v>4</v>
      </c>
      <c r="AL10" s="153" t="s">
        <v>11</v>
      </c>
      <c r="AM10" s="154" t="s">
        <v>12</v>
      </c>
      <c r="AN10" s="155" t="s">
        <v>4</v>
      </c>
      <c r="AO10" s="153" t="s">
        <v>11</v>
      </c>
      <c r="AP10" s="154" t="s">
        <v>12</v>
      </c>
      <c r="AQ10" s="156" t="s">
        <v>4</v>
      </c>
      <c r="AR10" s="157" t="s">
        <v>11</v>
      </c>
      <c r="AS10" s="154" t="s">
        <v>12</v>
      </c>
      <c r="AT10" s="158" t="s">
        <v>4</v>
      </c>
      <c r="AU10" s="157" t="s">
        <v>11</v>
      </c>
      <c r="AV10" s="154" t="s">
        <v>12</v>
      </c>
      <c r="AW10" s="158" t="s">
        <v>4</v>
      </c>
      <c r="AX10" s="143"/>
      <c r="AY10" s="143"/>
      <c r="AZ10" s="144"/>
      <c r="BA10" s="144"/>
      <c r="BB10" s="144"/>
      <c r="BC10" s="144"/>
      <c r="BD10" s="144"/>
      <c r="BE10" s="144"/>
      <c r="BF10" s="144"/>
      <c r="BG10" s="144"/>
      <c r="BH10" s="144"/>
      <c r="BI10" s="144"/>
      <c r="BJ10" s="144"/>
      <c r="BK10" s="144"/>
      <c r="BL10" s="144"/>
      <c r="BM10" s="144"/>
      <c r="BN10" s="144"/>
      <c r="BO10" s="144"/>
      <c r="BP10" s="144"/>
      <c r="BQ10" s="144"/>
      <c r="BR10" s="144"/>
      <c r="BS10" s="144"/>
      <c r="BT10" s="144"/>
      <c r="BU10" s="144"/>
      <c r="BV10" s="144"/>
      <c r="BW10" s="144"/>
      <c r="BX10" s="144"/>
      <c r="BY10" s="144"/>
      <c r="BZ10" s="144"/>
      <c r="CA10" s="144"/>
      <c r="CB10" s="144"/>
      <c r="CC10" s="144"/>
      <c r="CD10" s="144"/>
      <c r="CE10" s="144"/>
      <c r="CF10" s="144"/>
      <c r="CG10" s="144"/>
      <c r="CH10" s="144"/>
      <c r="CI10" s="144"/>
      <c r="CJ10" s="144"/>
      <c r="CK10" s="144"/>
      <c r="CL10" s="144"/>
      <c r="CM10" s="144"/>
      <c r="CN10" s="144"/>
      <c r="CO10" s="144"/>
      <c r="CP10" s="144"/>
      <c r="CQ10" s="144"/>
      <c r="CR10" s="144"/>
      <c r="CS10" s="144"/>
    </row>
    <row r="11" spans="1:97" s="69" customFormat="1" ht="14.25" customHeight="1" x14ac:dyDescent="0.25">
      <c r="A11" s="110">
        <f>[1]Control!AZ11</f>
        <v>45986</v>
      </c>
      <c r="B11" s="66"/>
      <c r="C11" s="176">
        <f>'[2]AHTS-1'!AV11+'[2]AHTS-2'!AV11+'[2]AHTS-3'!AV11+'[2]AHTS-4'!AV11+'[2]AHTS-5'!AV11+'[2]AHTS-6'!AV11+'[2]AHTS-7'!AV11+'[2]AHTS-8'!AV11+'[3]CB-1'!AV11+'[3]CB-2'!AV11+'[3]CB-3'!AV11+'[3]CB-4'!AV11+'[3]CB-5'!AV11+'[3]CB-6'!AV11+'[3]CB-7'!AV11+'[3]CB-8'!AV11+'[3]CB-9'!AV11+'[3]CB-10'!AV11+'[3]CB-11'!AV11+'[3]CB-12'!AV11+'[3]CB-13'!AV11+'[3]CB-14'!AV11+'[3]CB-15'!AV11+'[3]CB-16'!AV11+'[3]CB-17'!AV11+'[3]CB-18'!AV11+'[3]CB-19'!AV11+'[3]CB-20'!AV11+'[3]CB-21'!AV11+'[3]CB-22'!AV11+'[3]CB-23'!AV11+'[3]CB-24'!AV11+'[4]LCT-1'!AV11+'[4]LCT-2'!AV11+'[4]LCT-3'!AV11+'[4]LCT-4'!AV11+'[4]LCT-5'!AV11+'[4]LCT-6'!AV11+'[4]LCT-7'!AV11+'[4]LCT-8'!AV11+'[5]TB-1'!AV11+'[5]TB-2'!AV11+'[5]TB-3'!AV11+'[5]TB-4'!AV11+'[5]TB-5'!AV11+'[5]TB-6'!AV11+'[5]TB-7'!AV11+'[5]TB-8'!AV11+'[5]TB-9'!AV11+'[5]TB-10'!AV11+'[6]DSV-1'!AV11+'[6]DSV-2'!AV11+'[6]DSV-3'!AV11+'[7]TUB-1'!AV11+'[7]TUB-2'!AV11+'[8]Barge-1'!AV11+'[8]Barge-2'!AV11+'[8]Barge-3'!AV11+'[8]Barge-4'!AV11</f>
        <v>0</v>
      </c>
      <c r="D11" s="177">
        <f>'[2]AHTS-1'!BR11+'[2]AHTS-2'!BR11+'[2]AHTS-3'!BR11+'[2]AHTS-4'!BR11+'[2]AHTS-5'!BR11+'[2]AHTS-6'!BR11+'[2]AHTS-7'!BR11+'[2]AHTS-8'!BR11+'[3]CB-1'!BR11+'[3]CB-2'!BR11+'[3]CB-3'!BR11+'[3]CB-4'!BR11+'[3]CB-5'!BR11+'[3]CB-6'!BR11+'[3]CB-7'!BR11+'[3]CB-8'!BR11+'[3]CB-9'!BR11+'[3]CB-10'!BR11+'[3]CB-11'!BR11+'[3]CB-12'!BR11+'[3]CB-13'!BR11+'[3]CB-14'!BR11+'[3]CB-15'!BR11+'[3]CB-16'!BR11+'[3]CB-17'!BR11+'[3]CB-18'!BR11+'[3]CB-19'!BR11+'[3]CB-20'!BR11+'[3]CB-21'!BR11+'[3]CB-22'!BR11+'[3]CB-23'!BR11+'[3]CB-24'!BR11+'[4]LCT-1'!BR11+'[4]LCT-2'!BR11+'[4]LCT-3'!BR11+'[4]LCT-4'!BR11+'[4]LCT-5'!BR11+'[4]LCT-6'!BR11+'[4]LCT-7'!BR11+'[4]LCT-8'!BR11+'[5]TB-1'!BR11+'[5]TB-2'!BR11+'[5]TB-3'!BR11+'[5]TB-4'!BR11+'[5]TB-5'!BR11+'[5]TB-6'!BR11+'[5]TB-7'!BR11+'[5]TB-8'!BR11+'[5]TB-9'!BR11+'[5]TB-10'!BR11+'[6]DSV-1'!BR11+'[6]DSV-2'!BR11+'[6]DSV-3'!BR11+'[7]TUB-1'!BR11+'[7]TUB-2'!BR11+'[8]Barge-1'!BR11+'[8]Barge-2'!BR11+'[8]Barge-3'!BR11+'[8]Barge-4'!BR11</f>
        <v>0</v>
      </c>
      <c r="E11" s="178">
        <f>'[2]AHTS-1'!CN11+'[2]AHTS-2'!CN11+'[2]AHTS-3'!CN11+'[2]AHTS-4'!CN11+'[2]AHTS-5'!CN11+'[2]AHTS-6'!CN11+'[2]AHTS-7'!CN11+'[2]AHTS-8'!CN11+'[3]CB-1'!CN11+'[3]CB-2'!CN11+'[3]CB-3'!CN11+'[3]CB-4'!CN11+'[3]CB-5'!CN11+'[3]CB-6'!CN11+'[3]CB-7'!CN11+'[3]CB-8'!CN11+'[3]CB-9'!CN11+'[3]CB-10'!CN11+'[3]CB-11'!CN11+'[3]CB-12'!CN11+'[3]CB-13'!CN11+'[3]CB-14'!CN11+'[3]CB-15'!CN11+'[3]CB-16'!CN11+'[3]CB-17'!CN11+'[3]CB-18'!CN11+'[3]CB-19'!CN11+'[3]CB-20'!CN11+'[3]CB-21'!CN11+'[3]CB-22'!CN11+'[3]CB-23'!CN11+'[3]CB-24'!CN11+'[4]LCT-1'!CN11+'[4]LCT-2'!CN11+'[4]LCT-3'!CN11+'[4]LCT-4'!CN11+'[4]LCT-5'!CN11+'[4]LCT-6'!CN11+'[4]LCT-7'!CN11+'[4]LCT-8'!CN11+'[5]TB-1'!CN11+'[5]TB-2'!CN11+'[5]TB-3'!CN11+'[5]TB-4'!CN11+'[5]TB-5'!CN11+'[5]TB-6'!CN11+'[5]TB-7'!CN11+'[5]TB-8'!CN11+'[5]TB-9'!CN11+'[5]TB-10'!CN11+'[6]DSV-1'!CN11+'[6]DSV-2'!CN11+'[6]DSV-3'!CN11+'[7]TUB-1'!CN11+'[7]TUB-2'!CN11+'[8]Barge-1'!CN11+'[8]Barge-2'!CN11+'[8]Barge-3'!CN11+'[8]Barge-4'!CN11</f>
        <v>0</v>
      </c>
      <c r="F11" s="179">
        <f>'[2]AHTS-1'!AW11+'[2]AHTS-2'!AW11+'[2]AHTS-3'!AW11+'[2]AHTS-4'!AW11+'[2]AHTS-5'!AW11+'[2]AHTS-6'!AW11+'[2]AHTS-7'!AW11+'[2]AHTS-8'!AW11+'[3]CB-1'!AW11+'[3]CB-2'!AW11+'[3]CB-3'!AW11+'[3]CB-4'!AW11+'[3]CB-5'!AW11+'[3]CB-6'!AW11+'[3]CB-7'!AW11+'[3]CB-8'!AW11+'[3]CB-9'!AW11+'[3]CB-10'!AW11+'[3]CB-11'!AW11+'[3]CB-12'!AW11+'[3]CB-13'!AW11+'[3]CB-14'!AW11+'[3]CB-15'!AW11+'[3]CB-16'!AW11+'[3]CB-17'!AW11+'[3]CB-18'!AW11+'[3]CB-19'!AW11+'[3]CB-20'!AW11+'[3]CB-21'!AW11+'[3]CB-22'!AW11+'[3]CB-23'!AW11+'[3]CB-24'!AW11+'[4]LCT-1'!AW11+'[4]LCT-2'!AW11+'[4]LCT-3'!AW11+'[4]LCT-4'!AW11+'[4]LCT-5'!AW11+'[4]LCT-6'!AW11+'[4]LCT-7'!AW11+'[4]LCT-8'!AW11+'[5]TB-1'!AW11+'[5]TB-2'!AW11+'[5]TB-3'!AW11+'[5]TB-4'!AW11+'[5]TB-5'!AW11+'[5]TB-6'!AW11+'[5]TB-7'!AW11+'[5]TB-8'!AW11+'[5]TB-9'!AW11+'[5]TB-10'!AW11+'[6]DSV-1'!AW11+'[6]DSV-2'!AW11+'[6]DSV-3'!AW11+'[7]TUB-1'!AW11+'[7]TUB-2'!AW11+'[8]Barge-1'!AW11+'[8]Barge-2'!AW11+'[8]Barge-3'!AW11+'[8]Barge-4'!AW11</f>
        <v>1578.6782583658585</v>
      </c>
      <c r="G11" s="180">
        <f>'[2]AHTS-1'!BS11+'[2]AHTS-2'!BS11+'[2]AHTS-3'!BS11+'[2]AHTS-4'!BS11+'[2]AHTS-5'!BS11+'[2]AHTS-6'!BS11+'[2]AHTS-7'!BS11+'[2]AHTS-8'!BS11+'[3]CB-1'!BS11+'[3]CB-2'!BS11+'[3]CB-3'!BS11+'[3]CB-4'!BS11+'[3]CB-5'!BS11+'[3]CB-6'!BS11+'[3]CB-7'!BS11+'[3]CB-8'!BS11+'[3]CB-9'!BS11+'[3]CB-10'!BS11+'[3]CB-11'!BS11+'[3]CB-12'!BS11+'[3]CB-13'!BS11+'[3]CB-14'!BS11+'[3]CB-15'!BS11+'[3]CB-16'!BS11+'[3]CB-17'!BS11+'[3]CB-18'!BS11+'[3]CB-19'!BS11+'[3]CB-20'!BS11+'[3]CB-21'!BS11+'[3]CB-22'!BS11+'[3]CB-23'!BS11+'[3]CB-24'!BS11+'[4]LCT-1'!BS11+'[4]LCT-2'!BS11+'[4]LCT-3'!BS11+'[4]LCT-4'!BS11+'[4]LCT-5'!BS11+'[4]LCT-6'!BS11+'[4]LCT-7'!BS11+'[4]LCT-8'!BS11+'[5]TB-1'!BS11+'[5]TB-2'!BS11+'[5]TB-3'!BS11+'[5]TB-4'!BS11+'[5]TB-5'!BS11+'[5]TB-6'!BS11+'[5]TB-7'!BS11+'[5]TB-8'!BS11+'[5]TB-9'!BS11+'[5]TB-10'!BS11+'[6]DSV-1'!BS11+'[6]DSV-2'!BS11+'[6]DSV-3'!BS11+'[7]TUB-1'!BS11+'[7]TUB-2'!BS11+'[8]Barge-1'!BS11+'[8]Barge-2'!BS11+'[8]Barge-3'!BS11+'[8]Barge-4'!BS11</f>
        <v>1652.1103930727068</v>
      </c>
      <c r="H11" s="180">
        <f>'[2]AHTS-1'!CO11+'[2]AHTS-2'!CO11+'[2]AHTS-3'!CO11+'[2]AHTS-4'!CO11+'[2]AHTS-5'!CO11+'[2]AHTS-6'!CO11+'[2]AHTS-7'!CO11+'[2]AHTS-8'!CO11+'[3]CB-1'!CO11+'[3]CB-2'!CO11+'[3]CB-3'!CO11+'[3]CB-4'!CO11+'[3]CB-5'!CO11+'[3]CB-6'!CO11+'[3]CB-7'!CO11+'[3]CB-8'!CO11+'[3]CB-9'!CO11+'[3]CB-10'!CO11+'[3]CB-11'!CO11+'[3]CB-12'!CO11+'[3]CB-13'!CO11+'[3]CB-14'!CO11+'[3]CB-15'!CO11+'[3]CB-16'!CO11+'[3]CB-17'!CO11+'[3]CB-18'!CO11+'[3]CB-19'!CO11+'[3]CB-20'!CO11+'[3]CB-21'!CO11+'[3]CB-22'!CO11+'[3]CB-23'!CO11+'[3]CB-24'!CO11+'[4]LCT-1'!CO11+'[4]LCT-2'!CO11+'[4]LCT-3'!CO11+'[4]LCT-4'!CO11+'[4]LCT-5'!CO11+'[4]LCT-6'!CO11+'[4]LCT-7'!CO11+'[4]LCT-8'!CO11+'[5]TB-1'!CO11+'[5]TB-2'!CO11+'[5]TB-3'!CO11+'[5]TB-4'!CO11+'[5]TB-5'!CO11+'[5]TB-6'!CO11+'[5]TB-7'!CO11+'[5]TB-8'!CO11+'[5]TB-9'!CO11+'[5]TB-10'!CO11+'[6]DSV-1'!CO11+'[6]DSV-2'!CO11+'[6]DSV-3'!CO11+'[7]TUB-1'!CO11+'[7]TUB-2'!CO11+'[8]Barge-1'!CO11+'[8]Barge-2'!CO11+'[8]Barge-3'!CO11+'[8]Barge-4'!CO11</f>
        <v>0</v>
      </c>
      <c r="I11" s="179">
        <f>'[2]AHTS-1'!AX11+'[2]AHTS-2'!AX11+'[2]AHTS-3'!AX11+'[2]AHTS-4'!AX11+'[2]AHTS-5'!AX11+'[2]AHTS-6'!AX11+'[2]AHTS-7'!AX11+'[2]AHTS-8'!AX11+'[3]CB-1'!AX11+'[3]CB-2'!AX11+'[3]CB-3'!AX11+'[3]CB-4'!AX11+'[3]CB-5'!AX11+'[3]CB-6'!AX11+'[3]CB-7'!AX11+'[3]CB-8'!AX11+'[3]CB-9'!AX11+'[3]CB-10'!AX11+'[3]CB-11'!AX11+'[3]CB-12'!AX11+'[3]CB-13'!AX11+'[3]CB-14'!AX11+'[3]CB-15'!AX11+'[3]CB-16'!AX11+'[3]CB-17'!AX11+'[3]CB-18'!AX11+'[3]CB-19'!AX11+'[3]CB-20'!AX11+'[3]CB-21'!AX11+'[3]CB-22'!AX11+'[3]CB-23'!AX11+'[3]CB-24'!AX11+'[4]LCT-1'!AX11+'[4]LCT-2'!AX11+'[4]LCT-3'!AX11+'[4]LCT-4'!AX11+'[4]LCT-5'!AX11+'[4]LCT-6'!AX11+'[4]LCT-7'!AX11+'[4]LCT-8'!AX11+'[5]TB-1'!AX11+'[5]TB-2'!AX11+'[5]TB-3'!AX11+'[5]TB-4'!AX11+'[5]TB-5'!AX11+'[5]TB-6'!AX11+'[5]TB-7'!AX11+'[5]TB-8'!AX11+'[5]TB-9'!AX11+'[5]TB-10'!AX11+'[6]DSV-1'!AX11+'[6]DSV-2'!AX11+'[6]DSV-3'!AX11+'[7]TUB-1'!AX11+'[7]TUB-2'!AX11+'[8]Barge-1'!AX11+'[8]Barge-2'!AX11+'[8]Barge-3'!AX11+'[8]Barge-4'!AX11</f>
        <v>2128.8432827862734</v>
      </c>
      <c r="J11" s="180">
        <f>'[2]AHTS-1'!BT11+'[2]AHTS-2'!BT11+'[2]AHTS-3'!BT11+'[2]AHTS-4'!BT11+'[2]AHTS-5'!BT11+'[2]AHTS-6'!BT11+'[2]AHTS-7'!BT11+'[2]AHTS-8'!BT11+'[3]CB-1'!BT11+'[3]CB-2'!BT11+'[3]CB-3'!BT11+'[3]CB-4'!BT11+'[3]CB-5'!BT11+'[3]CB-6'!BT11+'[3]CB-7'!BT11+'[3]CB-8'!BT11+'[3]CB-9'!BT11+'[3]CB-10'!BT11+'[3]CB-11'!BT11+'[3]CB-12'!BT11+'[3]CB-13'!BT11+'[3]CB-14'!BT11+'[3]CB-15'!BT11+'[3]CB-16'!BT11+'[3]CB-17'!BT11+'[3]CB-18'!BT11+'[3]CB-19'!BT11+'[3]CB-20'!BT11+'[3]CB-21'!BT11+'[3]CB-22'!BT11+'[3]CB-23'!BT11+'[3]CB-24'!BT11+'[4]LCT-1'!BT11+'[4]LCT-2'!BT11+'[4]LCT-3'!BT11+'[4]LCT-4'!BT11+'[4]LCT-5'!BT11+'[4]LCT-6'!BT11+'[4]LCT-7'!BT11+'[4]LCT-8'!BT11+'[5]TB-1'!BT11+'[5]TB-2'!BT11+'[5]TB-3'!BT11+'[5]TB-4'!BT11+'[5]TB-5'!BT11+'[5]TB-6'!BT11+'[5]TB-7'!BT11+'[5]TB-8'!BT11+'[5]TB-9'!BT11+'[5]TB-10'!BT11+'[6]DSV-1'!BT11+'[6]DSV-2'!BT11+'[6]DSV-3'!BT11+'[7]TUB-1'!BT11+'[7]TUB-2'!BT11+'[8]Barge-1'!BT11+'[8]Barge-2'!BT11+'[8]Barge-3'!BT11+'[8]Barge-4'!BT11</f>
        <v>1555.7350651566533</v>
      </c>
      <c r="K11" s="180">
        <f>'[2]AHTS-1'!CP11+'[2]AHTS-2'!CP11+'[2]AHTS-3'!CP11+'[2]AHTS-4'!CP11+'[2]AHTS-5'!CP11+'[2]AHTS-6'!CP11+'[2]AHTS-7'!CP11+'[2]AHTS-8'!CP11+'[3]CB-1'!CP11+'[3]CB-2'!CP11+'[3]CB-3'!CP11+'[3]CB-4'!CP11+'[3]CB-5'!CP11+'[3]CB-6'!CP11+'[3]CB-7'!CP11+'[3]CB-8'!CP11+'[3]CB-9'!CP11+'[3]CB-10'!CP11+'[3]CB-11'!CP11+'[3]CB-12'!CP11+'[3]CB-13'!CP11+'[3]CB-14'!CP11+'[3]CB-15'!CP11+'[3]CB-16'!CP11+'[3]CB-17'!CP11+'[3]CB-18'!CP11+'[3]CB-19'!CP11+'[3]CB-20'!CP11+'[3]CB-21'!CP11+'[3]CB-22'!CP11+'[3]CB-23'!CP11+'[3]CB-24'!CP11+'[4]LCT-1'!CP11+'[4]LCT-2'!CP11+'[4]LCT-3'!CP11+'[4]LCT-4'!CP11+'[4]LCT-5'!CP11+'[4]LCT-6'!CP11+'[4]LCT-7'!CP11+'[4]LCT-8'!CP11+'[5]TB-1'!CP11+'[5]TB-2'!CP11+'[5]TB-3'!CP11+'[5]TB-4'!CP11+'[5]TB-5'!CP11+'[5]TB-6'!CP11+'[5]TB-7'!CP11+'[5]TB-8'!CP11+'[5]TB-9'!CP11+'[5]TB-10'!CP11+'[6]DSV-1'!CP11+'[6]DSV-2'!CP11+'[6]DSV-3'!CP11+'[7]TUB-1'!CP11+'[7]TUB-2'!CP11+'[8]Barge-1'!CP11+'[8]Barge-2'!CP11+'[8]Barge-3'!CP11+'[8]Barge-4'!CP11</f>
        <v>0</v>
      </c>
      <c r="L11" s="181">
        <f>'[2]AHTS-1'!AY11+'[2]AHTS-2'!AY11+'[2]AHTS-3'!AY11+'[2]AHTS-4'!AY11+'[2]AHTS-5'!AY11+'[2]AHTS-6'!AY11+'[2]AHTS-7'!AY11+'[2]AHTS-8'!AY11+'[3]CB-1'!AY11+'[3]CB-2'!AY11+'[3]CB-3'!AY11+'[3]CB-4'!AY11+'[3]CB-5'!AY11+'[3]CB-6'!AY11+'[3]CB-7'!AY11+'[3]CB-8'!AY11+'[3]CB-9'!AY11+'[3]CB-10'!AY11+'[3]CB-11'!AY11+'[3]CB-12'!AY11+'[3]CB-13'!AY11+'[3]CB-14'!AY11+'[3]CB-15'!AY11+'[3]CB-16'!AY11+'[3]CB-17'!AY11+'[3]CB-18'!AY11+'[3]CB-19'!AY11+'[3]CB-20'!AY11+'[3]CB-21'!AY11+'[3]CB-22'!AY11+'[3]CB-23'!AY11+'[3]CB-24'!AY11+'[4]LCT-1'!AY11+'[4]LCT-2'!AY11+'[4]LCT-3'!AY11+'[4]LCT-4'!AY11+'[4]LCT-5'!AY11+'[4]LCT-6'!AY11+'[4]LCT-7'!AY11+'[4]LCT-8'!AY11+'[5]TB-1'!AY11+'[5]TB-2'!AY11+'[5]TB-3'!AY11+'[5]TB-4'!AY11+'[5]TB-5'!AY11+'[5]TB-6'!AY11+'[5]TB-7'!AY11+'[5]TB-8'!AY11+'[5]TB-9'!AY11+'[5]TB-10'!AY11+'[6]DSV-1'!AY11+'[6]DSV-2'!AY11+'[6]DSV-3'!AY11+'[7]TUB-1'!AY11+'[7]TUB-2'!AY11+'[8]Barge-1'!AY11+'[8]Barge-2'!AY11+'[8]Barge-3'!AY11+'[8]Barge-4'!AY11</f>
        <v>103.33354661206731</v>
      </c>
      <c r="M11" s="182">
        <f>'[2]AHTS-1'!BU11+'[2]AHTS-2'!BU11+'[2]AHTS-3'!BU11+'[2]AHTS-4'!BU11+'[2]AHTS-5'!BU11+'[2]AHTS-6'!BU11+'[2]AHTS-7'!BU11+'[2]AHTS-8'!BU11+'[3]CB-1'!BU11+'[3]CB-2'!BU11+'[3]CB-3'!BU11+'[3]CB-4'!BU11+'[3]CB-5'!BU11+'[3]CB-6'!BU11+'[3]CB-7'!BU11+'[3]CB-8'!BU11+'[3]CB-9'!BU11+'[3]CB-10'!BU11+'[3]CB-11'!BU11+'[3]CB-12'!BU11+'[3]CB-13'!BU11+'[3]CB-14'!BU11+'[3]CB-15'!BU11+'[3]CB-16'!BU11+'[3]CB-17'!BU11+'[3]CB-18'!BU11+'[3]CB-19'!BU11+'[3]CB-20'!BU11+'[3]CB-21'!BU11+'[3]CB-22'!BU11+'[3]CB-23'!BU11+'[3]CB-24'!BU11+'[4]LCT-1'!BU11+'[4]LCT-2'!BU11+'[4]LCT-3'!BU11+'[4]LCT-4'!BU11+'[4]LCT-5'!BU11+'[4]LCT-6'!BU11+'[4]LCT-7'!BU11+'[4]LCT-8'!BU11+'[5]TB-1'!BU11+'[5]TB-2'!BU11+'[5]TB-3'!BU11+'[5]TB-4'!BU11+'[5]TB-5'!BU11+'[5]TB-6'!BU11+'[5]TB-7'!BU11+'[5]TB-8'!BU11+'[5]TB-9'!BU11+'[5]TB-10'!BU11+'[6]DSV-1'!BU11+'[6]DSV-2'!BU11+'[6]DSV-3'!BU11+'[7]TUB-1'!BU11+'[7]TUB-2'!BU11+'[8]Barge-1'!BU11+'[8]Barge-2'!BU11+'[8]Barge-3'!BU11+'[8]Barge-4'!BU11</f>
        <v>607.84439183569009</v>
      </c>
      <c r="N11" s="182">
        <f>'[2]AHTS-1'!CQ11+'[2]AHTS-2'!CQ11+'[2]AHTS-3'!CQ11+'[2]AHTS-4'!CQ11+'[2]AHTS-5'!CQ11+'[2]AHTS-6'!CQ11+'[2]AHTS-7'!CQ11+'[2]AHTS-8'!CQ11+'[3]CB-1'!CQ11+'[3]CB-2'!CQ11+'[3]CB-3'!CQ11+'[3]CB-4'!CQ11+'[3]CB-5'!CQ11+'[3]CB-6'!CQ11+'[3]CB-7'!CQ11+'[3]CB-8'!CQ11+'[3]CB-9'!CQ11+'[3]CB-10'!CQ11+'[3]CB-11'!CQ11+'[3]CB-12'!CQ11+'[3]CB-13'!CQ11+'[3]CB-14'!CQ11+'[3]CB-15'!CQ11+'[3]CB-16'!CQ11+'[3]CB-17'!CQ11+'[3]CB-18'!CQ11+'[3]CB-19'!CQ11+'[3]CB-20'!CQ11+'[3]CB-21'!CQ11+'[3]CB-22'!CQ11+'[3]CB-23'!CQ11+'[3]CB-24'!CQ11+'[4]LCT-1'!CQ11+'[4]LCT-2'!CQ11+'[4]LCT-3'!CQ11+'[4]LCT-4'!CQ11+'[4]LCT-5'!CQ11+'[4]LCT-6'!CQ11+'[4]LCT-7'!CQ11+'[4]LCT-8'!CQ11+'[5]TB-1'!CQ11+'[5]TB-2'!CQ11+'[5]TB-3'!CQ11+'[5]TB-4'!CQ11+'[5]TB-5'!CQ11+'[5]TB-6'!CQ11+'[5]TB-7'!CQ11+'[5]TB-8'!CQ11+'[5]TB-9'!CQ11+'[5]TB-10'!CQ11+'[6]DSV-1'!CQ11+'[6]DSV-2'!CQ11+'[6]DSV-3'!CQ11+'[7]TUB-1'!CQ11+'[7]TUB-2'!CQ11+'[8]Barge-1'!CQ11+'[8]Barge-2'!CQ11+'[8]Barge-3'!CQ11+'[8]Barge-4'!CQ11</f>
        <v>0</v>
      </c>
      <c r="O11" s="179">
        <f>'[2]AHTS-1'!AZ11+'[2]AHTS-2'!AZ11+'[2]AHTS-3'!AZ11+'[2]AHTS-4'!AZ11+'[2]AHTS-5'!AZ11+'[2]AHTS-6'!AZ11+'[2]AHTS-7'!AZ11+'[2]AHTS-8'!AZ11+'[3]CB-1'!AZ11+'[3]CB-2'!AZ11+'[3]CB-3'!AZ11+'[3]CB-4'!AZ11+'[3]CB-5'!AZ11+'[3]CB-6'!AZ11+'[3]CB-7'!AZ11+'[3]CB-8'!AZ11+'[3]CB-9'!AZ11+'[3]CB-10'!AZ11+'[3]CB-11'!AZ11+'[3]CB-12'!AZ11+'[3]CB-13'!AZ11+'[3]CB-14'!AZ11+'[3]CB-15'!AZ11+'[3]CB-16'!AZ11+'[3]CB-17'!AZ11+'[3]CB-18'!AZ11+'[3]CB-19'!AZ11+'[3]CB-20'!AZ11+'[3]CB-21'!AZ11+'[3]CB-22'!AZ11+'[3]CB-23'!AZ11+'[3]CB-24'!AZ11+'[4]LCT-1'!AZ11+'[4]LCT-2'!AZ11+'[4]LCT-3'!AZ11+'[4]LCT-4'!AZ11+'[4]LCT-5'!AZ11+'[4]LCT-6'!AZ11+'[4]LCT-7'!AZ11+'[4]LCT-8'!AZ11+'[5]TB-1'!AZ11+'[5]TB-2'!AZ11+'[5]TB-3'!AZ11+'[5]TB-4'!AZ11+'[5]TB-5'!AZ11+'[5]TB-6'!AZ11+'[5]TB-7'!AZ11+'[5]TB-8'!AZ11+'[5]TB-9'!AZ11+'[5]TB-10'!AZ11+'[6]DSV-1'!AZ11+'[6]DSV-2'!AZ11+'[6]DSV-3'!AZ11+'[7]TUB-1'!AZ11+'[7]TUB-2'!AZ11+'[8]Barge-1'!AZ11+'[8]Barge-2'!AZ11+'[8]Barge-3'!AZ11+'[8]Barge-4'!AZ11</f>
        <v>35.133405848102882</v>
      </c>
      <c r="P11" s="180">
        <f>'[2]AHTS-1'!BV11+'[2]AHTS-2'!BV11+'[2]AHTS-3'!BV11+'[2]AHTS-4'!BV11+'[2]AHTS-5'!BV11+'[2]AHTS-6'!BV11+'[2]AHTS-7'!BV11+'[2]AHTS-8'!BV11+'[3]CB-1'!BV11+'[3]CB-2'!BV11+'[3]CB-3'!BV11+'[3]CB-4'!BV11+'[3]CB-5'!BV11+'[3]CB-6'!BV11+'[3]CB-7'!BV11+'[3]CB-8'!BV11+'[3]CB-9'!BV11+'[3]CB-10'!BV11+'[3]CB-11'!BV11+'[3]CB-12'!BV11+'[3]CB-13'!BV11+'[3]CB-14'!BV11+'[3]CB-15'!BV11+'[3]CB-16'!BV11+'[3]CB-17'!BV11+'[3]CB-18'!BV11+'[3]CB-19'!BV11+'[3]CB-20'!BV11+'[3]CB-21'!BV11+'[3]CB-22'!BV11+'[3]CB-23'!BV11+'[3]CB-24'!BV11+'[4]LCT-1'!BV11+'[4]LCT-2'!BV11+'[4]LCT-3'!BV11+'[4]LCT-4'!BV11+'[4]LCT-5'!BV11+'[4]LCT-6'!BV11+'[4]LCT-7'!BV11+'[4]LCT-8'!BV11+'[5]TB-1'!BV11+'[5]TB-2'!BV11+'[5]TB-3'!BV11+'[5]TB-4'!BV11+'[5]TB-5'!BV11+'[5]TB-6'!BV11+'[5]TB-7'!BV11+'[5]TB-8'!BV11+'[5]TB-9'!BV11+'[5]TB-10'!BV11+'[6]DSV-1'!BV11+'[6]DSV-2'!BV11+'[6]DSV-3'!BV11+'[7]TUB-1'!BV11+'[7]TUB-2'!BV11+'[8]Barge-1'!BV11+'[8]Barge-2'!BV11+'[8]Barge-3'!BV11+'[8]Barge-4'!BV11</f>
        <v>277.26235417066567</v>
      </c>
      <c r="Q11" s="180">
        <f>'[2]AHTS-1'!CR11+'[2]AHTS-2'!CR11+'[2]AHTS-3'!CR11+'[2]AHTS-4'!CR11+'[2]AHTS-5'!CR11+'[2]AHTS-6'!CR11+'[2]AHTS-7'!CR11+'[2]AHTS-8'!CR11+'[3]CB-1'!CR11+'[3]CB-2'!CR11+'[3]CB-3'!CR11+'[3]CB-4'!CR11+'[3]CB-5'!CR11+'[3]CB-6'!CR11+'[3]CB-7'!CR11+'[3]CB-8'!CR11+'[3]CB-9'!CR11+'[3]CB-10'!CR11+'[3]CB-11'!CR11+'[3]CB-12'!CR11+'[3]CB-13'!CR11+'[3]CB-14'!CR11+'[3]CB-15'!CR11+'[3]CB-16'!CR11+'[3]CB-17'!CR11+'[3]CB-18'!CR11+'[3]CB-19'!CR11+'[3]CB-20'!CR11+'[3]CB-21'!CR11+'[3]CB-22'!CR11+'[3]CB-23'!CR11+'[3]CB-24'!CR11+'[4]LCT-1'!CR11+'[4]LCT-2'!CR11+'[4]LCT-3'!CR11+'[4]LCT-4'!CR11+'[4]LCT-5'!CR11+'[4]LCT-6'!CR11+'[4]LCT-7'!CR11+'[4]LCT-8'!CR11+'[5]TB-1'!CR11+'[5]TB-2'!CR11+'[5]TB-3'!CR11+'[5]TB-4'!CR11+'[5]TB-5'!CR11+'[5]TB-6'!CR11+'[5]TB-7'!CR11+'[5]TB-8'!CR11+'[5]TB-9'!CR11+'[5]TB-10'!CR11+'[6]DSV-1'!CR11+'[6]DSV-2'!CR11+'[6]DSV-3'!CR11+'[7]TUB-1'!CR11+'[7]TUB-2'!CR11+'[8]Barge-1'!CR11+'[8]Barge-2'!CR11+'[8]Barge-3'!CR11+'[8]Barge-4'!CR11</f>
        <v>0</v>
      </c>
      <c r="R11" s="183">
        <f>'[2]AHTS-1'!BA11+'[2]AHTS-2'!BA11+'[2]AHTS-3'!BA11+'[2]AHTS-4'!BA11+'[2]AHTS-5'!BA11+'[2]AHTS-6'!BA11+'[2]AHTS-7'!BA11+'[2]AHTS-8'!BA11+'[3]CB-1'!BA11+'[3]CB-2'!BA11+'[3]CB-3'!BA11+'[3]CB-4'!BA11+'[3]CB-5'!BA11+'[3]CB-6'!BA11+'[3]CB-7'!BA11+'[3]CB-8'!BA11+'[3]CB-9'!BA11+'[3]CB-10'!BA11+'[3]CB-11'!BA11+'[3]CB-12'!BA11+'[3]CB-13'!BA11+'[3]CB-14'!BA11+'[3]CB-15'!BA11+'[3]CB-16'!BA11+'[3]CB-17'!BA11+'[3]CB-18'!BA11+'[3]CB-19'!BA11+'[3]CB-20'!BA11+'[3]CB-21'!BA11+'[3]CB-22'!BA11+'[3]CB-23'!BA11+'[3]CB-24'!BA11+'[4]LCT-1'!BA11+'[4]LCT-2'!BA11+'[4]LCT-3'!BA11+'[4]LCT-4'!BA11+'[4]LCT-5'!BA11+'[4]LCT-6'!BA11+'[4]LCT-7'!BA11+'[4]LCT-8'!BA11+'[5]TB-1'!BA11+'[5]TB-2'!BA11+'[5]TB-3'!BA11+'[5]TB-4'!BA11+'[5]TB-5'!BA11+'[5]TB-6'!BA11+'[5]TB-7'!BA11+'[5]TB-8'!BA11+'[5]TB-9'!BA11+'[5]TB-10'!BA11+'[6]DSV-1'!BA11+'[6]DSV-2'!BA11+'[6]DSV-3'!BA11+'[7]TUB-1'!BA11+'[7]TUB-2'!BA11+'[8]Barge-1'!BA11+'[8]Barge-2'!BA11+'[8]Barge-3'!BA11+'[8]Barge-4'!BA11</f>
        <v>4965.1769147098348</v>
      </c>
      <c r="S11" s="180">
        <f>'[2]AHTS-1'!BW11+'[2]AHTS-2'!BW11+'[2]AHTS-3'!BW11+'[2]AHTS-4'!BW11+'[2]AHTS-5'!BW11+'[2]AHTS-6'!BW11+'[2]AHTS-7'!BW11+'[2]AHTS-8'!BW11+'[3]CB-1'!BW11+'[3]CB-2'!BW11+'[3]CB-3'!BW11+'[3]CB-4'!BW11+'[3]CB-5'!BW11+'[3]CB-6'!BW11+'[3]CB-7'!BW11+'[3]CB-8'!BW11+'[3]CB-9'!BW11+'[3]CB-10'!BW11+'[3]CB-11'!BW11+'[3]CB-12'!BW11+'[3]CB-13'!BW11+'[3]CB-14'!BW11+'[3]CB-15'!BW11+'[3]CB-16'!BW11+'[3]CB-17'!BW11+'[3]CB-18'!BW11+'[3]CB-19'!BW11+'[3]CB-20'!BW11+'[3]CB-21'!BW11+'[3]CB-22'!BW11+'[3]CB-23'!BW11+'[3]CB-24'!BW11+'[4]LCT-1'!BW11+'[4]LCT-2'!BW11+'[4]LCT-3'!BW11+'[4]LCT-4'!BW11+'[4]LCT-5'!BW11+'[4]LCT-6'!BW11+'[4]LCT-7'!BW11+'[4]LCT-8'!BW11+'[5]TB-1'!BW11+'[5]TB-2'!BW11+'[5]TB-3'!BW11+'[5]TB-4'!BW11+'[5]TB-5'!BW11+'[5]TB-6'!BW11+'[5]TB-7'!BW11+'[5]TB-8'!BW11+'[5]TB-9'!BW11+'[5]TB-10'!BW11+'[6]DSV-1'!BW11+'[6]DSV-2'!BW11+'[6]DSV-3'!BW11+'[7]TUB-1'!BW11+'[7]TUB-2'!BW11+'[8]Barge-1'!BW11+'[8]Barge-2'!BW11+'[8]Barge-3'!BW11+'[8]Barge-4'!BW11</f>
        <v>5643.3553010429323</v>
      </c>
      <c r="T11" s="184">
        <f>'[2]AHTS-1'!CS11+'[2]AHTS-2'!CS11+'[2]AHTS-3'!CS11+'[2]AHTS-4'!CS11+'[2]AHTS-5'!CS11+'[2]AHTS-6'!CS11+'[2]AHTS-7'!CS11+'[2]AHTS-8'!CS11+'[3]CB-1'!CS11+'[3]CB-2'!CS11+'[3]CB-3'!CS11+'[3]CB-4'!CS11+'[3]CB-5'!CS11+'[3]CB-6'!CS11+'[3]CB-7'!CS11+'[3]CB-8'!CS11+'[3]CB-9'!CS11+'[3]CB-10'!CS11+'[3]CB-11'!CS11+'[3]CB-12'!CS11+'[3]CB-13'!CS11+'[3]CB-14'!CS11+'[3]CB-15'!CS11+'[3]CB-16'!CS11+'[3]CB-17'!CS11+'[3]CB-18'!CS11+'[3]CB-19'!CS11+'[3]CB-20'!CS11+'[3]CB-21'!CS11+'[3]CB-22'!CS11+'[3]CB-23'!CS11+'[3]CB-24'!CS11+'[4]LCT-1'!CS11+'[4]LCT-2'!CS11+'[4]LCT-3'!CS11+'[4]LCT-4'!CS11+'[4]LCT-5'!CS11+'[4]LCT-6'!CS11+'[4]LCT-7'!CS11+'[4]LCT-8'!CS11+'[5]TB-1'!CS11+'[5]TB-2'!CS11+'[5]TB-3'!CS11+'[5]TB-4'!CS11+'[5]TB-5'!CS11+'[5]TB-6'!CS11+'[5]TB-7'!CS11+'[5]TB-8'!CS11+'[5]TB-9'!CS11+'[5]TB-10'!CS11+'[6]DSV-1'!CS11+'[6]DSV-2'!CS11+'[6]DSV-3'!CS11+'[7]TUB-1'!CS11+'[7]TUB-2'!CS11+'[8]Barge-1'!CS11+'[8]Barge-2'!CS11+'[8]Barge-3'!CS11+'[8]Barge-4'!CS11</f>
        <v>0</v>
      </c>
      <c r="U11" s="183">
        <f>'[2]AHTS-1'!BB11+'[2]AHTS-2'!BB11+'[2]AHTS-3'!BB11+'[2]AHTS-4'!BB11+'[2]AHTS-5'!BB11+'[2]AHTS-6'!BB11+'[2]AHTS-7'!BB11+'[2]AHTS-8'!BB11+'[3]CB-1'!BB11+'[3]CB-2'!BB11+'[3]CB-3'!BB11+'[3]CB-4'!BB11+'[3]CB-5'!BB11+'[3]CB-6'!BB11+'[3]CB-7'!BB11+'[3]CB-8'!BB11+'[3]CB-9'!BB11+'[3]CB-10'!BB11+'[3]CB-11'!BB11+'[3]CB-12'!BB11+'[3]CB-13'!BB11+'[3]CB-14'!BB11+'[3]CB-15'!BB11+'[3]CB-16'!BB11+'[3]CB-17'!BB11+'[3]CB-18'!BB11+'[3]CB-19'!BB11+'[3]CB-20'!BB11+'[3]CB-21'!BB11+'[3]CB-22'!BB11+'[3]CB-23'!BB11+'[3]CB-24'!BB11+'[4]LCT-1'!BB11+'[4]LCT-2'!BB11+'[4]LCT-3'!BB11+'[4]LCT-4'!BB11+'[4]LCT-5'!BB11+'[4]LCT-6'!BB11+'[4]LCT-7'!BB11+'[4]LCT-8'!BB11+'[5]TB-1'!BB11+'[5]TB-2'!BB11+'[5]TB-3'!BB11+'[5]TB-4'!BB11+'[5]TB-5'!BB11+'[5]TB-6'!BB11+'[5]TB-7'!BB11+'[5]TB-8'!BB11+'[5]TB-9'!BB11+'[5]TB-10'!BB11+'[6]DSV-1'!BB11+'[6]DSV-2'!BB11+'[6]DSV-3'!BB11+'[7]TUB-1'!BB11+'[7]TUB-2'!BB11+'[8]Barge-1'!BB11+'[8]Barge-2'!BB11+'[8]Barge-3'!BB11+'[8]Barge-4'!BB11</f>
        <v>0</v>
      </c>
      <c r="V11" s="180">
        <f>'[2]AHTS-1'!BX11+'[2]AHTS-2'!BX11+'[2]AHTS-3'!BX11+'[2]AHTS-4'!BX11+'[2]AHTS-5'!BX11+'[2]AHTS-6'!BX11+'[2]AHTS-7'!BX11+'[2]AHTS-8'!BX11+'[3]CB-1'!BX11+'[3]CB-2'!BX11+'[3]CB-3'!BX11+'[3]CB-4'!BX11+'[3]CB-5'!BX11+'[3]CB-6'!BX11+'[3]CB-7'!BX11+'[3]CB-8'!BX11+'[3]CB-9'!BX11+'[3]CB-10'!BX11+'[3]CB-11'!BX11+'[3]CB-12'!BX11+'[3]CB-13'!BX11+'[3]CB-14'!BX11+'[3]CB-15'!BX11+'[3]CB-16'!BX11+'[3]CB-17'!BX11+'[3]CB-18'!BX11+'[3]CB-19'!BX11+'[3]CB-20'!BX11+'[3]CB-21'!BX11+'[3]CB-22'!BX11+'[3]CB-23'!BX11+'[3]CB-24'!BX11+'[4]LCT-1'!BX11+'[4]LCT-2'!BX11+'[4]LCT-3'!BX11+'[4]LCT-4'!BX11+'[4]LCT-5'!BX11+'[4]LCT-6'!BX11+'[4]LCT-7'!BX11+'[4]LCT-8'!BX11+'[5]TB-1'!BX11+'[5]TB-2'!BX11+'[5]TB-3'!BX11+'[5]TB-4'!BX11+'[5]TB-5'!BX11+'[5]TB-6'!BX11+'[5]TB-7'!BX11+'[5]TB-8'!BX11+'[5]TB-9'!BX11+'[5]TB-10'!BX11+'[6]DSV-1'!BX11+'[6]DSV-2'!BX11+'[6]DSV-3'!BX11+'[7]TUB-1'!BX11+'[7]TUB-2'!BX11+'[8]Barge-1'!BX11+'[8]Barge-2'!BX11+'[8]Barge-3'!BX11+'[8]Barge-4'!BX11</f>
        <v>0</v>
      </c>
      <c r="W11" s="184">
        <f>'[2]AHTS-1'!CT11+'[2]AHTS-2'!CT11+'[2]AHTS-3'!CT11+'[2]AHTS-4'!CT11+'[2]AHTS-5'!CT11+'[2]AHTS-6'!CT11+'[2]AHTS-7'!CT11+'[2]AHTS-8'!CT11+'[3]CB-1'!CT11+'[3]CB-2'!CT11+'[3]CB-3'!CT11+'[3]CB-4'!CT11+'[3]CB-5'!CT11+'[3]CB-6'!CT11+'[3]CB-7'!CT11+'[3]CB-8'!CT11+'[3]CB-9'!CT11+'[3]CB-10'!CT11+'[3]CB-11'!CT11+'[3]CB-12'!CT11+'[3]CB-13'!CT11+'[3]CB-14'!CT11+'[3]CB-15'!CT11+'[3]CB-16'!CT11+'[3]CB-17'!CT11+'[3]CB-18'!CT11+'[3]CB-19'!CT11+'[3]CB-20'!CT11+'[3]CB-21'!CT11+'[3]CB-22'!CT11+'[3]CB-23'!CT11+'[3]CB-24'!CT11+'[4]LCT-1'!CT11+'[4]LCT-2'!CT11+'[4]LCT-3'!CT11+'[4]LCT-4'!CT11+'[4]LCT-5'!CT11+'[4]LCT-6'!CT11+'[4]LCT-7'!CT11+'[4]LCT-8'!CT11+'[5]TB-1'!CT11+'[5]TB-2'!CT11+'[5]TB-3'!CT11+'[5]TB-4'!CT11+'[5]TB-5'!CT11+'[5]TB-6'!CT11+'[5]TB-7'!CT11+'[5]TB-8'!CT11+'[5]TB-9'!CT11+'[5]TB-10'!CT11+'[6]DSV-1'!CT11+'[6]DSV-2'!CT11+'[6]DSV-3'!CT11+'[7]TUB-1'!CT11+'[7]TUB-2'!CT11+'[8]Barge-1'!CT11+'[8]Barge-2'!CT11+'[8]Barge-3'!CT11+'[8]Barge-4'!CT11</f>
        <v>0</v>
      </c>
      <c r="X11" s="67"/>
      <c r="Y11" s="67"/>
      <c r="Z11" s="68"/>
      <c r="AA11" s="110">
        <f>[1]Control!AZ11</f>
        <v>45986</v>
      </c>
      <c r="AB11" s="66"/>
      <c r="AC11" s="132">
        <f>'[2]AHTS-1'!IC49+'[2]AHTS-2'!IC49+'[2]AHTS-3'!IC49+'[2]AHTS-4'!IC49+'[2]AHTS-5'!IC49+'[2]AHTS-6'!IC49+'[2]AHTS-7'!IC49+'[2]AHTS-8'!IC49+'[3]CB-1'!IC49+'[3]CB-2'!IC49+'[3]CB-3'!IC49+'[3]CB-4'!IC49+'[3]CB-5'!IC49+'[3]CB-6'!IC49+'[3]CB-7'!IC49+'[3]CB-8'!IC49+'[3]CB-9'!IC49+'[3]CB-10'!IC49+'[3]CB-11'!IC49+'[3]CB-12'!IC49+'[3]CB-13'!IC49+'[3]CB-14'!IC49+'[3]CB-15'!IC49+'[3]CB-16'!IC49+'[3]CB-17'!IC49+'[3]CB-18'!IC49+'[3]CB-19'!IC49+'[3]CB-20'!IC49+'[3]CB-21'!IC49+'[3]CB-22'!IC49+'[3]CB-23'!IC49+'[3]CB-24'!IC49+'[4]LCT-1'!IC49+'[4]LCT-2'!IC49+'[4]LCT-3'!IC49+'[4]LCT-4'!IC49+'[4]LCT-5'!IC49+'[4]LCT-6'!IC49+'[4]LCT-7'!IC49+'[4]LCT-8'!IC49+'[5]TB-1'!IC49+'[5]TB-2'!IC49+'[5]TB-3'!IC49+'[5]TB-4'!IC49+'[5]TB-5'!IC49+'[5]TB-6'!IC49+'[5]TB-7'!IC49+'[5]TB-8'!IC49+'[5]TB-9'!IC49+'[5]TB-10'!IC49+'[6]DSV-1'!IC49+'[6]DSV-2'!IC49+'[6]DSV-3'!IC49+'[7]TUB-1'!IC49+'[7]TUB-2'!IC49+'[8]Barge-1'!IC49+'[8]Barge-2'!IC49+'[8]Barge-3'!IC49+'[8]Barge-4'!IC49</f>
        <v>0</v>
      </c>
      <c r="AD11" s="133">
        <f>'[2]AHTS-1'!IC11+'[2]AHTS-2'!IC11+'[2]AHTS-3'!IC11+'[2]AHTS-4'!IC11+'[2]AHTS-5'!IC11+'[2]AHTS-6'!IC11+'[2]AHTS-7'!IC11+'[2]AHTS-8'!IC11+'[3]CB-1'!IC11+'[3]CB-2'!IC11+'[3]CB-3'!IC11+'[3]CB-4'!IC11+'[3]CB-5'!IC11+'[3]CB-6'!IC11+'[3]CB-7'!IC11+'[3]CB-8'!IC11+'[3]CB-9'!IC11+'[3]CB-10'!IC11+'[3]CB-11'!IC11+'[3]CB-12'!IC11+'[3]CB-13'!IC11+'[3]CB-14'!IC11+'[3]CB-15'!IC11+'[3]CB-16'!IC11+'[3]CB-17'!IC11+'[3]CB-18'!IC11+'[3]CB-19'!IC11+'[3]CB-20'!IC11+'[3]CB-21'!IC11+'[3]CB-22'!IC11+'[3]CB-23'!IC11+'[3]CB-24'!IC11+'[4]LCT-1'!IC11+'[4]LCT-2'!IC11+'[4]LCT-3'!IC11+'[4]LCT-4'!IC11+'[4]LCT-5'!IC11+'[4]LCT-6'!IC11+'[4]LCT-7'!IC11+'[4]LCT-8'!IC11+'[5]TB-1'!IC11+'[5]TB-2'!IC11+'[5]TB-3'!IC11+'[5]TB-4'!IC11+'[5]TB-5'!IC11+'[5]TB-6'!IC11+'[5]TB-7'!IC11+'[5]TB-8'!IC11+'[5]TB-9'!IC11+'[5]TB-10'!IC11+'[6]DSV-1'!IC11+'[6]DSV-2'!IC11+'[6]DSV-3'!IC11+'[7]TUB-1'!IC11+'[7]TUB-2'!IC11+'[8]Barge-1'!IC11+'[8]Barge-2'!IC11+'[8]Barge-3'!IC11+'[8]Barge-4'!IC11</f>
        <v>0</v>
      </c>
      <c r="AE11" s="134">
        <f>'[2]AHTS-1'!IC82+'[2]AHTS-2'!IC82+'[2]AHTS-3'!IC82+'[2]AHTS-4'!IC82+'[2]AHTS-5'!IC82+'[2]AHTS-6'!IC82+'[2]AHTS-7'!IC82+'[2]AHTS-8'!IC82+'[3]CB-1'!IC82+'[3]CB-2'!IC82+'[3]CB-3'!IC82+'[3]CB-4'!IC82+'[3]CB-5'!IC82+'[3]CB-6'!IC82+'[3]CB-7'!IC82+'[3]CB-8'!IC82+'[3]CB-9'!IC82+'[3]CB-10'!IC82+'[3]CB-11'!IC82+'[3]CB-12'!IC82+'[3]CB-13'!IC82+'[3]CB-14'!IC82+'[3]CB-15'!IC82+'[3]CB-16'!IC82+'[3]CB-17'!IC82+'[3]CB-18'!IC82+'[3]CB-19'!IC82+'[3]CB-20'!IC82+'[3]CB-21'!IC82+'[3]CB-22'!IC82+'[3]CB-23'!IC82+'[3]CB-24'!IC82+'[4]LCT-1'!IC82+'[4]LCT-2'!IC82+'[4]LCT-3'!IC82+'[4]LCT-4'!IC82+'[4]LCT-5'!IC82+'[4]LCT-6'!IC82+'[4]LCT-7'!IC82+'[4]LCT-8'!IC82+'[5]TB-1'!IC82+'[5]TB-2'!IC82+'[5]TB-3'!IC82+'[5]TB-4'!IC82+'[5]TB-5'!IC82+'[5]TB-6'!IC82+'[5]TB-7'!IC82+'[5]TB-8'!IC82+'[5]TB-9'!IC82+'[5]TB-10'!IC82+'[6]DSV-1'!IC82+'[6]DSV-2'!IC82+'[6]DSV-3'!IC82+'[7]TUB-1'!IC82+'[7]TUB-2'!IC82+'[8]Barge-1'!IC82+'[8]Barge-2'!IC82+'[8]Barge-3'!IC82+'[8]Barge-4'!IC82</f>
        <v>0</v>
      </c>
      <c r="AF11" s="135">
        <f>'[2]AHTS-1'!ID49+'[2]AHTS-2'!ID49+'[2]AHTS-3'!ID49+'[2]AHTS-4'!ID49+'[2]AHTS-5'!ID49+'[2]AHTS-6'!ID49+'[2]AHTS-7'!ID49+'[2]AHTS-8'!ID49+'[3]CB-1'!ID49+'[3]CB-2'!ID49+'[3]CB-3'!ID49+'[3]CB-4'!ID49+'[3]CB-5'!ID49+'[3]CB-6'!ID49+'[3]CB-7'!ID49+'[3]CB-8'!ID49+'[3]CB-9'!ID49+'[3]CB-10'!ID49+'[3]CB-11'!ID49+'[3]CB-12'!ID49+'[3]CB-13'!ID49+'[3]CB-14'!ID49+'[3]CB-15'!ID49+'[3]CB-16'!ID49+'[3]CB-17'!ID49+'[3]CB-18'!ID49+'[3]CB-19'!ID49+'[3]CB-20'!ID49+'[3]CB-21'!ID49+'[3]CB-22'!ID49+'[3]CB-23'!ID49+'[3]CB-24'!ID49+'[4]LCT-1'!ID49+'[4]LCT-2'!ID49+'[4]LCT-3'!ID49+'[4]LCT-4'!ID49+'[4]LCT-5'!ID49+'[4]LCT-6'!ID49+'[4]LCT-7'!ID49+'[4]LCT-8'!ID49+'[5]TB-1'!ID49+'[5]TB-2'!ID49+'[5]TB-3'!ID49+'[5]TB-4'!ID49+'[5]TB-5'!ID49+'[5]TB-6'!ID49+'[5]TB-7'!ID49+'[5]TB-8'!ID49+'[5]TB-9'!ID49+'[5]TB-10'!ID49+'[6]DSV-1'!ID49+'[6]DSV-2'!ID49+'[6]DSV-3'!ID49+'[7]TUB-1'!ID49+'[7]TUB-2'!ID49+'[8]Barge-1'!ID49+'[8]Barge-2'!ID49+'[8]Barge-3'!ID49+'[8]Barge-4'!ID49</f>
        <v>24673162.5</v>
      </c>
      <c r="AG11" s="136">
        <f>'[2]AHTS-1'!ID11+'[2]AHTS-2'!ID11+'[2]AHTS-3'!ID11+'[2]AHTS-4'!ID11+'[2]AHTS-5'!ID11+'[2]AHTS-6'!ID11+'[2]AHTS-7'!ID11+'[2]AHTS-8'!ID11+'[3]CB-1'!ID11+'[3]CB-2'!ID11+'[3]CB-3'!ID11+'[3]CB-4'!ID11+'[3]CB-5'!ID11+'[3]CB-6'!ID11+'[3]CB-7'!ID11+'[3]CB-8'!ID11+'[3]CB-9'!ID11+'[3]CB-10'!ID11+'[3]CB-11'!ID11+'[3]CB-12'!ID11+'[3]CB-13'!ID11+'[3]CB-14'!ID11+'[3]CB-15'!ID11+'[3]CB-16'!ID11+'[3]CB-17'!ID11+'[3]CB-18'!ID11+'[3]CB-19'!ID11+'[3]CB-20'!ID11+'[3]CB-21'!ID11+'[3]CB-22'!ID11+'[3]CB-23'!ID11+'[3]CB-24'!ID11+'[4]LCT-1'!ID11+'[4]LCT-2'!ID11+'[4]LCT-3'!ID11+'[4]LCT-4'!ID11+'[4]LCT-5'!ID11+'[4]LCT-6'!ID11+'[4]LCT-7'!ID11+'[4]LCT-8'!ID11+'[5]TB-1'!ID11+'[5]TB-2'!ID11+'[5]TB-3'!ID11+'[5]TB-4'!ID11+'[5]TB-5'!ID11+'[5]TB-6'!ID11+'[5]TB-7'!ID11+'[5]TB-8'!ID11+'[5]TB-9'!ID11+'[5]TB-10'!ID11+'[6]DSV-1'!ID11+'[6]DSV-2'!ID11+'[6]DSV-3'!ID11+'[7]TUB-1'!ID11+'[7]TUB-2'!ID11+'[8]Barge-1'!ID11+'[8]Barge-2'!ID11+'[8]Barge-3'!ID11+'[8]Barge-4'!ID11</f>
        <v>25820833.333333332</v>
      </c>
      <c r="AH11" s="136">
        <f>'[2]AHTS-1'!ID82+'[2]AHTS-2'!ID82+'[2]AHTS-3'!ID82+'[2]AHTS-4'!ID82+'[2]AHTS-5'!ID82+'[2]AHTS-6'!ID82+'[2]AHTS-7'!ID82+'[2]AHTS-8'!ID82+'[3]CB-1'!ID82+'[3]CB-2'!ID82+'[3]CB-3'!ID82+'[3]CB-4'!ID82+'[3]CB-5'!ID82+'[3]CB-6'!ID82+'[3]CB-7'!ID82+'[3]CB-8'!ID82+'[3]CB-9'!ID82+'[3]CB-10'!ID82+'[3]CB-11'!ID82+'[3]CB-12'!ID82+'[3]CB-13'!ID82+'[3]CB-14'!ID82+'[3]CB-15'!ID82+'[3]CB-16'!ID82+'[3]CB-17'!ID82+'[3]CB-18'!ID82+'[3]CB-19'!ID82+'[3]CB-20'!ID82+'[3]CB-21'!ID82+'[3]CB-22'!ID82+'[3]CB-23'!ID82+'[3]CB-24'!ID82+'[4]LCT-1'!ID82+'[4]LCT-2'!ID82+'[4]LCT-3'!ID82+'[4]LCT-4'!ID82+'[4]LCT-5'!ID82+'[4]LCT-6'!ID82+'[4]LCT-7'!ID82+'[4]LCT-8'!ID82+'[5]TB-1'!ID82+'[5]TB-2'!ID82+'[5]TB-3'!ID82+'[5]TB-4'!ID82+'[5]TB-5'!ID82+'[5]TB-6'!ID82+'[5]TB-7'!ID82+'[5]TB-8'!ID82+'[5]TB-9'!ID82+'[5]TB-10'!ID82+'[6]DSV-1'!ID82+'[6]DSV-2'!ID82+'[6]DSV-3'!ID82+'[7]TUB-1'!ID82+'[7]TUB-2'!ID82+'[8]Barge-1'!ID82+'[8]Barge-2'!ID82+'[8]Barge-3'!ID82+'[8]Barge-4'!ID82</f>
        <v>0</v>
      </c>
      <c r="AI11" s="135">
        <f>'[2]AHTS-1'!IE49+'[2]AHTS-2'!IE49+'[2]AHTS-3'!IE49+'[2]AHTS-4'!IE49+'[2]AHTS-5'!IE49+'[2]AHTS-6'!IE49+'[2]AHTS-7'!IE49+'[2]AHTS-8'!IE49+'[3]CB-1'!IE49+'[3]CB-2'!IE49+'[3]CB-3'!IE49+'[3]CB-4'!IE49+'[3]CB-5'!IE49+'[3]CB-6'!IE49+'[3]CB-7'!IE49+'[3]CB-8'!IE49+'[3]CB-9'!IE49+'[3]CB-10'!IE49+'[3]CB-11'!IE49+'[3]CB-12'!IE49+'[3]CB-13'!IE49+'[3]CB-14'!IE49+'[3]CB-15'!IE49+'[3]CB-16'!IE49+'[3]CB-17'!IE49+'[3]CB-18'!IE49+'[3]CB-19'!IE49+'[3]CB-20'!IE49+'[3]CB-21'!IE49+'[3]CB-22'!IE49+'[3]CB-23'!IE49+'[3]CB-24'!IE49+'[4]LCT-1'!IE49+'[4]LCT-2'!IE49+'[4]LCT-3'!IE49+'[4]LCT-4'!IE49+'[4]LCT-5'!IE49+'[4]LCT-6'!IE49+'[4]LCT-7'!IE49+'[4]LCT-8'!IE49+'[5]TB-1'!IE49+'[5]TB-2'!IE49+'[5]TB-3'!IE49+'[5]TB-4'!IE49+'[5]TB-5'!IE49+'[5]TB-6'!IE49+'[5]TB-7'!IE49+'[5]TB-8'!IE49+'[5]TB-9'!IE49+'[5]TB-10'!IE49+'[6]DSV-1'!IE49+'[6]DSV-2'!IE49+'[6]DSV-3'!IE49+'[7]TUB-1'!IE49+'[7]TUB-2'!IE49+'[8]Barge-1'!IE49+'[8]Barge-2'!IE49+'[8]Barge-3'!IE49+'[8]Barge-4'!IE49</f>
        <v>33271691.666666668</v>
      </c>
      <c r="AJ11" s="136">
        <f>'[2]AHTS-1'!IE11+'[2]AHTS-2'!IE11+'[2]AHTS-3'!IE11+'[2]AHTS-4'!IE11+'[2]AHTS-5'!IE11+'[2]AHTS-6'!IE11+'[2]AHTS-7'!IE11+'[2]AHTS-8'!IE11+'[3]CB-1'!IE11+'[3]CB-2'!IE11+'[3]CB-3'!IE11+'[3]CB-4'!IE11+'[3]CB-5'!IE11+'[3]CB-6'!IE11+'[3]CB-7'!IE11+'[3]CB-8'!IE11+'[3]CB-9'!IE11+'[3]CB-10'!IE11+'[3]CB-11'!IE11+'[3]CB-12'!IE11+'[3]CB-13'!IE11+'[3]CB-14'!IE11+'[3]CB-15'!IE11+'[3]CB-16'!IE11+'[3]CB-17'!IE11+'[3]CB-18'!IE11+'[3]CB-19'!IE11+'[3]CB-20'!IE11+'[3]CB-21'!IE11+'[3]CB-22'!IE11+'[3]CB-23'!IE11+'[3]CB-24'!IE11+'[4]LCT-1'!IE11+'[4]LCT-2'!IE11+'[4]LCT-3'!IE11+'[4]LCT-4'!IE11+'[4]LCT-5'!IE11+'[4]LCT-6'!IE11+'[4]LCT-7'!IE11+'[4]LCT-8'!IE11+'[5]TB-1'!IE11+'[5]TB-2'!IE11+'[5]TB-3'!IE11+'[5]TB-4'!IE11+'[5]TB-5'!IE11+'[5]TB-6'!IE11+'[5]TB-7'!IE11+'[5]TB-8'!IE11+'[5]TB-9'!IE11+'[5]TB-10'!IE11+'[6]DSV-1'!IE11+'[6]DSV-2'!IE11+'[6]DSV-3'!IE11+'[7]TUB-1'!IE11+'[7]TUB-2'!IE11+'[8]Barge-1'!IE11+'[8]Barge-2'!IE11+'[8]Barge-3'!IE11+'[8]Barge-4'!IE11</f>
        <v>24314583.333333332</v>
      </c>
      <c r="AK11" s="136">
        <f>'[2]AHTS-1'!IE82+'[2]AHTS-2'!IE82+'[2]AHTS-3'!IE82+'[2]AHTS-4'!IE82+'[2]AHTS-5'!IE82+'[2]AHTS-6'!IE82+'[2]AHTS-7'!IE82+'[2]AHTS-8'!IE82+'[3]CB-1'!IE82+'[3]CB-2'!IE82+'[3]CB-3'!IE82+'[3]CB-4'!IE82+'[3]CB-5'!IE82+'[3]CB-6'!IE82+'[3]CB-7'!IE82+'[3]CB-8'!IE82+'[3]CB-9'!IE82+'[3]CB-10'!IE82+'[3]CB-11'!IE82+'[3]CB-12'!IE82+'[3]CB-13'!IE82+'[3]CB-14'!IE82+'[3]CB-15'!IE82+'[3]CB-16'!IE82+'[3]CB-17'!IE82+'[3]CB-18'!IE82+'[3]CB-19'!IE82+'[3]CB-20'!IE82+'[3]CB-21'!IE82+'[3]CB-22'!IE82+'[3]CB-23'!IE82+'[3]CB-24'!IE82+'[4]LCT-1'!IE82+'[4]LCT-2'!IE82+'[4]LCT-3'!IE82+'[4]LCT-4'!IE82+'[4]LCT-5'!IE82+'[4]LCT-6'!IE82+'[4]LCT-7'!IE82+'[4]LCT-8'!IE82+'[5]TB-1'!IE82+'[5]TB-2'!IE82+'[5]TB-3'!IE82+'[5]TB-4'!IE82+'[5]TB-5'!IE82+'[5]TB-6'!IE82+'[5]TB-7'!IE82+'[5]TB-8'!IE82+'[5]TB-9'!IE82+'[5]TB-10'!IE82+'[6]DSV-1'!IE82+'[6]DSV-2'!IE82+'[6]DSV-3'!IE82+'[7]TUB-1'!IE82+'[7]TUB-2'!IE82+'[8]Barge-1'!IE82+'[8]Barge-2'!IE82+'[8]Barge-3'!IE82+'[8]Barge-4'!IE82</f>
        <v>0</v>
      </c>
      <c r="AL11" s="137">
        <f>'[2]AHTS-1'!IF49+'[2]AHTS-2'!IF49+'[2]AHTS-3'!IF49+'[2]AHTS-4'!IF49+'[2]AHTS-5'!IF49+'[2]AHTS-6'!IF49+'[2]AHTS-7'!IF49+'[2]AHTS-8'!IF49+'[3]CB-1'!IF49+'[3]CB-2'!IF49+'[3]CB-3'!IF49+'[3]CB-4'!IF49+'[3]CB-5'!IF49+'[3]CB-6'!IF49+'[3]CB-7'!IF49+'[3]CB-8'!IF49+'[3]CB-9'!IF49+'[3]CB-10'!IF49+'[3]CB-11'!IF49+'[3]CB-12'!IF49+'[3]CB-13'!IF49+'[3]CB-14'!IF49+'[3]CB-15'!IF49+'[3]CB-16'!IF49+'[3]CB-17'!IF49+'[3]CB-18'!IF49+'[3]CB-19'!IF49+'[3]CB-20'!IF49+'[3]CB-21'!IF49+'[3]CB-22'!IF49+'[3]CB-23'!IF49+'[3]CB-24'!IF49+'[4]LCT-1'!IF49+'[4]LCT-2'!IF49+'[4]LCT-3'!IF49+'[4]LCT-4'!IF49+'[4]LCT-5'!IF49+'[4]LCT-6'!IF49+'[4]LCT-7'!IF49+'[4]LCT-8'!IF49+'[5]TB-1'!IF49+'[5]TB-2'!IF49+'[5]TB-3'!IF49+'[5]TB-4'!IF49+'[5]TB-5'!IF49+'[5]TB-6'!IF49+'[5]TB-7'!IF49+'[5]TB-8'!IF49+'[5]TB-9'!IF49+'[5]TB-10'!IF49+'[6]DSV-1'!IF49+'[6]DSV-2'!IF49+'[6]DSV-3'!IF49+'[7]TUB-1'!IF49+'[7]TUB-2'!IF49+'[8]Barge-1'!IF49+'[8]Barge-2'!IF49+'[8]Barge-3'!IF49+'[8]Barge-4'!IF49</f>
        <v>1615000</v>
      </c>
      <c r="AM11" s="138">
        <f>'[2]AHTS-1'!IF11+'[2]AHTS-2'!IF11+'[2]AHTS-3'!IF11+'[2]AHTS-4'!IF11+'[2]AHTS-5'!IF11+'[2]AHTS-6'!IF11+'[2]AHTS-7'!IF11+'[2]AHTS-8'!IF11+'[3]CB-1'!IF11+'[3]CB-2'!IF11+'[3]CB-3'!IF11+'[3]CB-4'!IF11+'[3]CB-5'!IF11+'[3]CB-6'!IF11+'[3]CB-7'!IF11+'[3]CB-8'!IF11+'[3]CB-9'!IF11+'[3]CB-10'!IF11+'[3]CB-11'!IF11+'[3]CB-12'!IF11+'[3]CB-13'!IF11+'[3]CB-14'!IF11+'[3]CB-15'!IF11+'[3]CB-16'!IF11+'[3]CB-17'!IF11+'[3]CB-18'!IF11+'[3]CB-19'!IF11+'[3]CB-20'!IF11+'[3]CB-21'!IF11+'[3]CB-22'!IF11+'[3]CB-23'!IF11+'[3]CB-24'!IF11+'[4]LCT-1'!IF11+'[4]LCT-2'!IF11+'[4]LCT-3'!IF11+'[4]LCT-4'!IF11+'[4]LCT-5'!IF11+'[4]LCT-6'!IF11+'[4]LCT-7'!IF11+'[4]LCT-8'!IF11+'[5]TB-1'!IF11+'[5]TB-2'!IF11+'[5]TB-3'!IF11+'[5]TB-4'!IF11+'[5]TB-5'!IF11+'[5]TB-6'!IF11+'[5]TB-7'!IF11+'[5]TB-8'!IF11+'[5]TB-9'!IF11+'[5]TB-10'!IF11+'[6]DSV-1'!IF11+'[6]DSV-2'!IF11+'[6]DSV-3'!IF11+'[7]TUB-1'!IF11+'[7]TUB-2'!IF11+'[8]Barge-1'!IF11+'[8]Barge-2'!IF11+'[8]Barge-3'!IF11+'[8]Barge-4'!IF11</f>
        <v>9500000</v>
      </c>
      <c r="AN11" s="138">
        <f>'[2]AHTS-1'!IF82+'[2]AHTS-2'!IF82+'[2]AHTS-3'!IF82+'[2]AHTS-4'!IF82+'[2]AHTS-5'!IF82+'[2]AHTS-6'!IF82+'[2]AHTS-7'!IF82+'[2]AHTS-8'!IF82+'[3]CB-1'!IF82+'[3]CB-2'!IF82+'[3]CB-3'!IF82+'[3]CB-4'!IF82+'[3]CB-5'!IF82+'[3]CB-6'!IF82+'[3]CB-7'!IF82+'[3]CB-8'!IF82+'[3]CB-9'!IF82+'[3]CB-10'!IF82+'[3]CB-11'!IF82+'[3]CB-12'!IF82+'[3]CB-13'!IF82+'[3]CB-14'!IF82+'[3]CB-15'!IF82+'[3]CB-16'!IF82+'[3]CB-17'!IF82+'[3]CB-18'!IF82+'[3]CB-19'!IF82+'[3]CB-20'!IF82+'[3]CB-21'!IF82+'[3]CB-22'!IF82+'[3]CB-23'!IF82+'[3]CB-24'!IF82+'[4]LCT-1'!IF82+'[4]LCT-2'!IF82+'[4]LCT-3'!IF82+'[4]LCT-4'!IF82+'[4]LCT-5'!IF82+'[4]LCT-6'!IF82+'[4]LCT-7'!IF82+'[4]LCT-8'!IF82+'[5]TB-1'!IF82+'[5]TB-2'!IF82+'[5]TB-3'!IF82+'[5]TB-4'!IF82+'[5]TB-5'!IF82+'[5]TB-6'!IF82+'[5]TB-7'!IF82+'[5]TB-8'!IF82+'[5]TB-9'!IF82+'[5]TB-10'!IF82+'[6]DSV-1'!IF82+'[6]DSV-2'!IF82+'[6]DSV-3'!IF82+'[7]TUB-1'!IF82+'[7]TUB-2'!IF82+'[8]Barge-1'!IF82+'[8]Barge-2'!IF82+'[8]Barge-3'!IF82+'[8]Barge-4'!IF82</f>
        <v>0</v>
      </c>
      <c r="AO11" s="135">
        <f>'[2]AHTS-1'!IG49+'[2]AHTS-2'!IG49+'[2]AHTS-3'!IG49+'[2]AHTS-4'!IG49+'[2]AHTS-5'!IG49+'[2]AHTS-6'!IG49+'[2]AHTS-7'!IG49+'[2]AHTS-8'!IG49+'[3]CB-1'!IG49+'[3]CB-2'!IG49+'[3]CB-3'!IG49+'[3]CB-4'!IG49+'[3]CB-5'!IG49+'[3]CB-6'!IG49+'[3]CB-7'!IG49+'[3]CB-8'!IG49+'[3]CB-9'!IG49+'[3]CB-10'!IG49+'[3]CB-11'!IG49+'[3]CB-12'!IG49+'[3]CB-13'!IG49+'[3]CB-14'!IG49+'[3]CB-15'!IG49+'[3]CB-16'!IG49+'[3]CB-17'!IG49+'[3]CB-18'!IG49+'[3]CB-19'!IG49+'[3]CB-20'!IG49+'[3]CB-21'!IG49+'[3]CB-22'!IG49+'[3]CB-23'!IG49+'[3]CB-24'!IG49+'[4]LCT-1'!IG49+'[4]LCT-2'!IG49+'[4]LCT-3'!IG49+'[4]LCT-4'!IG49+'[4]LCT-5'!IG49+'[4]LCT-6'!IG49+'[4]LCT-7'!IG49+'[4]LCT-8'!IG49+'[5]TB-1'!IG49+'[5]TB-2'!IG49+'[5]TB-3'!IG49+'[5]TB-4'!IG49+'[5]TB-5'!IG49+'[5]TB-6'!IG49+'[5]TB-7'!IG49+'[5]TB-8'!IG49+'[5]TB-9'!IG49+'[5]TB-10'!IG49+'[6]DSV-1'!IG49+'[6]DSV-2'!IG49+'[6]DSV-3'!IG49+'[7]TUB-1'!IG49+'[7]TUB-2'!IG49+'[8]Barge-1'!IG49+'[8]Barge-2'!IG49+'[8]Barge-3'!IG49+'[8]Barge-4'!IG49</f>
        <v>549100</v>
      </c>
      <c r="AP11" s="136">
        <f>'[2]AHTS-1'!IG11+'[2]AHTS-2'!IG11+'[2]AHTS-3'!IG11+'[2]AHTS-4'!IG11+'[2]AHTS-5'!IG11+'[2]AHTS-6'!IG11+'[2]AHTS-7'!IG11+'[2]AHTS-8'!IG11+'[3]CB-1'!IG11+'[3]CB-2'!IG11+'[3]CB-3'!IG11+'[3]CB-4'!IG11+'[3]CB-5'!IG11+'[3]CB-6'!IG11+'[3]CB-7'!IG11+'[3]CB-8'!IG11+'[3]CB-9'!IG11+'[3]CB-10'!IG11+'[3]CB-11'!IG11+'[3]CB-12'!IG11+'[3]CB-13'!IG11+'[3]CB-14'!IG11+'[3]CB-15'!IG11+'[3]CB-16'!IG11+'[3]CB-17'!IG11+'[3]CB-18'!IG11+'[3]CB-19'!IG11+'[3]CB-20'!IG11+'[3]CB-21'!IG11+'[3]CB-22'!IG11+'[3]CB-23'!IG11+'[3]CB-24'!IG11+'[4]LCT-1'!IG11+'[4]LCT-2'!IG11+'[4]LCT-3'!IG11+'[4]LCT-4'!IG11+'[4]LCT-5'!IG11+'[4]LCT-6'!IG11+'[4]LCT-7'!IG11+'[4]LCT-8'!IG11+'[5]TB-1'!IG11+'[5]TB-2'!IG11+'[5]TB-3'!IG11+'[5]TB-4'!IG11+'[5]TB-5'!IG11+'[5]TB-6'!IG11+'[5]TB-7'!IG11+'[5]TB-8'!IG11+'[5]TB-9'!IG11+'[5]TB-10'!IG11+'[6]DSV-1'!IG11+'[6]DSV-2'!IG11+'[6]DSV-3'!IG11+'[7]TUB-1'!IG11+'[7]TUB-2'!IG11+'[8]Barge-1'!IG11+'[8]Barge-2'!IG11+'[8]Barge-3'!IG11+'[8]Barge-4'!IG11</f>
        <v>4333333.333333333</v>
      </c>
      <c r="AQ11" s="136">
        <f>'[2]AHTS-1'!IG82+'[2]AHTS-2'!IG82+'[2]AHTS-3'!IG82+'[2]AHTS-4'!IG82+'[2]AHTS-5'!IG82+'[2]AHTS-6'!IG82+'[2]AHTS-7'!IG82+'[2]AHTS-8'!IG82+'[3]CB-1'!IG82+'[3]CB-2'!IG82+'[3]CB-3'!IG82+'[3]CB-4'!IG82+'[3]CB-5'!IG82+'[3]CB-6'!IG82+'[3]CB-7'!IG82+'[3]CB-8'!IG82+'[3]CB-9'!IG82+'[3]CB-10'!IG82+'[3]CB-11'!IG82+'[3]CB-12'!IG82+'[3]CB-13'!IG82+'[3]CB-14'!IG82+'[3]CB-15'!IG82+'[3]CB-16'!IG82+'[3]CB-17'!IG82+'[3]CB-18'!IG82+'[3]CB-19'!IG82+'[3]CB-20'!IG82+'[3]CB-21'!IG82+'[3]CB-22'!IG82+'[3]CB-23'!IG82+'[3]CB-24'!IG82+'[4]LCT-1'!IG82+'[4]LCT-2'!IG82+'[4]LCT-3'!IG82+'[4]LCT-4'!IG82+'[4]LCT-5'!IG82+'[4]LCT-6'!IG82+'[4]LCT-7'!IG82+'[4]LCT-8'!IG82+'[5]TB-1'!IG82+'[5]TB-2'!IG82+'[5]TB-3'!IG82+'[5]TB-4'!IG82+'[5]TB-5'!IG82+'[5]TB-6'!IG82+'[5]TB-7'!IG82+'[5]TB-8'!IG82+'[5]TB-9'!IG82+'[5]TB-10'!IG82+'[6]DSV-1'!IG82+'[6]DSV-2'!IG82+'[6]DSV-3'!IG82+'[7]TUB-1'!IG82+'[7]TUB-2'!IG82+'[8]Barge-1'!IG82+'[8]Barge-2'!IG82+'[8]Barge-3'!IG82+'[8]Barge-4'!IG82</f>
        <v>0</v>
      </c>
      <c r="AR11" s="139">
        <f>'[2]AHTS-1'!IH49+'[2]AHTS-2'!IH49+'[2]AHTS-3'!IH49+'[2]AHTS-4'!IH49+'[2]AHTS-5'!IH49+'[2]AHTS-6'!IH49+'[2]AHTS-7'!IH49+'[2]AHTS-8'!IH49+'[3]CB-1'!IH49+'[3]CB-2'!IH49+'[3]CB-3'!IH49+'[3]CB-4'!IH49+'[3]CB-5'!IH49+'[3]CB-6'!IH49+'[3]CB-7'!IH49+'[3]CB-8'!IH49+'[3]CB-9'!IH49+'[3]CB-10'!IH49+'[3]CB-11'!IH49+'[3]CB-12'!IH49+'[3]CB-13'!IH49+'[3]CB-14'!IH49+'[3]CB-15'!IH49+'[3]CB-16'!IH49+'[3]CB-17'!IH49+'[3]CB-18'!IH49+'[3]CB-19'!IH49+'[3]CB-20'!IH49+'[3]CB-21'!IH49+'[3]CB-22'!IH49+'[3]CB-23'!IH49+'[3]CB-24'!IH49+'[4]LCT-1'!IH49+'[4]LCT-2'!IH49+'[4]LCT-3'!IH49+'[4]LCT-4'!IH49+'[4]LCT-5'!IH49+'[4]LCT-6'!IH49+'[4]LCT-7'!IH49+'[4]LCT-8'!IH49+'[5]TB-1'!IH49+'[5]TB-2'!IH49+'[5]TB-3'!IH49+'[5]TB-4'!IH49+'[5]TB-5'!IH49+'[5]TB-6'!IH49+'[5]TB-7'!IH49+'[5]TB-8'!IH49+'[5]TB-9'!IH49+'[5]TB-10'!IH49+'[6]DSV-1'!IH49+'[6]DSV-2'!IH49+'[6]DSV-3'!IH49+'[7]TUB-1'!IH49+'[7]TUB-2'!IH49+'[8]Barge-1'!IH49+'[8]Barge-2'!IH49+'[8]Barge-3'!IH49+'[8]Barge-4'!IH49</f>
        <v>77600750</v>
      </c>
      <c r="AS11" s="136">
        <f>'[2]AHTS-1'!IH11+'[2]AHTS-2'!IH11+'[2]AHTS-3'!IH11+'[2]AHTS-4'!IH11+'[2]AHTS-5'!IH11+'[2]AHTS-6'!IH11+'[2]AHTS-7'!IH11+'[2]AHTS-8'!IH11+'[3]CB-1'!IH11+'[3]CB-2'!IH11+'[3]CB-3'!IH11+'[3]CB-4'!IH11+'[3]CB-5'!IH11+'[3]CB-6'!IH11+'[3]CB-7'!IH11+'[3]CB-8'!IH11+'[3]CB-9'!IH11+'[3]CB-10'!IH11+'[3]CB-11'!IH11+'[3]CB-12'!IH11+'[3]CB-13'!IH11+'[3]CB-14'!IH11+'[3]CB-15'!IH11+'[3]CB-16'!IH11+'[3]CB-17'!IH11+'[3]CB-18'!IH11+'[3]CB-19'!IH11+'[3]CB-20'!IH11+'[3]CB-21'!IH11+'[3]CB-22'!IH11+'[3]CB-23'!IH11+'[3]CB-24'!IH11+'[4]LCT-1'!IH11+'[4]LCT-2'!IH11+'[4]LCT-3'!IH11+'[4]LCT-4'!IH11+'[4]LCT-5'!IH11+'[4]LCT-6'!IH11+'[4]LCT-7'!IH11+'[4]LCT-8'!IH11+'[5]TB-1'!IH11+'[5]TB-2'!IH11+'[5]TB-3'!IH11+'[5]TB-4'!IH11+'[5]TB-5'!IH11+'[5]TB-6'!IH11+'[5]TB-7'!IH11+'[5]TB-8'!IH11+'[5]TB-9'!IH11+'[5]TB-10'!IH11+'[6]DSV-1'!IH11+'[6]DSV-2'!IH11+'[6]DSV-3'!IH11+'[7]TUB-1'!IH11+'[7]TUB-2'!IH11+'[8]Barge-1'!IH11+'[8]Barge-2'!IH11+'[8]Barge-3'!IH11+'[8]Barge-4'!IH11</f>
        <v>88200000</v>
      </c>
      <c r="AT11" s="140">
        <f>'[2]AHTS-1'!IH82+'[2]AHTS-2'!IH82+'[2]AHTS-3'!IH82+'[2]AHTS-4'!IH82+'[2]AHTS-5'!IH82+'[2]AHTS-6'!IH82+'[2]AHTS-7'!IH82+'[2]AHTS-8'!IH82+'[3]CB-1'!IH82+'[3]CB-2'!IH82+'[3]CB-3'!IH82+'[3]CB-4'!IH82+'[3]CB-5'!IH82+'[3]CB-6'!IH82+'[3]CB-7'!IH82+'[3]CB-8'!IH82+'[3]CB-9'!IH82+'[3]CB-10'!IH82+'[3]CB-11'!IH82+'[3]CB-12'!IH82+'[3]CB-13'!IH82+'[3]CB-14'!IH82+'[3]CB-15'!IH82+'[3]CB-16'!IH82+'[3]CB-17'!IH82+'[3]CB-18'!IH82+'[3]CB-19'!IH82+'[3]CB-20'!IH82+'[3]CB-21'!IH82+'[3]CB-22'!IH82+'[3]CB-23'!IH82+'[3]CB-24'!IH82+'[4]LCT-1'!IH82+'[4]LCT-2'!IH82+'[4]LCT-3'!IH82+'[4]LCT-4'!IH82+'[4]LCT-5'!IH82+'[4]LCT-6'!IH82+'[4]LCT-7'!IH82+'[4]LCT-8'!IH82+'[5]TB-1'!IH82+'[5]TB-2'!IH82+'[5]TB-3'!IH82+'[5]TB-4'!IH82+'[5]TB-5'!IH82+'[5]TB-6'!IH82+'[5]TB-7'!IH82+'[5]TB-8'!IH82+'[5]TB-9'!IH82+'[5]TB-10'!IH82+'[6]DSV-1'!IH82+'[6]DSV-2'!IH82+'[6]DSV-3'!IH82+'[7]TUB-1'!IH82+'[7]TUB-2'!IH82+'[8]Barge-1'!IH82+'[8]Barge-2'!IH82+'[8]Barge-3'!IH82+'[8]Barge-4'!IH82</f>
        <v>0</v>
      </c>
      <c r="AU11" s="139">
        <f>'[2]AHTS-1'!II49+'[2]AHTS-2'!II49+'[2]AHTS-3'!II49+'[2]AHTS-4'!II49+'[2]AHTS-5'!II49+'[2]AHTS-6'!II49+'[2]AHTS-7'!II49+'[2]AHTS-8'!II49+'[3]CB-1'!II49+'[3]CB-2'!II49+'[3]CB-3'!II49+'[3]CB-4'!II49+'[3]CB-5'!II49+'[3]CB-6'!II49+'[3]CB-7'!II49+'[3]CB-8'!II49+'[3]CB-9'!II49+'[3]CB-10'!II49+'[3]CB-11'!II49+'[3]CB-12'!II49+'[3]CB-13'!II49+'[3]CB-14'!II49+'[3]CB-15'!II49+'[3]CB-16'!II49+'[3]CB-17'!II49+'[3]CB-18'!II49+'[3]CB-19'!II49+'[3]CB-20'!II49+'[3]CB-21'!II49+'[3]CB-22'!II49+'[3]CB-23'!II49+'[3]CB-24'!II49+'[4]LCT-1'!II49+'[4]LCT-2'!II49+'[4]LCT-3'!II49+'[4]LCT-4'!II49+'[4]LCT-5'!II49+'[4]LCT-6'!II49+'[4]LCT-7'!II49+'[4]LCT-8'!II49+'[5]TB-1'!II49+'[5]TB-2'!II49+'[5]TB-3'!II49+'[5]TB-4'!II49+'[5]TB-5'!II49+'[5]TB-6'!II49+'[5]TB-7'!II49+'[5]TB-8'!II49+'[5]TB-9'!II49+'[5]TB-10'!II49+'[6]DSV-1'!II49+'[6]DSV-2'!II49+'[6]DSV-3'!II49+'[7]TUB-1'!II49+'[7]TUB-2'!II49+'[8]Barge-1'!II49+'[8]Barge-2'!II49+'[8]Barge-3'!II49+'[8]Barge-4'!II49</f>
        <v>0</v>
      </c>
      <c r="AV11" s="136">
        <f>'[2]AHTS-1'!II11+'[2]AHTS-2'!II11+'[2]AHTS-3'!II11+'[2]AHTS-4'!II11+'[2]AHTS-5'!II11+'[2]AHTS-6'!II11+'[2]AHTS-7'!II11+'[2]AHTS-8'!II11+'[3]CB-1'!II11+'[3]CB-2'!II11+'[3]CB-3'!II11+'[3]CB-4'!II11+'[3]CB-5'!II11+'[3]CB-6'!II11+'[3]CB-7'!II11+'[3]CB-8'!II11+'[3]CB-9'!II11+'[3]CB-10'!II11+'[3]CB-11'!II11+'[3]CB-12'!II11+'[3]CB-13'!II11+'[3]CB-14'!II11+'[3]CB-15'!II11+'[3]CB-16'!II11+'[3]CB-17'!II11+'[3]CB-18'!II11+'[3]CB-19'!II11+'[3]CB-20'!II11+'[3]CB-21'!II11+'[3]CB-22'!II11+'[3]CB-23'!II11+'[3]CB-24'!II11+'[4]LCT-1'!II11+'[4]LCT-2'!II11+'[4]LCT-3'!II11+'[4]LCT-4'!II11+'[4]LCT-5'!II11+'[4]LCT-6'!II11+'[4]LCT-7'!II11+'[4]LCT-8'!II11+'[5]TB-1'!II11+'[5]TB-2'!II11+'[5]TB-3'!II11+'[5]TB-4'!II11+'[5]TB-5'!II11+'[5]TB-6'!II11+'[5]TB-7'!II11+'[5]TB-8'!II11+'[5]TB-9'!II11+'[5]TB-10'!II11+'[6]DSV-1'!II11+'[6]DSV-2'!II11+'[6]DSV-3'!II11+'[7]TUB-1'!II11+'[7]TUB-2'!II11+'[8]Barge-1'!II11+'[8]Barge-2'!II11+'[8]Barge-3'!II11+'[8]Barge-4'!II11</f>
        <v>0</v>
      </c>
      <c r="AW11" s="140">
        <f>'[2]AHTS-1'!II82+'[2]AHTS-2'!II82+'[2]AHTS-3'!II82+'[2]AHTS-4'!II82+'[2]AHTS-5'!II82+'[2]AHTS-6'!II82+'[2]AHTS-7'!II82+'[2]AHTS-8'!II82+'[3]CB-1'!II82+'[3]CB-2'!II82+'[3]CB-3'!II82+'[3]CB-4'!II82+'[3]CB-5'!II82+'[3]CB-6'!II82+'[3]CB-7'!II82+'[3]CB-8'!II82+'[3]CB-9'!II82+'[3]CB-10'!II82+'[3]CB-11'!II82+'[3]CB-12'!II82+'[3]CB-13'!II82+'[3]CB-14'!II82+'[3]CB-15'!II82+'[3]CB-16'!II82+'[3]CB-17'!II82+'[3]CB-18'!II82+'[3]CB-19'!II82+'[3]CB-20'!II82+'[3]CB-21'!II82+'[3]CB-22'!II82+'[3]CB-23'!II82+'[3]CB-24'!II82+'[4]LCT-1'!II82+'[4]LCT-2'!II82+'[4]LCT-3'!II82+'[4]LCT-4'!II82+'[4]LCT-5'!II82+'[4]LCT-6'!II82+'[4]LCT-7'!II82+'[4]LCT-8'!II82+'[5]TB-1'!II82+'[5]TB-2'!II82+'[5]TB-3'!II82+'[5]TB-4'!II82+'[5]TB-5'!II82+'[5]TB-6'!II82+'[5]TB-7'!II82+'[5]TB-8'!II82+'[5]TB-9'!II82+'[5]TB-10'!II82+'[6]DSV-1'!II82+'[6]DSV-2'!II82+'[6]DSV-3'!II82+'[7]TUB-1'!II82+'[7]TUB-2'!II82+'[8]Barge-1'!II82+'[8]Barge-2'!II82+'[8]Barge-3'!II82+'[8]Barge-4'!II82</f>
        <v>0</v>
      </c>
      <c r="AX11" s="67"/>
      <c r="AY11" s="67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</row>
    <row r="12" spans="1:97" s="69" customFormat="1" ht="14.25" customHeight="1" x14ac:dyDescent="0.25">
      <c r="A12" s="111">
        <f>[1]Control!AZ12</f>
        <v>45987</v>
      </c>
      <c r="B12" s="66"/>
      <c r="C12" s="176">
        <f>'[2]AHTS-1'!AV12+'[2]AHTS-2'!AV12+'[2]AHTS-3'!AV12+'[2]AHTS-4'!AV12+'[2]AHTS-5'!AV12+'[2]AHTS-6'!AV12+'[2]AHTS-7'!AV12+'[2]AHTS-8'!AV12+'[3]CB-1'!AV12+'[3]CB-2'!AV12+'[3]CB-3'!AV12+'[3]CB-4'!AV12+'[3]CB-5'!AV12+'[3]CB-6'!AV12+'[3]CB-7'!AV12+'[3]CB-8'!AV12+'[3]CB-9'!AV12+'[3]CB-10'!AV12+'[3]CB-11'!AV12+'[3]CB-12'!AV12+'[3]CB-13'!AV12+'[3]CB-14'!AV12+'[3]CB-15'!AV12+'[3]CB-16'!AV12+'[3]CB-17'!AV12+'[3]CB-18'!AV12+'[3]CB-19'!AV12+'[3]CB-20'!AV12+'[3]CB-21'!AV12+'[3]CB-22'!AV12+'[3]CB-23'!AV12+'[3]CB-24'!AV12+'[4]LCT-1'!AV12+'[4]LCT-2'!AV12+'[4]LCT-3'!AV12+'[4]LCT-4'!AV12+'[4]LCT-5'!AV12+'[4]LCT-6'!AV12+'[4]LCT-7'!AV12+'[4]LCT-8'!AV12+'[5]TB-1'!AV12+'[5]TB-2'!AV12+'[5]TB-3'!AV12+'[5]TB-4'!AV12+'[5]TB-5'!AV12+'[5]TB-6'!AV12+'[5]TB-7'!AV12+'[5]TB-8'!AV12+'[5]TB-9'!AV12+'[5]TB-10'!AV12+'[6]DSV-1'!AV12+'[6]DSV-2'!AV12+'[6]DSV-3'!AV12+'[7]TUB-1'!AV12+'[7]TUB-2'!AV12+'[8]Barge-1'!AV12+'[8]Barge-2'!AV12+'[8]Barge-3'!AV12+'[8]Barge-4'!AV12</f>
        <v>0</v>
      </c>
      <c r="D12" s="177">
        <f>'[2]AHTS-1'!BR12+'[2]AHTS-2'!BR12+'[2]AHTS-3'!BR12+'[2]AHTS-4'!BR12+'[2]AHTS-5'!BR12+'[2]AHTS-6'!BR12+'[2]AHTS-7'!BR12+'[2]AHTS-8'!BR12+'[3]CB-1'!BR12+'[3]CB-2'!BR12+'[3]CB-3'!BR12+'[3]CB-4'!BR12+'[3]CB-5'!BR12+'[3]CB-6'!BR12+'[3]CB-7'!BR12+'[3]CB-8'!BR12+'[3]CB-9'!BR12+'[3]CB-10'!BR12+'[3]CB-11'!BR12+'[3]CB-12'!BR12+'[3]CB-13'!BR12+'[3]CB-14'!BR12+'[3]CB-15'!BR12+'[3]CB-16'!BR12+'[3]CB-17'!BR12+'[3]CB-18'!BR12+'[3]CB-19'!BR12+'[3]CB-20'!BR12+'[3]CB-21'!BR12+'[3]CB-22'!BR12+'[3]CB-23'!BR12+'[3]CB-24'!BR12+'[4]LCT-1'!BR12+'[4]LCT-2'!BR12+'[4]LCT-3'!BR12+'[4]LCT-4'!BR12+'[4]LCT-5'!BR12+'[4]LCT-6'!BR12+'[4]LCT-7'!BR12+'[4]LCT-8'!BR12+'[5]TB-1'!BR12+'[5]TB-2'!BR12+'[5]TB-3'!BR12+'[5]TB-4'!BR12+'[5]TB-5'!BR12+'[5]TB-6'!BR12+'[5]TB-7'!BR12+'[5]TB-8'!BR12+'[5]TB-9'!BR12+'[5]TB-10'!BR12+'[6]DSV-1'!BR12+'[6]DSV-2'!BR12+'[6]DSV-3'!BR12+'[7]TUB-1'!BR12+'[7]TUB-2'!BR12+'[8]Barge-1'!BR12+'[8]Barge-2'!BR12+'[8]Barge-3'!BR12+'[8]Barge-4'!BR12</f>
        <v>0</v>
      </c>
      <c r="E12" s="178">
        <f>'[2]AHTS-1'!CN12+'[2]AHTS-2'!CN12+'[2]AHTS-3'!CN12+'[2]AHTS-4'!CN12+'[2]AHTS-5'!CN12+'[2]AHTS-6'!CN12+'[2]AHTS-7'!CN12+'[2]AHTS-8'!CN12+'[3]CB-1'!CN12+'[3]CB-2'!CN12+'[3]CB-3'!CN12+'[3]CB-4'!CN12+'[3]CB-5'!CN12+'[3]CB-6'!CN12+'[3]CB-7'!CN12+'[3]CB-8'!CN12+'[3]CB-9'!CN12+'[3]CB-10'!CN12+'[3]CB-11'!CN12+'[3]CB-12'!CN12+'[3]CB-13'!CN12+'[3]CB-14'!CN12+'[3]CB-15'!CN12+'[3]CB-16'!CN12+'[3]CB-17'!CN12+'[3]CB-18'!CN12+'[3]CB-19'!CN12+'[3]CB-20'!CN12+'[3]CB-21'!CN12+'[3]CB-22'!CN12+'[3]CB-23'!CN12+'[3]CB-24'!CN12+'[4]LCT-1'!CN12+'[4]LCT-2'!CN12+'[4]LCT-3'!CN12+'[4]LCT-4'!CN12+'[4]LCT-5'!CN12+'[4]LCT-6'!CN12+'[4]LCT-7'!CN12+'[4]LCT-8'!CN12+'[5]TB-1'!CN12+'[5]TB-2'!CN12+'[5]TB-3'!CN12+'[5]TB-4'!CN12+'[5]TB-5'!CN12+'[5]TB-6'!CN12+'[5]TB-7'!CN12+'[5]TB-8'!CN12+'[5]TB-9'!CN12+'[5]TB-10'!CN12+'[6]DSV-1'!CN12+'[6]DSV-2'!CN12+'[6]DSV-3'!CN12+'[7]TUB-1'!CN12+'[7]TUB-2'!CN12+'[8]Barge-1'!CN12+'[8]Barge-2'!CN12+'[8]Barge-3'!CN12+'[8]Barge-4'!CN12</f>
        <v>0</v>
      </c>
      <c r="F12" s="179">
        <f>'[2]AHTS-1'!AW12+'[2]AHTS-2'!AW12+'[2]AHTS-3'!AW12+'[2]AHTS-4'!AW12+'[2]AHTS-5'!AW12+'[2]AHTS-6'!AW12+'[2]AHTS-7'!AW12+'[2]AHTS-8'!AW12+'[3]CB-1'!AW12+'[3]CB-2'!AW12+'[3]CB-3'!AW12+'[3]CB-4'!AW12+'[3]CB-5'!AW12+'[3]CB-6'!AW12+'[3]CB-7'!AW12+'[3]CB-8'!AW12+'[3]CB-9'!AW12+'[3]CB-10'!AW12+'[3]CB-11'!AW12+'[3]CB-12'!AW12+'[3]CB-13'!AW12+'[3]CB-14'!AW12+'[3]CB-15'!AW12+'[3]CB-16'!AW12+'[3]CB-17'!AW12+'[3]CB-18'!AW12+'[3]CB-19'!AW12+'[3]CB-20'!AW12+'[3]CB-21'!AW12+'[3]CB-22'!AW12+'[3]CB-23'!AW12+'[3]CB-24'!AW12+'[4]LCT-1'!AW12+'[4]LCT-2'!AW12+'[4]LCT-3'!AW12+'[4]LCT-4'!AW12+'[4]LCT-5'!AW12+'[4]LCT-6'!AW12+'[4]LCT-7'!AW12+'[4]LCT-8'!AW12+'[5]TB-1'!AW12+'[5]TB-2'!AW12+'[5]TB-3'!AW12+'[5]TB-4'!AW12+'[5]TB-5'!AW12+'[5]TB-6'!AW12+'[5]TB-7'!AW12+'[5]TB-8'!AW12+'[5]TB-9'!AW12+'[5]TB-10'!AW12+'[6]DSV-1'!AW12+'[6]DSV-2'!AW12+'[6]DSV-3'!AW12+'[7]TUB-1'!AW12+'[7]TUB-2'!AW12+'[8]Barge-1'!AW12+'[8]Barge-2'!AW12+'[8]Barge-3'!AW12+'[8]Barge-4'!AW12</f>
        <v>1346.3413899375093</v>
      </c>
      <c r="G12" s="180">
        <f>'[2]AHTS-1'!BS12+'[2]AHTS-2'!BS12+'[2]AHTS-3'!BS12+'[2]AHTS-4'!BS12+'[2]AHTS-5'!BS12+'[2]AHTS-6'!BS12+'[2]AHTS-7'!BS12+'[2]AHTS-8'!BS12+'[3]CB-1'!BS12+'[3]CB-2'!BS12+'[3]CB-3'!BS12+'[3]CB-4'!BS12+'[3]CB-5'!BS12+'[3]CB-6'!BS12+'[3]CB-7'!BS12+'[3]CB-8'!BS12+'[3]CB-9'!BS12+'[3]CB-10'!BS12+'[3]CB-11'!BS12+'[3]CB-12'!BS12+'[3]CB-13'!BS12+'[3]CB-14'!BS12+'[3]CB-15'!BS12+'[3]CB-16'!BS12+'[3]CB-17'!BS12+'[3]CB-18'!BS12+'[3]CB-19'!BS12+'[3]CB-20'!BS12+'[3]CB-21'!BS12+'[3]CB-22'!BS12+'[3]CB-23'!BS12+'[3]CB-24'!BS12+'[4]LCT-1'!BS12+'[4]LCT-2'!BS12+'[4]LCT-3'!BS12+'[4]LCT-4'!BS12+'[4]LCT-5'!BS12+'[4]LCT-6'!BS12+'[4]LCT-7'!BS12+'[4]LCT-8'!BS12+'[5]TB-1'!BS12+'[5]TB-2'!BS12+'[5]TB-3'!BS12+'[5]TB-4'!BS12+'[5]TB-5'!BS12+'[5]TB-6'!BS12+'[5]TB-7'!BS12+'[5]TB-8'!BS12+'[5]TB-9'!BS12+'[5]TB-10'!BS12+'[6]DSV-1'!BS12+'[6]DSV-2'!BS12+'[6]DSV-3'!BS12+'[7]TUB-1'!BS12+'[7]TUB-2'!BS12+'[8]Barge-1'!BS12+'[8]Barge-2'!BS12+'[8]Barge-3'!BS12+'[8]Barge-4'!BS12</f>
        <v>1404.1205451404442</v>
      </c>
      <c r="H12" s="180">
        <f>'[2]AHTS-1'!CO12+'[2]AHTS-2'!CO12+'[2]AHTS-3'!CO12+'[2]AHTS-4'!CO12+'[2]AHTS-5'!CO12+'[2]AHTS-6'!CO12+'[2]AHTS-7'!CO12+'[2]AHTS-8'!CO12+'[3]CB-1'!CO12+'[3]CB-2'!CO12+'[3]CB-3'!CO12+'[3]CB-4'!CO12+'[3]CB-5'!CO12+'[3]CB-6'!CO12+'[3]CB-7'!CO12+'[3]CB-8'!CO12+'[3]CB-9'!CO12+'[3]CB-10'!CO12+'[3]CB-11'!CO12+'[3]CB-12'!CO12+'[3]CB-13'!CO12+'[3]CB-14'!CO12+'[3]CB-15'!CO12+'[3]CB-16'!CO12+'[3]CB-17'!CO12+'[3]CB-18'!CO12+'[3]CB-19'!CO12+'[3]CB-20'!CO12+'[3]CB-21'!CO12+'[3]CB-22'!CO12+'[3]CB-23'!CO12+'[3]CB-24'!CO12+'[4]LCT-1'!CO12+'[4]LCT-2'!CO12+'[4]LCT-3'!CO12+'[4]LCT-4'!CO12+'[4]LCT-5'!CO12+'[4]LCT-6'!CO12+'[4]LCT-7'!CO12+'[4]LCT-8'!CO12+'[5]TB-1'!CO12+'[5]TB-2'!CO12+'[5]TB-3'!CO12+'[5]TB-4'!CO12+'[5]TB-5'!CO12+'[5]TB-6'!CO12+'[5]TB-7'!CO12+'[5]TB-8'!CO12+'[5]TB-9'!CO12+'[5]TB-10'!CO12+'[6]DSV-1'!CO12+'[6]DSV-2'!CO12+'[6]DSV-3'!CO12+'[7]TUB-1'!CO12+'[7]TUB-2'!CO12+'[8]Barge-1'!CO12+'[8]Barge-2'!CO12+'[8]Barge-3'!CO12+'[8]Barge-4'!CO12</f>
        <v>0</v>
      </c>
      <c r="I12" s="179">
        <f>'[2]AHTS-1'!AX12+'[2]AHTS-2'!AX12+'[2]AHTS-3'!AX12+'[2]AHTS-4'!AX12+'[2]AHTS-5'!AX12+'[2]AHTS-6'!AX12+'[2]AHTS-7'!AX12+'[2]AHTS-8'!AX12+'[3]CB-1'!AX12+'[3]CB-2'!AX12+'[3]CB-3'!AX12+'[3]CB-4'!AX12+'[3]CB-5'!AX12+'[3]CB-6'!AX12+'[3]CB-7'!AX12+'[3]CB-8'!AX12+'[3]CB-9'!AX12+'[3]CB-10'!AX12+'[3]CB-11'!AX12+'[3]CB-12'!AX12+'[3]CB-13'!AX12+'[3]CB-14'!AX12+'[3]CB-15'!AX12+'[3]CB-16'!AX12+'[3]CB-17'!AX12+'[3]CB-18'!AX12+'[3]CB-19'!AX12+'[3]CB-20'!AX12+'[3]CB-21'!AX12+'[3]CB-22'!AX12+'[3]CB-23'!AX12+'[3]CB-24'!AX12+'[4]LCT-1'!AX12+'[4]LCT-2'!AX12+'[4]LCT-3'!AX12+'[4]LCT-4'!AX12+'[4]LCT-5'!AX12+'[4]LCT-6'!AX12+'[4]LCT-7'!AX12+'[4]LCT-8'!AX12+'[5]TB-1'!AX12+'[5]TB-2'!AX12+'[5]TB-3'!AX12+'[5]TB-4'!AX12+'[5]TB-5'!AX12+'[5]TB-6'!AX12+'[5]TB-7'!AX12+'[5]TB-8'!AX12+'[5]TB-9'!AX12+'[5]TB-10'!AX12+'[6]DSV-1'!AX12+'[6]DSV-2'!AX12+'[6]DSV-3'!AX12+'[7]TUB-1'!AX12+'[7]TUB-2'!AX12+'[8]Barge-1'!AX12+'[8]Barge-2'!AX12+'[8]Barge-3'!AX12+'[8]Barge-4'!AX12</f>
        <v>3949.1412065177979</v>
      </c>
      <c r="J12" s="180">
        <f>'[2]AHTS-1'!BT12+'[2]AHTS-2'!BT12+'[2]AHTS-3'!BT12+'[2]AHTS-4'!BT12+'[2]AHTS-5'!BT12+'[2]AHTS-6'!BT12+'[2]AHTS-7'!BT12+'[2]AHTS-8'!BT12+'[3]CB-1'!BT12+'[3]CB-2'!BT12+'[3]CB-3'!BT12+'[3]CB-4'!BT12+'[3]CB-5'!BT12+'[3]CB-6'!BT12+'[3]CB-7'!BT12+'[3]CB-8'!BT12+'[3]CB-9'!BT12+'[3]CB-10'!BT12+'[3]CB-11'!BT12+'[3]CB-12'!BT12+'[3]CB-13'!BT12+'[3]CB-14'!BT12+'[3]CB-15'!BT12+'[3]CB-16'!BT12+'[3]CB-17'!BT12+'[3]CB-18'!BT12+'[3]CB-19'!BT12+'[3]CB-20'!BT12+'[3]CB-21'!BT12+'[3]CB-22'!BT12+'[3]CB-23'!BT12+'[3]CB-24'!BT12+'[4]LCT-1'!BT12+'[4]LCT-2'!BT12+'[4]LCT-3'!BT12+'[4]LCT-4'!BT12+'[4]LCT-5'!BT12+'[4]LCT-6'!BT12+'[4]LCT-7'!BT12+'[4]LCT-8'!BT12+'[5]TB-1'!BT12+'[5]TB-2'!BT12+'[5]TB-3'!BT12+'[5]TB-4'!BT12+'[5]TB-5'!BT12+'[5]TB-6'!BT12+'[5]TB-7'!BT12+'[5]TB-8'!BT12+'[5]TB-9'!BT12+'[5]TB-10'!BT12+'[6]DSV-1'!BT12+'[6]DSV-2'!BT12+'[6]DSV-3'!BT12+'[7]TUB-1'!BT12+'[7]TUB-2'!BT12+'[8]Barge-1'!BT12+'[8]Barge-2'!BT12+'[8]Barge-3'!BT12+'[8]Barge-4'!BT12</f>
        <v>2873.0778254100283</v>
      </c>
      <c r="K12" s="180">
        <f>'[2]AHTS-1'!CP12+'[2]AHTS-2'!CP12+'[2]AHTS-3'!CP12+'[2]AHTS-4'!CP12+'[2]AHTS-5'!CP12+'[2]AHTS-6'!CP12+'[2]AHTS-7'!CP12+'[2]AHTS-8'!CP12+'[3]CB-1'!CP12+'[3]CB-2'!CP12+'[3]CB-3'!CP12+'[3]CB-4'!CP12+'[3]CB-5'!CP12+'[3]CB-6'!CP12+'[3]CB-7'!CP12+'[3]CB-8'!CP12+'[3]CB-9'!CP12+'[3]CB-10'!CP12+'[3]CB-11'!CP12+'[3]CB-12'!CP12+'[3]CB-13'!CP12+'[3]CB-14'!CP12+'[3]CB-15'!CP12+'[3]CB-16'!CP12+'[3]CB-17'!CP12+'[3]CB-18'!CP12+'[3]CB-19'!CP12+'[3]CB-20'!CP12+'[3]CB-21'!CP12+'[3]CB-22'!CP12+'[3]CB-23'!CP12+'[3]CB-24'!CP12+'[4]LCT-1'!CP12+'[4]LCT-2'!CP12+'[4]LCT-3'!CP12+'[4]LCT-4'!CP12+'[4]LCT-5'!CP12+'[4]LCT-6'!CP12+'[4]LCT-7'!CP12+'[4]LCT-8'!CP12+'[5]TB-1'!CP12+'[5]TB-2'!CP12+'[5]TB-3'!CP12+'[5]TB-4'!CP12+'[5]TB-5'!CP12+'[5]TB-6'!CP12+'[5]TB-7'!CP12+'[5]TB-8'!CP12+'[5]TB-9'!CP12+'[5]TB-10'!CP12+'[6]DSV-1'!CP12+'[6]DSV-2'!CP12+'[6]DSV-3'!CP12+'[7]TUB-1'!CP12+'[7]TUB-2'!CP12+'[8]Barge-1'!CP12+'[8]Barge-2'!CP12+'[8]Barge-3'!CP12+'[8]Barge-4'!CP12</f>
        <v>0</v>
      </c>
      <c r="L12" s="181">
        <f>'[2]AHTS-1'!AY12+'[2]AHTS-2'!AY12+'[2]AHTS-3'!AY12+'[2]AHTS-4'!AY12+'[2]AHTS-5'!AY12+'[2]AHTS-6'!AY12+'[2]AHTS-7'!AY12+'[2]AHTS-8'!AY12+'[3]CB-1'!AY12+'[3]CB-2'!AY12+'[3]CB-3'!AY12+'[3]CB-4'!AY12+'[3]CB-5'!AY12+'[3]CB-6'!AY12+'[3]CB-7'!AY12+'[3]CB-8'!AY12+'[3]CB-9'!AY12+'[3]CB-10'!AY12+'[3]CB-11'!AY12+'[3]CB-12'!AY12+'[3]CB-13'!AY12+'[3]CB-14'!AY12+'[3]CB-15'!AY12+'[3]CB-16'!AY12+'[3]CB-17'!AY12+'[3]CB-18'!AY12+'[3]CB-19'!AY12+'[3]CB-20'!AY12+'[3]CB-21'!AY12+'[3]CB-22'!AY12+'[3]CB-23'!AY12+'[3]CB-24'!AY12+'[4]LCT-1'!AY12+'[4]LCT-2'!AY12+'[4]LCT-3'!AY12+'[4]LCT-4'!AY12+'[4]LCT-5'!AY12+'[4]LCT-6'!AY12+'[4]LCT-7'!AY12+'[4]LCT-8'!AY12+'[5]TB-1'!AY12+'[5]TB-2'!AY12+'[5]TB-3'!AY12+'[5]TB-4'!AY12+'[5]TB-5'!AY12+'[5]TB-6'!AY12+'[5]TB-7'!AY12+'[5]TB-8'!AY12+'[5]TB-9'!AY12+'[5]TB-10'!AY12+'[6]DSV-1'!AY12+'[6]DSV-2'!AY12+'[6]DSV-3'!AY12+'[7]TUB-1'!AY12+'[7]TUB-2'!AY12+'[8]Barge-1'!AY12+'[8]Barge-2'!AY12+'[8]Barge-3'!AY12+'[8]Barge-4'!AY12</f>
        <v>103.33354661206731</v>
      </c>
      <c r="M12" s="182">
        <f>'[2]AHTS-1'!BU12+'[2]AHTS-2'!BU12+'[2]AHTS-3'!BU12+'[2]AHTS-4'!BU12+'[2]AHTS-5'!BU12+'[2]AHTS-6'!BU12+'[2]AHTS-7'!BU12+'[2]AHTS-8'!BU12+'[3]CB-1'!BU12+'[3]CB-2'!BU12+'[3]CB-3'!BU12+'[3]CB-4'!BU12+'[3]CB-5'!BU12+'[3]CB-6'!BU12+'[3]CB-7'!BU12+'[3]CB-8'!BU12+'[3]CB-9'!BU12+'[3]CB-10'!BU12+'[3]CB-11'!BU12+'[3]CB-12'!BU12+'[3]CB-13'!BU12+'[3]CB-14'!BU12+'[3]CB-15'!BU12+'[3]CB-16'!BU12+'[3]CB-17'!BU12+'[3]CB-18'!BU12+'[3]CB-19'!BU12+'[3]CB-20'!BU12+'[3]CB-21'!BU12+'[3]CB-22'!BU12+'[3]CB-23'!BU12+'[3]CB-24'!BU12+'[4]LCT-1'!BU12+'[4]LCT-2'!BU12+'[4]LCT-3'!BU12+'[4]LCT-4'!BU12+'[4]LCT-5'!BU12+'[4]LCT-6'!BU12+'[4]LCT-7'!BU12+'[4]LCT-8'!BU12+'[5]TB-1'!BU12+'[5]TB-2'!BU12+'[5]TB-3'!BU12+'[5]TB-4'!BU12+'[5]TB-5'!BU12+'[5]TB-6'!BU12+'[5]TB-7'!BU12+'[5]TB-8'!BU12+'[5]TB-9'!BU12+'[5]TB-10'!BU12+'[6]DSV-1'!BU12+'[6]DSV-2'!BU12+'[6]DSV-3'!BU12+'[7]TUB-1'!BU12+'[7]TUB-2'!BU12+'[8]Barge-1'!BU12+'[8]Barge-2'!BU12+'[8]Barge-3'!BU12+'[8]Barge-4'!BU12</f>
        <v>607.84439183569009</v>
      </c>
      <c r="N12" s="182">
        <f>'[2]AHTS-1'!CQ12+'[2]AHTS-2'!CQ12+'[2]AHTS-3'!CQ12+'[2]AHTS-4'!CQ12+'[2]AHTS-5'!CQ12+'[2]AHTS-6'!CQ12+'[2]AHTS-7'!CQ12+'[2]AHTS-8'!CQ12+'[3]CB-1'!CQ12+'[3]CB-2'!CQ12+'[3]CB-3'!CQ12+'[3]CB-4'!CQ12+'[3]CB-5'!CQ12+'[3]CB-6'!CQ12+'[3]CB-7'!CQ12+'[3]CB-8'!CQ12+'[3]CB-9'!CQ12+'[3]CB-10'!CQ12+'[3]CB-11'!CQ12+'[3]CB-12'!CQ12+'[3]CB-13'!CQ12+'[3]CB-14'!CQ12+'[3]CB-15'!CQ12+'[3]CB-16'!CQ12+'[3]CB-17'!CQ12+'[3]CB-18'!CQ12+'[3]CB-19'!CQ12+'[3]CB-20'!CQ12+'[3]CB-21'!CQ12+'[3]CB-22'!CQ12+'[3]CB-23'!CQ12+'[3]CB-24'!CQ12+'[4]LCT-1'!CQ12+'[4]LCT-2'!CQ12+'[4]LCT-3'!CQ12+'[4]LCT-4'!CQ12+'[4]LCT-5'!CQ12+'[4]LCT-6'!CQ12+'[4]LCT-7'!CQ12+'[4]LCT-8'!CQ12+'[5]TB-1'!CQ12+'[5]TB-2'!CQ12+'[5]TB-3'!CQ12+'[5]TB-4'!CQ12+'[5]TB-5'!CQ12+'[5]TB-6'!CQ12+'[5]TB-7'!CQ12+'[5]TB-8'!CQ12+'[5]TB-9'!CQ12+'[5]TB-10'!CQ12+'[6]DSV-1'!CQ12+'[6]DSV-2'!CQ12+'[6]DSV-3'!CQ12+'[7]TUB-1'!CQ12+'[7]TUB-2'!CQ12+'[8]Barge-1'!CQ12+'[8]Barge-2'!CQ12+'[8]Barge-3'!CQ12+'[8]Barge-4'!CQ12</f>
        <v>0</v>
      </c>
      <c r="O12" s="179">
        <f>'[2]AHTS-1'!AZ12+'[2]AHTS-2'!AZ12+'[2]AHTS-3'!AZ12+'[2]AHTS-4'!AZ12+'[2]AHTS-5'!AZ12+'[2]AHTS-6'!AZ12+'[2]AHTS-7'!AZ12+'[2]AHTS-8'!AZ12+'[3]CB-1'!AZ12+'[3]CB-2'!AZ12+'[3]CB-3'!AZ12+'[3]CB-4'!AZ12+'[3]CB-5'!AZ12+'[3]CB-6'!AZ12+'[3]CB-7'!AZ12+'[3]CB-8'!AZ12+'[3]CB-9'!AZ12+'[3]CB-10'!AZ12+'[3]CB-11'!AZ12+'[3]CB-12'!AZ12+'[3]CB-13'!AZ12+'[3]CB-14'!AZ12+'[3]CB-15'!AZ12+'[3]CB-16'!AZ12+'[3]CB-17'!AZ12+'[3]CB-18'!AZ12+'[3]CB-19'!AZ12+'[3]CB-20'!AZ12+'[3]CB-21'!AZ12+'[3]CB-22'!AZ12+'[3]CB-23'!AZ12+'[3]CB-24'!AZ12+'[4]LCT-1'!AZ12+'[4]LCT-2'!AZ12+'[4]LCT-3'!AZ12+'[4]LCT-4'!AZ12+'[4]LCT-5'!AZ12+'[4]LCT-6'!AZ12+'[4]LCT-7'!AZ12+'[4]LCT-8'!AZ12+'[5]TB-1'!AZ12+'[5]TB-2'!AZ12+'[5]TB-3'!AZ12+'[5]TB-4'!AZ12+'[5]TB-5'!AZ12+'[5]TB-6'!AZ12+'[5]TB-7'!AZ12+'[5]TB-8'!AZ12+'[5]TB-9'!AZ12+'[5]TB-10'!AZ12+'[6]DSV-1'!AZ12+'[6]DSV-2'!AZ12+'[6]DSV-3'!AZ12+'[7]TUB-1'!AZ12+'[7]TUB-2'!AZ12+'[8]Barge-1'!AZ12+'[8]Barge-2'!AZ12+'[8]Barge-3'!AZ12+'[8]Barge-4'!AZ12</f>
        <v>23.422270565401924</v>
      </c>
      <c r="P12" s="180">
        <f>'[2]AHTS-1'!BV12+'[2]AHTS-2'!BV12+'[2]AHTS-3'!BV12+'[2]AHTS-4'!BV12+'[2]AHTS-5'!BV12+'[2]AHTS-6'!BV12+'[2]AHTS-7'!BV12+'[2]AHTS-8'!BV12+'[3]CB-1'!BV12+'[3]CB-2'!BV12+'[3]CB-3'!BV12+'[3]CB-4'!BV12+'[3]CB-5'!BV12+'[3]CB-6'!BV12+'[3]CB-7'!BV12+'[3]CB-8'!BV12+'[3]CB-9'!BV12+'[3]CB-10'!BV12+'[3]CB-11'!BV12+'[3]CB-12'!BV12+'[3]CB-13'!BV12+'[3]CB-14'!BV12+'[3]CB-15'!BV12+'[3]CB-16'!BV12+'[3]CB-17'!BV12+'[3]CB-18'!BV12+'[3]CB-19'!BV12+'[3]CB-20'!BV12+'[3]CB-21'!BV12+'[3]CB-22'!BV12+'[3]CB-23'!BV12+'[3]CB-24'!BV12+'[4]LCT-1'!BV12+'[4]LCT-2'!BV12+'[4]LCT-3'!BV12+'[4]LCT-4'!BV12+'[4]LCT-5'!BV12+'[4]LCT-6'!BV12+'[4]LCT-7'!BV12+'[4]LCT-8'!BV12+'[5]TB-1'!BV12+'[5]TB-2'!BV12+'[5]TB-3'!BV12+'[5]TB-4'!BV12+'[5]TB-5'!BV12+'[5]TB-6'!BV12+'[5]TB-7'!BV12+'[5]TB-8'!BV12+'[5]TB-9'!BV12+'[5]TB-10'!BV12+'[6]DSV-1'!BV12+'[6]DSV-2'!BV12+'[6]DSV-3'!BV12+'[7]TUB-1'!BV12+'[7]TUB-2'!BV12+'[8]Barge-1'!BV12+'[8]Barge-2'!BV12+'[8]Barge-3'!BV12+'[8]Barge-4'!BV12</f>
        <v>138.63117708533284</v>
      </c>
      <c r="Q12" s="180">
        <f>'[2]AHTS-1'!CR12+'[2]AHTS-2'!CR12+'[2]AHTS-3'!CR12+'[2]AHTS-4'!CR12+'[2]AHTS-5'!CR12+'[2]AHTS-6'!CR12+'[2]AHTS-7'!CR12+'[2]AHTS-8'!CR12+'[3]CB-1'!CR12+'[3]CB-2'!CR12+'[3]CB-3'!CR12+'[3]CB-4'!CR12+'[3]CB-5'!CR12+'[3]CB-6'!CR12+'[3]CB-7'!CR12+'[3]CB-8'!CR12+'[3]CB-9'!CR12+'[3]CB-10'!CR12+'[3]CB-11'!CR12+'[3]CB-12'!CR12+'[3]CB-13'!CR12+'[3]CB-14'!CR12+'[3]CB-15'!CR12+'[3]CB-16'!CR12+'[3]CB-17'!CR12+'[3]CB-18'!CR12+'[3]CB-19'!CR12+'[3]CB-20'!CR12+'[3]CB-21'!CR12+'[3]CB-22'!CR12+'[3]CB-23'!CR12+'[3]CB-24'!CR12+'[4]LCT-1'!CR12+'[4]LCT-2'!CR12+'[4]LCT-3'!CR12+'[4]LCT-4'!CR12+'[4]LCT-5'!CR12+'[4]LCT-6'!CR12+'[4]LCT-7'!CR12+'[4]LCT-8'!CR12+'[5]TB-1'!CR12+'[5]TB-2'!CR12+'[5]TB-3'!CR12+'[5]TB-4'!CR12+'[5]TB-5'!CR12+'[5]TB-6'!CR12+'[5]TB-7'!CR12+'[5]TB-8'!CR12+'[5]TB-9'!CR12+'[5]TB-10'!CR12+'[6]DSV-1'!CR12+'[6]DSV-2'!CR12+'[6]DSV-3'!CR12+'[7]TUB-1'!CR12+'[7]TUB-2'!CR12+'[8]Barge-1'!CR12+'[8]Barge-2'!CR12+'[8]Barge-3'!CR12+'[8]Barge-4'!CR12</f>
        <v>0</v>
      </c>
      <c r="R12" s="183">
        <f>'[2]AHTS-1'!BA12+'[2]AHTS-2'!BA12+'[2]AHTS-3'!BA12+'[2]AHTS-4'!BA12+'[2]AHTS-5'!BA12+'[2]AHTS-6'!BA12+'[2]AHTS-7'!BA12+'[2]AHTS-8'!BA12+'[3]CB-1'!BA12+'[3]CB-2'!BA12+'[3]CB-3'!BA12+'[3]CB-4'!BA12+'[3]CB-5'!BA12+'[3]CB-6'!BA12+'[3]CB-7'!BA12+'[3]CB-8'!BA12+'[3]CB-9'!BA12+'[3]CB-10'!BA12+'[3]CB-11'!BA12+'[3]CB-12'!BA12+'[3]CB-13'!BA12+'[3]CB-14'!BA12+'[3]CB-15'!BA12+'[3]CB-16'!BA12+'[3]CB-17'!BA12+'[3]CB-18'!BA12+'[3]CB-19'!BA12+'[3]CB-20'!BA12+'[3]CB-21'!BA12+'[3]CB-22'!BA12+'[3]CB-23'!BA12+'[3]CB-24'!BA12+'[4]LCT-1'!BA12+'[4]LCT-2'!BA12+'[4]LCT-3'!BA12+'[4]LCT-4'!BA12+'[4]LCT-5'!BA12+'[4]LCT-6'!BA12+'[4]LCT-7'!BA12+'[4]LCT-8'!BA12+'[5]TB-1'!BA12+'[5]TB-2'!BA12+'[5]TB-3'!BA12+'[5]TB-4'!BA12+'[5]TB-5'!BA12+'[5]TB-6'!BA12+'[5]TB-7'!BA12+'[5]TB-8'!BA12+'[5]TB-9'!BA12+'[5]TB-10'!BA12+'[6]DSV-1'!BA12+'[6]DSV-2'!BA12+'[6]DSV-3'!BA12+'[7]TUB-1'!BA12+'[7]TUB-2'!BA12+'[8]Barge-1'!BA12+'[8]Barge-2'!BA12+'[8]Barge-3'!BA12+'[8]Barge-4'!BA12</f>
        <v>4785.0320984494638</v>
      </c>
      <c r="S12" s="180">
        <f>'[2]AHTS-1'!BW12+'[2]AHTS-2'!BW12+'[2]AHTS-3'!BW12+'[2]AHTS-4'!BW12+'[2]AHTS-5'!BW12+'[2]AHTS-6'!BW12+'[2]AHTS-7'!BW12+'[2]AHTS-8'!BW12+'[3]CB-1'!BW12+'[3]CB-2'!BW12+'[3]CB-3'!BW12+'[3]CB-4'!BW12+'[3]CB-5'!BW12+'[3]CB-6'!BW12+'[3]CB-7'!BW12+'[3]CB-8'!BW12+'[3]CB-9'!BW12+'[3]CB-10'!BW12+'[3]CB-11'!BW12+'[3]CB-12'!BW12+'[3]CB-13'!BW12+'[3]CB-14'!BW12+'[3]CB-15'!BW12+'[3]CB-16'!BW12+'[3]CB-17'!BW12+'[3]CB-18'!BW12+'[3]CB-19'!BW12+'[3]CB-20'!BW12+'[3]CB-21'!BW12+'[3]CB-22'!BW12+'[3]CB-23'!BW12+'[3]CB-24'!BW12+'[4]LCT-1'!BW12+'[4]LCT-2'!BW12+'[4]LCT-3'!BW12+'[4]LCT-4'!BW12+'[4]LCT-5'!BW12+'[4]LCT-6'!BW12+'[4]LCT-7'!BW12+'[4]LCT-8'!BW12+'[5]TB-1'!BW12+'[5]TB-2'!BW12+'[5]TB-3'!BW12+'[5]TB-4'!BW12+'[5]TB-5'!BW12+'[5]TB-6'!BW12+'[5]TB-7'!BW12+'[5]TB-8'!BW12+'[5]TB-9'!BW12+'[5]TB-10'!BW12+'[6]DSV-1'!BW12+'[6]DSV-2'!BW12+'[6]DSV-3'!BW12+'[7]TUB-1'!BW12+'[7]TUB-2'!BW12+'[8]Barge-1'!BW12+'[8]Barge-2'!BW12+'[8]Barge-3'!BW12+'[8]Barge-4'!BW12</f>
        <v>5915.285686864162</v>
      </c>
      <c r="T12" s="184">
        <f>'[2]AHTS-1'!CS12+'[2]AHTS-2'!CS12+'[2]AHTS-3'!CS12+'[2]AHTS-4'!CS12+'[2]AHTS-5'!CS12+'[2]AHTS-6'!CS12+'[2]AHTS-7'!CS12+'[2]AHTS-8'!CS12+'[3]CB-1'!CS12+'[3]CB-2'!CS12+'[3]CB-3'!CS12+'[3]CB-4'!CS12+'[3]CB-5'!CS12+'[3]CB-6'!CS12+'[3]CB-7'!CS12+'[3]CB-8'!CS12+'[3]CB-9'!CS12+'[3]CB-10'!CS12+'[3]CB-11'!CS12+'[3]CB-12'!CS12+'[3]CB-13'!CS12+'[3]CB-14'!CS12+'[3]CB-15'!CS12+'[3]CB-16'!CS12+'[3]CB-17'!CS12+'[3]CB-18'!CS12+'[3]CB-19'!CS12+'[3]CB-20'!CS12+'[3]CB-21'!CS12+'[3]CB-22'!CS12+'[3]CB-23'!CS12+'[3]CB-24'!CS12+'[4]LCT-1'!CS12+'[4]LCT-2'!CS12+'[4]LCT-3'!CS12+'[4]LCT-4'!CS12+'[4]LCT-5'!CS12+'[4]LCT-6'!CS12+'[4]LCT-7'!CS12+'[4]LCT-8'!CS12+'[5]TB-1'!CS12+'[5]TB-2'!CS12+'[5]TB-3'!CS12+'[5]TB-4'!CS12+'[5]TB-5'!CS12+'[5]TB-6'!CS12+'[5]TB-7'!CS12+'[5]TB-8'!CS12+'[5]TB-9'!CS12+'[5]TB-10'!CS12+'[6]DSV-1'!CS12+'[6]DSV-2'!CS12+'[6]DSV-3'!CS12+'[7]TUB-1'!CS12+'[7]TUB-2'!CS12+'[8]Barge-1'!CS12+'[8]Barge-2'!CS12+'[8]Barge-3'!CS12+'[8]Barge-4'!CS12</f>
        <v>0</v>
      </c>
      <c r="U12" s="183">
        <f>'[2]AHTS-1'!BB12+'[2]AHTS-2'!BB12+'[2]AHTS-3'!BB12+'[2]AHTS-4'!BB12+'[2]AHTS-5'!BB12+'[2]AHTS-6'!BB12+'[2]AHTS-7'!BB12+'[2]AHTS-8'!BB12+'[3]CB-1'!BB12+'[3]CB-2'!BB12+'[3]CB-3'!BB12+'[3]CB-4'!BB12+'[3]CB-5'!BB12+'[3]CB-6'!BB12+'[3]CB-7'!BB12+'[3]CB-8'!BB12+'[3]CB-9'!BB12+'[3]CB-10'!BB12+'[3]CB-11'!BB12+'[3]CB-12'!BB12+'[3]CB-13'!BB12+'[3]CB-14'!BB12+'[3]CB-15'!BB12+'[3]CB-16'!BB12+'[3]CB-17'!BB12+'[3]CB-18'!BB12+'[3]CB-19'!BB12+'[3]CB-20'!BB12+'[3]CB-21'!BB12+'[3]CB-22'!BB12+'[3]CB-23'!BB12+'[3]CB-24'!BB12+'[4]LCT-1'!BB12+'[4]LCT-2'!BB12+'[4]LCT-3'!BB12+'[4]LCT-4'!BB12+'[4]LCT-5'!BB12+'[4]LCT-6'!BB12+'[4]LCT-7'!BB12+'[4]LCT-8'!BB12+'[5]TB-1'!BB12+'[5]TB-2'!BB12+'[5]TB-3'!BB12+'[5]TB-4'!BB12+'[5]TB-5'!BB12+'[5]TB-6'!BB12+'[5]TB-7'!BB12+'[5]TB-8'!BB12+'[5]TB-9'!BB12+'[5]TB-10'!BB12+'[6]DSV-1'!BB12+'[6]DSV-2'!BB12+'[6]DSV-3'!BB12+'[7]TUB-1'!BB12+'[7]TUB-2'!BB12+'[8]Barge-1'!BB12+'[8]Barge-2'!BB12+'[8]Barge-3'!BB12+'[8]Barge-4'!BB12</f>
        <v>0</v>
      </c>
      <c r="V12" s="180">
        <f>'[2]AHTS-1'!BX12+'[2]AHTS-2'!BX12+'[2]AHTS-3'!BX12+'[2]AHTS-4'!BX12+'[2]AHTS-5'!BX12+'[2]AHTS-6'!BX12+'[2]AHTS-7'!BX12+'[2]AHTS-8'!BX12+'[3]CB-1'!BX12+'[3]CB-2'!BX12+'[3]CB-3'!BX12+'[3]CB-4'!BX12+'[3]CB-5'!BX12+'[3]CB-6'!BX12+'[3]CB-7'!BX12+'[3]CB-8'!BX12+'[3]CB-9'!BX12+'[3]CB-10'!BX12+'[3]CB-11'!BX12+'[3]CB-12'!BX12+'[3]CB-13'!BX12+'[3]CB-14'!BX12+'[3]CB-15'!BX12+'[3]CB-16'!BX12+'[3]CB-17'!BX12+'[3]CB-18'!BX12+'[3]CB-19'!BX12+'[3]CB-20'!BX12+'[3]CB-21'!BX12+'[3]CB-22'!BX12+'[3]CB-23'!BX12+'[3]CB-24'!BX12+'[4]LCT-1'!BX12+'[4]LCT-2'!BX12+'[4]LCT-3'!BX12+'[4]LCT-4'!BX12+'[4]LCT-5'!BX12+'[4]LCT-6'!BX12+'[4]LCT-7'!BX12+'[4]LCT-8'!BX12+'[5]TB-1'!BX12+'[5]TB-2'!BX12+'[5]TB-3'!BX12+'[5]TB-4'!BX12+'[5]TB-5'!BX12+'[5]TB-6'!BX12+'[5]TB-7'!BX12+'[5]TB-8'!BX12+'[5]TB-9'!BX12+'[5]TB-10'!BX12+'[6]DSV-1'!BX12+'[6]DSV-2'!BX12+'[6]DSV-3'!BX12+'[7]TUB-1'!BX12+'[7]TUB-2'!BX12+'[8]Barge-1'!BX12+'[8]Barge-2'!BX12+'[8]Barge-3'!BX12+'[8]Barge-4'!BX12</f>
        <v>0</v>
      </c>
      <c r="W12" s="184">
        <f>'[2]AHTS-1'!CT12+'[2]AHTS-2'!CT12+'[2]AHTS-3'!CT12+'[2]AHTS-4'!CT12+'[2]AHTS-5'!CT12+'[2]AHTS-6'!CT12+'[2]AHTS-7'!CT12+'[2]AHTS-8'!CT12+'[3]CB-1'!CT12+'[3]CB-2'!CT12+'[3]CB-3'!CT12+'[3]CB-4'!CT12+'[3]CB-5'!CT12+'[3]CB-6'!CT12+'[3]CB-7'!CT12+'[3]CB-8'!CT12+'[3]CB-9'!CT12+'[3]CB-10'!CT12+'[3]CB-11'!CT12+'[3]CB-12'!CT12+'[3]CB-13'!CT12+'[3]CB-14'!CT12+'[3]CB-15'!CT12+'[3]CB-16'!CT12+'[3]CB-17'!CT12+'[3]CB-18'!CT12+'[3]CB-19'!CT12+'[3]CB-20'!CT12+'[3]CB-21'!CT12+'[3]CB-22'!CT12+'[3]CB-23'!CT12+'[3]CB-24'!CT12+'[4]LCT-1'!CT12+'[4]LCT-2'!CT12+'[4]LCT-3'!CT12+'[4]LCT-4'!CT12+'[4]LCT-5'!CT12+'[4]LCT-6'!CT12+'[4]LCT-7'!CT12+'[4]LCT-8'!CT12+'[5]TB-1'!CT12+'[5]TB-2'!CT12+'[5]TB-3'!CT12+'[5]TB-4'!CT12+'[5]TB-5'!CT12+'[5]TB-6'!CT12+'[5]TB-7'!CT12+'[5]TB-8'!CT12+'[5]TB-9'!CT12+'[5]TB-10'!CT12+'[6]DSV-1'!CT12+'[6]DSV-2'!CT12+'[6]DSV-3'!CT12+'[7]TUB-1'!CT12+'[7]TUB-2'!CT12+'[8]Barge-1'!CT12+'[8]Barge-2'!CT12+'[8]Barge-3'!CT12+'[8]Barge-4'!CT12</f>
        <v>0</v>
      </c>
      <c r="X12" s="67"/>
      <c r="Y12" s="67"/>
      <c r="Z12" s="68"/>
      <c r="AA12" s="111">
        <f>[1]Control!AZ12</f>
        <v>45987</v>
      </c>
      <c r="AB12" s="66"/>
      <c r="AC12" s="132">
        <f>'[2]AHTS-1'!IC50+'[2]AHTS-2'!IC50+'[2]AHTS-3'!IC50+'[2]AHTS-4'!IC50+'[2]AHTS-5'!IC50+'[2]AHTS-6'!IC50+'[2]AHTS-7'!IC50+'[2]AHTS-8'!IC50+'[3]CB-1'!IC50+'[3]CB-2'!IC50+'[3]CB-3'!IC50+'[3]CB-4'!IC50+'[3]CB-5'!IC50+'[3]CB-6'!IC50+'[3]CB-7'!IC50+'[3]CB-8'!IC50+'[3]CB-9'!IC50+'[3]CB-10'!IC50+'[3]CB-11'!IC50+'[3]CB-12'!IC50+'[3]CB-13'!IC50+'[3]CB-14'!IC50+'[3]CB-15'!IC50+'[3]CB-16'!IC50+'[3]CB-17'!IC50+'[3]CB-18'!IC50+'[3]CB-19'!IC50+'[3]CB-20'!IC50+'[3]CB-21'!IC50+'[3]CB-22'!IC50+'[3]CB-23'!IC50+'[3]CB-24'!IC50+'[4]LCT-1'!IC50+'[4]LCT-2'!IC50+'[4]LCT-3'!IC50+'[4]LCT-4'!IC50+'[4]LCT-5'!IC50+'[4]LCT-6'!IC50+'[4]LCT-7'!IC50+'[4]LCT-8'!IC50+'[5]TB-1'!IC50+'[5]TB-2'!IC50+'[5]TB-3'!IC50+'[5]TB-4'!IC50+'[5]TB-5'!IC50+'[5]TB-6'!IC50+'[5]TB-7'!IC50+'[5]TB-8'!IC50+'[5]TB-9'!IC50+'[5]TB-10'!IC50+'[6]DSV-1'!IC50+'[6]DSV-2'!IC50+'[6]DSV-3'!IC50+'[7]TUB-1'!IC50+'[7]TUB-2'!IC50+'[8]Barge-1'!IC50+'[8]Barge-2'!IC50+'[8]Barge-3'!IC50+'[8]Barge-4'!IC50</f>
        <v>0</v>
      </c>
      <c r="AD12" s="133">
        <f>'[2]AHTS-1'!IC12+'[2]AHTS-2'!IC12+'[2]AHTS-3'!IC12+'[2]AHTS-4'!IC12+'[2]AHTS-5'!IC12+'[2]AHTS-6'!IC12+'[2]AHTS-7'!IC12+'[2]AHTS-8'!IC12+'[3]CB-1'!IC12+'[3]CB-2'!IC12+'[3]CB-3'!IC12+'[3]CB-4'!IC12+'[3]CB-5'!IC12+'[3]CB-6'!IC12+'[3]CB-7'!IC12+'[3]CB-8'!IC12+'[3]CB-9'!IC12+'[3]CB-10'!IC12+'[3]CB-11'!IC12+'[3]CB-12'!IC12+'[3]CB-13'!IC12+'[3]CB-14'!IC12+'[3]CB-15'!IC12+'[3]CB-16'!IC12+'[3]CB-17'!IC12+'[3]CB-18'!IC12+'[3]CB-19'!IC12+'[3]CB-20'!IC12+'[3]CB-21'!IC12+'[3]CB-22'!IC12+'[3]CB-23'!IC12+'[3]CB-24'!IC12+'[4]LCT-1'!IC12+'[4]LCT-2'!IC12+'[4]LCT-3'!IC12+'[4]LCT-4'!IC12+'[4]LCT-5'!IC12+'[4]LCT-6'!IC12+'[4]LCT-7'!IC12+'[4]LCT-8'!IC12+'[5]TB-1'!IC12+'[5]TB-2'!IC12+'[5]TB-3'!IC12+'[5]TB-4'!IC12+'[5]TB-5'!IC12+'[5]TB-6'!IC12+'[5]TB-7'!IC12+'[5]TB-8'!IC12+'[5]TB-9'!IC12+'[5]TB-10'!IC12+'[6]DSV-1'!IC12+'[6]DSV-2'!IC12+'[6]DSV-3'!IC12+'[7]TUB-1'!IC12+'[7]TUB-2'!IC12+'[8]Barge-1'!IC12+'[8]Barge-2'!IC12+'[8]Barge-3'!IC12+'[8]Barge-4'!IC12</f>
        <v>0</v>
      </c>
      <c r="AE12" s="134">
        <f>'[2]AHTS-1'!IC83+'[2]AHTS-2'!IC83+'[2]AHTS-3'!IC83+'[2]AHTS-4'!IC83+'[2]AHTS-5'!IC83+'[2]AHTS-6'!IC83+'[2]AHTS-7'!IC83+'[2]AHTS-8'!IC83+'[3]CB-1'!IC83+'[3]CB-2'!IC83+'[3]CB-3'!IC83+'[3]CB-4'!IC83+'[3]CB-5'!IC83+'[3]CB-6'!IC83+'[3]CB-7'!IC83+'[3]CB-8'!IC83+'[3]CB-9'!IC83+'[3]CB-10'!IC83+'[3]CB-11'!IC83+'[3]CB-12'!IC83+'[3]CB-13'!IC83+'[3]CB-14'!IC83+'[3]CB-15'!IC83+'[3]CB-16'!IC83+'[3]CB-17'!IC83+'[3]CB-18'!IC83+'[3]CB-19'!IC83+'[3]CB-20'!IC83+'[3]CB-21'!IC83+'[3]CB-22'!IC83+'[3]CB-23'!IC83+'[3]CB-24'!IC83+'[4]LCT-1'!IC83+'[4]LCT-2'!IC83+'[4]LCT-3'!IC83+'[4]LCT-4'!IC83+'[4]LCT-5'!IC83+'[4]LCT-6'!IC83+'[4]LCT-7'!IC83+'[4]LCT-8'!IC83+'[5]TB-1'!IC83+'[5]TB-2'!IC83+'[5]TB-3'!IC83+'[5]TB-4'!IC83+'[5]TB-5'!IC83+'[5]TB-6'!IC83+'[5]TB-7'!IC83+'[5]TB-8'!IC83+'[5]TB-9'!IC83+'[5]TB-10'!IC83+'[6]DSV-1'!IC83+'[6]DSV-2'!IC83+'[6]DSV-3'!IC83+'[7]TUB-1'!IC83+'[7]TUB-2'!IC83+'[8]Barge-1'!IC83+'[8]Barge-2'!IC83+'[8]Barge-3'!IC83+'[8]Barge-4'!IC83</f>
        <v>0</v>
      </c>
      <c r="AF12" s="135">
        <f>'[2]AHTS-1'!ID50+'[2]AHTS-2'!ID50+'[2]AHTS-3'!ID50+'[2]AHTS-4'!ID50+'[2]AHTS-5'!ID50+'[2]AHTS-6'!ID50+'[2]AHTS-7'!ID50+'[2]AHTS-8'!ID50+'[3]CB-1'!ID50+'[3]CB-2'!ID50+'[3]CB-3'!ID50+'[3]CB-4'!ID50+'[3]CB-5'!ID50+'[3]CB-6'!ID50+'[3]CB-7'!ID50+'[3]CB-8'!ID50+'[3]CB-9'!ID50+'[3]CB-10'!ID50+'[3]CB-11'!ID50+'[3]CB-12'!ID50+'[3]CB-13'!ID50+'[3]CB-14'!ID50+'[3]CB-15'!ID50+'[3]CB-16'!ID50+'[3]CB-17'!ID50+'[3]CB-18'!ID50+'[3]CB-19'!ID50+'[3]CB-20'!ID50+'[3]CB-21'!ID50+'[3]CB-22'!ID50+'[3]CB-23'!ID50+'[3]CB-24'!ID50+'[4]LCT-1'!ID50+'[4]LCT-2'!ID50+'[4]LCT-3'!ID50+'[4]LCT-4'!ID50+'[4]LCT-5'!ID50+'[4]LCT-6'!ID50+'[4]LCT-7'!ID50+'[4]LCT-8'!ID50+'[5]TB-1'!ID50+'[5]TB-2'!ID50+'[5]TB-3'!ID50+'[5]TB-4'!ID50+'[5]TB-5'!ID50+'[5]TB-6'!ID50+'[5]TB-7'!ID50+'[5]TB-8'!ID50+'[5]TB-9'!ID50+'[5]TB-10'!ID50+'[6]DSV-1'!ID50+'[6]DSV-2'!ID50+'[6]DSV-3'!ID50+'[7]TUB-1'!ID50+'[7]TUB-2'!ID50+'[8]Barge-1'!ID50+'[8]Barge-2'!ID50+'[8]Barge-3'!ID50+'[8]Barge-4'!ID50</f>
        <v>21041969.583333332</v>
      </c>
      <c r="AG12" s="136">
        <f>'[2]AHTS-1'!ID12+'[2]AHTS-2'!ID12+'[2]AHTS-3'!ID12+'[2]AHTS-4'!ID12+'[2]AHTS-5'!ID12+'[2]AHTS-6'!ID12+'[2]AHTS-7'!ID12+'[2]AHTS-8'!ID12+'[3]CB-1'!ID12+'[3]CB-2'!ID12+'[3]CB-3'!ID12+'[3]CB-4'!ID12+'[3]CB-5'!ID12+'[3]CB-6'!ID12+'[3]CB-7'!ID12+'[3]CB-8'!ID12+'[3]CB-9'!ID12+'[3]CB-10'!ID12+'[3]CB-11'!ID12+'[3]CB-12'!ID12+'[3]CB-13'!ID12+'[3]CB-14'!ID12+'[3]CB-15'!ID12+'[3]CB-16'!ID12+'[3]CB-17'!ID12+'[3]CB-18'!ID12+'[3]CB-19'!ID12+'[3]CB-20'!ID12+'[3]CB-21'!ID12+'[3]CB-22'!ID12+'[3]CB-23'!ID12+'[3]CB-24'!ID12+'[4]LCT-1'!ID12+'[4]LCT-2'!ID12+'[4]LCT-3'!ID12+'[4]LCT-4'!ID12+'[4]LCT-5'!ID12+'[4]LCT-6'!ID12+'[4]LCT-7'!ID12+'[4]LCT-8'!ID12+'[5]TB-1'!ID12+'[5]TB-2'!ID12+'[5]TB-3'!ID12+'[5]TB-4'!ID12+'[5]TB-5'!ID12+'[5]TB-6'!ID12+'[5]TB-7'!ID12+'[5]TB-8'!ID12+'[5]TB-9'!ID12+'[5]TB-10'!ID12+'[6]DSV-1'!ID12+'[6]DSV-2'!ID12+'[6]DSV-3'!ID12+'[7]TUB-1'!ID12+'[7]TUB-2'!ID12+'[8]Barge-1'!ID12+'[8]Barge-2'!ID12+'[8]Barge-3'!ID12+'[8]Barge-4'!ID12</f>
        <v>21945000</v>
      </c>
      <c r="AH12" s="136">
        <f>'[2]AHTS-1'!ID83+'[2]AHTS-2'!ID83+'[2]AHTS-3'!ID83+'[2]AHTS-4'!ID83+'[2]AHTS-5'!ID83+'[2]AHTS-6'!ID83+'[2]AHTS-7'!ID83+'[2]AHTS-8'!ID83+'[3]CB-1'!ID83+'[3]CB-2'!ID83+'[3]CB-3'!ID83+'[3]CB-4'!ID83+'[3]CB-5'!ID83+'[3]CB-6'!ID83+'[3]CB-7'!ID83+'[3]CB-8'!ID83+'[3]CB-9'!ID83+'[3]CB-10'!ID83+'[3]CB-11'!ID83+'[3]CB-12'!ID83+'[3]CB-13'!ID83+'[3]CB-14'!ID83+'[3]CB-15'!ID83+'[3]CB-16'!ID83+'[3]CB-17'!ID83+'[3]CB-18'!ID83+'[3]CB-19'!ID83+'[3]CB-20'!ID83+'[3]CB-21'!ID83+'[3]CB-22'!ID83+'[3]CB-23'!ID83+'[3]CB-24'!ID83+'[4]LCT-1'!ID83+'[4]LCT-2'!ID83+'[4]LCT-3'!ID83+'[4]LCT-4'!ID83+'[4]LCT-5'!ID83+'[4]LCT-6'!ID83+'[4]LCT-7'!ID83+'[4]LCT-8'!ID83+'[5]TB-1'!ID83+'[5]TB-2'!ID83+'[5]TB-3'!ID83+'[5]TB-4'!ID83+'[5]TB-5'!ID83+'[5]TB-6'!ID83+'[5]TB-7'!ID83+'[5]TB-8'!ID83+'[5]TB-9'!ID83+'[5]TB-10'!ID83+'[6]DSV-1'!ID83+'[6]DSV-2'!ID83+'[6]DSV-3'!ID83+'[7]TUB-1'!ID83+'[7]TUB-2'!ID83+'[8]Barge-1'!ID83+'[8]Barge-2'!ID83+'[8]Barge-3'!ID83+'[8]Barge-4'!ID83</f>
        <v>0</v>
      </c>
      <c r="AI12" s="135">
        <f>'[2]AHTS-1'!IE50+'[2]AHTS-2'!IE50+'[2]AHTS-3'!IE50+'[2]AHTS-4'!IE50+'[2]AHTS-5'!IE50+'[2]AHTS-6'!IE50+'[2]AHTS-7'!IE50+'[2]AHTS-8'!IE50+'[3]CB-1'!IE50+'[3]CB-2'!IE50+'[3]CB-3'!IE50+'[3]CB-4'!IE50+'[3]CB-5'!IE50+'[3]CB-6'!IE50+'[3]CB-7'!IE50+'[3]CB-8'!IE50+'[3]CB-9'!IE50+'[3]CB-10'!IE50+'[3]CB-11'!IE50+'[3]CB-12'!IE50+'[3]CB-13'!IE50+'[3]CB-14'!IE50+'[3]CB-15'!IE50+'[3]CB-16'!IE50+'[3]CB-17'!IE50+'[3]CB-18'!IE50+'[3]CB-19'!IE50+'[3]CB-20'!IE50+'[3]CB-21'!IE50+'[3]CB-22'!IE50+'[3]CB-23'!IE50+'[3]CB-24'!IE50+'[4]LCT-1'!IE50+'[4]LCT-2'!IE50+'[4]LCT-3'!IE50+'[4]LCT-4'!IE50+'[4]LCT-5'!IE50+'[4]LCT-6'!IE50+'[4]LCT-7'!IE50+'[4]LCT-8'!IE50+'[5]TB-1'!IE50+'[5]TB-2'!IE50+'[5]TB-3'!IE50+'[5]TB-4'!IE50+'[5]TB-5'!IE50+'[5]TB-6'!IE50+'[5]TB-7'!IE50+'[5]TB-8'!IE50+'[5]TB-9'!IE50+'[5]TB-10'!IE50+'[6]DSV-1'!IE50+'[6]DSV-2'!IE50+'[6]DSV-3'!IE50+'[7]TUB-1'!IE50+'[7]TUB-2'!IE50+'[8]Barge-1'!IE50+'[8]Barge-2'!IE50+'[8]Barge-3'!IE50+'[8]Barge-4'!IE50</f>
        <v>61721127.916666664</v>
      </c>
      <c r="AJ12" s="136">
        <f>'[2]AHTS-1'!IE12+'[2]AHTS-2'!IE12+'[2]AHTS-3'!IE12+'[2]AHTS-4'!IE12+'[2]AHTS-5'!IE12+'[2]AHTS-6'!IE12+'[2]AHTS-7'!IE12+'[2]AHTS-8'!IE12+'[3]CB-1'!IE12+'[3]CB-2'!IE12+'[3]CB-3'!IE12+'[3]CB-4'!IE12+'[3]CB-5'!IE12+'[3]CB-6'!IE12+'[3]CB-7'!IE12+'[3]CB-8'!IE12+'[3]CB-9'!IE12+'[3]CB-10'!IE12+'[3]CB-11'!IE12+'[3]CB-12'!IE12+'[3]CB-13'!IE12+'[3]CB-14'!IE12+'[3]CB-15'!IE12+'[3]CB-16'!IE12+'[3]CB-17'!IE12+'[3]CB-18'!IE12+'[3]CB-19'!IE12+'[3]CB-20'!IE12+'[3]CB-21'!IE12+'[3]CB-22'!IE12+'[3]CB-23'!IE12+'[3]CB-24'!IE12+'[4]LCT-1'!IE12+'[4]LCT-2'!IE12+'[4]LCT-3'!IE12+'[4]LCT-4'!IE12+'[4]LCT-5'!IE12+'[4]LCT-6'!IE12+'[4]LCT-7'!IE12+'[4]LCT-8'!IE12+'[5]TB-1'!IE12+'[5]TB-2'!IE12+'[5]TB-3'!IE12+'[5]TB-4'!IE12+'[5]TB-5'!IE12+'[5]TB-6'!IE12+'[5]TB-7'!IE12+'[5]TB-8'!IE12+'[5]TB-9'!IE12+'[5]TB-10'!IE12+'[6]DSV-1'!IE12+'[6]DSV-2'!IE12+'[6]DSV-3'!IE12+'[7]TUB-1'!IE12+'[7]TUB-2'!IE12+'[8]Barge-1'!IE12+'[8]Barge-2'!IE12+'[8]Barge-3'!IE12+'[8]Barge-4'!IE12</f>
        <v>44903333.333333328</v>
      </c>
      <c r="AK12" s="136">
        <f>'[2]AHTS-1'!IE83+'[2]AHTS-2'!IE83+'[2]AHTS-3'!IE83+'[2]AHTS-4'!IE83+'[2]AHTS-5'!IE83+'[2]AHTS-6'!IE83+'[2]AHTS-7'!IE83+'[2]AHTS-8'!IE83+'[3]CB-1'!IE83+'[3]CB-2'!IE83+'[3]CB-3'!IE83+'[3]CB-4'!IE83+'[3]CB-5'!IE83+'[3]CB-6'!IE83+'[3]CB-7'!IE83+'[3]CB-8'!IE83+'[3]CB-9'!IE83+'[3]CB-10'!IE83+'[3]CB-11'!IE83+'[3]CB-12'!IE83+'[3]CB-13'!IE83+'[3]CB-14'!IE83+'[3]CB-15'!IE83+'[3]CB-16'!IE83+'[3]CB-17'!IE83+'[3]CB-18'!IE83+'[3]CB-19'!IE83+'[3]CB-20'!IE83+'[3]CB-21'!IE83+'[3]CB-22'!IE83+'[3]CB-23'!IE83+'[3]CB-24'!IE83+'[4]LCT-1'!IE83+'[4]LCT-2'!IE83+'[4]LCT-3'!IE83+'[4]LCT-4'!IE83+'[4]LCT-5'!IE83+'[4]LCT-6'!IE83+'[4]LCT-7'!IE83+'[4]LCT-8'!IE83+'[5]TB-1'!IE83+'[5]TB-2'!IE83+'[5]TB-3'!IE83+'[5]TB-4'!IE83+'[5]TB-5'!IE83+'[5]TB-6'!IE83+'[5]TB-7'!IE83+'[5]TB-8'!IE83+'[5]TB-9'!IE83+'[5]TB-10'!IE83+'[6]DSV-1'!IE83+'[6]DSV-2'!IE83+'[6]DSV-3'!IE83+'[7]TUB-1'!IE83+'[7]TUB-2'!IE83+'[8]Barge-1'!IE83+'[8]Barge-2'!IE83+'[8]Barge-3'!IE83+'[8]Barge-4'!IE83</f>
        <v>0</v>
      </c>
      <c r="AL12" s="137">
        <f>'[2]AHTS-1'!IF50+'[2]AHTS-2'!IF50+'[2]AHTS-3'!IF50+'[2]AHTS-4'!IF50+'[2]AHTS-5'!IF50+'[2]AHTS-6'!IF50+'[2]AHTS-7'!IF50+'[2]AHTS-8'!IF50+'[3]CB-1'!IF50+'[3]CB-2'!IF50+'[3]CB-3'!IF50+'[3]CB-4'!IF50+'[3]CB-5'!IF50+'[3]CB-6'!IF50+'[3]CB-7'!IF50+'[3]CB-8'!IF50+'[3]CB-9'!IF50+'[3]CB-10'!IF50+'[3]CB-11'!IF50+'[3]CB-12'!IF50+'[3]CB-13'!IF50+'[3]CB-14'!IF50+'[3]CB-15'!IF50+'[3]CB-16'!IF50+'[3]CB-17'!IF50+'[3]CB-18'!IF50+'[3]CB-19'!IF50+'[3]CB-20'!IF50+'[3]CB-21'!IF50+'[3]CB-22'!IF50+'[3]CB-23'!IF50+'[3]CB-24'!IF50+'[4]LCT-1'!IF50+'[4]LCT-2'!IF50+'[4]LCT-3'!IF50+'[4]LCT-4'!IF50+'[4]LCT-5'!IF50+'[4]LCT-6'!IF50+'[4]LCT-7'!IF50+'[4]LCT-8'!IF50+'[5]TB-1'!IF50+'[5]TB-2'!IF50+'[5]TB-3'!IF50+'[5]TB-4'!IF50+'[5]TB-5'!IF50+'[5]TB-6'!IF50+'[5]TB-7'!IF50+'[5]TB-8'!IF50+'[5]TB-9'!IF50+'[5]TB-10'!IF50+'[6]DSV-1'!IF50+'[6]DSV-2'!IF50+'[6]DSV-3'!IF50+'[7]TUB-1'!IF50+'[7]TUB-2'!IF50+'[8]Barge-1'!IF50+'[8]Barge-2'!IF50+'[8]Barge-3'!IF50+'[8]Barge-4'!IF50</f>
        <v>1615000</v>
      </c>
      <c r="AM12" s="138">
        <f>'[2]AHTS-1'!IF12+'[2]AHTS-2'!IF12+'[2]AHTS-3'!IF12+'[2]AHTS-4'!IF12+'[2]AHTS-5'!IF12+'[2]AHTS-6'!IF12+'[2]AHTS-7'!IF12+'[2]AHTS-8'!IF12+'[3]CB-1'!IF12+'[3]CB-2'!IF12+'[3]CB-3'!IF12+'[3]CB-4'!IF12+'[3]CB-5'!IF12+'[3]CB-6'!IF12+'[3]CB-7'!IF12+'[3]CB-8'!IF12+'[3]CB-9'!IF12+'[3]CB-10'!IF12+'[3]CB-11'!IF12+'[3]CB-12'!IF12+'[3]CB-13'!IF12+'[3]CB-14'!IF12+'[3]CB-15'!IF12+'[3]CB-16'!IF12+'[3]CB-17'!IF12+'[3]CB-18'!IF12+'[3]CB-19'!IF12+'[3]CB-20'!IF12+'[3]CB-21'!IF12+'[3]CB-22'!IF12+'[3]CB-23'!IF12+'[3]CB-24'!IF12+'[4]LCT-1'!IF12+'[4]LCT-2'!IF12+'[4]LCT-3'!IF12+'[4]LCT-4'!IF12+'[4]LCT-5'!IF12+'[4]LCT-6'!IF12+'[4]LCT-7'!IF12+'[4]LCT-8'!IF12+'[5]TB-1'!IF12+'[5]TB-2'!IF12+'[5]TB-3'!IF12+'[5]TB-4'!IF12+'[5]TB-5'!IF12+'[5]TB-6'!IF12+'[5]TB-7'!IF12+'[5]TB-8'!IF12+'[5]TB-9'!IF12+'[5]TB-10'!IF12+'[6]DSV-1'!IF12+'[6]DSV-2'!IF12+'[6]DSV-3'!IF12+'[7]TUB-1'!IF12+'[7]TUB-2'!IF12+'[8]Barge-1'!IF12+'[8]Barge-2'!IF12+'[8]Barge-3'!IF12+'[8]Barge-4'!IF12</f>
        <v>9500000</v>
      </c>
      <c r="AN12" s="138">
        <f>'[2]AHTS-1'!IF83+'[2]AHTS-2'!IF83+'[2]AHTS-3'!IF83+'[2]AHTS-4'!IF83+'[2]AHTS-5'!IF83+'[2]AHTS-6'!IF83+'[2]AHTS-7'!IF83+'[2]AHTS-8'!IF83+'[3]CB-1'!IF83+'[3]CB-2'!IF83+'[3]CB-3'!IF83+'[3]CB-4'!IF83+'[3]CB-5'!IF83+'[3]CB-6'!IF83+'[3]CB-7'!IF83+'[3]CB-8'!IF83+'[3]CB-9'!IF83+'[3]CB-10'!IF83+'[3]CB-11'!IF83+'[3]CB-12'!IF83+'[3]CB-13'!IF83+'[3]CB-14'!IF83+'[3]CB-15'!IF83+'[3]CB-16'!IF83+'[3]CB-17'!IF83+'[3]CB-18'!IF83+'[3]CB-19'!IF83+'[3]CB-20'!IF83+'[3]CB-21'!IF83+'[3]CB-22'!IF83+'[3]CB-23'!IF83+'[3]CB-24'!IF83+'[4]LCT-1'!IF83+'[4]LCT-2'!IF83+'[4]LCT-3'!IF83+'[4]LCT-4'!IF83+'[4]LCT-5'!IF83+'[4]LCT-6'!IF83+'[4]LCT-7'!IF83+'[4]LCT-8'!IF83+'[5]TB-1'!IF83+'[5]TB-2'!IF83+'[5]TB-3'!IF83+'[5]TB-4'!IF83+'[5]TB-5'!IF83+'[5]TB-6'!IF83+'[5]TB-7'!IF83+'[5]TB-8'!IF83+'[5]TB-9'!IF83+'[5]TB-10'!IF83+'[6]DSV-1'!IF83+'[6]DSV-2'!IF83+'[6]DSV-3'!IF83+'[7]TUB-1'!IF83+'[7]TUB-2'!IF83+'[8]Barge-1'!IF83+'[8]Barge-2'!IF83+'[8]Barge-3'!IF83+'[8]Barge-4'!IF83</f>
        <v>0</v>
      </c>
      <c r="AO12" s="135">
        <f>'[2]AHTS-1'!IG50+'[2]AHTS-2'!IG50+'[2]AHTS-3'!IG50+'[2]AHTS-4'!IG50+'[2]AHTS-5'!IG50+'[2]AHTS-6'!IG50+'[2]AHTS-7'!IG50+'[2]AHTS-8'!IG50+'[3]CB-1'!IG50+'[3]CB-2'!IG50+'[3]CB-3'!IG50+'[3]CB-4'!IG50+'[3]CB-5'!IG50+'[3]CB-6'!IG50+'[3]CB-7'!IG50+'[3]CB-8'!IG50+'[3]CB-9'!IG50+'[3]CB-10'!IG50+'[3]CB-11'!IG50+'[3]CB-12'!IG50+'[3]CB-13'!IG50+'[3]CB-14'!IG50+'[3]CB-15'!IG50+'[3]CB-16'!IG50+'[3]CB-17'!IG50+'[3]CB-18'!IG50+'[3]CB-19'!IG50+'[3]CB-20'!IG50+'[3]CB-21'!IG50+'[3]CB-22'!IG50+'[3]CB-23'!IG50+'[3]CB-24'!IG50+'[4]LCT-1'!IG50+'[4]LCT-2'!IG50+'[4]LCT-3'!IG50+'[4]LCT-4'!IG50+'[4]LCT-5'!IG50+'[4]LCT-6'!IG50+'[4]LCT-7'!IG50+'[4]LCT-8'!IG50+'[5]TB-1'!IG50+'[5]TB-2'!IG50+'[5]TB-3'!IG50+'[5]TB-4'!IG50+'[5]TB-5'!IG50+'[5]TB-6'!IG50+'[5]TB-7'!IG50+'[5]TB-8'!IG50+'[5]TB-9'!IG50+'[5]TB-10'!IG50+'[6]DSV-1'!IG50+'[6]DSV-2'!IG50+'[6]DSV-3'!IG50+'[7]TUB-1'!IG50+'[7]TUB-2'!IG50+'[8]Barge-1'!IG50+'[8]Barge-2'!IG50+'[8]Barge-3'!IG50+'[8]Barge-4'!IG50</f>
        <v>366066.66666666669</v>
      </c>
      <c r="AP12" s="136">
        <f>'[2]AHTS-1'!IG12+'[2]AHTS-2'!IG12+'[2]AHTS-3'!IG12+'[2]AHTS-4'!IG12+'[2]AHTS-5'!IG12+'[2]AHTS-6'!IG12+'[2]AHTS-7'!IG12+'[2]AHTS-8'!IG12+'[3]CB-1'!IG12+'[3]CB-2'!IG12+'[3]CB-3'!IG12+'[3]CB-4'!IG12+'[3]CB-5'!IG12+'[3]CB-6'!IG12+'[3]CB-7'!IG12+'[3]CB-8'!IG12+'[3]CB-9'!IG12+'[3]CB-10'!IG12+'[3]CB-11'!IG12+'[3]CB-12'!IG12+'[3]CB-13'!IG12+'[3]CB-14'!IG12+'[3]CB-15'!IG12+'[3]CB-16'!IG12+'[3]CB-17'!IG12+'[3]CB-18'!IG12+'[3]CB-19'!IG12+'[3]CB-20'!IG12+'[3]CB-21'!IG12+'[3]CB-22'!IG12+'[3]CB-23'!IG12+'[3]CB-24'!IG12+'[4]LCT-1'!IG12+'[4]LCT-2'!IG12+'[4]LCT-3'!IG12+'[4]LCT-4'!IG12+'[4]LCT-5'!IG12+'[4]LCT-6'!IG12+'[4]LCT-7'!IG12+'[4]LCT-8'!IG12+'[5]TB-1'!IG12+'[5]TB-2'!IG12+'[5]TB-3'!IG12+'[5]TB-4'!IG12+'[5]TB-5'!IG12+'[5]TB-6'!IG12+'[5]TB-7'!IG12+'[5]TB-8'!IG12+'[5]TB-9'!IG12+'[5]TB-10'!IG12+'[6]DSV-1'!IG12+'[6]DSV-2'!IG12+'[6]DSV-3'!IG12+'[7]TUB-1'!IG12+'[7]TUB-2'!IG12+'[8]Barge-1'!IG12+'[8]Barge-2'!IG12+'[8]Barge-3'!IG12+'[8]Barge-4'!IG12</f>
        <v>2166666.6666666665</v>
      </c>
      <c r="AQ12" s="136">
        <f>'[2]AHTS-1'!IG83+'[2]AHTS-2'!IG83+'[2]AHTS-3'!IG83+'[2]AHTS-4'!IG83+'[2]AHTS-5'!IG83+'[2]AHTS-6'!IG83+'[2]AHTS-7'!IG83+'[2]AHTS-8'!IG83+'[3]CB-1'!IG83+'[3]CB-2'!IG83+'[3]CB-3'!IG83+'[3]CB-4'!IG83+'[3]CB-5'!IG83+'[3]CB-6'!IG83+'[3]CB-7'!IG83+'[3]CB-8'!IG83+'[3]CB-9'!IG83+'[3]CB-10'!IG83+'[3]CB-11'!IG83+'[3]CB-12'!IG83+'[3]CB-13'!IG83+'[3]CB-14'!IG83+'[3]CB-15'!IG83+'[3]CB-16'!IG83+'[3]CB-17'!IG83+'[3]CB-18'!IG83+'[3]CB-19'!IG83+'[3]CB-20'!IG83+'[3]CB-21'!IG83+'[3]CB-22'!IG83+'[3]CB-23'!IG83+'[3]CB-24'!IG83+'[4]LCT-1'!IG83+'[4]LCT-2'!IG83+'[4]LCT-3'!IG83+'[4]LCT-4'!IG83+'[4]LCT-5'!IG83+'[4]LCT-6'!IG83+'[4]LCT-7'!IG83+'[4]LCT-8'!IG83+'[5]TB-1'!IG83+'[5]TB-2'!IG83+'[5]TB-3'!IG83+'[5]TB-4'!IG83+'[5]TB-5'!IG83+'[5]TB-6'!IG83+'[5]TB-7'!IG83+'[5]TB-8'!IG83+'[5]TB-9'!IG83+'[5]TB-10'!IG83+'[6]DSV-1'!IG83+'[6]DSV-2'!IG83+'[6]DSV-3'!IG83+'[7]TUB-1'!IG83+'[7]TUB-2'!IG83+'[8]Barge-1'!IG83+'[8]Barge-2'!IG83+'[8]Barge-3'!IG83+'[8]Barge-4'!IG83</f>
        <v>0</v>
      </c>
      <c r="AR12" s="139">
        <f>'[2]AHTS-1'!IH50+'[2]AHTS-2'!IH50+'[2]AHTS-3'!IH50+'[2]AHTS-4'!IH50+'[2]AHTS-5'!IH50+'[2]AHTS-6'!IH50+'[2]AHTS-7'!IH50+'[2]AHTS-8'!IH50+'[3]CB-1'!IH50+'[3]CB-2'!IH50+'[3]CB-3'!IH50+'[3]CB-4'!IH50+'[3]CB-5'!IH50+'[3]CB-6'!IH50+'[3]CB-7'!IH50+'[3]CB-8'!IH50+'[3]CB-9'!IH50+'[3]CB-10'!IH50+'[3]CB-11'!IH50+'[3]CB-12'!IH50+'[3]CB-13'!IH50+'[3]CB-14'!IH50+'[3]CB-15'!IH50+'[3]CB-16'!IH50+'[3]CB-17'!IH50+'[3]CB-18'!IH50+'[3]CB-19'!IH50+'[3]CB-20'!IH50+'[3]CB-21'!IH50+'[3]CB-22'!IH50+'[3]CB-23'!IH50+'[3]CB-24'!IH50+'[4]LCT-1'!IH50+'[4]LCT-2'!IH50+'[4]LCT-3'!IH50+'[4]LCT-4'!IH50+'[4]LCT-5'!IH50+'[4]LCT-6'!IH50+'[4]LCT-7'!IH50+'[4]LCT-8'!IH50+'[5]TB-1'!IH50+'[5]TB-2'!IH50+'[5]TB-3'!IH50+'[5]TB-4'!IH50+'[5]TB-5'!IH50+'[5]TB-6'!IH50+'[5]TB-7'!IH50+'[5]TB-8'!IH50+'[5]TB-9'!IH50+'[5]TB-10'!IH50+'[6]DSV-1'!IH50+'[6]DSV-2'!IH50+'[6]DSV-3'!IH50+'[7]TUB-1'!IH50+'[7]TUB-2'!IH50+'[8]Barge-1'!IH50+'[8]Barge-2'!IH50+'[8]Barge-3'!IH50+'[8]Barge-4'!IH50</f>
        <v>74785266.666666672</v>
      </c>
      <c r="AS12" s="136">
        <f>'[2]AHTS-1'!IH12+'[2]AHTS-2'!IH12+'[2]AHTS-3'!IH12+'[2]AHTS-4'!IH12+'[2]AHTS-5'!IH12+'[2]AHTS-6'!IH12+'[2]AHTS-7'!IH12+'[2]AHTS-8'!IH12+'[3]CB-1'!IH12+'[3]CB-2'!IH12+'[3]CB-3'!IH12+'[3]CB-4'!IH12+'[3]CB-5'!IH12+'[3]CB-6'!IH12+'[3]CB-7'!IH12+'[3]CB-8'!IH12+'[3]CB-9'!IH12+'[3]CB-10'!IH12+'[3]CB-11'!IH12+'[3]CB-12'!IH12+'[3]CB-13'!IH12+'[3]CB-14'!IH12+'[3]CB-15'!IH12+'[3]CB-16'!IH12+'[3]CB-17'!IH12+'[3]CB-18'!IH12+'[3]CB-19'!IH12+'[3]CB-20'!IH12+'[3]CB-21'!IH12+'[3]CB-22'!IH12+'[3]CB-23'!IH12+'[3]CB-24'!IH12+'[4]LCT-1'!IH12+'[4]LCT-2'!IH12+'[4]LCT-3'!IH12+'[4]LCT-4'!IH12+'[4]LCT-5'!IH12+'[4]LCT-6'!IH12+'[4]LCT-7'!IH12+'[4]LCT-8'!IH12+'[5]TB-1'!IH12+'[5]TB-2'!IH12+'[5]TB-3'!IH12+'[5]TB-4'!IH12+'[5]TB-5'!IH12+'[5]TB-6'!IH12+'[5]TB-7'!IH12+'[5]TB-8'!IH12+'[5]TB-9'!IH12+'[5]TB-10'!IH12+'[6]DSV-1'!IH12+'[6]DSV-2'!IH12+'[6]DSV-3'!IH12+'[7]TUB-1'!IH12+'[7]TUB-2'!IH12+'[8]Barge-1'!IH12+'[8]Barge-2'!IH12+'[8]Barge-3'!IH12+'[8]Barge-4'!IH12</f>
        <v>92450000</v>
      </c>
      <c r="AT12" s="140">
        <f>'[2]AHTS-1'!IH83+'[2]AHTS-2'!IH83+'[2]AHTS-3'!IH83+'[2]AHTS-4'!IH83+'[2]AHTS-5'!IH83+'[2]AHTS-6'!IH83+'[2]AHTS-7'!IH83+'[2]AHTS-8'!IH83+'[3]CB-1'!IH83+'[3]CB-2'!IH83+'[3]CB-3'!IH83+'[3]CB-4'!IH83+'[3]CB-5'!IH83+'[3]CB-6'!IH83+'[3]CB-7'!IH83+'[3]CB-8'!IH83+'[3]CB-9'!IH83+'[3]CB-10'!IH83+'[3]CB-11'!IH83+'[3]CB-12'!IH83+'[3]CB-13'!IH83+'[3]CB-14'!IH83+'[3]CB-15'!IH83+'[3]CB-16'!IH83+'[3]CB-17'!IH83+'[3]CB-18'!IH83+'[3]CB-19'!IH83+'[3]CB-20'!IH83+'[3]CB-21'!IH83+'[3]CB-22'!IH83+'[3]CB-23'!IH83+'[3]CB-24'!IH83+'[4]LCT-1'!IH83+'[4]LCT-2'!IH83+'[4]LCT-3'!IH83+'[4]LCT-4'!IH83+'[4]LCT-5'!IH83+'[4]LCT-6'!IH83+'[4]LCT-7'!IH83+'[4]LCT-8'!IH83+'[5]TB-1'!IH83+'[5]TB-2'!IH83+'[5]TB-3'!IH83+'[5]TB-4'!IH83+'[5]TB-5'!IH83+'[5]TB-6'!IH83+'[5]TB-7'!IH83+'[5]TB-8'!IH83+'[5]TB-9'!IH83+'[5]TB-10'!IH83+'[6]DSV-1'!IH83+'[6]DSV-2'!IH83+'[6]DSV-3'!IH83+'[7]TUB-1'!IH83+'[7]TUB-2'!IH83+'[8]Barge-1'!IH83+'[8]Barge-2'!IH83+'[8]Barge-3'!IH83+'[8]Barge-4'!IH83</f>
        <v>0</v>
      </c>
      <c r="AU12" s="139">
        <f>'[2]AHTS-1'!II50+'[2]AHTS-2'!II50+'[2]AHTS-3'!II50+'[2]AHTS-4'!II50+'[2]AHTS-5'!II50+'[2]AHTS-6'!II50+'[2]AHTS-7'!II50+'[2]AHTS-8'!II50+'[3]CB-1'!II50+'[3]CB-2'!II50+'[3]CB-3'!II50+'[3]CB-4'!II50+'[3]CB-5'!II50+'[3]CB-6'!II50+'[3]CB-7'!II50+'[3]CB-8'!II50+'[3]CB-9'!II50+'[3]CB-10'!II50+'[3]CB-11'!II50+'[3]CB-12'!II50+'[3]CB-13'!II50+'[3]CB-14'!II50+'[3]CB-15'!II50+'[3]CB-16'!II50+'[3]CB-17'!II50+'[3]CB-18'!II50+'[3]CB-19'!II50+'[3]CB-20'!II50+'[3]CB-21'!II50+'[3]CB-22'!II50+'[3]CB-23'!II50+'[3]CB-24'!II50+'[4]LCT-1'!II50+'[4]LCT-2'!II50+'[4]LCT-3'!II50+'[4]LCT-4'!II50+'[4]LCT-5'!II50+'[4]LCT-6'!II50+'[4]LCT-7'!II50+'[4]LCT-8'!II50+'[5]TB-1'!II50+'[5]TB-2'!II50+'[5]TB-3'!II50+'[5]TB-4'!II50+'[5]TB-5'!II50+'[5]TB-6'!II50+'[5]TB-7'!II50+'[5]TB-8'!II50+'[5]TB-9'!II50+'[5]TB-10'!II50+'[6]DSV-1'!II50+'[6]DSV-2'!II50+'[6]DSV-3'!II50+'[7]TUB-1'!II50+'[7]TUB-2'!II50+'[8]Barge-1'!II50+'[8]Barge-2'!II50+'[8]Barge-3'!II50+'[8]Barge-4'!II50</f>
        <v>0</v>
      </c>
      <c r="AV12" s="136">
        <f>'[2]AHTS-1'!II12+'[2]AHTS-2'!II12+'[2]AHTS-3'!II12+'[2]AHTS-4'!II12+'[2]AHTS-5'!II12+'[2]AHTS-6'!II12+'[2]AHTS-7'!II12+'[2]AHTS-8'!II12+'[3]CB-1'!II12+'[3]CB-2'!II12+'[3]CB-3'!II12+'[3]CB-4'!II12+'[3]CB-5'!II12+'[3]CB-6'!II12+'[3]CB-7'!II12+'[3]CB-8'!II12+'[3]CB-9'!II12+'[3]CB-10'!II12+'[3]CB-11'!II12+'[3]CB-12'!II12+'[3]CB-13'!II12+'[3]CB-14'!II12+'[3]CB-15'!II12+'[3]CB-16'!II12+'[3]CB-17'!II12+'[3]CB-18'!II12+'[3]CB-19'!II12+'[3]CB-20'!II12+'[3]CB-21'!II12+'[3]CB-22'!II12+'[3]CB-23'!II12+'[3]CB-24'!II12+'[4]LCT-1'!II12+'[4]LCT-2'!II12+'[4]LCT-3'!II12+'[4]LCT-4'!II12+'[4]LCT-5'!II12+'[4]LCT-6'!II12+'[4]LCT-7'!II12+'[4]LCT-8'!II12+'[5]TB-1'!II12+'[5]TB-2'!II12+'[5]TB-3'!II12+'[5]TB-4'!II12+'[5]TB-5'!II12+'[5]TB-6'!II12+'[5]TB-7'!II12+'[5]TB-8'!II12+'[5]TB-9'!II12+'[5]TB-10'!II12+'[6]DSV-1'!II12+'[6]DSV-2'!II12+'[6]DSV-3'!II12+'[7]TUB-1'!II12+'[7]TUB-2'!II12+'[8]Barge-1'!II12+'[8]Barge-2'!II12+'[8]Barge-3'!II12+'[8]Barge-4'!II12</f>
        <v>0</v>
      </c>
      <c r="AW12" s="140">
        <f>'[2]AHTS-1'!II83+'[2]AHTS-2'!II83+'[2]AHTS-3'!II83+'[2]AHTS-4'!II83+'[2]AHTS-5'!II83+'[2]AHTS-6'!II83+'[2]AHTS-7'!II83+'[2]AHTS-8'!II83+'[3]CB-1'!II83+'[3]CB-2'!II83+'[3]CB-3'!II83+'[3]CB-4'!II83+'[3]CB-5'!II83+'[3]CB-6'!II83+'[3]CB-7'!II83+'[3]CB-8'!II83+'[3]CB-9'!II83+'[3]CB-10'!II83+'[3]CB-11'!II83+'[3]CB-12'!II83+'[3]CB-13'!II83+'[3]CB-14'!II83+'[3]CB-15'!II83+'[3]CB-16'!II83+'[3]CB-17'!II83+'[3]CB-18'!II83+'[3]CB-19'!II83+'[3]CB-20'!II83+'[3]CB-21'!II83+'[3]CB-22'!II83+'[3]CB-23'!II83+'[3]CB-24'!II83+'[4]LCT-1'!II83+'[4]LCT-2'!II83+'[4]LCT-3'!II83+'[4]LCT-4'!II83+'[4]LCT-5'!II83+'[4]LCT-6'!II83+'[4]LCT-7'!II83+'[4]LCT-8'!II83+'[5]TB-1'!II83+'[5]TB-2'!II83+'[5]TB-3'!II83+'[5]TB-4'!II83+'[5]TB-5'!II83+'[5]TB-6'!II83+'[5]TB-7'!II83+'[5]TB-8'!II83+'[5]TB-9'!II83+'[5]TB-10'!II83+'[6]DSV-1'!II83+'[6]DSV-2'!II83+'[6]DSV-3'!II83+'[7]TUB-1'!II83+'[7]TUB-2'!II83+'[8]Barge-1'!II83+'[8]Barge-2'!II83+'[8]Barge-3'!II83+'[8]Barge-4'!II83</f>
        <v>0</v>
      </c>
      <c r="AX12" s="67"/>
      <c r="AY12" s="67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</row>
    <row r="13" spans="1:97" s="69" customFormat="1" ht="14.25" customHeight="1" x14ac:dyDescent="0.25">
      <c r="A13" s="111">
        <f>[1]Control!AZ13</f>
        <v>45988</v>
      </c>
      <c r="B13" s="66"/>
      <c r="C13" s="176">
        <f>'[2]AHTS-1'!AV13+'[2]AHTS-2'!AV13+'[2]AHTS-3'!AV13+'[2]AHTS-4'!AV13+'[2]AHTS-5'!AV13+'[2]AHTS-6'!AV13+'[2]AHTS-7'!AV13+'[2]AHTS-8'!AV13+'[3]CB-1'!AV13+'[3]CB-2'!AV13+'[3]CB-3'!AV13+'[3]CB-4'!AV13+'[3]CB-5'!AV13+'[3]CB-6'!AV13+'[3]CB-7'!AV13+'[3]CB-8'!AV13+'[3]CB-9'!AV13+'[3]CB-10'!AV13+'[3]CB-11'!AV13+'[3]CB-12'!AV13+'[3]CB-13'!AV13+'[3]CB-14'!AV13+'[3]CB-15'!AV13+'[3]CB-16'!AV13+'[3]CB-17'!AV13+'[3]CB-18'!AV13+'[3]CB-19'!AV13+'[3]CB-20'!AV13+'[3]CB-21'!AV13+'[3]CB-22'!AV13+'[3]CB-23'!AV13+'[3]CB-24'!AV13+'[4]LCT-1'!AV13+'[4]LCT-2'!AV13+'[4]LCT-3'!AV13+'[4]LCT-4'!AV13+'[4]LCT-5'!AV13+'[4]LCT-6'!AV13+'[4]LCT-7'!AV13+'[4]LCT-8'!AV13+'[5]TB-1'!AV13+'[5]TB-2'!AV13+'[5]TB-3'!AV13+'[5]TB-4'!AV13+'[5]TB-5'!AV13+'[5]TB-6'!AV13+'[5]TB-7'!AV13+'[5]TB-8'!AV13+'[5]TB-9'!AV13+'[5]TB-10'!AV13+'[6]DSV-1'!AV13+'[6]DSV-2'!AV13+'[6]DSV-3'!AV13+'[7]TUB-1'!AV13+'[7]TUB-2'!AV13+'[8]Barge-1'!AV13+'[8]Barge-2'!AV13+'[8]Barge-3'!AV13+'[8]Barge-4'!AV13</f>
        <v>0</v>
      </c>
      <c r="D13" s="177">
        <f>'[2]AHTS-1'!BR13+'[2]AHTS-2'!BR13+'[2]AHTS-3'!BR13+'[2]AHTS-4'!BR13+'[2]AHTS-5'!BR13+'[2]AHTS-6'!BR13+'[2]AHTS-7'!BR13+'[2]AHTS-8'!BR13+'[3]CB-1'!BR13+'[3]CB-2'!BR13+'[3]CB-3'!BR13+'[3]CB-4'!BR13+'[3]CB-5'!BR13+'[3]CB-6'!BR13+'[3]CB-7'!BR13+'[3]CB-8'!BR13+'[3]CB-9'!BR13+'[3]CB-10'!BR13+'[3]CB-11'!BR13+'[3]CB-12'!BR13+'[3]CB-13'!BR13+'[3]CB-14'!BR13+'[3]CB-15'!BR13+'[3]CB-16'!BR13+'[3]CB-17'!BR13+'[3]CB-18'!BR13+'[3]CB-19'!BR13+'[3]CB-20'!BR13+'[3]CB-21'!BR13+'[3]CB-22'!BR13+'[3]CB-23'!BR13+'[3]CB-24'!BR13+'[4]LCT-1'!BR13+'[4]LCT-2'!BR13+'[4]LCT-3'!BR13+'[4]LCT-4'!BR13+'[4]LCT-5'!BR13+'[4]LCT-6'!BR13+'[4]LCT-7'!BR13+'[4]LCT-8'!BR13+'[5]TB-1'!BR13+'[5]TB-2'!BR13+'[5]TB-3'!BR13+'[5]TB-4'!BR13+'[5]TB-5'!BR13+'[5]TB-6'!BR13+'[5]TB-7'!BR13+'[5]TB-8'!BR13+'[5]TB-9'!BR13+'[5]TB-10'!BR13+'[6]DSV-1'!BR13+'[6]DSV-2'!BR13+'[6]DSV-3'!BR13+'[7]TUB-1'!BR13+'[7]TUB-2'!BR13+'[8]Barge-1'!BR13+'[8]Barge-2'!BR13+'[8]Barge-3'!BR13+'[8]Barge-4'!BR13</f>
        <v>0</v>
      </c>
      <c r="E13" s="178">
        <f>'[2]AHTS-1'!CN13+'[2]AHTS-2'!CN13+'[2]AHTS-3'!CN13+'[2]AHTS-4'!CN13+'[2]AHTS-5'!CN13+'[2]AHTS-6'!CN13+'[2]AHTS-7'!CN13+'[2]AHTS-8'!CN13+'[3]CB-1'!CN13+'[3]CB-2'!CN13+'[3]CB-3'!CN13+'[3]CB-4'!CN13+'[3]CB-5'!CN13+'[3]CB-6'!CN13+'[3]CB-7'!CN13+'[3]CB-8'!CN13+'[3]CB-9'!CN13+'[3]CB-10'!CN13+'[3]CB-11'!CN13+'[3]CB-12'!CN13+'[3]CB-13'!CN13+'[3]CB-14'!CN13+'[3]CB-15'!CN13+'[3]CB-16'!CN13+'[3]CB-17'!CN13+'[3]CB-18'!CN13+'[3]CB-19'!CN13+'[3]CB-20'!CN13+'[3]CB-21'!CN13+'[3]CB-22'!CN13+'[3]CB-23'!CN13+'[3]CB-24'!CN13+'[4]LCT-1'!CN13+'[4]LCT-2'!CN13+'[4]LCT-3'!CN13+'[4]LCT-4'!CN13+'[4]LCT-5'!CN13+'[4]LCT-6'!CN13+'[4]LCT-7'!CN13+'[4]LCT-8'!CN13+'[5]TB-1'!CN13+'[5]TB-2'!CN13+'[5]TB-3'!CN13+'[5]TB-4'!CN13+'[5]TB-5'!CN13+'[5]TB-6'!CN13+'[5]TB-7'!CN13+'[5]TB-8'!CN13+'[5]TB-9'!CN13+'[5]TB-10'!CN13+'[6]DSV-1'!CN13+'[6]DSV-2'!CN13+'[6]DSV-3'!CN13+'[7]TUB-1'!CN13+'[7]TUB-2'!CN13+'[8]Barge-1'!CN13+'[8]Barge-2'!CN13+'[8]Barge-3'!CN13+'[8]Barge-4'!CN13</f>
        <v>0</v>
      </c>
      <c r="F13" s="179">
        <f>'[2]AHTS-1'!AW13+'[2]AHTS-2'!AW13+'[2]AHTS-3'!AW13+'[2]AHTS-4'!AW13+'[2]AHTS-5'!AW13+'[2]AHTS-6'!AW13+'[2]AHTS-7'!AW13+'[2]AHTS-8'!AW13+'[3]CB-1'!AW13+'[3]CB-2'!AW13+'[3]CB-3'!AW13+'[3]CB-4'!AW13+'[3]CB-5'!AW13+'[3]CB-6'!AW13+'[3]CB-7'!AW13+'[3]CB-8'!AW13+'[3]CB-9'!AW13+'[3]CB-10'!AW13+'[3]CB-11'!AW13+'[3]CB-12'!AW13+'[3]CB-13'!AW13+'[3]CB-14'!AW13+'[3]CB-15'!AW13+'[3]CB-16'!AW13+'[3]CB-17'!AW13+'[3]CB-18'!AW13+'[3]CB-19'!AW13+'[3]CB-20'!AW13+'[3]CB-21'!AW13+'[3]CB-22'!AW13+'[3]CB-23'!AW13+'[3]CB-24'!AW13+'[4]LCT-1'!AW13+'[4]LCT-2'!AW13+'[4]LCT-3'!AW13+'[4]LCT-4'!AW13+'[4]LCT-5'!AW13+'[4]LCT-6'!AW13+'[4]LCT-7'!AW13+'[4]LCT-8'!AW13+'[5]TB-1'!AW13+'[5]TB-2'!AW13+'[5]TB-3'!AW13+'[5]TB-4'!AW13+'[5]TB-5'!AW13+'[5]TB-6'!AW13+'[5]TB-7'!AW13+'[5]TB-8'!AW13+'[5]TB-9'!AW13+'[5]TB-10'!AW13+'[6]DSV-1'!AW13+'[6]DSV-2'!AW13+'[6]DSV-3'!AW13+'[7]TUB-1'!AW13+'[7]TUB-2'!AW13+'[8]Barge-1'!AW13+'[8]Barge-2'!AW13+'[8]Barge-3'!AW13+'[8]Barge-4'!AW13</f>
        <v>1160.1888760921647</v>
      </c>
      <c r="G13" s="180">
        <f>'[2]AHTS-1'!BS13+'[2]AHTS-2'!BS13+'[2]AHTS-3'!BS13+'[2]AHTS-4'!BS13+'[2]AHTS-5'!BS13+'[2]AHTS-6'!BS13+'[2]AHTS-7'!BS13+'[2]AHTS-8'!BS13+'[3]CB-1'!BS13+'[3]CB-2'!BS13+'[3]CB-3'!BS13+'[3]CB-4'!BS13+'[3]CB-5'!BS13+'[3]CB-6'!BS13+'[3]CB-7'!BS13+'[3]CB-8'!BS13+'[3]CB-9'!BS13+'[3]CB-10'!BS13+'[3]CB-11'!BS13+'[3]CB-12'!BS13+'[3]CB-13'!BS13+'[3]CB-14'!BS13+'[3]CB-15'!BS13+'[3]CB-16'!BS13+'[3]CB-17'!BS13+'[3]CB-18'!BS13+'[3]CB-19'!BS13+'[3]CB-20'!BS13+'[3]CB-21'!BS13+'[3]CB-22'!BS13+'[3]CB-23'!BS13+'[3]CB-24'!BS13+'[4]LCT-1'!BS13+'[4]LCT-2'!BS13+'[4]LCT-3'!BS13+'[4]LCT-4'!BS13+'[4]LCT-5'!BS13+'[4]LCT-6'!BS13+'[4]LCT-7'!BS13+'[4]LCT-8'!BS13+'[5]TB-1'!BS13+'[5]TB-2'!BS13+'[5]TB-3'!BS13+'[5]TB-4'!BS13+'[5]TB-5'!BS13+'[5]TB-6'!BS13+'[5]TB-7'!BS13+'[5]TB-8'!BS13+'[5]TB-9'!BS13+'[5]TB-10'!BS13+'[6]DSV-1'!BS13+'[6]DSV-2'!BS13+'[6]DSV-3'!BS13+'[7]TUB-1'!BS13+'[7]TUB-2'!BS13+'[8]Barge-1'!BS13+'[8]Barge-2'!BS13+'[8]Barge-3'!BS13+'[8]Barge-4'!BS13</f>
        <v>1263.8542310946177</v>
      </c>
      <c r="H13" s="180">
        <f>'[2]AHTS-1'!CO13+'[2]AHTS-2'!CO13+'[2]AHTS-3'!CO13+'[2]AHTS-4'!CO13+'[2]AHTS-5'!CO13+'[2]AHTS-6'!CO13+'[2]AHTS-7'!CO13+'[2]AHTS-8'!CO13+'[3]CB-1'!CO13+'[3]CB-2'!CO13+'[3]CB-3'!CO13+'[3]CB-4'!CO13+'[3]CB-5'!CO13+'[3]CB-6'!CO13+'[3]CB-7'!CO13+'[3]CB-8'!CO13+'[3]CB-9'!CO13+'[3]CB-10'!CO13+'[3]CB-11'!CO13+'[3]CB-12'!CO13+'[3]CB-13'!CO13+'[3]CB-14'!CO13+'[3]CB-15'!CO13+'[3]CB-16'!CO13+'[3]CB-17'!CO13+'[3]CB-18'!CO13+'[3]CB-19'!CO13+'[3]CB-20'!CO13+'[3]CB-21'!CO13+'[3]CB-22'!CO13+'[3]CB-23'!CO13+'[3]CB-24'!CO13+'[4]LCT-1'!CO13+'[4]LCT-2'!CO13+'[4]LCT-3'!CO13+'[4]LCT-4'!CO13+'[4]LCT-5'!CO13+'[4]LCT-6'!CO13+'[4]LCT-7'!CO13+'[4]LCT-8'!CO13+'[5]TB-1'!CO13+'[5]TB-2'!CO13+'[5]TB-3'!CO13+'[5]TB-4'!CO13+'[5]TB-5'!CO13+'[5]TB-6'!CO13+'[5]TB-7'!CO13+'[5]TB-8'!CO13+'[5]TB-9'!CO13+'[5]TB-10'!CO13+'[6]DSV-1'!CO13+'[6]DSV-2'!CO13+'[6]DSV-3'!CO13+'[7]TUB-1'!CO13+'[7]TUB-2'!CO13+'[8]Barge-1'!CO13+'[8]Barge-2'!CO13+'[8]Barge-3'!CO13+'[8]Barge-4'!CO13</f>
        <v>0</v>
      </c>
      <c r="I13" s="179">
        <f>'[2]AHTS-1'!AX13+'[2]AHTS-2'!AX13+'[2]AHTS-3'!AX13+'[2]AHTS-4'!AX13+'[2]AHTS-5'!AX13+'[2]AHTS-6'!AX13+'[2]AHTS-7'!AX13+'[2]AHTS-8'!AX13+'[3]CB-1'!AX13+'[3]CB-2'!AX13+'[3]CB-3'!AX13+'[3]CB-4'!AX13+'[3]CB-5'!AX13+'[3]CB-6'!AX13+'[3]CB-7'!AX13+'[3]CB-8'!AX13+'[3]CB-9'!AX13+'[3]CB-10'!AX13+'[3]CB-11'!AX13+'[3]CB-12'!AX13+'[3]CB-13'!AX13+'[3]CB-14'!AX13+'[3]CB-15'!AX13+'[3]CB-16'!AX13+'[3]CB-17'!AX13+'[3]CB-18'!AX13+'[3]CB-19'!AX13+'[3]CB-20'!AX13+'[3]CB-21'!AX13+'[3]CB-22'!AX13+'[3]CB-23'!AX13+'[3]CB-24'!AX13+'[4]LCT-1'!AX13+'[4]LCT-2'!AX13+'[4]LCT-3'!AX13+'[4]LCT-4'!AX13+'[4]LCT-5'!AX13+'[4]LCT-6'!AX13+'[4]LCT-7'!AX13+'[4]LCT-8'!AX13+'[5]TB-1'!AX13+'[5]TB-2'!AX13+'[5]TB-3'!AX13+'[5]TB-4'!AX13+'[5]TB-5'!AX13+'[5]TB-6'!AX13+'[5]TB-7'!AX13+'[5]TB-8'!AX13+'[5]TB-9'!AX13+'[5]TB-10'!AX13+'[6]DSV-1'!AX13+'[6]DSV-2'!AX13+'[6]DSV-3'!AX13+'[7]TUB-1'!AX13+'[7]TUB-2'!AX13+'[8]Barge-1'!AX13+'[8]Barge-2'!AX13+'[8]Barge-3'!AX13+'[8]Barge-4'!AX13</f>
        <v>2516.7172314998465</v>
      </c>
      <c r="J13" s="180">
        <f>'[2]AHTS-1'!BT13+'[2]AHTS-2'!BT13+'[2]AHTS-3'!BT13+'[2]AHTS-4'!BT13+'[2]AHTS-5'!BT13+'[2]AHTS-6'!BT13+'[2]AHTS-7'!BT13+'[2]AHTS-8'!BT13+'[3]CB-1'!BT13+'[3]CB-2'!BT13+'[3]CB-3'!BT13+'[3]CB-4'!BT13+'[3]CB-5'!BT13+'[3]CB-6'!BT13+'[3]CB-7'!BT13+'[3]CB-8'!BT13+'[3]CB-9'!BT13+'[3]CB-10'!BT13+'[3]CB-11'!BT13+'[3]CB-12'!BT13+'[3]CB-13'!BT13+'[3]CB-14'!BT13+'[3]CB-15'!BT13+'[3]CB-16'!BT13+'[3]CB-17'!BT13+'[3]CB-18'!BT13+'[3]CB-19'!BT13+'[3]CB-20'!BT13+'[3]CB-21'!BT13+'[3]CB-22'!BT13+'[3]CB-23'!BT13+'[3]CB-24'!BT13+'[4]LCT-1'!BT13+'[4]LCT-2'!BT13+'[4]LCT-3'!BT13+'[4]LCT-4'!BT13+'[4]LCT-5'!BT13+'[4]LCT-6'!BT13+'[4]LCT-7'!BT13+'[4]LCT-8'!BT13+'[5]TB-1'!BT13+'[5]TB-2'!BT13+'[5]TB-3'!BT13+'[5]TB-4'!BT13+'[5]TB-5'!BT13+'[5]TB-6'!BT13+'[5]TB-7'!BT13+'[5]TB-8'!BT13+'[5]TB-9'!BT13+'[5]TB-10'!BT13+'[6]DSV-1'!BT13+'[6]DSV-2'!BT13+'[6]DSV-3'!BT13+'[7]TUB-1'!BT13+'[7]TUB-2'!BT13+'[8]Barge-1'!BT13+'[8]Barge-2'!BT13+'[8]Barge-3'!BT13+'[8]Barge-4'!BT13</f>
        <v>2100.6177973994213</v>
      </c>
      <c r="K13" s="180">
        <f>'[2]AHTS-1'!CP13+'[2]AHTS-2'!CP13+'[2]AHTS-3'!CP13+'[2]AHTS-4'!CP13+'[2]AHTS-5'!CP13+'[2]AHTS-6'!CP13+'[2]AHTS-7'!CP13+'[2]AHTS-8'!CP13+'[3]CB-1'!CP13+'[3]CB-2'!CP13+'[3]CB-3'!CP13+'[3]CB-4'!CP13+'[3]CB-5'!CP13+'[3]CB-6'!CP13+'[3]CB-7'!CP13+'[3]CB-8'!CP13+'[3]CB-9'!CP13+'[3]CB-10'!CP13+'[3]CB-11'!CP13+'[3]CB-12'!CP13+'[3]CB-13'!CP13+'[3]CB-14'!CP13+'[3]CB-15'!CP13+'[3]CB-16'!CP13+'[3]CB-17'!CP13+'[3]CB-18'!CP13+'[3]CB-19'!CP13+'[3]CB-20'!CP13+'[3]CB-21'!CP13+'[3]CB-22'!CP13+'[3]CB-23'!CP13+'[3]CB-24'!CP13+'[4]LCT-1'!CP13+'[4]LCT-2'!CP13+'[4]LCT-3'!CP13+'[4]LCT-4'!CP13+'[4]LCT-5'!CP13+'[4]LCT-6'!CP13+'[4]LCT-7'!CP13+'[4]LCT-8'!CP13+'[5]TB-1'!CP13+'[5]TB-2'!CP13+'[5]TB-3'!CP13+'[5]TB-4'!CP13+'[5]TB-5'!CP13+'[5]TB-6'!CP13+'[5]TB-7'!CP13+'[5]TB-8'!CP13+'[5]TB-9'!CP13+'[5]TB-10'!CP13+'[6]DSV-1'!CP13+'[6]DSV-2'!CP13+'[6]DSV-3'!CP13+'[7]TUB-1'!CP13+'[7]TUB-2'!CP13+'[8]Barge-1'!CP13+'[8]Barge-2'!CP13+'[8]Barge-3'!CP13+'[8]Barge-4'!CP13</f>
        <v>0</v>
      </c>
      <c r="L13" s="181">
        <f>'[2]AHTS-1'!AY13+'[2]AHTS-2'!AY13+'[2]AHTS-3'!AY13+'[2]AHTS-4'!AY13+'[2]AHTS-5'!AY13+'[2]AHTS-6'!AY13+'[2]AHTS-7'!AY13+'[2]AHTS-8'!AY13+'[3]CB-1'!AY13+'[3]CB-2'!AY13+'[3]CB-3'!AY13+'[3]CB-4'!AY13+'[3]CB-5'!AY13+'[3]CB-6'!AY13+'[3]CB-7'!AY13+'[3]CB-8'!AY13+'[3]CB-9'!AY13+'[3]CB-10'!AY13+'[3]CB-11'!AY13+'[3]CB-12'!AY13+'[3]CB-13'!AY13+'[3]CB-14'!AY13+'[3]CB-15'!AY13+'[3]CB-16'!AY13+'[3]CB-17'!AY13+'[3]CB-18'!AY13+'[3]CB-19'!AY13+'[3]CB-20'!AY13+'[3]CB-21'!AY13+'[3]CB-22'!AY13+'[3]CB-23'!AY13+'[3]CB-24'!AY13+'[4]LCT-1'!AY13+'[4]LCT-2'!AY13+'[4]LCT-3'!AY13+'[4]LCT-4'!AY13+'[4]LCT-5'!AY13+'[4]LCT-6'!AY13+'[4]LCT-7'!AY13+'[4]LCT-8'!AY13+'[5]TB-1'!AY13+'[5]TB-2'!AY13+'[5]TB-3'!AY13+'[5]TB-4'!AY13+'[5]TB-5'!AY13+'[5]TB-6'!AY13+'[5]TB-7'!AY13+'[5]TB-8'!AY13+'[5]TB-9'!AY13+'[5]TB-10'!AY13+'[6]DSV-1'!AY13+'[6]DSV-2'!AY13+'[6]DSV-3'!AY13+'[7]TUB-1'!AY13+'[7]TUB-2'!AY13+'[8]Barge-1'!AY13+'[8]Barge-2'!AY13+'[8]Barge-3'!AY13+'[8]Barge-4'!AY13</f>
        <v>2839.7091944462218</v>
      </c>
      <c r="M13" s="182">
        <f>'[2]AHTS-1'!BU13+'[2]AHTS-2'!BU13+'[2]AHTS-3'!BU13+'[2]AHTS-4'!BU13+'[2]AHTS-5'!BU13+'[2]AHTS-6'!BU13+'[2]AHTS-7'!BU13+'[2]AHTS-8'!BU13+'[3]CB-1'!BU13+'[3]CB-2'!BU13+'[3]CB-3'!BU13+'[3]CB-4'!BU13+'[3]CB-5'!BU13+'[3]CB-6'!BU13+'[3]CB-7'!BU13+'[3]CB-8'!BU13+'[3]CB-9'!BU13+'[3]CB-10'!BU13+'[3]CB-11'!BU13+'[3]CB-12'!BU13+'[3]CB-13'!BU13+'[3]CB-14'!BU13+'[3]CB-15'!BU13+'[3]CB-16'!BU13+'[3]CB-17'!BU13+'[3]CB-18'!BU13+'[3]CB-19'!BU13+'[3]CB-20'!BU13+'[3]CB-21'!BU13+'[3]CB-22'!BU13+'[3]CB-23'!BU13+'[3]CB-24'!BU13+'[4]LCT-1'!BU13+'[4]LCT-2'!BU13+'[4]LCT-3'!BU13+'[4]LCT-4'!BU13+'[4]LCT-5'!BU13+'[4]LCT-6'!BU13+'[4]LCT-7'!BU13+'[4]LCT-8'!BU13+'[5]TB-1'!BU13+'[5]TB-2'!BU13+'[5]TB-3'!BU13+'[5]TB-4'!BU13+'[5]TB-5'!BU13+'[5]TB-6'!BU13+'[5]TB-7'!BU13+'[5]TB-8'!BU13+'[5]TB-9'!BU13+'[5]TB-10'!BU13+'[6]DSV-1'!BU13+'[6]DSV-2'!BU13+'[6]DSV-3'!BU13+'[7]TUB-1'!BU13+'[7]TUB-2'!BU13+'[8]Barge-1'!BU13+'[8]Barge-2'!BU13+'[8]Barge-3'!BU13+'[8]Barge-4'!BU13</f>
        <v>1996.5288886045173</v>
      </c>
      <c r="N13" s="182">
        <f>'[2]AHTS-1'!CQ13+'[2]AHTS-2'!CQ13+'[2]AHTS-3'!CQ13+'[2]AHTS-4'!CQ13+'[2]AHTS-5'!CQ13+'[2]AHTS-6'!CQ13+'[2]AHTS-7'!CQ13+'[2]AHTS-8'!CQ13+'[3]CB-1'!CQ13+'[3]CB-2'!CQ13+'[3]CB-3'!CQ13+'[3]CB-4'!CQ13+'[3]CB-5'!CQ13+'[3]CB-6'!CQ13+'[3]CB-7'!CQ13+'[3]CB-8'!CQ13+'[3]CB-9'!CQ13+'[3]CB-10'!CQ13+'[3]CB-11'!CQ13+'[3]CB-12'!CQ13+'[3]CB-13'!CQ13+'[3]CB-14'!CQ13+'[3]CB-15'!CQ13+'[3]CB-16'!CQ13+'[3]CB-17'!CQ13+'[3]CB-18'!CQ13+'[3]CB-19'!CQ13+'[3]CB-20'!CQ13+'[3]CB-21'!CQ13+'[3]CB-22'!CQ13+'[3]CB-23'!CQ13+'[3]CB-24'!CQ13+'[4]LCT-1'!CQ13+'[4]LCT-2'!CQ13+'[4]LCT-3'!CQ13+'[4]LCT-4'!CQ13+'[4]LCT-5'!CQ13+'[4]LCT-6'!CQ13+'[4]LCT-7'!CQ13+'[4]LCT-8'!CQ13+'[5]TB-1'!CQ13+'[5]TB-2'!CQ13+'[5]TB-3'!CQ13+'[5]TB-4'!CQ13+'[5]TB-5'!CQ13+'[5]TB-6'!CQ13+'[5]TB-7'!CQ13+'[5]TB-8'!CQ13+'[5]TB-9'!CQ13+'[5]TB-10'!CQ13+'[6]DSV-1'!CQ13+'[6]DSV-2'!CQ13+'[6]DSV-3'!CQ13+'[7]TUB-1'!CQ13+'[7]TUB-2'!CQ13+'[8]Barge-1'!CQ13+'[8]Barge-2'!CQ13+'[8]Barge-3'!CQ13+'[8]Barge-4'!CQ13</f>
        <v>0</v>
      </c>
      <c r="O13" s="179">
        <f>'[2]AHTS-1'!AZ13+'[2]AHTS-2'!AZ13+'[2]AHTS-3'!AZ13+'[2]AHTS-4'!AZ13+'[2]AHTS-5'!AZ13+'[2]AHTS-6'!AZ13+'[2]AHTS-7'!AZ13+'[2]AHTS-8'!AZ13+'[3]CB-1'!AZ13+'[3]CB-2'!AZ13+'[3]CB-3'!AZ13+'[3]CB-4'!AZ13+'[3]CB-5'!AZ13+'[3]CB-6'!AZ13+'[3]CB-7'!AZ13+'[3]CB-8'!AZ13+'[3]CB-9'!AZ13+'[3]CB-10'!AZ13+'[3]CB-11'!AZ13+'[3]CB-12'!AZ13+'[3]CB-13'!AZ13+'[3]CB-14'!AZ13+'[3]CB-15'!AZ13+'[3]CB-16'!AZ13+'[3]CB-17'!AZ13+'[3]CB-18'!AZ13+'[3]CB-19'!AZ13+'[3]CB-20'!AZ13+'[3]CB-21'!AZ13+'[3]CB-22'!AZ13+'[3]CB-23'!AZ13+'[3]CB-24'!AZ13+'[4]LCT-1'!AZ13+'[4]LCT-2'!AZ13+'[4]LCT-3'!AZ13+'[4]LCT-4'!AZ13+'[4]LCT-5'!AZ13+'[4]LCT-6'!AZ13+'[4]LCT-7'!AZ13+'[4]LCT-8'!AZ13+'[5]TB-1'!AZ13+'[5]TB-2'!AZ13+'[5]TB-3'!AZ13+'[5]TB-4'!AZ13+'[5]TB-5'!AZ13+'[5]TB-6'!AZ13+'[5]TB-7'!AZ13+'[5]TB-8'!AZ13+'[5]TB-9'!AZ13+'[5]TB-10'!AZ13+'[6]DSV-1'!AZ13+'[6]DSV-2'!AZ13+'[6]DSV-3'!AZ13+'[7]TUB-1'!AZ13+'[7]TUB-2'!AZ13+'[8]Barge-1'!AZ13+'[8]Barge-2'!AZ13+'[8]Barge-3'!AZ13+'[8]Barge-4'!AZ13</f>
        <v>11.711135282700962</v>
      </c>
      <c r="P13" s="180">
        <f>'[2]AHTS-1'!BV13+'[2]AHTS-2'!BV13+'[2]AHTS-3'!BV13+'[2]AHTS-4'!BV13+'[2]AHTS-5'!BV13+'[2]AHTS-6'!BV13+'[2]AHTS-7'!BV13+'[2]AHTS-8'!BV13+'[3]CB-1'!BV13+'[3]CB-2'!BV13+'[3]CB-3'!BV13+'[3]CB-4'!BV13+'[3]CB-5'!BV13+'[3]CB-6'!BV13+'[3]CB-7'!BV13+'[3]CB-8'!BV13+'[3]CB-9'!BV13+'[3]CB-10'!BV13+'[3]CB-11'!BV13+'[3]CB-12'!BV13+'[3]CB-13'!BV13+'[3]CB-14'!BV13+'[3]CB-15'!BV13+'[3]CB-16'!BV13+'[3]CB-17'!BV13+'[3]CB-18'!BV13+'[3]CB-19'!BV13+'[3]CB-20'!BV13+'[3]CB-21'!BV13+'[3]CB-22'!BV13+'[3]CB-23'!BV13+'[3]CB-24'!BV13+'[4]LCT-1'!BV13+'[4]LCT-2'!BV13+'[4]LCT-3'!BV13+'[4]LCT-4'!BV13+'[4]LCT-5'!BV13+'[4]LCT-6'!BV13+'[4]LCT-7'!BV13+'[4]LCT-8'!BV13+'[5]TB-1'!BV13+'[5]TB-2'!BV13+'[5]TB-3'!BV13+'[5]TB-4'!BV13+'[5]TB-5'!BV13+'[5]TB-6'!BV13+'[5]TB-7'!BV13+'[5]TB-8'!BV13+'[5]TB-9'!BV13+'[5]TB-10'!BV13+'[6]DSV-1'!BV13+'[6]DSV-2'!BV13+'[6]DSV-3'!BV13+'[7]TUB-1'!BV13+'[7]TUB-2'!BV13+'[8]Barge-1'!BV13+'[8]Barge-2'!BV13+'[8]Barge-3'!BV13+'[8]Barge-4'!BV13</f>
        <v>69.315588542666418</v>
      </c>
      <c r="Q13" s="180">
        <f>'[2]AHTS-1'!CR13+'[2]AHTS-2'!CR13+'[2]AHTS-3'!CR13+'[2]AHTS-4'!CR13+'[2]AHTS-5'!CR13+'[2]AHTS-6'!CR13+'[2]AHTS-7'!CR13+'[2]AHTS-8'!CR13+'[3]CB-1'!CR13+'[3]CB-2'!CR13+'[3]CB-3'!CR13+'[3]CB-4'!CR13+'[3]CB-5'!CR13+'[3]CB-6'!CR13+'[3]CB-7'!CR13+'[3]CB-8'!CR13+'[3]CB-9'!CR13+'[3]CB-10'!CR13+'[3]CB-11'!CR13+'[3]CB-12'!CR13+'[3]CB-13'!CR13+'[3]CB-14'!CR13+'[3]CB-15'!CR13+'[3]CB-16'!CR13+'[3]CB-17'!CR13+'[3]CB-18'!CR13+'[3]CB-19'!CR13+'[3]CB-20'!CR13+'[3]CB-21'!CR13+'[3]CB-22'!CR13+'[3]CB-23'!CR13+'[3]CB-24'!CR13+'[4]LCT-1'!CR13+'[4]LCT-2'!CR13+'[4]LCT-3'!CR13+'[4]LCT-4'!CR13+'[4]LCT-5'!CR13+'[4]LCT-6'!CR13+'[4]LCT-7'!CR13+'[4]LCT-8'!CR13+'[5]TB-1'!CR13+'[5]TB-2'!CR13+'[5]TB-3'!CR13+'[5]TB-4'!CR13+'[5]TB-5'!CR13+'[5]TB-6'!CR13+'[5]TB-7'!CR13+'[5]TB-8'!CR13+'[5]TB-9'!CR13+'[5]TB-10'!CR13+'[6]DSV-1'!CR13+'[6]DSV-2'!CR13+'[6]DSV-3'!CR13+'[7]TUB-1'!CR13+'[7]TUB-2'!CR13+'[8]Barge-1'!CR13+'[8]Barge-2'!CR13+'[8]Barge-3'!CR13+'[8]Barge-4'!CR13</f>
        <v>0</v>
      </c>
      <c r="R13" s="183">
        <f>'[2]AHTS-1'!BA13+'[2]AHTS-2'!BA13+'[2]AHTS-3'!BA13+'[2]AHTS-4'!BA13+'[2]AHTS-5'!BA13+'[2]AHTS-6'!BA13+'[2]AHTS-7'!BA13+'[2]AHTS-8'!BA13+'[3]CB-1'!BA13+'[3]CB-2'!BA13+'[3]CB-3'!BA13+'[3]CB-4'!BA13+'[3]CB-5'!BA13+'[3]CB-6'!BA13+'[3]CB-7'!BA13+'[3]CB-8'!BA13+'[3]CB-9'!BA13+'[3]CB-10'!BA13+'[3]CB-11'!BA13+'[3]CB-12'!BA13+'[3]CB-13'!BA13+'[3]CB-14'!BA13+'[3]CB-15'!BA13+'[3]CB-16'!BA13+'[3]CB-17'!BA13+'[3]CB-18'!BA13+'[3]CB-19'!BA13+'[3]CB-20'!BA13+'[3]CB-21'!BA13+'[3]CB-22'!BA13+'[3]CB-23'!BA13+'[3]CB-24'!BA13+'[4]LCT-1'!BA13+'[4]LCT-2'!BA13+'[4]LCT-3'!BA13+'[4]LCT-4'!BA13+'[4]LCT-5'!BA13+'[4]LCT-6'!BA13+'[4]LCT-7'!BA13+'[4]LCT-8'!BA13+'[5]TB-1'!BA13+'[5]TB-2'!BA13+'[5]TB-3'!BA13+'[5]TB-4'!BA13+'[5]TB-5'!BA13+'[5]TB-6'!BA13+'[5]TB-7'!BA13+'[5]TB-8'!BA13+'[5]TB-9'!BA13+'[5]TB-10'!BA13+'[6]DSV-1'!BA13+'[6]DSV-2'!BA13+'[6]DSV-3'!BA13+'[7]TUB-1'!BA13+'[7]TUB-2'!BA13+'[8]Barge-1'!BA13+'[8]Barge-2'!BA13+'[8]Barge-3'!BA13+'[8]Barge-4'!BA13</f>
        <v>4452.2980783586063</v>
      </c>
      <c r="S13" s="180">
        <f>'[2]AHTS-1'!BW13+'[2]AHTS-2'!BW13+'[2]AHTS-3'!BW13+'[2]AHTS-4'!BW13+'[2]AHTS-5'!BW13+'[2]AHTS-6'!BW13+'[2]AHTS-7'!BW13+'[2]AHTS-8'!BW13+'[3]CB-1'!BW13+'[3]CB-2'!BW13+'[3]CB-3'!BW13+'[3]CB-4'!BW13+'[3]CB-5'!BW13+'[3]CB-6'!BW13+'[3]CB-7'!BW13+'[3]CB-8'!BW13+'[3]CB-9'!BW13+'[3]CB-10'!BW13+'[3]CB-11'!BW13+'[3]CB-12'!BW13+'[3]CB-13'!BW13+'[3]CB-14'!BW13+'[3]CB-15'!BW13+'[3]CB-16'!BW13+'[3]CB-17'!BW13+'[3]CB-18'!BW13+'[3]CB-19'!BW13+'[3]CB-20'!BW13+'[3]CB-21'!BW13+'[3]CB-22'!BW13+'[3]CB-23'!BW13+'[3]CB-24'!BW13+'[4]LCT-1'!BW13+'[4]LCT-2'!BW13+'[4]LCT-3'!BW13+'[4]LCT-4'!BW13+'[4]LCT-5'!BW13+'[4]LCT-6'!BW13+'[4]LCT-7'!BW13+'[4]LCT-8'!BW13+'[5]TB-1'!BW13+'[5]TB-2'!BW13+'[5]TB-3'!BW13+'[5]TB-4'!BW13+'[5]TB-5'!BW13+'[5]TB-6'!BW13+'[5]TB-7'!BW13+'[5]TB-8'!BW13+'[5]TB-9'!BW13+'[5]TB-10'!BW13+'[6]DSV-1'!BW13+'[6]DSV-2'!BW13+'[6]DSV-3'!BW13+'[7]TUB-1'!BW13+'[7]TUB-2'!BW13+'[8]Barge-1'!BW13+'[8]Barge-2'!BW13+'[8]Barge-3'!BW13+'[8]Barge-4'!BW13</f>
        <v>4904.3444878111204</v>
      </c>
      <c r="T13" s="184">
        <f>'[2]AHTS-1'!CS13+'[2]AHTS-2'!CS13+'[2]AHTS-3'!CS13+'[2]AHTS-4'!CS13+'[2]AHTS-5'!CS13+'[2]AHTS-6'!CS13+'[2]AHTS-7'!CS13+'[2]AHTS-8'!CS13+'[3]CB-1'!CS13+'[3]CB-2'!CS13+'[3]CB-3'!CS13+'[3]CB-4'!CS13+'[3]CB-5'!CS13+'[3]CB-6'!CS13+'[3]CB-7'!CS13+'[3]CB-8'!CS13+'[3]CB-9'!CS13+'[3]CB-10'!CS13+'[3]CB-11'!CS13+'[3]CB-12'!CS13+'[3]CB-13'!CS13+'[3]CB-14'!CS13+'[3]CB-15'!CS13+'[3]CB-16'!CS13+'[3]CB-17'!CS13+'[3]CB-18'!CS13+'[3]CB-19'!CS13+'[3]CB-20'!CS13+'[3]CB-21'!CS13+'[3]CB-22'!CS13+'[3]CB-23'!CS13+'[3]CB-24'!CS13+'[4]LCT-1'!CS13+'[4]LCT-2'!CS13+'[4]LCT-3'!CS13+'[4]LCT-4'!CS13+'[4]LCT-5'!CS13+'[4]LCT-6'!CS13+'[4]LCT-7'!CS13+'[4]LCT-8'!CS13+'[5]TB-1'!CS13+'[5]TB-2'!CS13+'[5]TB-3'!CS13+'[5]TB-4'!CS13+'[5]TB-5'!CS13+'[5]TB-6'!CS13+'[5]TB-7'!CS13+'[5]TB-8'!CS13+'[5]TB-9'!CS13+'[5]TB-10'!CS13+'[6]DSV-1'!CS13+'[6]DSV-2'!CS13+'[6]DSV-3'!CS13+'[7]TUB-1'!CS13+'[7]TUB-2'!CS13+'[8]Barge-1'!CS13+'[8]Barge-2'!CS13+'[8]Barge-3'!CS13+'[8]Barge-4'!CS13</f>
        <v>0</v>
      </c>
      <c r="U13" s="183">
        <f>'[2]AHTS-1'!BB13+'[2]AHTS-2'!BB13+'[2]AHTS-3'!BB13+'[2]AHTS-4'!BB13+'[2]AHTS-5'!BB13+'[2]AHTS-6'!BB13+'[2]AHTS-7'!BB13+'[2]AHTS-8'!BB13+'[3]CB-1'!BB13+'[3]CB-2'!BB13+'[3]CB-3'!BB13+'[3]CB-4'!BB13+'[3]CB-5'!BB13+'[3]CB-6'!BB13+'[3]CB-7'!BB13+'[3]CB-8'!BB13+'[3]CB-9'!BB13+'[3]CB-10'!BB13+'[3]CB-11'!BB13+'[3]CB-12'!BB13+'[3]CB-13'!BB13+'[3]CB-14'!BB13+'[3]CB-15'!BB13+'[3]CB-16'!BB13+'[3]CB-17'!BB13+'[3]CB-18'!BB13+'[3]CB-19'!BB13+'[3]CB-20'!BB13+'[3]CB-21'!BB13+'[3]CB-22'!BB13+'[3]CB-23'!BB13+'[3]CB-24'!BB13+'[4]LCT-1'!BB13+'[4]LCT-2'!BB13+'[4]LCT-3'!BB13+'[4]LCT-4'!BB13+'[4]LCT-5'!BB13+'[4]LCT-6'!BB13+'[4]LCT-7'!BB13+'[4]LCT-8'!BB13+'[5]TB-1'!BB13+'[5]TB-2'!BB13+'[5]TB-3'!BB13+'[5]TB-4'!BB13+'[5]TB-5'!BB13+'[5]TB-6'!BB13+'[5]TB-7'!BB13+'[5]TB-8'!BB13+'[5]TB-9'!BB13+'[5]TB-10'!BB13+'[6]DSV-1'!BB13+'[6]DSV-2'!BB13+'[6]DSV-3'!BB13+'[7]TUB-1'!BB13+'[7]TUB-2'!BB13+'[8]Barge-1'!BB13+'[8]Barge-2'!BB13+'[8]Barge-3'!BB13+'[8]Barge-4'!BB13</f>
        <v>0</v>
      </c>
      <c r="V13" s="180">
        <f>'[2]AHTS-1'!BX13+'[2]AHTS-2'!BX13+'[2]AHTS-3'!BX13+'[2]AHTS-4'!BX13+'[2]AHTS-5'!BX13+'[2]AHTS-6'!BX13+'[2]AHTS-7'!BX13+'[2]AHTS-8'!BX13+'[3]CB-1'!BX13+'[3]CB-2'!BX13+'[3]CB-3'!BX13+'[3]CB-4'!BX13+'[3]CB-5'!BX13+'[3]CB-6'!BX13+'[3]CB-7'!BX13+'[3]CB-8'!BX13+'[3]CB-9'!BX13+'[3]CB-10'!BX13+'[3]CB-11'!BX13+'[3]CB-12'!BX13+'[3]CB-13'!BX13+'[3]CB-14'!BX13+'[3]CB-15'!BX13+'[3]CB-16'!BX13+'[3]CB-17'!BX13+'[3]CB-18'!BX13+'[3]CB-19'!BX13+'[3]CB-20'!BX13+'[3]CB-21'!BX13+'[3]CB-22'!BX13+'[3]CB-23'!BX13+'[3]CB-24'!BX13+'[4]LCT-1'!BX13+'[4]LCT-2'!BX13+'[4]LCT-3'!BX13+'[4]LCT-4'!BX13+'[4]LCT-5'!BX13+'[4]LCT-6'!BX13+'[4]LCT-7'!BX13+'[4]LCT-8'!BX13+'[5]TB-1'!BX13+'[5]TB-2'!BX13+'[5]TB-3'!BX13+'[5]TB-4'!BX13+'[5]TB-5'!BX13+'[5]TB-6'!BX13+'[5]TB-7'!BX13+'[5]TB-8'!BX13+'[5]TB-9'!BX13+'[5]TB-10'!BX13+'[6]DSV-1'!BX13+'[6]DSV-2'!BX13+'[6]DSV-3'!BX13+'[7]TUB-1'!BX13+'[7]TUB-2'!BX13+'[8]Barge-1'!BX13+'[8]Barge-2'!BX13+'[8]Barge-3'!BX13+'[8]Barge-4'!BX13</f>
        <v>0</v>
      </c>
      <c r="W13" s="184">
        <f>'[2]AHTS-1'!CT13+'[2]AHTS-2'!CT13+'[2]AHTS-3'!CT13+'[2]AHTS-4'!CT13+'[2]AHTS-5'!CT13+'[2]AHTS-6'!CT13+'[2]AHTS-7'!CT13+'[2]AHTS-8'!CT13+'[3]CB-1'!CT13+'[3]CB-2'!CT13+'[3]CB-3'!CT13+'[3]CB-4'!CT13+'[3]CB-5'!CT13+'[3]CB-6'!CT13+'[3]CB-7'!CT13+'[3]CB-8'!CT13+'[3]CB-9'!CT13+'[3]CB-10'!CT13+'[3]CB-11'!CT13+'[3]CB-12'!CT13+'[3]CB-13'!CT13+'[3]CB-14'!CT13+'[3]CB-15'!CT13+'[3]CB-16'!CT13+'[3]CB-17'!CT13+'[3]CB-18'!CT13+'[3]CB-19'!CT13+'[3]CB-20'!CT13+'[3]CB-21'!CT13+'[3]CB-22'!CT13+'[3]CB-23'!CT13+'[3]CB-24'!CT13+'[4]LCT-1'!CT13+'[4]LCT-2'!CT13+'[4]LCT-3'!CT13+'[4]LCT-4'!CT13+'[4]LCT-5'!CT13+'[4]LCT-6'!CT13+'[4]LCT-7'!CT13+'[4]LCT-8'!CT13+'[5]TB-1'!CT13+'[5]TB-2'!CT13+'[5]TB-3'!CT13+'[5]TB-4'!CT13+'[5]TB-5'!CT13+'[5]TB-6'!CT13+'[5]TB-7'!CT13+'[5]TB-8'!CT13+'[5]TB-9'!CT13+'[5]TB-10'!CT13+'[6]DSV-1'!CT13+'[6]DSV-2'!CT13+'[6]DSV-3'!CT13+'[7]TUB-1'!CT13+'[7]TUB-2'!CT13+'[8]Barge-1'!CT13+'[8]Barge-2'!CT13+'[8]Barge-3'!CT13+'[8]Barge-4'!CT13</f>
        <v>0</v>
      </c>
      <c r="X13" s="67"/>
      <c r="Y13" s="67"/>
      <c r="Z13" s="68"/>
      <c r="AA13" s="111">
        <f>[1]Control!AZ13</f>
        <v>45988</v>
      </c>
      <c r="AB13" s="66"/>
      <c r="AC13" s="132">
        <f>'[2]AHTS-1'!IC51+'[2]AHTS-2'!IC51+'[2]AHTS-3'!IC51+'[2]AHTS-4'!IC51+'[2]AHTS-5'!IC51+'[2]AHTS-6'!IC51+'[2]AHTS-7'!IC51+'[2]AHTS-8'!IC51+'[3]CB-1'!IC51+'[3]CB-2'!IC51+'[3]CB-3'!IC51+'[3]CB-4'!IC51+'[3]CB-5'!IC51+'[3]CB-6'!IC51+'[3]CB-7'!IC51+'[3]CB-8'!IC51+'[3]CB-9'!IC51+'[3]CB-10'!IC51+'[3]CB-11'!IC51+'[3]CB-12'!IC51+'[3]CB-13'!IC51+'[3]CB-14'!IC51+'[3]CB-15'!IC51+'[3]CB-16'!IC51+'[3]CB-17'!IC51+'[3]CB-18'!IC51+'[3]CB-19'!IC51+'[3]CB-20'!IC51+'[3]CB-21'!IC51+'[3]CB-22'!IC51+'[3]CB-23'!IC51+'[3]CB-24'!IC51+'[4]LCT-1'!IC51+'[4]LCT-2'!IC51+'[4]LCT-3'!IC51+'[4]LCT-4'!IC51+'[4]LCT-5'!IC51+'[4]LCT-6'!IC51+'[4]LCT-7'!IC51+'[4]LCT-8'!IC51+'[5]TB-1'!IC51+'[5]TB-2'!IC51+'[5]TB-3'!IC51+'[5]TB-4'!IC51+'[5]TB-5'!IC51+'[5]TB-6'!IC51+'[5]TB-7'!IC51+'[5]TB-8'!IC51+'[5]TB-9'!IC51+'[5]TB-10'!IC51+'[6]DSV-1'!IC51+'[6]DSV-2'!IC51+'[6]DSV-3'!IC51+'[7]TUB-1'!IC51+'[7]TUB-2'!IC51+'[8]Barge-1'!IC51+'[8]Barge-2'!IC51+'[8]Barge-3'!IC51+'[8]Barge-4'!IC51</f>
        <v>0</v>
      </c>
      <c r="AD13" s="133">
        <f>'[2]AHTS-1'!IC13+'[2]AHTS-2'!IC13+'[2]AHTS-3'!IC13+'[2]AHTS-4'!IC13+'[2]AHTS-5'!IC13+'[2]AHTS-6'!IC13+'[2]AHTS-7'!IC13+'[2]AHTS-8'!IC13+'[3]CB-1'!IC13+'[3]CB-2'!IC13+'[3]CB-3'!IC13+'[3]CB-4'!IC13+'[3]CB-5'!IC13+'[3]CB-6'!IC13+'[3]CB-7'!IC13+'[3]CB-8'!IC13+'[3]CB-9'!IC13+'[3]CB-10'!IC13+'[3]CB-11'!IC13+'[3]CB-12'!IC13+'[3]CB-13'!IC13+'[3]CB-14'!IC13+'[3]CB-15'!IC13+'[3]CB-16'!IC13+'[3]CB-17'!IC13+'[3]CB-18'!IC13+'[3]CB-19'!IC13+'[3]CB-20'!IC13+'[3]CB-21'!IC13+'[3]CB-22'!IC13+'[3]CB-23'!IC13+'[3]CB-24'!IC13+'[4]LCT-1'!IC13+'[4]LCT-2'!IC13+'[4]LCT-3'!IC13+'[4]LCT-4'!IC13+'[4]LCT-5'!IC13+'[4]LCT-6'!IC13+'[4]LCT-7'!IC13+'[4]LCT-8'!IC13+'[5]TB-1'!IC13+'[5]TB-2'!IC13+'[5]TB-3'!IC13+'[5]TB-4'!IC13+'[5]TB-5'!IC13+'[5]TB-6'!IC13+'[5]TB-7'!IC13+'[5]TB-8'!IC13+'[5]TB-9'!IC13+'[5]TB-10'!IC13+'[6]DSV-1'!IC13+'[6]DSV-2'!IC13+'[6]DSV-3'!IC13+'[7]TUB-1'!IC13+'[7]TUB-2'!IC13+'[8]Barge-1'!IC13+'[8]Barge-2'!IC13+'[8]Barge-3'!IC13+'[8]Barge-4'!IC13</f>
        <v>0</v>
      </c>
      <c r="AE13" s="134">
        <f>'[2]AHTS-1'!IC84+'[2]AHTS-2'!IC84+'[2]AHTS-3'!IC84+'[2]AHTS-4'!IC84+'[2]AHTS-5'!IC84+'[2]AHTS-6'!IC84+'[2]AHTS-7'!IC84+'[2]AHTS-8'!IC84+'[3]CB-1'!IC84+'[3]CB-2'!IC84+'[3]CB-3'!IC84+'[3]CB-4'!IC84+'[3]CB-5'!IC84+'[3]CB-6'!IC84+'[3]CB-7'!IC84+'[3]CB-8'!IC84+'[3]CB-9'!IC84+'[3]CB-10'!IC84+'[3]CB-11'!IC84+'[3]CB-12'!IC84+'[3]CB-13'!IC84+'[3]CB-14'!IC84+'[3]CB-15'!IC84+'[3]CB-16'!IC84+'[3]CB-17'!IC84+'[3]CB-18'!IC84+'[3]CB-19'!IC84+'[3]CB-20'!IC84+'[3]CB-21'!IC84+'[3]CB-22'!IC84+'[3]CB-23'!IC84+'[3]CB-24'!IC84+'[4]LCT-1'!IC84+'[4]LCT-2'!IC84+'[4]LCT-3'!IC84+'[4]LCT-4'!IC84+'[4]LCT-5'!IC84+'[4]LCT-6'!IC84+'[4]LCT-7'!IC84+'[4]LCT-8'!IC84+'[5]TB-1'!IC84+'[5]TB-2'!IC84+'[5]TB-3'!IC84+'[5]TB-4'!IC84+'[5]TB-5'!IC84+'[5]TB-6'!IC84+'[5]TB-7'!IC84+'[5]TB-8'!IC84+'[5]TB-9'!IC84+'[5]TB-10'!IC84+'[6]DSV-1'!IC84+'[6]DSV-2'!IC84+'[6]DSV-3'!IC84+'[7]TUB-1'!IC84+'[7]TUB-2'!IC84+'[8]Barge-1'!IC84+'[8]Barge-2'!IC84+'[8]Barge-3'!IC84+'[8]Barge-4'!IC84</f>
        <v>0</v>
      </c>
      <c r="AF13" s="135">
        <f>'[2]AHTS-1'!ID51+'[2]AHTS-2'!ID51+'[2]AHTS-3'!ID51+'[2]AHTS-4'!ID51+'[2]AHTS-5'!ID51+'[2]AHTS-6'!ID51+'[2]AHTS-7'!ID51+'[2]AHTS-8'!ID51+'[3]CB-1'!ID51+'[3]CB-2'!ID51+'[3]CB-3'!ID51+'[3]CB-4'!ID51+'[3]CB-5'!ID51+'[3]CB-6'!ID51+'[3]CB-7'!ID51+'[3]CB-8'!ID51+'[3]CB-9'!ID51+'[3]CB-10'!ID51+'[3]CB-11'!ID51+'[3]CB-12'!ID51+'[3]CB-13'!ID51+'[3]CB-14'!ID51+'[3]CB-15'!ID51+'[3]CB-16'!ID51+'[3]CB-17'!ID51+'[3]CB-18'!ID51+'[3]CB-19'!ID51+'[3]CB-20'!ID51+'[3]CB-21'!ID51+'[3]CB-22'!ID51+'[3]CB-23'!ID51+'[3]CB-24'!ID51+'[4]LCT-1'!ID51+'[4]LCT-2'!ID51+'[4]LCT-3'!ID51+'[4]LCT-4'!ID51+'[4]LCT-5'!ID51+'[4]LCT-6'!ID51+'[4]LCT-7'!ID51+'[4]LCT-8'!ID51+'[5]TB-1'!ID51+'[5]TB-2'!ID51+'[5]TB-3'!ID51+'[5]TB-4'!ID51+'[5]TB-5'!ID51+'[5]TB-6'!ID51+'[5]TB-7'!ID51+'[5]TB-8'!ID51+'[5]TB-9'!ID51+'[5]TB-10'!ID51+'[6]DSV-1'!ID51+'[6]DSV-2'!ID51+'[6]DSV-3'!ID51+'[7]TUB-1'!ID51+'[7]TUB-2'!ID51+'[8]Barge-1'!ID51+'[8]Barge-2'!ID51+'[8]Barge-3'!ID51+'[8]Barge-4'!ID51</f>
        <v>18132591.944444444</v>
      </c>
      <c r="AG13" s="136">
        <f>'[2]AHTS-1'!ID13+'[2]AHTS-2'!ID13+'[2]AHTS-3'!ID13+'[2]AHTS-4'!ID13+'[2]AHTS-5'!ID13+'[2]AHTS-6'!ID13+'[2]AHTS-7'!ID13+'[2]AHTS-8'!ID13+'[3]CB-1'!ID13+'[3]CB-2'!ID13+'[3]CB-3'!ID13+'[3]CB-4'!ID13+'[3]CB-5'!ID13+'[3]CB-6'!ID13+'[3]CB-7'!ID13+'[3]CB-8'!ID13+'[3]CB-9'!ID13+'[3]CB-10'!ID13+'[3]CB-11'!ID13+'[3]CB-12'!ID13+'[3]CB-13'!ID13+'[3]CB-14'!ID13+'[3]CB-15'!ID13+'[3]CB-16'!ID13+'[3]CB-17'!ID13+'[3]CB-18'!ID13+'[3]CB-19'!ID13+'[3]CB-20'!ID13+'[3]CB-21'!ID13+'[3]CB-22'!ID13+'[3]CB-23'!ID13+'[3]CB-24'!ID13+'[4]LCT-1'!ID13+'[4]LCT-2'!ID13+'[4]LCT-3'!ID13+'[4]LCT-4'!ID13+'[4]LCT-5'!ID13+'[4]LCT-6'!ID13+'[4]LCT-7'!ID13+'[4]LCT-8'!ID13+'[5]TB-1'!ID13+'[5]TB-2'!ID13+'[5]TB-3'!ID13+'[5]TB-4'!ID13+'[5]TB-5'!ID13+'[5]TB-6'!ID13+'[5]TB-7'!ID13+'[5]TB-8'!ID13+'[5]TB-9'!ID13+'[5]TB-10'!ID13+'[6]DSV-1'!ID13+'[6]DSV-2'!ID13+'[6]DSV-3'!ID13+'[7]TUB-1'!ID13+'[7]TUB-2'!ID13+'[8]Barge-1'!ID13+'[8]Barge-2'!ID13+'[8]Barge-3'!ID13+'[8]Barge-4'!ID13</f>
        <v>19752777.777777776</v>
      </c>
      <c r="AH13" s="136">
        <f>'[2]AHTS-1'!ID84+'[2]AHTS-2'!ID84+'[2]AHTS-3'!ID84+'[2]AHTS-4'!ID84+'[2]AHTS-5'!ID84+'[2]AHTS-6'!ID84+'[2]AHTS-7'!ID84+'[2]AHTS-8'!ID84+'[3]CB-1'!ID84+'[3]CB-2'!ID84+'[3]CB-3'!ID84+'[3]CB-4'!ID84+'[3]CB-5'!ID84+'[3]CB-6'!ID84+'[3]CB-7'!ID84+'[3]CB-8'!ID84+'[3]CB-9'!ID84+'[3]CB-10'!ID84+'[3]CB-11'!ID84+'[3]CB-12'!ID84+'[3]CB-13'!ID84+'[3]CB-14'!ID84+'[3]CB-15'!ID84+'[3]CB-16'!ID84+'[3]CB-17'!ID84+'[3]CB-18'!ID84+'[3]CB-19'!ID84+'[3]CB-20'!ID84+'[3]CB-21'!ID84+'[3]CB-22'!ID84+'[3]CB-23'!ID84+'[3]CB-24'!ID84+'[4]LCT-1'!ID84+'[4]LCT-2'!ID84+'[4]LCT-3'!ID84+'[4]LCT-4'!ID84+'[4]LCT-5'!ID84+'[4]LCT-6'!ID84+'[4]LCT-7'!ID84+'[4]LCT-8'!ID84+'[5]TB-1'!ID84+'[5]TB-2'!ID84+'[5]TB-3'!ID84+'[5]TB-4'!ID84+'[5]TB-5'!ID84+'[5]TB-6'!ID84+'[5]TB-7'!ID84+'[5]TB-8'!ID84+'[5]TB-9'!ID84+'[5]TB-10'!ID84+'[6]DSV-1'!ID84+'[6]DSV-2'!ID84+'[6]DSV-3'!ID84+'[7]TUB-1'!ID84+'[7]TUB-2'!ID84+'[8]Barge-1'!ID84+'[8]Barge-2'!ID84+'[8]Barge-3'!ID84+'[8]Barge-4'!ID84</f>
        <v>0</v>
      </c>
      <c r="AI13" s="135">
        <f>'[2]AHTS-1'!IE51+'[2]AHTS-2'!IE51+'[2]AHTS-3'!IE51+'[2]AHTS-4'!IE51+'[2]AHTS-5'!IE51+'[2]AHTS-6'!IE51+'[2]AHTS-7'!IE51+'[2]AHTS-8'!IE51+'[3]CB-1'!IE51+'[3]CB-2'!IE51+'[3]CB-3'!IE51+'[3]CB-4'!IE51+'[3]CB-5'!IE51+'[3]CB-6'!IE51+'[3]CB-7'!IE51+'[3]CB-8'!IE51+'[3]CB-9'!IE51+'[3]CB-10'!IE51+'[3]CB-11'!IE51+'[3]CB-12'!IE51+'[3]CB-13'!IE51+'[3]CB-14'!IE51+'[3]CB-15'!IE51+'[3]CB-16'!IE51+'[3]CB-17'!IE51+'[3]CB-18'!IE51+'[3]CB-19'!IE51+'[3]CB-20'!IE51+'[3]CB-21'!IE51+'[3]CB-22'!IE51+'[3]CB-23'!IE51+'[3]CB-24'!IE51+'[4]LCT-1'!IE51+'[4]LCT-2'!IE51+'[4]LCT-3'!IE51+'[4]LCT-4'!IE51+'[4]LCT-5'!IE51+'[4]LCT-6'!IE51+'[4]LCT-7'!IE51+'[4]LCT-8'!IE51+'[5]TB-1'!IE51+'[5]TB-2'!IE51+'[5]TB-3'!IE51+'[5]TB-4'!IE51+'[5]TB-5'!IE51+'[5]TB-6'!IE51+'[5]TB-7'!IE51+'[5]TB-8'!IE51+'[5]TB-9'!IE51+'[5]TB-10'!IE51+'[6]DSV-1'!IE51+'[6]DSV-2'!IE51+'[6]DSV-3'!IE51+'[7]TUB-1'!IE51+'[7]TUB-2'!IE51+'[8]Barge-1'!IE51+'[8]Barge-2'!IE51+'[8]Barge-3'!IE51+'[8]Barge-4'!IE51</f>
        <v>39333773.611111104</v>
      </c>
      <c r="AJ13" s="136">
        <f>'[2]AHTS-1'!IE13+'[2]AHTS-2'!IE13+'[2]AHTS-3'!IE13+'[2]AHTS-4'!IE13+'[2]AHTS-5'!IE13+'[2]AHTS-6'!IE13+'[2]AHTS-7'!IE13+'[2]AHTS-8'!IE13+'[3]CB-1'!IE13+'[3]CB-2'!IE13+'[3]CB-3'!IE13+'[3]CB-4'!IE13+'[3]CB-5'!IE13+'[3]CB-6'!IE13+'[3]CB-7'!IE13+'[3]CB-8'!IE13+'[3]CB-9'!IE13+'[3]CB-10'!IE13+'[3]CB-11'!IE13+'[3]CB-12'!IE13+'[3]CB-13'!IE13+'[3]CB-14'!IE13+'[3]CB-15'!IE13+'[3]CB-16'!IE13+'[3]CB-17'!IE13+'[3]CB-18'!IE13+'[3]CB-19'!IE13+'[3]CB-20'!IE13+'[3]CB-21'!IE13+'[3]CB-22'!IE13+'[3]CB-23'!IE13+'[3]CB-24'!IE13+'[4]LCT-1'!IE13+'[4]LCT-2'!IE13+'[4]LCT-3'!IE13+'[4]LCT-4'!IE13+'[4]LCT-5'!IE13+'[4]LCT-6'!IE13+'[4]LCT-7'!IE13+'[4]LCT-8'!IE13+'[5]TB-1'!IE13+'[5]TB-2'!IE13+'[5]TB-3'!IE13+'[5]TB-4'!IE13+'[5]TB-5'!IE13+'[5]TB-6'!IE13+'[5]TB-7'!IE13+'[5]TB-8'!IE13+'[5]TB-9'!IE13+'[5]TB-10'!IE13+'[6]DSV-1'!IE13+'[6]DSV-2'!IE13+'[6]DSV-3'!IE13+'[7]TUB-1'!IE13+'[7]TUB-2'!IE13+'[8]Barge-1'!IE13+'[8]Barge-2'!IE13+'[8]Barge-3'!IE13+'[8]Barge-4'!IE13</f>
        <v>32830555.555555556</v>
      </c>
      <c r="AK13" s="136">
        <f>'[2]AHTS-1'!IE84+'[2]AHTS-2'!IE84+'[2]AHTS-3'!IE84+'[2]AHTS-4'!IE84+'[2]AHTS-5'!IE84+'[2]AHTS-6'!IE84+'[2]AHTS-7'!IE84+'[2]AHTS-8'!IE84+'[3]CB-1'!IE84+'[3]CB-2'!IE84+'[3]CB-3'!IE84+'[3]CB-4'!IE84+'[3]CB-5'!IE84+'[3]CB-6'!IE84+'[3]CB-7'!IE84+'[3]CB-8'!IE84+'[3]CB-9'!IE84+'[3]CB-10'!IE84+'[3]CB-11'!IE84+'[3]CB-12'!IE84+'[3]CB-13'!IE84+'[3]CB-14'!IE84+'[3]CB-15'!IE84+'[3]CB-16'!IE84+'[3]CB-17'!IE84+'[3]CB-18'!IE84+'[3]CB-19'!IE84+'[3]CB-20'!IE84+'[3]CB-21'!IE84+'[3]CB-22'!IE84+'[3]CB-23'!IE84+'[3]CB-24'!IE84+'[4]LCT-1'!IE84+'[4]LCT-2'!IE84+'[4]LCT-3'!IE84+'[4]LCT-4'!IE84+'[4]LCT-5'!IE84+'[4]LCT-6'!IE84+'[4]LCT-7'!IE84+'[4]LCT-8'!IE84+'[5]TB-1'!IE84+'[5]TB-2'!IE84+'[5]TB-3'!IE84+'[5]TB-4'!IE84+'[5]TB-5'!IE84+'[5]TB-6'!IE84+'[5]TB-7'!IE84+'[5]TB-8'!IE84+'[5]TB-9'!IE84+'[5]TB-10'!IE84+'[6]DSV-1'!IE84+'[6]DSV-2'!IE84+'[6]DSV-3'!IE84+'[7]TUB-1'!IE84+'[7]TUB-2'!IE84+'[8]Barge-1'!IE84+'[8]Barge-2'!IE84+'[8]Barge-3'!IE84+'[8]Barge-4'!IE84</f>
        <v>0</v>
      </c>
      <c r="AL13" s="137">
        <f>'[2]AHTS-1'!IF51+'[2]AHTS-2'!IF51+'[2]AHTS-3'!IF51+'[2]AHTS-4'!IF51+'[2]AHTS-5'!IF51+'[2]AHTS-6'!IF51+'[2]AHTS-7'!IF51+'[2]AHTS-8'!IF51+'[3]CB-1'!IF51+'[3]CB-2'!IF51+'[3]CB-3'!IF51+'[3]CB-4'!IF51+'[3]CB-5'!IF51+'[3]CB-6'!IF51+'[3]CB-7'!IF51+'[3]CB-8'!IF51+'[3]CB-9'!IF51+'[3]CB-10'!IF51+'[3]CB-11'!IF51+'[3]CB-12'!IF51+'[3]CB-13'!IF51+'[3]CB-14'!IF51+'[3]CB-15'!IF51+'[3]CB-16'!IF51+'[3]CB-17'!IF51+'[3]CB-18'!IF51+'[3]CB-19'!IF51+'[3]CB-20'!IF51+'[3]CB-21'!IF51+'[3]CB-22'!IF51+'[3]CB-23'!IF51+'[3]CB-24'!IF51+'[4]LCT-1'!IF51+'[4]LCT-2'!IF51+'[4]LCT-3'!IF51+'[4]LCT-4'!IF51+'[4]LCT-5'!IF51+'[4]LCT-6'!IF51+'[4]LCT-7'!IF51+'[4]LCT-8'!IF51+'[5]TB-1'!IF51+'[5]TB-2'!IF51+'[5]TB-3'!IF51+'[5]TB-4'!IF51+'[5]TB-5'!IF51+'[5]TB-6'!IF51+'[5]TB-7'!IF51+'[5]TB-8'!IF51+'[5]TB-9'!IF51+'[5]TB-10'!IF51+'[6]DSV-1'!IF51+'[6]DSV-2'!IF51+'[6]DSV-3'!IF51+'[7]TUB-1'!IF51+'[7]TUB-2'!IF51+'[8]Barge-1'!IF51+'[8]Barge-2'!IF51+'[8]Barge-3'!IF51+'[8]Barge-4'!IF51</f>
        <v>44381815</v>
      </c>
      <c r="AM13" s="138">
        <f>'[2]AHTS-1'!IF13+'[2]AHTS-2'!IF13+'[2]AHTS-3'!IF13+'[2]AHTS-4'!IF13+'[2]AHTS-5'!IF13+'[2]AHTS-6'!IF13+'[2]AHTS-7'!IF13+'[2]AHTS-8'!IF13+'[3]CB-1'!IF13+'[3]CB-2'!IF13+'[3]CB-3'!IF13+'[3]CB-4'!IF13+'[3]CB-5'!IF13+'[3]CB-6'!IF13+'[3]CB-7'!IF13+'[3]CB-8'!IF13+'[3]CB-9'!IF13+'[3]CB-10'!IF13+'[3]CB-11'!IF13+'[3]CB-12'!IF13+'[3]CB-13'!IF13+'[3]CB-14'!IF13+'[3]CB-15'!IF13+'[3]CB-16'!IF13+'[3]CB-17'!IF13+'[3]CB-18'!IF13+'[3]CB-19'!IF13+'[3]CB-20'!IF13+'[3]CB-21'!IF13+'[3]CB-22'!IF13+'[3]CB-23'!IF13+'[3]CB-24'!IF13+'[4]LCT-1'!IF13+'[4]LCT-2'!IF13+'[4]LCT-3'!IF13+'[4]LCT-4'!IF13+'[4]LCT-5'!IF13+'[4]LCT-6'!IF13+'[4]LCT-7'!IF13+'[4]LCT-8'!IF13+'[5]TB-1'!IF13+'[5]TB-2'!IF13+'[5]TB-3'!IF13+'[5]TB-4'!IF13+'[5]TB-5'!IF13+'[5]TB-6'!IF13+'[5]TB-7'!IF13+'[5]TB-8'!IF13+'[5]TB-9'!IF13+'[5]TB-10'!IF13+'[6]DSV-1'!IF13+'[6]DSV-2'!IF13+'[6]DSV-3'!IF13+'[7]TUB-1'!IF13+'[7]TUB-2'!IF13+'[8]Barge-1'!IF13+'[8]Barge-2'!IF13+'[8]Barge-3'!IF13+'[8]Barge-4'!IF13</f>
        <v>31203749.999999996</v>
      </c>
      <c r="AN13" s="138">
        <f>'[2]AHTS-1'!IF84+'[2]AHTS-2'!IF84+'[2]AHTS-3'!IF84+'[2]AHTS-4'!IF84+'[2]AHTS-5'!IF84+'[2]AHTS-6'!IF84+'[2]AHTS-7'!IF84+'[2]AHTS-8'!IF84+'[3]CB-1'!IF84+'[3]CB-2'!IF84+'[3]CB-3'!IF84+'[3]CB-4'!IF84+'[3]CB-5'!IF84+'[3]CB-6'!IF84+'[3]CB-7'!IF84+'[3]CB-8'!IF84+'[3]CB-9'!IF84+'[3]CB-10'!IF84+'[3]CB-11'!IF84+'[3]CB-12'!IF84+'[3]CB-13'!IF84+'[3]CB-14'!IF84+'[3]CB-15'!IF84+'[3]CB-16'!IF84+'[3]CB-17'!IF84+'[3]CB-18'!IF84+'[3]CB-19'!IF84+'[3]CB-20'!IF84+'[3]CB-21'!IF84+'[3]CB-22'!IF84+'[3]CB-23'!IF84+'[3]CB-24'!IF84+'[4]LCT-1'!IF84+'[4]LCT-2'!IF84+'[4]LCT-3'!IF84+'[4]LCT-4'!IF84+'[4]LCT-5'!IF84+'[4]LCT-6'!IF84+'[4]LCT-7'!IF84+'[4]LCT-8'!IF84+'[5]TB-1'!IF84+'[5]TB-2'!IF84+'[5]TB-3'!IF84+'[5]TB-4'!IF84+'[5]TB-5'!IF84+'[5]TB-6'!IF84+'[5]TB-7'!IF84+'[5]TB-8'!IF84+'[5]TB-9'!IF84+'[5]TB-10'!IF84+'[6]DSV-1'!IF84+'[6]DSV-2'!IF84+'[6]DSV-3'!IF84+'[7]TUB-1'!IF84+'[7]TUB-2'!IF84+'[8]Barge-1'!IF84+'[8]Barge-2'!IF84+'[8]Barge-3'!IF84+'[8]Barge-4'!IF84</f>
        <v>0</v>
      </c>
      <c r="AO13" s="135">
        <f>'[2]AHTS-1'!IG51+'[2]AHTS-2'!IG51+'[2]AHTS-3'!IG51+'[2]AHTS-4'!IG51+'[2]AHTS-5'!IG51+'[2]AHTS-6'!IG51+'[2]AHTS-7'!IG51+'[2]AHTS-8'!IG51+'[3]CB-1'!IG51+'[3]CB-2'!IG51+'[3]CB-3'!IG51+'[3]CB-4'!IG51+'[3]CB-5'!IG51+'[3]CB-6'!IG51+'[3]CB-7'!IG51+'[3]CB-8'!IG51+'[3]CB-9'!IG51+'[3]CB-10'!IG51+'[3]CB-11'!IG51+'[3]CB-12'!IG51+'[3]CB-13'!IG51+'[3]CB-14'!IG51+'[3]CB-15'!IG51+'[3]CB-16'!IG51+'[3]CB-17'!IG51+'[3]CB-18'!IG51+'[3]CB-19'!IG51+'[3]CB-20'!IG51+'[3]CB-21'!IG51+'[3]CB-22'!IG51+'[3]CB-23'!IG51+'[3]CB-24'!IG51+'[4]LCT-1'!IG51+'[4]LCT-2'!IG51+'[4]LCT-3'!IG51+'[4]LCT-4'!IG51+'[4]LCT-5'!IG51+'[4]LCT-6'!IG51+'[4]LCT-7'!IG51+'[4]LCT-8'!IG51+'[5]TB-1'!IG51+'[5]TB-2'!IG51+'[5]TB-3'!IG51+'[5]TB-4'!IG51+'[5]TB-5'!IG51+'[5]TB-6'!IG51+'[5]TB-7'!IG51+'[5]TB-8'!IG51+'[5]TB-9'!IG51+'[5]TB-10'!IG51+'[6]DSV-1'!IG51+'[6]DSV-2'!IG51+'[6]DSV-3'!IG51+'[7]TUB-1'!IG51+'[7]TUB-2'!IG51+'[8]Barge-1'!IG51+'[8]Barge-2'!IG51+'[8]Barge-3'!IG51+'[8]Barge-4'!IG51</f>
        <v>183033.33333333334</v>
      </c>
      <c r="AP13" s="136">
        <f>'[2]AHTS-1'!IG13+'[2]AHTS-2'!IG13+'[2]AHTS-3'!IG13+'[2]AHTS-4'!IG13+'[2]AHTS-5'!IG13+'[2]AHTS-6'!IG13+'[2]AHTS-7'!IG13+'[2]AHTS-8'!IG13+'[3]CB-1'!IG13+'[3]CB-2'!IG13+'[3]CB-3'!IG13+'[3]CB-4'!IG13+'[3]CB-5'!IG13+'[3]CB-6'!IG13+'[3]CB-7'!IG13+'[3]CB-8'!IG13+'[3]CB-9'!IG13+'[3]CB-10'!IG13+'[3]CB-11'!IG13+'[3]CB-12'!IG13+'[3]CB-13'!IG13+'[3]CB-14'!IG13+'[3]CB-15'!IG13+'[3]CB-16'!IG13+'[3]CB-17'!IG13+'[3]CB-18'!IG13+'[3]CB-19'!IG13+'[3]CB-20'!IG13+'[3]CB-21'!IG13+'[3]CB-22'!IG13+'[3]CB-23'!IG13+'[3]CB-24'!IG13+'[4]LCT-1'!IG13+'[4]LCT-2'!IG13+'[4]LCT-3'!IG13+'[4]LCT-4'!IG13+'[4]LCT-5'!IG13+'[4]LCT-6'!IG13+'[4]LCT-7'!IG13+'[4]LCT-8'!IG13+'[5]TB-1'!IG13+'[5]TB-2'!IG13+'[5]TB-3'!IG13+'[5]TB-4'!IG13+'[5]TB-5'!IG13+'[5]TB-6'!IG13+'[5]TB-7'!IG13+'[5]TB-8'!IG13+'[5]TB-9'!IG13+'[5]TB-10'!IG13+'[6]DSV-1'!IG13+'[6]DSV-2'!IG13+'[6]DSV-3'!IG13+'[7]TUB-1'!IG13+'[7]TUB-2'!IG13+'[8]Barge-1'!IG13+'[8]Barge-2'!IG13+'[8]Barge-3'!IG13+'[8]Barge-4'!IG13</f>
        <v>1083333.3333333333</v>
      </c>
      <c r="AQ13" s="136">
        <f>'[2]AHTS-1'!IG84+'[2]AHTS-2'!IG84+'[2]AHTS-3'!IG84+'[2]AHTS-4'!IG84+'[2]AHTS-5'!IG84+'[2]AHTS-6'!IG84+'[2]AHTS-7'!IG84+'[2]AHTS-8'!IG84+'[3]CB-1'!IG84+'[3]CB-2'!IG84+'[3]CB-3'!IG84+'[3]CB-4'!IG84+'[3]CB-5'!IG84+'[3]CB-6'!IG84+'[3]CB-7'!IG84+'[3]CB-8'!IG84+'[3]CB-9'!IG84+'[3]CB-10'!IG84+'[3]CB-11'!IG84+'[3]CB-12'!IG84+'[3]CB-13'!IG84+'[3]CB-14'!IG84+'[3]CB-15'!IG84+'[3]CB-16'!IG84+'[3]CB-17'!IG84+'[3]CB-18'!IG84+'[3]CB-19'!IG84+'[3]CB-20'!IG84+'[3]CB-21'!IG84+'[3]CB-22'!IG84+'[3]CB-23'!IG84+'[3]CB-24'!IG84+'[4]LCT-1'!IG84+'[4]LCT-2'!IG84+'[4]LCT-3'!IG84+'[4]LCT-4'!IG84+'[4]LCT-5'!IG84+'[4]LCT-6'!IG84+'[4]LCT-7'!IG84+'[4]LCT-8'!IG84+'[5]TB-1'!IG84+'[5]TB-2'!IG84+'[5]TB-3'!IG84+'[5]TB-4'!IG84+'[5]TB-5'!IG84+'[5]TB-6'!IG84+'[5]TB-7'!IG84+'[5]TB-8'!IG84+'[5]TB-9'!IG84+'[5]TB-10'!IG84+'[6]DSV-1'!IG84+'[6]DSV-2'!IG84+'[6]DSV-3'!IG84+'[7]TUB-1'!IG84+'[7]TUB-2'!IG84+'[8]Barge-1'!IG84+'[8]Barge-2'!IG84+'[8]Barge-3'!IG84+'[8]Barge-4'!IG84</f>
        <v>0</v>
      </c>
      <c r="AR13" s="139">
        <f>'[2]AHTS-1'!IH51+'[2]AHTS-2'!IH51+'[2]AHTS-3'!IH51+'[2]AHTS-4'!IH51+'[2]AHTS-5'!IH51+'[2]AHTS-6'!IH51+'[2]AHTS-7'!IH51+'[2]AHTS-8'!IH51+'[3]CB-1'!IH51+'[3]CB-2'!IH51+'[3]CB-3'!IH51+'[3]CB-4'!IH51+'[3]CB-5'!IH51+'[3]CB-6'!IH51+'[3]CB-7'!IH51+'[3]CB-8'!IH51+'[3]CB-9'!IH51+'[3]CB-10'!IH51+'[3]CB-11'!IH51+'[3]CB-12'!IH51+'[3]CB-13'!IH51+'[3]CB-14'!IH51+'[3]CB-15'!IH51+'[3]CB-16'!IH51+'[3]CB-17'!IH51+'[3]CB-18'!IH51+'[3]CB-19'!IH51+'[3]CB-20'!IH51+'[3]CB-21'!IH51+'[3]CB-22'!IH51+'[3]CB-23'!IH51+'[3]CB-24'!IH51+'[4]LCT-1'!IH51+'[4]LCT-2'!IH51+'[4]LCT-3'!IH51+'[4]LCT-4'!IH51+'[4]LCT-5'!IH51+'[4]LCT-6'!IH51+'[4]LCT-7'!IH51+'[4]LCT-8'!IH51+'[5]TB-1'!IH51+'[5]TB-2'!IH51+'[5]TB-3'!IH51+'[5]TB-4'!IH51+'[5]TB-5'!IH51+'[5]TB-6'!IH51+'[5]TB-7'!IH51+'[5]TB-8'!IH51+'[5]TB-9'!IH51+'[5]TB-10'!IH51+'[6]DSV-1'!IH51+'[6]DSV-2'!IH51+'[6]DSV-3'!IH51+'[7]TUB-1'!IH51+'[7]TUB-2'!IH51+'[8]Barge-1'!IH51+'[8]Barge-2'!IH51+'[8]Barge-3'!IH51+'[8]Barge-4'!IH51</f>
        <v>69584966.666666657</v>
      </c>
      <c r="AS13" s="136">
        <f>'[2]AHTS-1'!IH13+'[2]AHTS-2'!IH13+'[2]AHTS-3'!IH13+'[2]AHTS-4'!IH13+'[2]AHTS-5'!IH13+'[2]AHTS-6'!IH13+'[2]AHTS-7'!IH13+'[2]AHTS-8'!IH13+'[3]CB-1'!IH13+'[3]CB-2'!IH13+'[3]CB-3'!IH13+'[3]CB-4'!IH13+'[3]CB-5'!IH13+'[3]CB-6'!IH13+'[3]CB-7'!IH13+'[3]CB-8'!IH13+'[3]CB-9'!IH13+'[3]CB-10'!IH13+'[3]CB-11'!IH13+'[3]CB-12'!IH13+'[3]CB-13'!IH13+'[3]CB-14'!IH13+'[3]CB-15'!IH13+'[3]CB-16'!IH13+'[3]CB-17'!IH13+'[3]CB-18'!IH13+'[3]CB-19'!IH13+'[3]CB-20'!IH13+'[3]CB-21'!IH13+'[3]CB-22'!IH13+'[3]CB-23'!IH13+'[3]CB-24'!IH13+'[4]LCT-1'!IH13+'[4]LCT-2'!IH13+'[4]LCT-3'!IH13+'[4]LCT-4'!IH13+'[4]LCT-5'!IH13+'[4]LCT-6'!IH13+'[4]LCT-7'!IH13+'[4]LCT-8'!IH13+'[5]TB-1'!IH13+'[5]TB-2'!IH13+'[5]TB-3'!IH13+'[5]TB-4'!IH13+'[5]TB-5'!IH13+'[5]TB-6'!IH13+'[5]TB-7'!IH13+'[5]TB-8'!IH13+'[5]TB-9'!IH13+'[5]TB-10'!IH13+'[6]DSV-1'!IH13+'[6]DSV-2'!IH13+'[6]DSV-3'!IH13+'[7]TUB-1'!IH13+'[7]TUB-2'!IH13+'[8]Barge-1'!IH13+'[8]Barge-2'!IH13+'[8]Barge-3'!IH13+'[8]Barge-4'!IH13</f>
        <v>76650000</v>
      </c>
      <c r="AT13" s="140">
        <f>'[2]AHTS-1'!IH84+'[2]AHTS-2'!IH84+'[2]AHTS-3'!IH84+'[2]AHTS-4'!IH84+'[2]AHTS-5'!IH84+'[2]AHTS-6'!IH84+'[2]AHTS-7'!IH84+'[2]AHTS-8'!IH84+'[3]CB-1'!IH84+'[3]CB-2'!IH84+'[3]CB-3'!IH84+'[3]CB-4'!IH84+'[3]CB-5'!IH84+'[3]CB-6'!IH84+'[3]CB-7'!IH84+'[3]CB-8'!IH84+'[3]CB-9'!IH84+'[3]CB-10'!IH84+'[3]CB-11'!IH84+'[3]CB-12'!IH84+'[3]CB-13'!IH84+'[3]CB-14'!IH84+'[3]CB-15'!IH84+'[3]CB-16'!IH84+'[3]CB-17'!IH84+'[3]CB-18'!IH84+'[3]CB-19'!IH84+'[3]CB-20'!IH84+'[3]CB-21'!IH84+'[3]CB-22'!IH84+'[3]CB-23'!IH84+'[3]CB-24'!IH84+'[4]LCT-1'!IH84+'[4]LCT-2'!IH84+'[4]LCT-3'!IH84+'[4]LCT-4'!IH84+'[4]LCT-5'!IH84+'[4]LCT-6'!IH84+'[4]LCT-7'!IH84+'[4]LCT-8'!IH84+'[5]TB-1'!IH84+'[5]TB-2'!IH84+'[5]TB-3'!IH84+'[5]TB-4'!IH84+'[5]TB-5'!IH84+'[5]TB-6'!IH84+'[5]TB-7'!IH84+'[5]TB-8'!IH84+'[5]TB-9'!IH84+'[5]TB-10'!IH84+'[6]DSV-1'!IH84+'[6]DSV-2'!IH84+'[6]DSV-3'!IH84+'[7]TUB-1'!IH84+'[7]TUB-2'!IH84+'[8]Barge-1'!IH84+'[8]Barge-2'!IH84+'[8]Barge-3'!IH84+'[8]Barge-4'!IH84</f>
        <v>0</v>
      </c>
      <c r="AU13" s="139">
        <f>'[2]AHTS-1'!II51+'[2]AHTS-2'!II51+'[2]AHTS-3'!II51+'[2]AHTS-4'!II51+'[2]AHTS-5'!II51+'[2]AHTS-6'!II51+'[2]AHTS-7'!II51+'[2]AHTS-8'!II51+'[3]CB-1'!II51+'[3]CB-2'!II51+'[3]CB-3'!II51+'[3]CB-4'!II51+'[3]CB-5'!II51+'[3]CB-6'!II51+'[3]CB-7'!II51+'[3]CB-8'!II51+'[3]CB-9'!II51+'[3]CB-10'!II51+'[3]CB-11'!II51+'[3]CB-12'!II51+'[3]CB-13'!II51+'[3]CB-14'!II51+'[3]CB-15'!II51+'[3]CB-16'!II51+'[3]CB-17'!II51+'[3]CB-18'!II51+'[3]CB-19'!II51+'[3]CB-20'!II51+'[3]CB-21'!II51+'[3]CB-22'!II51+'[3]CB-23'!II51+'[3]CB-24'!II51+'[4]LCT-1'!II51+'[4]LCT-2'!II51+'[4]LCT-3'!II51+'[4]LCT-4'!II51+'[4]LCT-5'!II51+'[4]LCT-6'!II51+'[4]LCT-7'!II51+'[4]LCT-8'!II51+'[5]TB-1'!II51+'[5]TB-2'!II51+'[5]TB-3'!II51+'[5]TB-4'!II51+'[5]TB-5'!II51+'[5]TB-6'!II51+'[5]TB-7'!II51+'[5]TB-8'!II51+'[5]TB-9'!II51+'[5]TB-10'!II51+'[6]DSV-1'!II51+'[6]DSV-2'!II51+'[6]DSV-3'!II51+'[7]TUB-1'!II51+'[7]TUB-2'!II51+'[8]Barge-1'!II51+'[8]Barge-2'!II51+'[8]Barge-3'!II51+'[8]Barge-4'!II51</f>
        <v>0</v>
      </c>
      <c r="AV13" s="136">
        <f>'[2]AHTS-1'!II13+'[2]AHTS-2'!II13+'[2]AHTS-3'!II13+'[2]AHTS-4'!II13+'[2]AHTS-5'!II13+'[2]AHTS-6'!II13+'[2]AHTS-7'!II13+'[2]AHTS-8'!II13+'[3]CB-1'!II13+'[3]CB-2'!II13+'[3]CB-3'!II13+'[3]CB-4'!II13+'[3]CB-5'!II13+'[3]CB-6'!II13+'[3]CB-7'!II13+'[3]CB-8'!II13+'[3]CB-9'!II13+'[3]CB-10'!II13+'[3]CB-11'!II13+'[3]CB-12'!II13+'[3]CB-13'!II13+'[3]CB-14'!II13+'[3]CB-15'!II13+'[3]CB-16'!II13+'[3]CB-17'!II13+'[3]CB-18'!II13+'[3]CB-19'!II13+'[3]CB-20'!II13+'[3]CB-21'!II13+'[3]CB-22'!II13+'[3]CB-23'!II13+'[3]CB-24'!II13+'[4]LCT-1'!II13+'[4]LCT-2'!II13+'[4]LCT-3'!II13+'[4]LCT-4'!II13+'[4]LCT-5'!II13+'[4]LCT-6'!II13+'[4]LCT-7'!II13+'[4]LCT-8'!II13+'[5]TB-1'!II13+'[5]TB-2'!II13+'[5]TB-3'!II13+'[5]TB-4'!II13+'[5]TB-5'!II13+'[5]TB-6'!II13+'[5]TB-7'!II13+'[5]TB-8'!II13+'[5]TB-9'!II13+'[5]TB-10'!II13+'[6]DSV-1'!II13+'[6]DSV-2'!II13+'[6]DSV-3'!II13+'[7]TUB-1'!II13+'[7]TUB-2'!II13+'[8]Barge-1'!II13+'[8]Barge-2'!II13+'[8]Barge-3'!II13+'[8]Barge-4'!II13</f>
        <v>0</v>
      </c>
      <c r="AW13" s="140">
        <f>'[2]AHTS-1'!II84+'[2]AHTS-2'!II84+'[2]AHTS-3'!II84+'[2]AHTS-4'!II84+'[2]AHTS-5'!II84+'[2]AHTS-6'!II84+'[2]AHTS-7'!II84+'[2]AHTS-8'!II84+'[3]CB-1'!II84+'[3]CB-2'!II84+'[3]CB-3'!II84+'[3]CB-4'!II84+'[3]CB-5'!II84+'[3]CB-6'!II84+'[3]CB-7'!II84+'[3]CB-8'!II84+'[3]CB-9'!II84+'[3]CB-10'!II84+'[3]CB-11'!II84+'[3]CB-12'!II84+'[3]CB-13'!II84+'[3]CB-14'!II84+'[3]CB-15'!II84+'[3]CB-16'!II84+'[3]CB-17'!II84+'[3]CB-18'!II84+'[3]CB-19'!II84+'[3]CB-20'!II84+'[3]CB-21'!II84+'[3]CB-22'!II84+'[3]CB-23'!II84+'[3]CB-24'!II84+'[4]LCT-1'!II84+'[4]LCT-2'!II84+'[4]LCT-3'!II84+'[4]LCT-4'!II84+'[4]LCT-5'!II84+'[4]LCT-6'!II84+'[4]LCT-7'!II84+'[4]LCT-8'!II84+'[5]TB-1'!II84+'[5]TB-2'!II84+'[5]TB-3'!II84+'[5]TB-4'!II84+'[5]TB-5'!II84+'[5]TB-6'!II84+'[5]TB-7'!II84+'[5]TB-8'!II84+'[5]TB-9'!II84+'[5]TB-10'!II84+'[6]DSV-1'!II84+'[6]DSV-2'!II84+'[6]DSV-3'!II84+'[7]TUB-1'!II84+'[7]TUB-2'!II84+'[8]Barge-1'!II84+'[8]Barge-2'!II84+'[8]Barge-3'!II84+'[8]Barge-4'!II84</f>
        <v>0</v>
      </c>
      <c r="AX13" s="67"/>
      <c r="AY13" s="67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</row>
    <row r="14" spans="1:97" s="69" customFormat="1" ht="14.25" customHeight="1" x14ac:dyDescent="0.25">
      <c r="A14" s="111">
        <f>[1]Control!AZ14</f>
        <v>45989</v>
      </c>
      <c r="B14" s="66"/>
      <c r="C14" s="176">
        <f>'[2]AHTS-1'!AV14+'[2]AHTS-2'!AV14+'[2]AHTS-3'!AV14+'[2]AHTS-4'!AV14+'[2]AHTS-5'!AV14+'[2]AHTS-6'!AV14+'[2]AHTS-7'!AV14+'[2]AHTS-8'!AV14+'[3]CB-1'!AV14+'[3]CB-2'!AV14+'[3]CB-3'!AV14+'[3]CB-4'!AV14+'[3]CB-5'!AV14+'[3]CB-6'!AV14+'[3]CB-7'!AV14+'[3]CB-8'!AV14+'[3]CB-9'!AV14+'[3]CB-10'!AV14+'[3]CB-11'!AV14+'[3]CB-12'!AV14+'[3]CB-13'!AV14+'[3]CB-14'!AV14+'[3]CB-15'!AV14+'[3]CB-16'!AV14+'[3]CB-17'!AV14+'[3]CB-18'!AV14+'[3]CB-19'!AV14+'[3]CB-20'!AV14+'[3]CB-21'!AV14+'[3]CB-22'!AV14+'[3]CB-23'!AV14+'[3]CB-24'!AV14+'[4]LCT-1'!AV14+'[4]LCT-2'!AV14+'[4]LCT-3'!AV14+'[4]LCT-4'!AV14+'[4]LCT-5'!AV14+'[4]LCT-6'!AV14+'[4]LCT-7'!AV14+'[4]LCT-8'!AV14+'[5]TB-1'!AV14+'[5]TB-2'!AV14+'[5]TB-3'!AV14+'[5]TB-4'!AV14+'[5]TB-5'!AV14+'[5]TB-6'!AV14+'[5]TB-7'!AV14+'[5]TB-8'!AV14+'[5]TB-9'!AV14+'[5]TB-10'!AV14+'[6]DSV-1'!AV14+'[6]DSV-2'!AV14+'[6]DSV-3'!AV14+'[7]TUB-1'!AV14+'[7]TUB-2'!AV14+'[8]Barge-1'!AV14+'[8]Barge-2'!AV14+'[8]Barge-3'!AV14+'[8]Barge-4'!AV14</f>
        <v>0</v>
      </c>
      <c r="D14" s="177">
        <f>'[2]AHTS-1'!BR14+'[2]AHTS-2'!BR14+'[2]AHTS-3'!BR14+'[2]AHTS-4'!BR14+'[2]AHTS-5'!BR14+'[2]AHTS-6'!BR14+'[2]AHTS-7'!BR14+'[2]AHTS-8'!BR14+'[3]CB-1'!BR14+'[3]CB-2'!BR14+'[3]CB-3'!BR14+'[3]CB-4'!BR14+'[3]CB-5'!BR14+'[3]CB-6'!BR14+'[3]CB-7'!BR14+'[3]CB-8'!BR14+'[3]CB-9'!BR14+'[3]CB-10'!BR14+'[3]CB-11'!BR14+'[3]CB-12'!BR14+'[3]CB-13'!BR14+'[3]CB-14'!BR14+'[3]CB-15'!BR14+'[3]CB-16'!BR14+'[3]CB-17'!BR14+'[3]CB-18'!BR14+'[3]CB-19'!BR14+'[3]CB-20'!BR14+'[3]CB-21'!BR14+'[3]CB-22'!BR14+'[3]CB-23'!BR14+'[3]CB-24'!BR14+'[4]LCT-1'!BR14+'[4]LCT-2'!BR14+'[4]LCT-3'!BR14+'[4]LCT-4'!BR14+'[4]LCT-5'!BR14+'[4]LCT-6'!BR14+'[4]LCT-7'!BR14+'[4]LCT-8'!BR14+'[5]TB-1'!BR14+'[5]TB-2'!BR14+'[5]TB-3'!BR14+'[5]TB-4'!BR14+'[5]TB-5'!BR14+'[5]TB-6'!BR14+'[5]TB-7'!BR14+'[5]TB-8'!BR14+'[5]TB-9'!BR14+'[5]TB-10'!BR14+'[6]DSV-1'!BR14+'[6]DSV-2'!BR14+'[6]DSV-3'!BR14+'[7]TUB-1'!BR14+'[7]TUB-2'!BR14+'[8]Barge-1'!BR14+'[8]Barge-2'!BR14+'[8]Barge-3'!BR14+'[8]Barge-4'!BR14</f>
        <v>0</v>
      </c>
      <c r="E14" s="178">
        <f>'[2]AHTS-1'!CN14+'[2]AHTS-2'!CN14+'[2]AHTS-3'!CN14+'[2]AHTS-4'!CN14+'[2]AHTS-5'!CN14+'[2]AHTS-6'!CN14+'[2]AHTS-7'!CN14+'[2]AHTS-8'!CN14+'[3]CB-1'!CN14+'[3]CB-2'!CN14+'[3]CB-3'!CN14+'[3]CB-4'!CN14+'[3]CB-5'!CN14+'[3]CB-6'!CN14+'[3]CB-7'!CN14+'[3]CB-8'!CN14+'[3]CB-9'!CN14+'[3]CB-10'!CN14+'[3]CB-11'!CN14+'[3]CB-12'!CN14+'[3]CB-13'!CN14+'[3]CB-14'!CN14+'[3]CB-15'!CN14+'[3]CB-16'!CN14+'[3]CB-17'!CN14+'[3]CB-18'!CN14+'[3]CB-19'!CN14+'[3]CB-20'!CN14+'[3]CB-21'!CN14+'[3]CB-22'!CN14+'[3]CB-23'!CN14+'[3]CB-24'!CN14+'[4]LCT-1'!CN14+'[4]LCT-2'!CN14+'[4]LCT-3'!CN14+'[4]LCT-4'!CN14+'[4]LCT-5'!CN14+'[4]LCT-6'!CN14+'[4]LCT-7'!CN14+'[4]LCT-8'!CN14+'[5]TB-1'!CN14+'[5]TB-2'!CN14+'[5]TB-3'!CN14+'[5]TB-4'!CN14+'[5]TB-5'!CN14+'[5]TB-6'!CN14+'[5]TB-7'!CN14+'[5]TB-8'!CN14+'[5]TB-9'!CN14+'[5]TB-10'!CN14+'[6]DSV-1'!CN14+'[6]DSV-2'!CN14+'[6]DSV-3'!CN14+'[7]TUB-1'!CN14+'[7]TUB-2'!CN14+'[8]Barge-1'!CN14+'[8]Barge-2'!CN14+'[8]Barge-3'!CN14+'[8]Barge-4'!CN14</f>
        <v>0</v>
      </c>
      <c r="F14" s="179">
        <f>'[2]AHTS-1'!AW14+'[2]AHTS-2'!AW14+'[2]AHTS-3'!AW14+'[2]AHTS-4'!AW14+'[2]AHTS-5'!AW14+'[2]AHTS-6'!AW14+'[2]AHTS-7'!AW14+'[2]AHTS-8'!AW14+'[3]CB-1'!AW14+'[3]CB-2'!AW14+'[3]CB-3'!AW14+'[3]CB-4'!AW14+'[3]CB-5'!AW14+'[3]CB-6'!AW14+'[3]CB-7'!AW14+'[3]CB-8'!AW14+'[3]CB-9'!AW14+'[3]CB-10'!AW14+'[3]CB-11'!AW14+'[3]CB-12'!AW14+'[3]CB-13'!AW14+'[3]CB-14'!AW14+'[3]CB-15'!AW14+'[3]CB-16'!AW14+'[3]CB-17'!AW14+'[3]CB-18'!AW14+'[3]CB-19'!AW14+'[3]CB-20'!AW14+'[3]CB-21'!AW14+'[3]CB-22'!AW14+'[3]CB-23'!AW14+'[3]CB-24'!AW14+'[4]LCT-1'!AW14+'[4]LCT-2'!AW14+'[4]LCT-3'!AW14+'[4]LCT-4'!AW14+'[4]LCT-5'!AW14+'[4]LCT-6'!AW14+'[4]LCT-7'!AW14+'[4]LCT-8'!AW14+'[5]TB-1'!AW14+'[5]TB-2'!AW14+'[5]TB-3'!AW14+'[5]TB-4'!AW14+'[5]TB-5'!AW14+'[5]TB-6'!AW14+'[5]TB-7'!AW14+'[5]TB-8'!AW14+'[5]TB-9'!AW14+'[5]TB-10'!AW14+'[6]DSV-1'!AW14+'[6]DSV-2'!AW14+'[6]DSV-3'!AW14+'[7]TUB-1'!AW14+'[7]TUB-2'!AW14+'[8]Barge-1'!AW14+'[8]Barge-2'!AW14+'[8]Barge-3'!AW14+'[8]Barge-4'!AW14</f>
        <v>682.92763367029056</v>
      </c>
      <c r="G14" s="180">
        <f>'[2]AHTS-1'!BS14+'[2]AHTS-2'!BS14+'[2]AHTS-3'!BS14+'[2]AHTS-4'!BS14+'[2]AHTS-5'!BS14+'[2]AHTS-6'!BS14+'[2]AHTS-7'!BS14+'[2]AHTS-8'!BS14+'[3]CB-1'!BS14+'[3]CB-2'!BS14+'[3]CB-3'!BS14+'[3]CB-4'!BS14+'[3]CB-5'!BS14+'[3]CB-6'!BS14+'[3]CB-7'!BS14+'[3]CB-8'!BS14+'[3]CB-9'!BS14+'[3]CB-10'!BS14+'[3]CB-11'!BS14+'[3]CB-12'!BS14+'[3]CB-13'!BS14+'[3]CB-14'!BS14+'[3]CB-15'!BS14+'[3]CB-16'!BS14+'[3]CB-17'!BS14+'[3]CB-18'!BS14+'[3]CB-19'!BS14+'[3]CB-20'!BS14+'[3]CB-21'!BS14+'[3]CB-22'!BS14+'[3]CB-23'!BS14+'[3]CB-24'!BS14+'[4]LCT-1'!BS14+'[4]LCT-2'!BS14+'[4]LCT-3'!BS14+'[4]LCT-4'!BS14+'[4]LCT-5'!BS14+'[4]LCT-6'!BS14+'[4]LCT-7'!BS14+'[4]LCT-8'!BS14+'[5]TB-1'!BS14+'[5]TB-2'!BS14+'[5]TB-3'!BS14+'[5]TB-4'!BS14+'[5]TB-5'!BS14+'[5]TB-6'!BS14+'[5]TB-7'!BS14+'[5]TB-8'!BS14+'[5]TB-9'!BS14+'[5]TB-10'!BS14+'[6]DSV-1'!BS14+'[6]DSV-2'!BS14+'[6]DSV-3'!BS14+'[7]TUB-1'!BS14+'[7]TUB-2'!BS14+'[8]Barge-1'!BS14+'[8]Barge-2'!BS14+'[8]Barge-3'!BS14+'[8]Barge-4'!BS14</f>
        <v>907.95664060016531</v>
      </c>
      <c r="H14" s="180">
        <f>'[2]AHTS-1'!CO14+'[2]AHTS-2'!CO14+'[2]AHTS-3'!CO14+'[2]AHTS-4'!CO14+'[2]AHTS-5'!CO14+'[2]AHTS-6'!CO14+'[2]AHTS-7'!CO14+'[2]AHTS-8'!CO14+'[3]CB-1'!CO14+'[3]CB-2'!CO14+'[3]CB-3'!CO14+'[3]CB-4'!CO14+'[3]CB-5'!CO14+'[3]CB-6'!CO14+'[3]CB-7'!CO14+'[3]CB-8'!CO14+'[3]CB-9'!CO14+'[3]CB-10'!CO14+'[3]CB-11'!CO14+'[3]CB-12'!CO14+'[3]CB-13'!CO14+'[3]CB-14'!CO14+'[3]CB-15'!CO14+'[3]CB-16'!CO14+'[3]CB-17'!CO14+'[3]CB-18'!CO14+'[3]CB-19'!CO14+'[3]CB-20'!CO14+'[3]CB-21'!CO14+'[3]CB-22'!CO14+'[3]CB-23'!CO14+'[3]CB-24'!CO14+'[4]LCT-1'!CO14+'[4]LCT-2'!CO14+'[4]LCT-3'!CO14+'[4]LCT-4'!CO14+'[4]LCT-5'!CO14+'[4]LCT-6'!CO14+'[4]LCT-7'!CO14+'[4]LCT-8'!CO14+'[5]TB-1'!CO14+'[5]TB-2'!CO14+'[5]TB-3'!CO14+'[5]TB-4'!CO14+'[5]TB-5'!CO14+'[5]TB-6'!CO14+'[5]TB-7'!CO14+'[5]TB-8'!CO14+'[5]TB-9'!CO14+'[5]TB-10'!CO14+'[6]DSV-1'!CO14+'[6]DSV-2'!CO14+'[6]DSV-3'!CO14+'[7]TUB-1'!CO14+'[7]TUB-2'!CO14+'[8]Barge-1'!CO14+'[8]Barge-2'!CO14+'[8]Barge-3'!CO14+'[8]Barge-4'!CO14</f>
        <v>0</v>
      </c>
      <c r="I14" s="179">
        <f>'[2]AHTS-1'!AX14+'[2]AHTS-2'!AX14+'[2]AHTS-3'!AX14+'[2]AHTS-4'!AX14+'[2]AHTS-5'!AX14+'[2]AHTS-6'!AX14+'[2]AHTS-7'!AX14+'[2]AHTS-8'!AX14+'[3]CB-1'!AX14+'[3]CB-2'!AX14+'[3]CB-3'!AX14+'[3]CB-4'!AX14+'[3]CB-5'!AX14+'[3]CB-6'!AX14+'[3]CB-7'!AX14+'[3]CB-8'!AX14+'[3]CB-9'!AX14+'[3]CB-10'!AX14+'[3]CB-11'!AX14+'[3]CB-12'!AX14+'[3]CB-13'!AX14+'[3]CB-14'!AX14+'[3]CB-15'!AX14+'[3]CB-16'!AX14+'[3]CB-17'!AX14+'[3]CB-18'!AX14+'[3]CB-19'!AX14+'[3]CB-20'!AX14+'[3]CB-21'!AX14+'[3]CB-22'!AX14+'[3]CB-23'!AX14+'[3]CB-24'!AX14+'[4]LCT-1'!AX14+'[4]LCT-2'!AX14+'[4]LCT-3'!AX14+'[4]LCT-4'!AX14+'[4]LCT-5'!AX14+'[4]LCT-6'!AX14+'[4]LCT-7'!AX14+'[4]LCT-8'!AX14+'[5]TB-1'!AX14+'[5]TB-2'!AX14+'[5]TB-3'!AX14+'[5]TB-4'!AX14+'[5]TB-5'!AX14+'[5]TB-6'!AX14+'[5]TB-7'!AX14+'[5]TB-8'!AX14+'[5]TB-9'!AX14+'[5]TB-10'!AX14+'[6]DSV-1'!AX14+'[6]DSV-2'!AX14+'[6]DSV-3'!AX14+'[7]TUB-1'!AX14+'[7]TUB-2'!AX14+'[8]Barge-1'!AX14+'[8]Barge-2'!AX14+'[8]Barge-3'!AX14+'[8]Barge-4'!AX14</f>
        <v>2200.6159005658337</v>
      </c>
      <c r="J14" s="180">
        <f>'[2]AHTS-1'!BT14+'[2]AHTS-2'!BT14+'[2]AHTS-3'!BT14+'[2]AHTS-4'!BT14+'[2]AHTS-5'!BT14+'[2]AHTS-6'!BT14+'[2]AHTS-7'!BT14+'[2]AHTS-8'!BT14+'[3]CB-1'!BT14+'[3]CB-2'!BT14+'[3]CB-3'!BT14+'[3]CB-4'!BT14+'[3]CB-5'!BT14+'[3]CB-6'!BT14+'[3]CB-7'!BT14+'[3]CB-8'!BT14+'[3]CB-9'!BT14+'[3]CB-10'!BT14+'[3]CB-11'!BT14+'[3]CB-12'!BT14+'[3]CB-13'!BT14+'[3]CB-14'!BT14+'[3]CB-15'!BT14+'[3]CB-16'!BT14+'[3]CB-17'!BT14+'[3]CB-18'!BT14+'[3]CB-19'!BT14+'[3]CB-20'!BT14+'[3]CB-21'!BT14+'[3]CB-22'!BT14+'[3]CB-23'!BT14+'[3]CB-24'!BT14+'[4]LCT-1'!BT14+'[4]LCT-2'!BT14+'[4]LCT-3'!BT14+'[4]LCT-4'!BT14+'[4]LCT-5'!BT14+'[4]LCT-6'!BT14+'[4]LCT-7'!BT14+'[4]LCT-8'!BT14+'[5]TB-1'!BT14+'[5]TB-2'!BT14+'[5]TB-3'!BT14+'[5]TB-4'!BT14+'[5]TB-5'!BT14+'[5]TB-6'!BT14+'[5]TB-7'!BT14+'[5]TB-8'!BT14+'[5]TB-9'!BT14+'[5]TB-10'!BT14+'[6]DSV-1'!BT14+'[6]DSV-2'!BT14+'[6]DSV-3'!BT14+'[7]TUB-1'!BT14+'[7]TUB-2'!BT14+'[8]Barge-1'!BT14+'[8]Barge-2'!BT14+'[8]Barge-3'!BT14+'[8]Barge-4'!BT14</f>
        <v>1912.867950918685</v>
      </c>
      <c r="K14" s="180">
        <f>'[2]AHTS-1'!CP14+'[2]AHTS-2'!CP14+'[2]AHTS-3'!CP14+'[2]AHTS-4'!CP14+'[2]AHTS-5'!CP14+'[2]AHTS-6'!CP14+'[2]AHTS-7'!CP14+'[2]AHTS-8'!CP14+'[3]CB-1'!CP14+'[3]CB-2'!CP14+'[3]CB-3'!CP14+'[3]CB-4'!CP14+'[3]CB-5'!CP14+'[3]CB-6'!CP14+'[3]CB-7'!CP14+'[3]CB-8'!CP14+'[3]CB-9'!CP14+'[3]CB-10'!CP14+'[3]CB-11'!CP14+'[3]CB-12'!CP14+'[3]CB-13'!CP14+'[3]CB-14'!CP14+'[3]CB-15'!CP14+'[3]CB-16'!CP14+'[3]CB-17'!CP14+'[3]CB-18'!CP14+'[3]CB-19'!CP14+'[3]CB-20'!CP14+'[3]CB-21'!CP14+'[3]CB-22'!CP14+'[3]CB-23'!CP14+'[3]CB-24'!CP14+'[4]LCT-1'!CP14+'[4]LCT-2'!CP14+'[4]LCT-3'!CP14+'[4]LCT-4'!CP14+'[4]LCT-5'!CP14+'[4]LCT-6'!CP14+'[4]LCT-7'!CP14+'[4]LCT-8'!CP14+'[5]TB-1'!CP14+'[5]TB-2'!CP14+'[5]TB-3'!CP14+'[5]TB-4'!CP14+'[5]TB-5'!CP14+'[5]TB-6'!CP14+'[5]TB-7'!CP14+'[5]TB-8'!CP14+'[5]TB-9'!CP14+'[5]TB-10'!CP14+'[6]DSV-1'!CP14+'[6]DSV-2'!CP14+'[6]DSV-3'!CP14+'[7]TUB-1'!CP14+'[7]TUB-2'!CP14+'[8]Barge-1'!CP14+'[8]Barge-2'!CP14+'[8]Barge-3'!CP14+'[8]Barge-4'!CP14</f>
        <v>0</v>
      </c>
      <c r="L14" s="181">
        <f>'[2]AHTS-1'!AY14+'[2]AHTS-2'!AY14+'[2]AHTS-3'!AY14+'[2]AHTS-4'!AY14+'[2]AHTS-5'!AY14+'[2]AHTS-6'!AY14+'[2]AHTS-7'!AY14+'[2]AHTS-8'!AY14+'[3]CB-1'!AY14+'[3]CB-2'!AY14+'[3]CB-3'!AY14+'[3]CB-4'!AY14+'[3]CB-5'!AY14+'[3]CB-6'!AY14+'[3]CB-7'!AY14+'[3]CB-8'!AY14+'[3]CB-9'!AY14+'[3]CB-10'!AY14+'[3]CB-11'!AY14+'[3]CB-12'!AY14+'[3]CB-13'!AY14+'[3]CB-14'!AY14+'[3]CB-15'!AY14+'[3]CB-16'!AY14+'[3]CB-17'!AY14+'[3]CB-18'!AY14+'[3]CB-19'!AY14+'[3]CB-20'!AY14+'[3]CB-21'!AY14+'[3]CB-22'!AY14+'[3]CB-23'!AY14+'[3]CB-24'!AY14+'[4]LCT-1'!AY14+'[4]LCT-2'!AY14+'[4]LCT-3'!AY14+'[4]LCT-4'!AY14+'[4]LCT-5'!AY14+'[4]LCT-6'!AY14+'[4]LCT-7'!AY14+'[4]LCT-8'!AY14+'[5]TB-1'!AY14+'[5]TB-2'!AY14+'[5]TB-3'!AY14+'[5]TB-4'!AY14+'[5]TB-5'!AY14+'[5]TB-6'!AY14+'[5]TB-7'!AY14+'[5]TB-8'!AY14+'[5]TB-9'!AY14+'[5]TB-10'!AY14+'[6]DSV-1'!AY14+'[6]DSV-2'!AY14+'[6]DSV-3'!AY14+'[7]TUB-1'!AY14+'[7]TUB-2'!AY14+'[8]Barge-1'!AY14+'[8]Barge-2'!AY14+'[8]Barge-3'!AY14+'[8]Barge-4'!AY14</f>
        <v>2739.4112785301031</v>
      </c>
      <c r="M14" s="182">
        <f>'[2]AHTS-1'!BU14+'[2]AHTS-2'!BU14+'[2]AHTS-3'!BU14+'[2]AHTS-4'!BU14+'[2]AHTS-5'!BU14+'[2]AHTS-6'!BU14+'[2]AHTS-7'!BU14+'[2]AHTS-8'!BU14+'[3]CB-1'!BU14+'[3]CB-2'!BU14+'[3]CB-3'!BU14+'[3]CB-4'!BU14+'[3]CB-5'!BU14+'[3]CB-6'!BU14+'[3]CB-7'!BU14+'[3]CB-8'!BU14+'[3]CB-9'!BU14+'[3]CB-10'!BU14+'[3]CB-11'!BU14+'[3]CB-12'!BU14+'[3]CB-13'!BU14+'[3]CB-14'!BU14+'[3]CB-15'!BU14+'[3]CB-16'!BU14+'[3]CB-17'!BU14+'[3]CB-18'!BU14+'[3]CB-19'!BU14+'[3]CB-20'!BU14+'[3]CB-21'!BU14+'[3]CB-22'!BU14+'[3]CB-23'!BU14+'[3]CB-24'!BU14+'[4]LCT-1'!BU14+'[4]LCT-2'!BU14+'[4]LCT-3'!BU14+'[4]LCT-4'!BU14+'[4]LCT-5'!BU14+'[4]LCT-6'!BU14+'[4]LCT-7'!BU14+'[4]LCT-8'!BU14+'[5]TB-1'!BU14+'[5]TB-2'!BU14+'[5]TB-3'!BU14+'[5]TB-4'!BU14+'[5]TB-5'!BU14+'[5]TB-6'!BU14+'[5]TB-7'!BU14+'[5]TB-8'!BU14+'[5]TB-9'!BU14+'[5]TB-10'!BU14+'[6]DSV-1'!BU14+'[6]DSV-2'!BU14+'[6]DSV-3'!BU14+'[7]TUB-1'!BU14+'[7]TUB-2'!BU14+'[8]Barge-1'!BU14+'[8]Barge-2'!BU14+'[8]Barge-3'!BU14+'[8]Barge-4'!BU14</f>
        <v>4018.0558204590243</v>
      </c>
      <c r="N14" s="182">
        <f>'[2]AHTS-1'!CQ14+'[2]AHTS-2'!CQ14+'[2]AHTS-3'!CQ14+'[2]AHTS-4'!CQ14+'[2]AHTS-5'!CQ14+'[2]AHTS-6'!CQ14+'[2]AHTS-7'!CQ14+'[2]AHTS-8'!CQ14+'[3]CB-1'!CQ14+'[3]CB-2'!CQ14+'[3]CB-3'!CQ14+'[3]CB-4'!CQ14+'[3]CB-5'!CQ14+'[3]CB-6'!CQ14+'[3]CB-7'!CQ14+'[3]CB-8'!CQ14+'[3]CB-9'!CQ14+'[3]CB-10'!CQ14+'[3]CB-11'!CQ14+'[3]CB-12'!CQ14+'[3]CB-13'!CQ14+'[3]CB-14'!CQ14+'[3]CB-15'!CQ14+'[3]CB-16'!CQ14+'[3]CB-17'!CQ14+'[3]CB-18'!CQ14+'[3]CB-19'!CQ14+'[3]CB-20'!CQ14+'[3]CB-21'!CQ14+'[3]CB-22'!CQ14+'[3]CB-23'!CQ14+'[3]CB-24'!CQ14+'[4]LCT-1'!CQ14+'[4]LCT-2'!CQ14+'[4]LCT-3'!CQ14+'[4]LCT-4'!CQ14+'[4]LCT-5'!CQ14+'[4]LCT-6'!CQ14+'[4]LCT-7'!CQ14+'[4]LCT-8'!CQ14+'[5]TB-1'!CQ14+'[5]TB-2'!CQ14+'[5]TB-3'!CQ14+'[5]TB-4'!CQ14+'[5]TB-5'!CQ14+'[5]TB-6'!CQ14+'[5]TB-7'!CQ14+'[5]TB-8'!CQ14+'[5]TB-9'!CQ14+'[5]TB-10'!CQ14+'[6]DSV-1'!CQ14+'[6]DSV-2'!CQ14+'[6]DSV-3'!CQ14+'[7]TUB-1'!CQ14+'[7]TUB-2'!CQ14+'[8]Barge-1'!CQ14+'[8]Barge-2'!CQ14+'[8]Barge-3'!CQ14+'[8]Barge-4'!CQ14</f>
        <v>0</v>
      </c>
      <c r="O14" s="179">
        <f>'[2]AHTS-1'!AZ14+'[2]AHTS-2'!AZ14+'[2]AHTS-3'!AZ14+'[2]AHTS-4'!AZ14+'[2]AHTS-5'!AZ14+'[2]AHTS-6'!AZ14+'[2]AHTS-7'!AZ14+'[2]AHTS-8'!AZ14+'[3]CB-1'!AZ14+'[3]CB-2'!AZ14+'[3]CB-3'!AZ14+'[3]CB-4'!AZ14+'[3]CB-5'!AZ14+'[3]CB-6'!AZ14+'[3]CB-7'!AZ14+'[3]CB-8'!AZ14+'[3]CB-9'!AZ14+'[3]CB-10'!AZ14+'[3]CB-11'!AZ14+'[3]CB-12'!AZ14+'[3]CB-13'!AZ14+'[3]CB-14'!AZ14+'[3]CB-15'!AZ14+'[3]CB-16'!AZ14+'[3]CB-17'!AZ14+'[3]CB-18'!AZ14+'[3]CB-19'!AZ14+'[3]CB-20'!AZ14+'[3]CB-21'!AZ14+'[3]CB-22'!AZ14+'[3]CB-23'!AZ14+'[3]CB-24'!AZ14+'[4]LCT-1'!AZ14+'[4]LCT-2'!AZ14+'[4]LCT-3'!AZ14+'[4]LCT-4'!AZ14+'[4]LCT-5'!AZ14+'[4]LCT-6'!AZ14+'[4]LCT-7'!AZ14+'[4]LCT-8'!AZ14+'[5]TB-1'!AZ14+'[5]TB-2'!AZ14+'[5]TB-3'!AZ14+'[5]TB-4'!AZ14+'[5]TB-5'!AZ14+'[5]TB-6'!AZ14+'[5]TB-7'!AZ14+'[5]TB-8'!AZ14+'[5]TB-9'!AZ14+'[5]TB-10'!AZ14+'[6]DSV-1'!AZ14+'[6]DSV-2'!AZ14+'[6]DSV-3'!AZ14+'[7]TUB-1'!AZ14+'[7]TUB-2'!AZ14+'[8]Barge-1'!AZ14+'[8]Barge-2'!AZ14+'[8]Barge-3'!AZ14+'[8]Barge-4'!AZ14</f>
        <v>104.73011634560365</v>
      </c>
      <c r="P14" s="180">
        <f>'[2]AHTS-1'!BV14+'[2]AHTS-2'!BV14+'[2]AHTS-3'!BV14+'[2]AHTS-4'!BV14+'[2]AHTS-5'!BV14+'[2]AHTS-6'!BV14+'[2]AHTS-7'!BV14+'[2]AHTS-8'!BV14+'[3]CB-1'!BV14+'[3]CB-2'!BV14+'[3]CB-3'!BV14+'[3]CB-4'!BV14+'[3]CB-5'!BV14+'[3]CB-6'!BV14+'[3]CB-7'!BV14+'[3]CB-8'!BV14+'[3]CB-9'!BV14+'[3]CB-10'!BV14+'[3]CB-11'!BV14+'[3]CB-12'!BV14+'[3]CB-13'!BV14+'[3]CB-14'!BV14+'[3]CB-15'!BV14+'[3]CB-16'!BV14+'[3]CB-17'!BV14+'[3]CB-18'!BV14+'[3]CB-19'!BV14+'[3]CB-20'!BV14+'[3]CB-21'!BV14+'[3]CB-22'!BV14+'[3]CB-23'!BV14+'[3]CB-24'!BV14+'[4]LCT-1'!BV14+'[4]LCT-2'!BV14+'[4]LCT-3'!BV14+'[4]LCT-4'!BV14+'[4]LCT-5'!BV14+'[4]LCT-6'!BV14+'[4]LCT-7'!BV14+'[4]LCT-8'!BV14+'[5]TB-1'!BV14+'[5]TB-2'!BV14+'[5]TB-3'!BV14+'[5]TB-4'!BV14+'[5]TB-5'!BV14+'[5]TB-6'!BV14+'[5]TB-7'!BV14+'[5]TB-8'!BV14+'[5]TB-9'!BV14+'[5]TB-10'!BV14+'[6]DSV-1'!BV14+'[6]DSV-2'!BV14+'[6]DSV-3'!BV14+'[7]TUB-1'!BV14+'[7]TUB-2'!BV14+'[8]Barge-1'!BV14+'[8]Barge-2'!BV14+'[8]Barge-3'!BV14+'[8]Barge-4'!BV14</f>
        <v>826.49882382859687</v>
      </c>
      <c r="Q14" s="180">
        <f>'[2]AHTS-1'!CR14+'[2]AHTS-2'!CR14+'[2]AHTS-3'!CR14+'[2]AHTS-4'!CR14+'[2]AHTS-5'!CR14+'[2]AHTS-6'!CR14+'[2]AHTS-7'!CR14+'[2]AHTS-8'!CR14+'[3]CB-1'!CR14+'[3]CB-2'!CR14+'[3]CB-3'!CR14+'[3]CB-4'!CR14+'[3]CB-5'!CR14+'[3]CB-6'!CR14+'[3]CB-7'!CR14+'[3]CB-8'!CR14+'[3]CB-9'!CR14+'[3]CB-10'!CR14+'[3]CB-11'!CR14+'[3]CB-12'!CR14+'[3]CB-13'!CR14+'[3]CB-14'!CR14+'[3]CB-15'!CR14+'[3]CB-16'!CR14+'[3]CB-17'!CR14+'[3]CB-18'!CR14+'[3]CB-19'!CR14+'[3]CB-20'!CR14+'[3]CB-21'!CR14+'[3]CB-22'!CR14+'[3]CB-23'!CR14+'[3]CB-24'!CR14+'[4]LCT-1'!CR14+'[4]LCT-2'!CR14+'[4]LCT-3'!CR14+'[4]LCT-4'!CR14+'[4]LCT-5'!CR14+'[4]LCT-6'!CR14+'[4]LCT-7'!CR14+'[4]LCT-8'!CR14+'[5]TB-1'!CR14+'[5]TB-2'!CR14+'[5]TB-3'!CR14+'[5]TB-4'!CR14+'[5]TB-5'!CR14+'[5]TB-6'!CR14+'[5]TB-7'!CR14+'[5]TB-8'!CR14+'[5]TB-9'!CR14+'[5]TB-10'!CR14+'[6]DSV-1'!CR14+'[6]DSV-2'!CR14+'[6]DSV-3'!CR14+'[7]TUB-1'!CR14+'[7]TUB-2'!CR14+'[8]Barge-1'!CR14+'[8]Barge-2'!CR14+'[8]Barge-3'!CR14+'[8]Barge-4'!CR14</f>
        <v>0</v>
      </c>
      <c r="R14" s="183">
        <f>'[2]AHTS-1'!BA14+'[2]AHTS-2'!BA14+'[2]AHTS-3'!BA14+'[2]AHTS-4'!BA14+'[2]AHTS-5'!BA14+'[2]AHTS-6'!BA14+'[2]AHTS-7'!BA14+'[2]AHTS-8'!BA14+'[3]CB-1'!BA14+'[3]CB-2'!BA14+'[3]CB-3'!BA14+'[3]CB-4'!BA14+'[3]CB-5'!BA14+'[3]CB-6'!BA14+'[3]CB-7'!BA14+'[3]CB-8'!BA14+'[3]CB-9'!BA14+'[3]CB-10'!BA14+'[3]CB-11'!BA14+'[3]CB-12'!BA14+'[3]CB-13'!BA14+'[3]CB-14'!BA14+'[3]CB-15'!BA14+'[3]CB-16'!BA14+'[3]CB-17'!BA14+'[3]CB-18'!BA14+'[3]CB-19'!BA14+'[3]CB-20'!BA14+'[3]CB-21'!BA14+'[3]CB-22'!BA14+'[3]CB-23'!BA14+'[3]CB-24'!BA14+'[4]LCT-1'!BA14+'[4]LCT-2'!BA14+'[4]LCT-3'!BA14+'[4]LCT-4'!BA14+'[4]LCT-5'!BA14+'[4]LCT-6'!BA14+'[4]LCT-7'!BA14+'[4]LCT-8'!BA14+'[5]TB-1'!BA14+'[5]TB-2'!BA14+'[5]TB-3'!BA14+'[5]TB-4'!BA14+'[5]TB-5'!BA14+'[5]TB-6'!BA14+'[5]TB-7'!BA14+'[5]TB-8'!BA14+'[5]TB-9'!BA14+'[5]TB-10'!BA14+'[6]DSV-1'!BA14+'[6]DSV-2'!BA14+'[6]DSV-3'!BA14+'[7]TUB-1'!BA14+'[7]TUB-2'!BA14+'[8]Barge-1'!BA14+'[8]Barge-2'!BA14+'[8]Barge-3'!BA14+'[8]Barge-4'!BA14</f>
        <v>4946.9578485599841</v>
      </c>
      <c r="S14" s="180">
        <f>'[2]AHTS-1'!BW14+'[2]AHTS-2'!BW14+'[2]AHTS-3'!BW14+'[2]AHTS-4'!BW14+'[2]AHTS-5'!BW14+'[2]AHTS-6'!BW14+'[2]AHTS-7'!BW14+'[2]AHTS-8'!BW14+'[3]CB-1'!BW14+'[3]CB-2'!BW14+'[3]CB-3'!BW14+'[3]CB-4'!BW14+'[3]CB-5'!BW14+'[3]CB-6'!BW14+'[3]CB-7'!BW14+'[3]CB-8'!BW14+'[3]CB-9'!BW14+'[3]CB-10'!BW14+'[3]CB-11'!BW14+'[3]CB-12'!BW14+'[3]CB-13'!BW14+'[3]CB-14'!BW14+'[3]CB-15'!BW14+'[3]CB-16'!BW14+'[3]CB-17'!BW14+'[3]CB-18'!BW14+'[3]CB-19'!BW14+'[3]CB-20'!BW14+'[3]CB-21'!BW14+'[3]CB-22'!BW14+'[3]CB-23'!BW14+'[3]CB-24'!BW14+'[4]LCT-1'!BW14+'[4]LCT-2'!BW14+'[4]LCT-3'!BW14+'[4]LCT-4'!BW14+'[4]LCT-5'!BW14+'[4]LCT-6'!BW14+'[4]LCT-7'!BW14+'[4]LCT-8'!BW14+'[5]TB-1'!BW14+'[5]TB-2'!BW14+'[5]TB-3'!BW14+'[5]TB-4'!BW14+'[5]TB-5'!BW14+'[5]TB-6'!BW14+'[5]TB-7'!BW14+'[5]TB-8'!BW14+'[5]TB-9'!BW14+'[5]TB-10'!BW14+'[6]DSV-1'!BW14+'[6]DSV-2'!BW14+'[6]DSV-3'!BW14+'[7]TUB-1'!BW14+'[7]TUB-2'!BW14+'[8]Barge-1'!BW14+'[8]Barge-2'!BW14+'[8]Barge-3'!BW14+'[8]Barge-4'!BW14</f>
        <v>5787.0811876152329</v>
      </c>
      <c r="T14" s="184">
        <f>'[2]AHTS-1'!CS14+'[2]AHTS-2'!CS14+'[2]AHTS-3'!CS14+'[2]AHTS-4'!CS14+'[2]AHTS-5'!CS14+'[2]AHTS-6'!CS14+'[2]AHTS-7'!CS14+'[2]AHTS-8'!CS14+'[3]CB-1'!CS14+'[3]CB-2'!CS14+'[3]CB-3'!CS14+'[3]CB-4'!CS14+'[3]CB-5'!CS14+'[3]CB-6'!CS14+'[3]CB-7'!CS14+'[3]CB-8'!CS14+'[3]CB-9'!CS14+'[3]CB-10'!CS14+'[3]CB-11'!CS14+'[3]CB-12'!CS14+'[3]CB-13'!CS14+'[3]CB-14'!CS14+'[3]CB-15'!CS14+'[3]CB-16'!CS14+'[3]CB-17'!CS14+'[3]CB-18'!CS14+'[3]CB-19'!CS14+'[3]CB-20'!CS14+'[3]CB-21'!CS14+'[3]CB-22'!CS14+'[3]CB-23'!CS14+'[3]CB-24'!CS14+'[4]LCT-1'!CS14+'[4]LCT-2'!CS14+'[4]LCT-3'!CS14+'[4]LCT-4'!CS14+'[4]LCT-5'!CS14+'[4]LCT-6'!CS14+'[4]LCT-7'!CS14+'[4]LCT-8'!CS14+'[5]TB-1'!CS14+'[5]TB-2'!CS14+'[5]TB-3'!CS14+'[5]TB-4'!CS14+'[5]TB-5'!CS14+'[5]TB-6'!CS14+'[5]TB-7'!CS14+'[5]TB-8'!CS14+'[5]TB-9'!CS14+'[5]TB-10'!CS14+'[6]DSV-1'!CS14+'[6]DSV-2'!CS14+'[6]DSV-3'!CS14+'[7]TUB-1'!CS14+'[7]TUB-2'!CS14+'[8]Barge-1'!CS14+'[8]Barge-2'!CS14+'[8]Barge-3'!CS14+'[8]Barge-4'!CS14</f>
        <v>0</v>
      </c>
      <c r="U14" s="183">
        <f>'[2]AHTS-1'!BB14+'[2]AHTS-2'!BB14+'[2]AHTS-3'!BB14+'[2]AHTS-4'!BB14+'[2]AHTS-5'!BB14+'[2]AHTS-6'!BB14+'[2]AHTS-7'!BB14+'[2]AHTS-8'!BB14+'[3]CB-1'!BB14+'[3]CB-2'!BB14+'[3]CB-3'!BB14+'[3]CB-4'!BB14+'[3]CB-5'!BB14+'[3]CB-6'!BB14+'[3]CB-7'!BB14+'[3]CB-8'!BB14+'[3]CB-9'!BB14+'[3]CB-10'!BB14+'[3]CB-11'!BB14+'[3]CB-12'!BB14+'[3]CB-13'!BB14+'[3]CB-14'!BB14+'[3]CB-15'!BB14+'[3]CB-16'!BB14+'[3]CB-17'!BB14+'[3]CB-18'!BB14+'[3]CB-19'!BB14+'[3]CB-20'!BB14+'[3]CB-21'!BB14+'[3]CB-22'!BB14+'[3]CB-23'!BB14+'[3]CB-24'!BB14+'[4]LCT-1'!BB14+'[4]LCT-2'!BB14+'[4]LCT-3'!BB14+'[4]LCT-4'!BB14+'[4]LCT-5'!BB14+'[4]LCT-6'!BB14+'[4]LCT-7'!BB14+'[4]LCT-8'!BB14+'[5]TB-1'!BB14+'[5]TB-2'!BB14+'[5]TB-3'!BB14+'[5]TB-4'!BB14+'[5]TB-5'!BB14+'[5]TB-6'!BB14+'[5]TB-7'!BB14+'[5]TB-8'!BB14+'[5]TB-9'!BB14+'[5]TB-10'!BB14+'[6]DSV-1'!BB14+'[6]DSV-2'!BB14+'[6]DSV-3'!BB14+'[7]TUB-1'!BB14+'[7]TUB-2'!BB14+'[8]Barge-1'!BB14+'[8]Barge-2'!BB14+'[8]Barge-3'!BB14+'[8]Barge-4'!BB14</f>
        <v>0</v>
      </c>
      <c r="V14" s="180">
        <f>'[2]AHTS-1'!BX14+'[2]AHTS-2'!BX14+'[2]AHTS-3'!BX14+'[2]AHTS-4'!BX14+'[2]AHTS-5'!BX14+'[2]AHTS-6'!BX14+'[2]AHTS-7'!BX14+'[2]AHTS-8'!BX14+'[3]CB-1'!BX14+'[3]CB-2'!BX14+'[3]CB-3'!BX14+'[3]CB-4'!BX14+'[3]CB-5'!BX14+'[3]CB-6'!BX14+'[3]CB-7'!BX14+'[3]CB-8'!BX14+'[3]CB-9'!BX14+'[3]CB-10'!BX14+'[3]CB-11'!BX14+'[3]CB-12'!BX14+'[3]CB-13'!BX14+'[3]CB-14'!BX14+'[3]CB-15'!BX14+'[3]CB-16'!BX14+'[3]CB-17'!BX14+'[3]CB-18'!BX14+'[3]CB-19'!BX14+'[3]CB-20'!BX14+'[3]CB-21'!BX14+'[3]CB-22'!BX14+'[3]CB-23'!BX14+'[3]CB-24'!BX14+'[4]LCT-1'!BX14+'[4]LCT-2'!BX14+'[4]LCT-3'!BX14+'[4]LCT-4'!BX14+'[4]LCT-5'!BX14+'[4]LCT-6'!BX14+'[4]LCT-7'!BX14+'[4]LCT-8'!BX14+'[5]TB-1'!BX14+'[5]TB-2'!BX14+'[5]TB-3'!BX14+'[5]TB-4'!BX14+'[5]TB-5'!BX14+'[5]TB-6'!BX14+'[5]TB-7'!BX14+'[5]TB-8'!BX14+'[5]TB-9'!BX14+'[5]TB-10'!BX14+'[6]DSV-1'!BX14+'[6]DSV-2'!BX14+'[6]DSV-3'!BX14+'[7]TUB-1'!BX14+'[7]TUB-2'!BX14+'[8]Barge-1'!BX14+'[8]Barge-2'!BX14+'[8]Barge-3'!BX14+'[8]Barge-4'!BX14</f>
        <v>0</v>
      </c>
      <c r="W14" s="184">
        <f>'[2]AHTS-1'!CT14+'[2]AHTS-2'!CT14+'[2]AHTS-3'!CT14+'[2]AHTS-4'!CT14+'[2]AHTS-5'!CT14+'[2]AHTS-6'!CT14+'[2]AHTS-7'!CT14+'[2]AHTS-8'!CT14+'[3]CB-1'!CT14+'[3]CB-2'!CT14+'[3]CB-3'!CT14+'[3]CB-4'!CT14+'[3]CB-5'!CT14+'[3]CB-6'!CT14+'[3]CB-7'!CT14+'[3]CB-8'!CT14+'[3]CB-9'!CT14+'[3]CB-10'!CT14+'[3]CB-11'!CT14+'[3]CB-12'!CT14+'[3]CB-13'!CT14+'[3]CB-14'!CT14+'[3]CB-15'!CT14+'[3]CB-16'!CT14+'[3]CB-17'!CT14+'[3]CB-18'!CT14+'[3]CB-19'!CT14+'[3]CB-20'!CT14+'[3]CB-21'!CT14+'[3]CB-22'!CT14+'[3]CB-23'!CT14+'[3]CB-24'!CT14+'[4]LCT-1'!CT14+'[4]LCT-2'!CT14+'[4]LCT-3'!CT14+'[4]LCT-4'!CT14+'[4]LCT-5'!CT14+'[4]LCT-6'!CT14+'[4]LCT-7'!CT14+'[4]LCT-8'!CT14+'[5]TB-1'!CT14+'[5]TB-2'!CT14+'[5]TB-3'!CT14+'[5]TB-4'!CT14+'[5]TB-5'!CT14+'[5]TB-6'!CT14+'[5]TB-7'!CT14+'[5]TB-8'!CT14+'[5]TB-9'!CT14+'[5]TB-10'!CT14+'[6]DSV-1'!CT14+'[6]DSV-2'!CT14+'[6]DSV-3'!CT14+'[7]TUB-1'!CT14+'[7]TUB-2'!CT14+'[8]Barge-1'!CT14+'[8]Barge-2'!CT14+'[8]Barge-3'!CT14+'[8]Barge-4'!CT14</f>
        <v>0</v>
      </c>
      <c r="X14" s="67"/>
      <c r="Y14" s="67"/>
      <c r="Z14" s="68"/>
      <c r="AA14" s="111">
        <f>[1]Control!AZ14</f>
        <v>45989</v>
      </c>
      <c r="AB14" s="66"/>
      <c r="AC14" s="132">
        <f>'[2]AHTS-1'!IC52+'[2]AHTS-2'!IC52+'[2]AHTS-3'!IC52+'[2]AHTS-4'!IC52+'[2]AHTS-5'!IC52+'[2]AHTS-6'!IC52+'[2]AHTS-7'!IC52+'[2]AHTS-8'!IC52+'[3]CB-1'!IC52+'[3]CB-2'!IC52+'[3]CB-3'!IC52+'[3]CB-4'!IC52+'[3]CB-5'!IC52+'[3]CB-6'!IC52+'[3]CB-7'!IC52+'[3]CB-8'!IC52+'[3]CB-9'!IC52+'[3]CB-10'!IC52+'[3]CB-11'!IC52+'[3]CB-12'!IC52+'[3]CB-13'!IC52+'[3]CB-14'!IC52+'[3]CB-15'!IC52+'[3]CB-16'!IC52+'[3]CB-17'!IC52+'[3]CB-18'!IC52+'[3]CB-19'!IC52+'[3]CB-20'!IC52+'[3]CB-21'!IC52+'[3]CB-22'!IC52+'[3]CB-23'!IC52+'[3]CB-24'!IC52+'[4]LCT-1'!IC52+'[4]LCT-2'!IC52+'[4]LCT-3'!IC52+'[4]LCT-4'!IC52+'[4]LCT-5'!IC52+'[4]LCT-6'!IC52+'[4]LCT-7'!IC52+'[4]LCT-8'!IC52+'[5]TB-1'!IC52+'[5]TB-2'!IC52+'[5]TB-3'!IC52+'[5]TB-4'!IC52+'[5]TB-5'!IC52+'[5]TB-6'!IC52+'[5]TB-7'!IC52+'[5]TB-8'!IC52+'[5]TB-9'!IC52+'[5]TB-10'!IC52+'[6]DSV-1'!IC52+'[6]DSV-2'!IC52+'[6]DSV-3'!IC52+'[7]TUB-1'!IC52+'[7]TUB-2'!IC52+'[8]Barge-1'!IC52+'[8]Barge-2'!IC52+'[8]Barge-3'!IC52+'[8]Barge-4'!IC52</f>
        <v>0</v>
      </c>
      <c r="AD14" s="133">
        <f>'[2]AHTS-1'!IC14+'[2]AHTS-2'!IC14+'[2]AHTS-3'!IC14+'[2]AHTS-4'!IC14+'[2]AHTS-5'!IC14+'[2]AHTS-6'!IC14+'[2]AHTS-7'!IC14+'[2]AHTS-8'!IC14+'[3]CB-1'!IC14+'[3]CB-2'!IC14+'[3]CB-3'!IC14+'[3]CB-4'!IC14+'[3]CB-5'!IC14+'[3]CB-6'!IC14+'[3]CB-7'!IC14+'[3]CB-8'!IC14+'[3]CB-9'!IC14+'[3]CB-10'!IC14+'[3]CB-11'!IC14+'[3]CB-12'!IC14+'[3]CB-13'!IC14+'[3]CB-14'!IC14+'[3]CB-15'!IC14+'[3]CB-16'!IC14+'[3]CB-17'!IC14+'[3]CB-18'!IC14+'[3]CB-19'!IC14+'[3]CB-20'!IC14+'[3]CB-21'!IC14+'[3]CB-22'!IC14+'[3]CB-23'!IC14+'[3]CB-24'!IC14+'[4]LCT-1'!IC14+'[4]LCT-2'!IC14+'[4]LCT-3'!IC14+'[4]LCT-4'!IC14+'[4]LCT-5'!IC14+'[4]LCT-6'!IC14+'[4]LCT-7'!IC14+'[4]LCT-8'!IC14+'[5]TB-1'!IC14+'[5]TB-2'!IC14+'[5]TB-3'!IC14+'[5]TB-4'!IC14+'[5]TB-5'!IC14+'[5]TB-6'!IC14+'[5]TB-7'!IC14+'[5]TB-8'!IC14+'[5]TB-9'!IC14+'[5]TB-10'!IC14+'[6]DSV-1'!IC14+'[6]DSV-2'!IC14+'[6]DSV-3'!IC14+'[7]TUB-1'!IC14+'[7]TUB-2'!IC14+'[8]Barge-1'!IC14+'[8]Barge-2'!IC14+'[8]Barge-3'!IC14+'[8]Barge-4'!IC14</f>
        <v>0</v>
      </c>
      <c r="AE14" s="134">
        <f>'[2]AHTS-1'!IC85+'[2]AHTS-2'!IC85+'[2]AHTS-3'!IC85+'[2]AHTS-4'!IC85+'[2]AHTS-5'!IC85+'[2]AHTS-6'!IC85+'[2]AHTS-7'!IC85+'[2]AHTS-8'!IC85+'[3]CB-1'!IC85+'[3]CB-2'!IC85+'[3]CB-3'!IC85+'[3]CB-4'!IC85+'[3]CB-5'!IC85+'[3]CB-6'!IC85+'[3]CB-7'!IC85+'[3]CB-8'!IC85+'[3]CB-9'!IC85+'[3]CB-10'!IC85+'[3]CB-11'!IC85+'[3]CB-12'!IC85+'[3]CB-13'!IC85+'[3]CB-14'!IC85+'[3]CB-15'!IC85+'[3]CB-16'!IC85+'[3]CB-17'!IC85+'[3]CB-18'!IC85+'[3]CB-19'!IC85+'[3]CB-20'!IC85+'[3]CB-21'!IC85+'[3]CB-22'!IC85+'[3]CB-23'!IC85+'[3]CB-24'!IC85+'[4]LCT-1'!IC85+'[4]LCT-2'!IC85+'[4]LCT-3'!IC85+'[4]LCT-4'!IC85+'[4]LCT-5'!IC85+'[4]LCT-6'!IC85+'[4]LCT-7'!IC85+'[4]LCT-8'!IC85+'[5]TB-1'!IC85+'[5]TB-2'!IC85+'[5]TB-3'!IC85+'[5]TB-4'!IC85+'[5]TB-5'!IC85+'[5]TB-6'!IC85+'[5]TB-7'!IC85+'[5]TB-8'!IC85+'[5]TB-9'!IC85+'[5]TB-10'!IC85+'[6]DSV-1'!IC85+'[6]DSV-2'!IC85+'[6]DSV-3'!IC85+'[7]TUB-1'!IC85+'[7]TUB-2'!IC85+'[8]Barge-1'!IC85+'[8]Barge-2'!IC85+'[8]Barge-3'!IC85+'[8]Barge-4'!IC85</f>
        <v>0</v>
      </c>
      <c r="AF14" s="135">
        <f>'[2]AHTS-1'!ID52+'[2]AHTS-2'!ID52+'[2]AHTS-3'!ID52+'[2]AHTS-4'!ID52+'[2]AHTS-5'!ID52+'[2]AHTS-6'!ID52+'[2]AHTS-7'!ID52+'[2]AHTS-8'!ID52+'[3]CB-1'!ID52+'[3]CB-2'!ID52+'[3]CB-3'!ID52+'[3]CB-4'!ID52+'[3]CB-5'!ID52+'[3]CB-6'!ID52+'[3]CB-7'!ID52+'[3]CB-8'!ID52+'[3]CB-9'!ID52+'[3]CB-10'!ID52+'[3]CB-11'!ID52+'[3]CB-12'!ID52+'[3]CB-13'!ID52+'[3]CB-14'!ID52+'[3]CB-15'!ID52+'[3]CB-16'!ID52+'[3]CB-17'!ID52+'[3]CB-18'!ID52+'[3]CB-19'!ID52+'[3]CB-20'!ID52+'[3]CB-21'!ID52+'[3]CB-22'!ID52+'[3]CB-23'!ID52+'[3]CB-24'!ID52+'[4]LCT-1'!ID52+'[4]LCT-2'!ID52+'[4]LCT-3'!ID52+'[4]LCT-4'!ID52+'[4]LCT-5'!ID52+'[4]LCT-6'!ID52+'[4]LCT-7'!ID52+'[4]LCT-8'!ID52+'[5]TB-1'!ID52+'[5]TB-2'!ID52+'[5]TB-3'!ID52+'[5]TB-4'!ID52+'[5]TB-5'!ID52+'[5]TB-6'!ID52+'[5]TB-7'!ID52+'[5]TB-8'!ID52+'[5]TB-9'!ID52+'[5]TB-10'!ID52+'[6]DSV-1'!ID52+'[6]DSV-2'!ID52+'[6]DSV-3'!ID52+'[7]TUB-1'!ID52+'[7]TUB-2'!ID52+'[8]Barge-1'!ID52+'[8]Barge-2'!ID52+'[8]Barge-3'!ID52+'[8]Barge-4'!ID52</f>
        <v>10741768.75</v>
      </c>
      <c r="AG14" s="136">
        <f>'[2]AHTS-1'!ID14+'[2]AHTS-2'!ID14+'[2]AHTS-3'!ID14+'[2]AHTS-4'!ID14+'[2]AHTS-5'!ID14+'[2]AHTS-6'!ID14+'[2]AHTS-7'!ID14+'[2]AHTS-8'!ID14+'[3]CB-1'!ID14+'[3]CB-2'!ID14+'[3]CB-3'!ID14+'[3]CB-4'!ID14+'[3]CB-5'!ID14+'[3]CB-6'!ID14+'[3]CB-7'!ID14+'[3]CB-8'!ID14+'[3]CB-9'!ID14+'[3]CB-10'!ID14+'[3]CB-11'!ID14+'[3]CB-12'!ID14+'[3]CB-13'!ID14+'[3]CB-14'!ID14+'[3]CB-15'!ID14+'[3]CB-16'!ID14+'[3]CB-17'!ID14+'[3]CB-18'!ID14+'[3]CB-19'!ID14+'[3]CB-20'!ID14+'[3]CB-21'!ID14+'[3]CB-22'!ID14+'[3]CB-23'!ID14+'[3]CB-24'!ID14+'[4]LCT-1'!ID14+'[4]LCT-2'!ID14+'[4]LCT-3'!ID14+'[4]LCT-4'!ID14+'[4]LCT-5'!ID14+'[4]LCT-6'!ID14+'[4]LCT-7'!ID14+'[4]LCT-8'!ID14+'[5]TB-1'!ID14+'[5]TB-2'!ID14+'[5]TB-3'!ID14+'[5]TB-4'!ID14+'[5]TB-5'!ID14+'[5]TB-6'!ID14+'[5]TB-7'!ID14+'[5]TB-8'!ID14+'[5]TB-9'!ID14+'[5]TB-10'!ID14+'[6]DSV-1'!ID14+'[6]DSV-2'!ID14+'[6]DSV-3'!ID14+'[7]TUB-1'!ID14+'[7]TUB-2'!ID14+'[8]Barge-1'!ID14+'[8]Barge-2'!ID14+'[8]Barge-3'!ID14+'[8]Barge-4'!ID14</f>
        <v>14281250</v>
      </c>
      <c r="AH14" s="136">
        <f>'[2]AHTS-1'!ID85+'[2]AHTS-2'!ID85+'[2]AHTS-3'!ID85+'[2]AHTS-4'!ID85+'[2]AHTS-5'!ID85+'[2]AHTS-6'!ID85+'[2]AHTS-7'!ID85+'[2]AHTS-8'!ID85+'[3]CB-1'!ID85+'[3]CB-2'!ID85+'[3]CB-3'!ID85+'[3]CB-4'!ID85+'[3]CB-5'!ID85+'[3]CB-6'!ID85+'[3]CB-7'!ID85+'[3]CB-8'!ID85+'[3]CB-9'!ID85+'[3]CB-10'!ID85+'[3]CB-11'!ID85+'[3]CB-12'!ID85+'[3]CB-13'!ID85+'[3]CB-14'!ID85+'[3]CB-15'!ID85+'[3]CB-16'!ID85+'[3]CB-17'!ID85+'[3]CB-18'!ID85+'[3]CB-19'!ID85+'[3]CB-20'!ID85+'[3]CB-21'!ID85+'[3]CB-22'!ID85+'[3]CB-23'!ID85+'[3]CB-24'!ID85+'[4]LCT-1'!ID85+'[4]LCT-2'!ID85+'[4]LCT-3'!ID85+'[4]LCT-4'!ID85+'[4]LCT-5'!ID85+'[4]LCT-6'!ID85+'[4]LCT-7'!ID85+'[4]LCT-8'!ID85+'[5]TB-1'!ID85+'[5]TB-2'!ID85+'[5]TB-3'!ID85+'[5]TB-4'!ID85+'[5]TB-5'!ID85+'[5]TB-6'!ID85+'[5]TB-7'!ID85+'[5]TB-8'!ID85+'[5]TB-9'!ID85+'[5]TB-10'!ID85+'[6]DSV-1'!ID85+'[6]DSV-2'!ID85+'[6]DSV-3'!ID85+'[7]TUB-1'!ID85+'[7]TUB-2'!ID85+'[8]Barge-1'!ID85+'[8]Barge-2'!ID85+'[8]Barge-3'!ID85+'[8]Barge-4'!ID85</f>
        <v>0</v>
      </c>
      <c r="AI14" s="135">
        <f>'[2]AHTS-1'!IE52+'[2]AHTS-2'!IE52+'[2]AHTS-3'!IE52+'[2]AHTS-4'!IE52+'[2]AHTS-5'!IE52+'[2]AHTS-6'!IE52+'[2]AHTS-7'!IE52+'[2]AHTS-8'!IE52+'[3]CB-1'!IE52+'[3]CB-2'!IE52+'[3]CB-3'!IE52+'[3]CB-4'!IE52+'[3]CB-5'!IE52+'[3]CB-6'!IE52+'[3]CB-7'!IE52+'[3]CB-8'!IE52+'[3]CB-9'!IE52+'[3]CB-10'!IE52+'[3]CB-11'!IE52+'[3]CB-12'!IE52+'[3]CB-13'!IE52+'[3]CB-14'!IE52+'[3]CB-15'!IE52+'[3]CB-16'!IE52+'[3]CB-17'!IE52+'[3]CB-18'!IE52+'[3]CB-19'!IE52+'[3]CB-20'!IE52+'[3]CB-21'!IE52+'[3]CB-22'!IE52+'[3]CB-23'!IE52+'[3]CB-24'!IE52+'[4]LCT-1'!IE52+'[4]LCT-2'!IE52+'[4]LCT-3'!IE52+'[4]LCT-4'!IE52+'[4]LCT-5'!IE52+'[4]LCT-6'!IE52+'[4]LCT-7'!IE52+'[4]LCT-8'!IE52+'[5]TB-1'!IE52+'[5]TB-2'!IE52+'[5]TB-3'!IE52+'[5]TB-4'!IE52+'[5]TB-5'!IE52+'[5]TB-6'!IE52+'[5]TB-7'!IE52+'[5]TB-8'!IE52+'[5]TB-9'!IE52+'[5]TB-10'!IE52+'[6]DSV-1'!IE52+'[6]DSV-2'!IE52+'[6]DSV-3'!IE52+'[7]TUB-1'!IE52+'[7]TUB-2'!IE52+'[8]Barge-1'!IE52+'[8]Barge-2'!IE52+'[8]Barge-3'!IE52+'[8]Barge-4'!IE52</f>
        <v>34613487.5</v>
      </c>
      <c r="AJ14" s="136">
        <f>'[2]AHTS-1'!IE14+'[2]AHTS-2'!IE14+'[2]AHTS-3'!IE14+'[2]AHTS-4'!IE14+'[2]AHTS-5'!IE14+'[2]AHTS-6'!IE14+'[2]AHTS-7'!IE14+'[2]AHTS-8'!IE14+'[3]CB-1'!IE14+'[3]CB-2'!IE14+'[3]CB-3'!IE14+'[3]CB-4'!IE14+'[3]CB-5'!IE14+'[3]CB-6'!IE14+'[3]CB-7'!IE14+'[3]CB-8'!IE14+'[3]CB-9'!IE14+'[3]CB-10'!IE14+'[3]CB-11'!IE14+'[3]CB-12'!IE14+'[3]CB-13'!IE14+'[3]CB-14'!IE14+'[3]CB-15'!IE14+'[3]CB-16'!IE14+'[3]CB-17'!IE14+'[3]CB-18'!IE14+'[3]CB-19'!IE14+'[3]CB-20'!IE14+'[3]CB-21'!IE14+'[3]CB-22'!IE14+'[3]CB-23'!IE14+'[3]CB-24'!IE14+'[4]LCT-1'!IE14+'[4]LCT-2'!IE14+'[4]LCT-3'!IE14+'[4]LCT-4'!IE14+'[4]LCT-5'!IE14+'[4]LCT-6'!IE14+'[4]LCT-7'!IE14+'[4]LCT-8'!IE14+'[5]TB-1'!IE14+'[5]TB-2'!IE14+'[5]TB-3'!IE14+'[5]TB-4'!IE14+'[5]TB-5'!IE14+'[5]TB-6'!IE14+'[5]TB-7'!IE14+'[5]TB-8'!IE14+'[5]TB-9'!IE14+'[5]TB-10'!IE14+'[6]DSV-1'!IE14+'[6]DSV-2'!IE14+'[6]DSV-3'!IE14+'[7]TUB-1'!IE14+'[7]TUB-2'!IE14+'[8]Barge-1'!IE14+'[8]Barge-2'!IE14+'[8]Barge-3'!IE14+'[8]Barge-4'!IE14</f>
        <v>30087500</v>
      </c>
      <c r="AK14" s="136">
        <f>'[2]AHTS-1'!IE85+'[2]AHTS-2'!IE85+'[2]AHTS-3'!IE85+'[2]AHTS-4'!IE85+'[2]AHTS-5'!IE85+'[2]AHTS-6'!IE85+'[2]AHTS-7'!IE85+'[2]AHTS-8'!IE85+'[3]CB-1'!IE85+'[3]CB-2'!IE85+'[3]CB-3'!IE85+'[3]CB-4'!IE85+'[3]CB-5'!IE85+'[3]CB-6'!IE85+'[3]CB-7'!IE85+'[3]CB-8'!IE85+'[3]CB-9'!IE85+'[3]CB-10'!IE85+'[3]CB-11'!IE85+'[3]CB-12'!IE85+'[3]CB-13'!IE85+'[3]CB-14'!IE85+'[3]CB-15'!IE85+'[3]CB-16'!IE85+'[3]CB-17'!IE85+'[3]CB-18'!IE85+'[3]CB-19'!IE85+'[3]CB-20'!IE85+'[3]CB-21'!IE85+'[3]CB-22'!IE85+'[3]CB-23'!IE85+'[3]CB-24'!IE85+'[4]LCT-1'!IE85+'[4]LCT-2'!IE85+'[4]LCT-3'!IE85+'[4]LCT-4'!IE85+'[4]LCT-5'!IE85+'[4]LCT-6'!IE85+'[4]LCT-7'!IE85+'[4]LCT-8'!IE85+'[5]TB-1'!IE85+'[5]TB-2'!IE85+'[5]TB-3'!IE85+'[5]TB-4'!IE85+'[5]TB-5'!IE85+'[5]TB-6'!IE85+'[5]TB-7'!IE85+'[5]TB-8'!IE85+'[5]TB-9'!IE85+'[5]TB-10'!IE85+'[6]DSV-1'!IE85+'[6]DSV-2'!IE85+'[6]DSV-3'!IE85+'[7]TUB-1'!IE85+'[7]TUB-2'!IE85+'[8]Barge-1'!IE85+'[8]Barge-2'!IE85+'[8]Barge-3'!IE85+'[8]Barge-4'!IE85</f>
        <v>0</v>
      </c>
      <c r="AL14" s="137">
        <f>'[2]AHTS-1'!IF52+'[2]AHTS-2'!IF52+'[2]AHTS-3'!IF52+'[2]AHTS-4'!IF52+'[2]AHTS-5'!IF52+'[2]AHTS-6'!IF52+'[2]AHTS-7'!IF52+'[2]AHTS-8'!IF52+'[3]CB-1'!IF52+'[3]CB-2'!IF52+'[3]CB-3'!IF52+'[3]CB-4'!IF52+'[3]CB-5'!IF52+'[3]CB-6'!IF52+'[3]CB-7'!IF52+'[3]CB-8'!IF52+'[3]CB-9'!IF52+'[3]CB-10'!IF52+'[3]CB-11'!IF52+'[3]CB-12'!IF52+'[3]CB-13'!IF52+'[3]CB-14'!IF52+'[3]CB-15'!IF52+'[3]CB-16'!IF52+'[3]CB-17'!IF52+'[3]CB-18'!IF52+'[3]CB-19'!IF52+'[3]CB-20'!IF52+'[3]CB-21'!IF52+'[3]CB-22'!IF52+'[3]CB-23'!IF52+'[3]CB-24'!IF52+'[4]LCT-1'!IF52+'[4]LCT-2'!IF52+'[4]LCT-3'!IF52+'[4]LCT-4'!IF52+'[4]LCT-5'!IF52+'[4]LCT-6'!IF52+'[4]LCT-7'!IF52+'[4]LCT-8'!IF52+'[5]TB-1'!IF52+'[5]TB-2'!IF52+'[5]TB-3'!IF52+'[5]TB-4'!IF52+'[5]TB-5'!IF52+'[5]TB-6'!IF52+'[5]TB-7'!IF52+'[5]TB-8'!IF52+'[5]TB-9'!IF52+'[5]TB-10'!IF52+'[6]DSV-1'!IF52+'[6]DSV-2'!IF52+'[6]DSV-3'!IF52+'[7]TUB-1'!IF52+'[7]TUB-2'!IF52+'[8]Barge-1'!IF52+'[8]Barge-2'!IF52+'[8]Barge-3'!IF52+'[8]Barge-4'!IF52</f>
        <v>43088200</v>
      </c>
      <c r="AM14" s="138">
        <f>'[2]AHTS-1'!IF14+'[2]AHTS-2'!IF14+'[2]AHTS-3'!IF14+'[2]AHTS-4'!IF14+'[2]AHTS-5'!IF14+'[2]AHTS-6'!IF14+'[2]AHTS-7'!IF14+'[2]AHTS-8'!IF14+'[3]CB-1'!IF14+'[3]CB-2'!IF14+'[3]CB-3'!IF14+'[3]CB-4'!IF14+'[3]CB-5'!IF14+'[3]CB-6'!IF14+'[3]CB-7'!IF14+'[3]CB-8'!IF14+'[3]CB-9'!IF14+'[3]CB-10'!IF14+'[3]CB-11'!IF14+'[3]CB-12'!IF14+'[3]CB-13'!IF14+'[3]CB-14'!IF14+'[3]CB-15'!IF14+'[3]CB-16'!IF14+'[3]CB-17'!IF14+'[3]CB-18'!IF14+'[3]CB-19'!IF14+'[3]CB-20'!IF14+'[3]CB-21'!IF14+'[3]CB-22'!IF14+'[3]CB-23'!IF14+'[3]CB-24'!IF14+'[4]LCT-1'!IF14+'[4]LCT-2'!IF14+'[4]LCT-3'!IF14+'[4]LCT-4'!IF14+'[4]LCT-5'!IF14+'[4]LCT-6'!IF14+'[4]LCT-7'!IF14+'[4]LCT-8'!IF14+'[5]TB-1'!IF14+'[5]TB-2'!IF14+'[5]TB-3'!IF14+'[5]TB-4'!IF14+'[5]TB-5'!IF14+'[5]TB-6'!IF14+'[5]TB-7'!IF14+'[5]TB-8'!IF14+'[5]TB-9'!IF14+'[5]TB-10'!IF14+'[6]DSV-1'!IF14+'[6]DSV-2'!IF14+'[6]DSV-3'!IF14+'[7]TUB-1'!IF14+'[7]TUB-2'!IF14+'[8]Barge-1'!IF14+'[8]Barge-2'!IF14+'[8]Barge-3'!IF14+'[8]Barge-4'!IF14</f>
        <v>63200000</v>
      </c>
      <c r="AN14" s="138">
        <f>'[2]AHTS-1'!IF85+'[2]AHTS-2'!IF85+'[2]AHTS-3'!IF85+'[2]AHTS-4'!IF85+'[2]AHTS-5'!IF85+'[2]AHTS-6'!IF85+'[2]AHTS-7'!IF85+'[2]AHTS-8'!IF85+'[3]CB-1'!IF85+'[3]CB-2'!IF85+'[3]CB-3'!IF85+'[3]CB-4'!IF85+'[3]CB-5'!IF85+'[3]CB-6'!IF85+'[3]CB-7'!IF85+'[3]CB-8'!IF85+'[3]CB-9'!IF85+'[3]CB-10'!IF85+'[3]CB-11'!IF85+'[3]CB-12'!IF85+'[3]CB-13'!IF85+'[3]CB-14'!IF85+'[3]CB-15'!IF85+'[3]CB-16'!IF85+'[3]CB-17'!IF85+'[3]CB-18'!IF85+'[3]CB-19'!IF85+'[3]CB-20'!IF85+'[3]CB-21'!IF85+'[3]CB-22'!IF85+'[3]CB-23'!IF85+'[3]CB-24'!IF85+'[4]LCT-1'!IF85+'[4]LCT-2'!IF85+'[4]LCT-3'!IF85+'[4]LCT-4'!IF85+'[4]LCT-5'!IF85+'[4]LCT-6'!IF85+'[4]LCT-7'!IF85+'[4]LCT-8'!IF85+'[5]TB-1'!IF85+'[5]TB-2'!IF85+'[5]TB-3'!IF85+'[5]TB-4'!IF85+'[5]TB-5'!IF85+'[5]TB-6'!IF85+'[5]TB-7'!IF85+'[5]TB-8'!IF85+'[5]TB-9'!IF85+'[5]TB-10'!IF85+'[6]DSV-1'!IF85+'[6]DSV-2'!IF85+'[6]DSV-3'!IF85+'[7]TUB-1'!IF85+'[7]TUB-2'!IF85+'[8]Barge-1'!IF85+'[8]Barge-2'!IF85+'[8]Barge-3'!IF85+'[8]Barge-4'!IF85</f>
        <v>0</v>
      </c>
      <c r="AO14" s="135">
        <f>'[2]AHTS-1'!IG52+'[2]AHTS-2'!IG52+'[2]AHTS-3'!IG52+'[2]AHTS-4'!IG52+'[2]AHTS-5'!IG52+'[2]AHTS-6'!IG52+'[2]AHTS-7'!IG52+'[2]AHTS-8'!IG52+'[3]CB-1'!IG52+'[3]CB-2'!IG52+'[3]CB-3'!IG52+'[3]CB-4'!IG52+'[3]CB-5'!IG52+'[3]CB-6'!IG52+'[3]CB-7'!IG52+'[3]CB-8'!IG52+'[3]CB-9'!IG52+'[3]CB-10'!IG52+'[3]CB-11'!IG52+'[3]CB-12'!IG52+'[3]CB-13'!IG52+'[3]CB-14'!IG52+'[3]CB-15'!IG52+'[3]CB-16'!IG52+'[3]CB-17'!IG52+'[3]CB-18'!IG52+'[3]CB-19'!IG52+'[3]CB-20'!IG52+'[3]CB-21'!IG52+'[3]CB-22'!IG52+'[3]CB-23'!IG52+'[3]CB-24'!IG52+'[4]LCT-1'!IG52+'[4]LCT-2'!IG52+'[4]LCT-3'!IG52+'[4]LCT-4'!IG52+'[4]LCT-5'!IG52+'[4]LCT-6'!IG52+'[4]LCT-7'!IG52+'[4]LCT-8'!IG52+'[5]TB-1'!IG52+'[5]TB-2'!IG52+'[5]TB-3'!IG52+'[5]TB-4'!IG52+'[5]TB-5'!IG52+'[5]TB-6'!IG52+'[5]TB-7'!IG52+'[5]TB-8'!IG52+'[5]TB-9'!IG52+'[5]TB-10'!IG52+'[6]DSV-1'!IG52+'[6]DSV-2'!IG52+'[6]DSV-3'!IG52+'[7]TUB-1'!IG52+'[7]TUB-2'!IG52+'[8]Barge-1'!IG52+'[8]Barge-2'!IG52+'[8]Barge-3'!IG52+'[8]Barge-4'!IG52</f>
        <v>1647300</v>
      </c>
      <c r="AP14" s="136">
        <f>'[2]AHTS-1'!IG14+'[2]AHTS-2'!IG14+'[2]AHTS-3'!IG14+'[2]AHTS-4'!IG14+'[2]AHTS-5'!IG14+'[2]AHTS-6'!IG14+'[2]AHTS-7'!IG14+'[2]AHTS-8'!IG14+'[3]CB-1'!IG14+'[3]CB-2'!IG14+'[3]CB-3'!IG14+'[3]CB-4'!IG14+'[3]CB-5'!IG14+'[3]CB-6'!IG14+'[3]CB-7'!IG14+'[3]CB-8'!IG14+'[3]CB-9'!IG14+'[3]CB-10'!IG14+'[3]CB-11'!IG14+'[3]CB-12'!IG14+'[3]CB-13'!IG14+'[3]CB-14'!IG14+'[3]CB-15'!IG14+'[3]CB-16'!IG14+'[3]CB-17'!IG14+'[3]CB-18'!IG14+'[3]CB-19'!IG14+'[3]CB-20'!IG14+'[3]CB-21'!IG14+'[3]CB-22'!IG14+'[3]CB-23'!IG14+'[3]CB-24'!IG14+'[4]LCT-1'!IG14+'[4]LCT-2'!IG14+'[4]LCT-3'!IG14+'[4]LCT-4'!IG14+'[4]LCT-5'!IG14+'[4]LCT-6'!IG14+'[4]LCT-7'!IG14+'[4]LCT-8'!IG14+'[5]TB-1'!IG14+'[5]TB-2'!IG14+'[5]TB-3'!IG14+'[5]TB-4'!IG14+'[5]TB-5'!IG14+'[5]TB-6'!IG14+'[5]TB-7'!IG14+'[5]TB-8'!IG14+'[5]TB-9'!IG14+'[5]TB-10'!IG14+'[6]DSV-1'!IG14+'[6]DSV-2'!IG14+'[6]DSV-3'!IG14+'[7]TUB-1'!IG14+'[7]TUB-2'!IG14+'[8]Barge-1'!IG14+'[8]Barge-2'!IG14+'[8]Barge-3'!IG14+'[8]Barge-4'!IG14</f>
        <v>13000000</v>
      </c>
      <c r="AQ14" s="136">
        <f>'[2]AHTS-1'!IG85+'[2]AHTS-2'!IG85+'[2]AHTS-3'!IG85+'[2]AHTS-4'!IG85+'[2]AHTS-5'!IG85+'[2]AHTS-6'!IG85+'[2]AHTS-7'!IG85+'[2]AHTS-8'!IG85+'[3]CB-1'!IG85+'[3]CB-2'!IG85+'[3]CB-3'!IG85+'[3]CB-4'!IG85+'[3]CB-5'!IG85+'[3]CB-6'!IG85+'[3]CB-7'!IG85+'[3]CB-8'!IG85+'[3]CB-9'!IG85+'[3]CB-10'!IG85+'[3]CB-11'!IG85+'[3]CB-12'!IG85+'[3]CB-13'!IG85+'[3]CB-14'!IG85+'[3]CB-15'!IG85+'[3]CB-16'!IG85+'[3]CB-17'!IG85+'[3]CB-18'!IG85+'[3]CB-19'!IG85+'[3]CB-20'!IG85+'[3]CB-21'!IG85+'[3]CB-22'!IG85+'[3]CB-23'!IG85+'[3]CB-24'!IG85+'[4]LCT-1'!IG85+'[4]LCT-2'!IG85+'[4]LCT-3'!IG85+'[4]LCT-4'!IG85+'[4]LCT-5'!IG85+'[4]LCT-6'!IG85+'[4]LCT-7'!IG85+'[4]LCT-8'!IG85+'[5]TB-1'!IG85+'[5]TB-2'!IG85+'[5]TB-3'!IG85+'[5]TB-4'!IG85+'[5]TB-5'!IG85+'[5]TB-6'!IG85+'[5]TB-7'!IG85+'[5]TB-8'!IG85+'[5]TB-9'!IG85+'[5]TB-10'!IG85+'[6]DSV-1'!IG85+'[6]DSV-2'!IG85+'[6]DSV-3'!IG85+'[7]TUB-1'!IG85+'[7]TUB-2'!IG85+'[8]Barge-1'!IG85+'[8]Barge-2'!IG85+'[8]Barge-3'!IG85+'[8]Barge-4'!IG85</f>
        <v>0</v>
      </c>
      <c r="AR14" s="139">
        <f>'[2]AHTS-1'!IH52+'[2]AHTS-2'!IH52+'[2]AHTS-3'!IH52+'[2]AHTS-4'!IH52+'[2]AHTS-5'!IH52+'[2]AHTS-6'!IH52+'[2]AHTS-7'!IH52+'[2]AHTS-8'!IH52+'[3]CB-1'!IH52+'[3]CB-2'!IH52+'[3]CB-3'!IH52+'[3]CB-4'!IH52+'[3]CB-5'!IH52+'[3]CB-6'!IH52+'[3]CB-7'!IH52+'[3]CB-8'!IH52+'[3]CB-9'!IH52+'[3]CB-10'!IH52+'[3]CB-11'!IH52+'[3]CB-12'!IH52+'[3]CB-13'!IH52+'[3]CB-14'!IH52+'[3]CB-15'!IH52+'[3]CB-16'!IH52+'[3]CB-17'!IH52+'[3]CB-18'!IH52+'[3]CB-19'!IH52+'[3]CB-20'!IH52+'[3]CB-21'!IH52+'[3]CB-22'!IH52+'[3]CB-23'!IH52+'[3]CB-24'!IH52+'[4]LCT-1'!IH52+'[4]LCT-2'!IH52+'[4]LCT-3'!IH52+'[4]LCT-4'!IH52+'[4]LCT-5'!IH52+'[4]LCT-6'!IH52+'[4]LCT-7'!IH52+'[4]LCT-8'!IH52+'[5]TB-1'!IH52+'[5]TB-2'!IH52+'[5]TB-3'!IH52+'[5]TB-4'!IH52+'[5]TB-5'!IH52+'[5]TB-6'!IH52+'[5]TB-7'!IH52+'[5]TB-8'!IH52+'[5]TB-9'!IH52+'[5]TB-10'!IH52+'[6]DSV-1'!IH52+'[6]DSV-2'!IH52+'[6]DSV-3'!IH52+'[7]TUB-1'!IH52+'[7]TUB-2'!IH52+'[8]Barge-1'!IH52+'[8]Barge-2'!IH52+'[8]Barge-3'!IH52+'[8]Barge-4'!IH52</f>
        <v>77810700</v>
      </c>
      <c r="AS14" s="136">
        <f>'[2]AHTS-1'!IH14+'[2]AHTS-2'!IH14+'[2]AHTS-3'!IH14+'[2]AHTS-4'!IH14+'[2]AHTS-5'!IH14+'[2]AHTS-6'!IH14+'[2]AHTS-7'!IH14+'[2]AHTS-8'!IH14+'[3]CB-1'!IH14+'[3]CB-2'!IH14+'[3]CB-3'!IH14+'[3]CB-4'!IH14+'[3]CB-5'!IH14+'[3]CB-6'!IH14+'[3]CB-7'!IH14+'[3]CB-8'!IH14+'[3]CB-9'!IH14+'[3]CB-10'!IH14+'[3]CB-11'!IH14+'[3]CB-12'!IH14+'[3]CB-13'!IH14+'[3]CB-14'!IH14+'[3]CB-15'!IH14+'[3]CB-16'!IH14+'[3]CB-17'!IH14+'[3]CB-18'!IH14+'[3]CB-19'!IH14+'[3]CB-20'!IH14+'[3]CB-21'!IH14+'[3]CB-22'!IH14+'[3]CB-23'!IH14+'[3]CB-24'!IH14+'[4]LCT-1'!IH14+'[4]LCT-2'!IH14+'[4]LCT-3'!IH14+'[4]LCT-4'!IH14+'[4]LCT-5'!IH14+'[4]LCT-6'!IH14+'[4]LCT-7'!IH14+'[4]LCT-8'!IH14+'[5]TB-1'!IH14+'[5]TB-2'!IH14+'[5]TB-3'!IH14+'[5]TB-4'!IH14+'[5]TB-5'!IH14+'[5]TB-6'!IH14+'[5]TB-7'!IH14+'[5]TB-8'!IH14+'[5]TB-9'!IH14+'[5]TB-10'!IH14+'[6]DSV-1'!IH14+'[6]DSV-2'!IH14+'[6]DSV-3'!IH14+'[7]TUB-1'!IH14+'[7]TUB-2'!IH14+'[8]Barge-1'!IH14+'[8]Barge-2'!IH14+'[8]Barge-3'!IH14+'[8]Barge-4'!IH14</f>
        <v>91025000</v>
      </c>
      <c r="AT14" s="140">
        <f>'[2]AHTS-1'!IH85+'[2]AHTS-2'!IH85+'[2]AHTS-3'!IH85+'[2]AHTS-4'!IH85+'[2]AHTS-5'!IH85+'[2]AHTS-6'!IH85+'[2]AHTS-7'!IH85+'[2]AHTS-8'!IH85+'[3]CB-1'!IH85+'[3]CB-2'!IH85+'[3]CB-3'!IH85+'[3]CB-4'!IH85+'[3]CB-5'!IH85+'[3]CB-6'!IH85+'[3]CB-7'!IH85+'[3]CB-8'!IH85+'[3]CB-9'!IH85+'[3]CB-10'!IH85+'[3]CB-11'!IH85+'[3]CB-12'!IH85+'[3]CB-13'!IH85+'[3]CB-14'!IH85+'[3]CB-15'!IH85+'[3]CB-16'!IH85+'[3]CB-17'!IH85+'[3]CB-18'!IH85+'[3]CB-19'!IH85+'[3]CB-20'!IH85+'[3]CB-21'!IH85+'[3]CB-22'!IH85+'[3]CB-23'!IH85+'[3]CB-24'!IH85+'[4]LCT-1'!IH85+'[4]LCT-2'!IH85+'[4]LCT-3'!IH85+'[4]LCT-4'!IH85+'[4]LCT-5'!IH85+'[4]LCT-6'!IH85+'[4]LCT-7'!IH85+'[4]LCT-8'!IH85+'[5]TB-1'!IH85+'[5]TB-2'!IH85+'[5]TB-3'!IH85+'[5]TB-4'!IH85+'[5]TB-5'!IH85+'[5]TB-6'!IH85+'[5]TB-7'!IH85+'[5]TB-8'!IH85+'[5]TB-9'!IH85+'[5]TB-10'!IH85+'[6]DSV-1'!IH85+'[6]DSV-2'!IH85+'[6]DSV-3'!IH85+'[7]TUB-1'!IH85+'[7]TUB-2'!IH85+'[8]Barge-1'!IH85+'[8]Barge-2'!IH85+'[8]Barge-3'!IH85+'[8]Barge-4'!IH85</f>
        <v>0</v>
      </c>
      <c r="AU14" s="139">
        <f>'[2]AHTS-1'!II52+'[2]AHTS-2'!II52+'[2]AHTS-3'!II52+'[2]AHTS-4'!II52+'[2]AHTS-5'!II52+'[2]AHTS-6'!II52+'[2]AHTS-7'!II52+'[2]AHTS-8'!II52+'[3]CB-1'!II52+'[3]CB-2'!II52+'[3]CB-3'!II52+'[3]CB-4'!II52+'[3]CB-5'!II52+'[3]CB-6'!II52+'[3]CB-7'!II52+'[3]CB-8'!II52+'[3]CB-9'!II52+'[3]CB-10'!II52+'[3]CB-11'!II52+'[3]CB-12'!II52+'[3]CB-13'!II52+'[3]CB-14'!II52+'[3]CB-15'!II52+'[3]CB-16'!II52+'[3]CB-17'!II52+'[3]CB-18'!II52+'[3]CB-19'!II52+'[3]CB-20'!II52+'[3]CB-21'!II52+'[3]CB-22'!II52+'[3]CB-23'!II52+'[3]CB-24'!II52+'[4]LCT-1'!II52+'[4]LCT-2'!II52+'[4]LCT-3'!II52+'[4]LCT-4'!II52+'[4]LCT-5'!II52+'[4]LCT-6'!II52+'[4]LCT-7'!II52+'[4]LCT-8'!II52+'[5]TB-1'!II52+'[5]TB-2'!II52+'[5]TB-3'!II52+'[5]TB-4'!II52+'[5]TB-5'!II52+'[5]TB-6'!II52+'[5]TB-7'!II52+'[5]TB-8'!II52+'[5]TB-9'!II52+'[5]TB-10'!II52+'[6]DSV-1'!II52+'[6]DSV-2'!II52+'[6]DSV-3'!II52+'[7]TUB-1'!II52+'[7]TUB-2'!II52+'[8]Barge-1'!II52+'[8]Barge-2'!II52+'[8]Barge-3'!II52+'[8]Barge-4'!II52</f>
        <v>0</v>
      </c>
      <c r="AV14" s="136">
        <f>'[2]AHTS-1'!II14+'[2]AHTS-2'!II14+'[2]AHTS-3'!II14+'[2]AHTS-4'!II14+'[2]AHTS-5'!II14+'[2]AHTS-6'!II14+'[2]AHTS-7'!II14+'[2]AHTS-8'!II14+'[3]CB-1'!II14+'[3]CB-2'!II14+'[3]CB-3'!II14+'[3]CB-4'!II14+'[3]CB-5'!II14+'[3]CB-6'!II14+'[3]CB-7'!II14+'[3]CB-8'!II14+'[3]CB-9'!II14+'[3]CB-10'!II14+'[3]CB-11'!II14+'[3]CB-12'!II14+'[3]CB-13'!II14+'[3]CB-14'!II14+'[3]CB-15'!II14+'[3]CB-16'!II14+'[3]CB-17'!II14+'[3]CB-18'!II14+'[3]CB-19'!II14+'[3]CB-20'!II14+'[3]CB-21'!II14+'[3]CB-22'!II14+'[3]CB-23'!II14+'[3]CB-24'!II14+'[4]LCT-1'!II14+'[4]LCT-2'!II14+'[4]LCT-3'!II14+'[4]LCT-4'!II14+'[4]LCT-5'!II14+'[4]LCT-6'!II14+'[4]LCT-7'!II14+'[4]LCT-8'!II14+'[5]TB-1'!II14+'[5]TB-2'!II14+'[5]TB-3'!II14+'[5]TB-4'!II14+'[5]TB-5'!II14+'[5]TB-6'!II14+'[5]TB-7'!II14+'[5]TB-8'!II14+'[5]TB-9'!II14+'[5]TB-10'!II14+'[6]DSV-1'!II14+'[6]DSV-2'!II14+'[6]DSV-3'!II14+'[7]TUB-1'!II14+'[7]TUB-2'!II14+'[8]Barge-1'!II14+'[8]Barge-2'!II14+'[8]Barge-3'!II14+'[8]Barge-4'!II14</f>
        <v>0</v>
      </c>
      <c r="AW14" s="140">
        <f>'[2]AHTS-1'!II85+'[2]AHTS-2'!II85+'[2]AHTS-3'!II85+'[2]AHTS-4'!II85+'[2]AHTS-5'!II85+'[2]AHTS-6'!II85+'[2]AHTS-7'!II85+'[2]AHTS-8'!II85+'[3]CB-1'!II85+'[3]CB-2'!II85+'[3]CB-3'!II85+'[3]CB-4'!II85+'[3]CB-5'!II85+'[3]CB-6'!II85+'[3]CB-7'!II85+'[3]CB-8'!II85+'[3]CB-9'!II85+'[3]CB-10'!II85+'[3]CB-11'!II85+'[3]CB-12'!II85+'[3]CB-13'!II85+'[3]CB-14'!II85+'[3]CB-15'!II85+'[3]CB-16'!II85+'[3]CB-17'!II85+'[3]CB-18'!II85+'[3]CB-19'!II85+'[3]CB-20'!II85+'[3]CB-21'!II85+'[3]CB-22'!II85+'[3]CB-23'!II85+'[3]CB-24'!II85+'[4]LCT-1'!II85+'[4]LCT-2'!II85+'[4]LCT-3'!II85+'[4]LCT-4'!II85+'[4]LCT-5'!II85+'[4]LCT-6'!II85+'[4]LCT-7'!II85+'[4]LCT-8'!II85+'[5]TB-1'!II85+'[5]TB-2'!II85+'[5]TB-3'!II85+'[5]TB-4'!II85+'[5]TB-5'!II85+'[5]TB-6'!II85+'[5]TB-7'!II85+'[5]TB-8'!II85+'[5]TB-9'!II85+'[5]TB-10'!II85+'[6]DSV-1'!II85+'[6]DSV-2'!II85+'[6]DSV-3'!II85+'[7]TUB-1'!II85+'[7]TUB-2'!II85+'[8]Barge-1'!II85+'[8]Barge-2'!II85+'[8]Barge-3'!II85+'[8]Barge-4'!II85</f>
        <v>0</v>
      </c>
      <c r="AX14" s="67"/>
      <c r="AY14" s="67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</row>
    <row r="15" spans="1:97" s="69" customFormat="1" ht="14.25" customHeight="1" x14ac:dyDescent="0.25">
      <c r="A15" s="111">
        <f>[1]Control!AZ15</f>
        <v>45990</v>
      </c>
      <c r="B15" s="66"/>
      <c r="C15" s="176">
        <f>'[2]AHTS-1'!AV15+'[2]AHTS-2'!AV15+'[2]AHTS-3'!AV15+'[2]AHTS-4'!AV15+'[2]AHTS-5'!AV15+'[2]AHTS-6'!AV15+'[2]AHTS-7'!AV15+'[2]AHTS-8'!AV15+'[3]CB-1'!AV15+'[3]CB-2'!AV15+'[3]CB-3'!AV15+'[3]CB-4'!AV15+'[3]CB-5'!AV15+'[3]CB-6'!AV15+'[3]CB-7'!AV15+'[3]CB-8'!AV15+'[3]CB-9'!AV15+'[3]CB-10'!AV15+'[3]CB-11'!AV15+'[3]CB-12'!AV15+'[3]CB-13'!AV15+'[3]CB-14'!AV15+'[3]CB-15'!AV15+'[3]CB-16'!AV15+'[3]CB-17'!AV15+'[3]CB-18'!AV15+'[3]CB-19'!AV15+'[3]CB-20'!AV15+'[3]CB-21'!AV15+'[3]CB-22'!AV15+'[3]CB-23'!AV15+'[3]CB-24'!AV15+'[4]LCT-1'!AV15+'[4]LCT-2'!AV15+'[4]LCT-3'!AV15+'[4]LCT-4'!AV15+'[4]LCT-5'!AV15+'[4]LCT-6'!AV15+'[4]LCT-7'!AV15+'[4]LCT-8'!AV15+'[5]TB-1'!AV15+'[5]TB-2'!AV15+'[5]TB-3'!AV15+'[5]TB-4'!AV15+'[5]TB-5'!AV15+'[5]TB-6'!AV15+'[5]TB-7'!AV15+'[5]TB-8'!AV15+'[5]TB-9'!AV15+'[5]TB-10'!AV15+'[6]DSV-1'!AV15+'[6]DSV-2'!AV15+'[6]DSV-3'!AV15+'[7]TUB-1'!AV15+'[7]TUB-2'!AV15+'[8]Barge-1'!AV15+'[8]Barge-2'!AV15+'[8]Barge-3'!AV15+'[8]Barge-4'!AV15</f>
        <v>0</v>
      </c>
      <c r="D15" s="177">
        <f>'[2]AHTS-1'!BR15+'[2]AHTS-2'!BR15+'[2]AHTS-3'!BR15+'[2]AHTS-4'!BR15+'[2]AHTS-5'!BR15+'[2]AHTS-6'!BR15+'[2]AHTS-7'!BR15+'[2]AHTS-8'!BR15+'[3]CB-1'!BR15+'[3]CB-2'!BR15+'[3]CB-3'!BR15+'[3]CB-4'!BR15+'[3]CB-5'!BR15+'[3]CB-6'!BR15+'[3]CB-7'!BR15+'[3]CB-8'!BR15+'[3]CB-9'!BR15+'[3]CB-10'!BR15+'[3]CB-11'!BR15+'[3]CB-12'!BR15+'[3]CB-13'!BR15+'[3]CB-14'!BR15+'[3]CB-15'!BR15+'[3]CB-16'!BR15+'[3]CB-17'!BR15+'[3]CB-18'!BR15+'[3]CB-19'!BR15+'[3]CB-20'!BR15+'[3]CB-21'!BR15+'[3]CB-22'!BR15+'[3]CB-23'!BR15+'[3]CB-24'!BR15+'[4]LCT-1'!BR15+'[4]LCT-2'!BR15+'[4]LCT-3'!BR15+'[4]LCT-4'!BR15+'[4]LCT-5'!BR15+'[4]LCT-6'!BR15+'[4]LCT-7'!BR15+'[4]LCT-8'!BR15+'[5]TB-1'!BR15+'[5]TB-2'!BR15+'[5]TB-3'!BR15+'[5]TB-4'!BR15+'[5]TB-5'!BR15+'[5]TB-6'!BR15+'[5]TB-7'!BR15+'[5]TB-8'!BR15+'[5]TB-9'!BR15+'[5]TB-10'!BR15+'[6]DSV-1'!BR15+'[6]DSV-2'!BR15+'[6]DSV-3'!BR15+'[7]TUB-1'!BR15+'[7]TUB-2'!BR15+'[8]Barge-1'!BR15+'[8]Barge-2'!BR15+'[8]Barge-3'!BR15+'[8]Barge-4'!BR15</f>
        <v>0</v>
      </c>
      <c r="E15" s="178">
        <f>'[2]AHTS-1'!CN15+'[2]AHTS-2'!CN15+'[2]AHTS-3'!CN15+'[2]AHTS-4'!CN15+'[2]AHTS-5'!CN15+'[2]AHTS-6'!CN15+'[2]AHTS-7'!CN15+'[2]AHTS-8'!CN15+'[3]CB-1'!CN15+'[3]CB-2'!CN15+'[3]CB-3'!CN15+'[3]CB-4'!CN15+'[3]CB-5'!CN15+'[3]CB-6'!CN15+'[3]CB-7'!CN15+'[3]CB-8'!CN15+'[3]CB-9'!CN15+'[3]CB-10'!CN15+'[3]CB-11'!CN15+'[3]CB-12'!CN15+'[3]CB-13'!CN15+'[3]CB-14'!CN15+'[3]CB-15'!CN15+'[3]CB-16'!CN15+'[3]CB-17'!CN15+'[3]CB-18'!CN15+'[3]CB-19'!CN15+'[3]CB-20'!CN15+'[3]CB-21'!CN15+'[3]CB-22'!CN15+'[3]CB-23'!CN15+'[3]CB-24'!CN15+'[4]LCT-1'!CN15+'[4]LCT-2'!CN15+'[4]LCT-3'!CN15+'[4]LCT-4'!CN15+'[4]LCT-5'!CN15+'[4]LCT-6'!CN15+'[4]LCT-7'!CN15+'[4]LCT-8'!CN15+'[5]TB-1'!CN15+'[5]TB-2'!CN15+'[5]TB-3'!CN15+'[5]TB-4'!CN15+'[5]TB-5'!CN15+'[5]TB-6'!CN15+'[5]TB-7'!CN15+'[5]TB-8'!CN15+'[5]TB-9'!CN15+'[5]TB-10'!CN15+'[6]DSV-1'!CN15+'[6]DSV-2'!CN15+'[6]DSV-3'!CN15+'[7]TUB-1'!CN15+'[7]TUB-2'!CN15+'[8]Barge-1'!CN15+'[8]Barge-2'!CN15+'[8]Barge-3'!CN15+'[8]Barge-4'!CN15</f>
        <v>0</v>
      </c>
      <c r="F15" s="179">
        <f>'[2]AHTS-1'!AW15+'[2]AHTS-2'!AW15+'[2]AHTS-3'!AW15+'[2]AHTS-4'!AW15+'[2]AHTS-5'!AW15+'[2]AHTS-6'!AW15+'[2]AHTS-7'!AW15+'[2]AHTS-8'!AW15+'[3]CB-1'!AW15+'[3]CB-2'!AW15+'[3]CB-3'!AW15+'[3]CB-4'!AW15+'[3]CB-5'!AW15+'[3]CB-6'!AW15+'[3]CB-7'!AW15+'[3]CB-8'!AW15+'[3]CB-9'!AW15+'[3]CB-10'!AW15+'[3]CB-11'!AW15+'[3]CB-12'!AW15+'[3]CB-13'!AW15+'[3]CB-14'!AW15+'[3]CB-15'!AW15+'[3]CB-16'!AW15+'[3]CB-17'!AW15+'[3]CB-18'!AW15+'[3]CB-19'!AW15+'[3]CB-20'!AW15+'[3]CB-21'!AW15+'[3]CB-22'!AW15+'[3]CB-23'!AW15+'[3]CB-24'!AW15+'[4]LCT-1'!AW15+'[4]LCT-2'!AW15+'[4]LCT-3'!AW15+'[4]LCT-4'!AW15+'[4]LCT-5'!AW15+'[4]LCT-6'!AW15+'[4]LCT-7'!AW15+'[4]LCT-8'!AW15+'[5]TB-1'!AW15+'[5]TB-2'!AW15+'[5]TB-3'!AW15+'[5]TB-4'!AW15+'[5]TB-5'!AW15+'[5]TB-6'!AW15+'[5]TB-7'!AW15+'[5]TB-8'!AW15+'[5]TB-9'!AW15+'[5]TB-10'!AW15+'[6]DSV-1'!AW15+'[6]DSV-2'!AW15+'[6]DSV-3'!AW15+'[7]TUB-1'!AW15+'[7]TUB-2'!AW15+'[8]Barge-1'!AW15+'[8]Barge-2'!AW15+'[8]Barge-3'!AW15+'[8]Barge-4'!AW15</f>
        <v>2870.9972504230122</v>
      </c>
      <c r="G15" s="180">
        <f>'[2]AHTS-1'!BS15+'[2]AHTS-2'!BS15+'[2]AHTS-3'!BS15+'[2]AHTS-4'!BS15+'[2]AHTS-5'!BS15+'[2]AHTS-6'!BS15+'[2]AHTS-7'!BS15+'[2]AHTS-8'!BS15+'[3]CB-1'!BS15+'[3]CB-2'!BS15+'[3]CB-3'!BS15+'[3]CB-4'!BS15+'[3]CB-5'!BS15+'[3]CB-6'!BS15+'[3]CB-7'!BS15+'[3]CB-8'!BS15+'[3]CB-9'!BS15+'[3]CB-10'!BS15+'[3]CB-11'!BS15+'[3]CB-12'!BS15+'[3]CB-13'!BS15+'[3]CB-14'!BS15+'[3]CB-15'!BS15+'[3]CB-16'!BS15+'[3]CB-17'!BS15+'[3]CB-18'!BS15+'[3]CB-19'!BS15+'[3]CB-20'!BS15+'[3]CB-21'!BS15+'[3]CB-22'!BS15+'[3]CB-23'!BS15+'[3]CB-24'!BS15+'[4]LCT-1'!BS15+'[4]LCT-2'!BS15+'[4]LCT-3'!BS15+'[4]LCT-4'!BS15+'[4]LCT-5'!BS15+'[4]LCT-6'!BS15+'[4]LCT-7'!BS15+'[4]LCT-8'!BS15+'[5]TB-1'!BS15+'[5]TB-2'!BS15+'[5]TB-3'!BS15+'[5]TB-4'!BS15+'[5]TB-5'!BS15+'[5]TB-6'!BS15+'[5]TB-7'!BS15+'[5]TB-8'!BS15+'[5]TB-9'!BS15+'[5]TB-10'!BS15+'[6]DSV-1'!BS15+'[6]DSV-2'!BS15+'[6]DSV-3'!BS15+'[7]TUB-1'!BS15+'[7]TUB-2'!BS15+'[8]Barge-1'!BS15+'[8]Barge-2'!BS15+'[8]Barge-3'!BS15+'[8]Barge-4'!BS15</f>
        <v>2937.0241116751272</v>
      </c>
      <c r="H15" s="180">
        <f>'[2]AHTS-1'!CO15+'[2]AHTS-2'!CO15+'[2]AHTS-3'!CO15+'[2]AHTS-4'!CO15+'[2]AHTS-5'!CO15+'[2]AHTS-6'!CO15+'[2]AHTS-7'!CO15+'[2]AHTS-8'!CO15+'[3]CB-1'!CO15+'[3]CB-2'!CO15+'[3]CB-3'!CO15+'[3]CB-4'!CO15+'[3]CB-5'!CO15+'[3]CB-6'!CO15+'[3]CB-7'!CO15+'[3]CB-8'!CO15+'[3]CB-9'!CO15+'[3]CB-10'!CO15+'[3]CB-11'!CO15+'[3]CB-12'!CO15+'[3]CB-13'!CO15+'[3]CB-14'!CO15+'[3]CB-15'!CO15+'[3]CB-16'!CO15+'[3]CB-17'!CO15+'[3]CB-18'!CO15+'[3]CB-19'!CO15+'[3]CB-20'!CO15+'[3]CB-21'!CO15+'[3]CB-22'!CO15+'[3]CB-23'!CO15+'[3]CB-24'!CO15+'[4]LCT-1'!CO15+'[4]LCT-2'!CO15+'[4]LCT-3'!CO15+'[4]LCT-4'!CO15+'[4]LCT-5'!CO15+'[4]LCT-6'!CO15+'[4]LCT-7'!CO15+'[4]LCT-8'!CO15+'[5]TB-1'!CO15+'[5]TB-2'!CO15+'[5]TB-3'!CO15+'[5]TB-4'!CO15+'[5]TB-5'!CO15+'[5]TB-6'!CO15+'[5]TB-7'!CO15+'[5]TB-8'!CO15+'[5]TB-9'!CO15+'[5]TB-10'!CO15+'[6]DSV-1'!CO15+'[6]DSV-2'!CO15+'[6]DSV-3'!CO15+'[7]TUB-1'!CO15+'[7]TUB-2'!CO15+'[8]Barge-1'!CO15+'[8]Barge-2'!CO15+'[8]Barge-3'!CO15+'[8]Barge-4'!CO15</f>
        <v>0</v>
      </c>
      <c r="I15" s="179">
        <f>'[2]AHTS-1'!AX15+'[2]AHTS-2'!AX15+'[2]AHTS-3'!AX15+'[2]AHTS-4'!AX15+'[2]AHTS-5'!AX15+'[2]AHTS-6'!AX15+'[2]AHTS-7'!AX15+'[2]AHTS-8'!AX15+'[3]CB-1'!AX15+'[3]CB-2'!AX15+'[3]CB-3'!AX15+'[3]CB-4'!AX15+'[3]CB-5'!AX15+'[3]CB-6'!AX15+'[3]CB-7'!AX15+'[3]CB-8'!AX15+'[3]CB-9'!AX15+'[3]CB-10'!AX15+'[3]CB-11'!AX15+'[3]CB-12'!AX15+'[3]CB-13'!AX15+'[3]CB-14'!AX15+'[3]CB-15'!AX15+'[3]CB-16'!AX15+'[3]CB-17'!AX15+'[3]CB-18'!AX15+'[3]CB-19'!AX15+'[3]CB-20'!AX15+'[3]CB-21'!AX15+'[3]CB-22'!AX15+'[3]CB-23'!AX15+'[3]CB-24'!AX15+'[4]LCT-1'!AX15+'[4]LCT-2'!AX15+'[4]LCT-3'!AX15+'[4]LCT-4'!AX15+'[4]LCT-5'!AX15+'[4]LCT-6'!AX15+'[4]LCT-7'!AX15+'[4]LCT-8'!AX15+'[5]TB-1'!AX15+'[5]TB-2'!AX15+'[5]TB-3'!AX15+'[5]TB-4'!AX15+'[5]TB-5'!AX15+'[5]TB-6'!AX15+'[5]TB-7'!AX15+'[5]TB-8'!AX15+'[5]TB-9'!AX15+'[5]TB-10'!AX15+'[6]DSV-1'!AX15+'[6]DSV-2'!AX15+'[6]DSV-3'!AX15+'[7]TUB-1'!AX15+'[7]TUB-2'!AX15+'[8]Barge-1'!AX15+'[8]Barge-2'!AX15+'[8]Barge-3'!AX15+'[8]Barge-4'!AX15</f>
        <v>1371.5658488437675</v>
      </c>
      <c r="J15" s="180">
        <f>'[2]AHTS-1'!BT15+'[2]AHTS-2'!BT15+'[2]AHTS-3'!BT15+'[2]AHTS-4'!BT15+'[2]AHTS-5'!BT15+'[2]AHTS-6'!BT15+'[2]AHTS-7'!BT15+'[2]AHTS-8'!BT15+'[3]CB-1'!BT15+'[3]CB-2'!BT15+'[3]CB-3'!BT15+'[3]CB-4'!BT15+'[3]CB-5'!BT15+'[3]CB-6'!BT15+'[3]CB-7'!BT15+'[3]CB-8'!BT15+'[3]CB-9'!BT15+'[3]CB-10'!BT15+'[3]CB-11'!BT15+'[3]CB-12'!BT15+'[3]CB-13'!BT15+'[3]CB-14'!BT15+'[3]CB-15'!BT15+'[3]CB-16'!BT15+'[3]CB-17'!BT15+'[3]CB-18'!BT15+'[3]CB-19'!BT15+'[3]CB-20'!BT15+'[3]CB-21'!BT15+'[3]CB-22'!BT15+'[3]CB-23'!BT15+'[3]CB-24'!BT15+'[4]LCT-1'!BT15+'[4]LCT-2'!BT15+'[4]LCT-3'!BT15+'[4]LCT-4'!BT15+'[4]LCT-5'!BT15+'[4]LCT-6'!BT15+'[4]LCT-7'!BT15+'[4]LCT-8'!BT15+'[5]TB-1'!BT15+'[5]TB-2'!BT15+'[5]TB-3'!BT15+'[5]TB-4'!BT15+'[5]TB-5'!BT15+'[5]TB-6'!BT15+'[5]TB-7'!BT15+'[5]TB-8'!BT15+'[5]TB-9'!BT15+'[5]TB-10'!BT15+'[6]DSV-1'!BT15+'[6]DSV-2'!BT15+'[6]DSV-3'!BT15+'[7]TUB-1'!BT15+'[7]TUB-2'!BT15+'[8]Barge-1'!BT15+'[8]Barge-2'!BT15+'[8]Barge-3'!BT15+'[8]Barge-4'!BT15</f>
        <v>1152.7072758037225</v>
      </c>
      <c r="K15" s="180">
        <f>'[2]AHTS-1'!CP15+'[2]AHTS-2'!CP15+'[2]AHTS-3'!CP15+'[2]AHTS-4'!CP15+'[2]AHTS-5'!CP15+'[2]AHTS-6'!CP15+'[2]AHTS-7'!CP15+'[2]AHTS-8'!CP15+'[3]CB-1'!CP15+'[3]CB-2'!CP15+'[3]CB-3'!CP15+'[3]CB-4'!CP15+'[3]CB-5'!CP15+'[3]CB-6'!CP15+'[3]CB-7'!CP15+'[3]CB-8'!CP15+'[3]CB-9'!CP15+'[3]CB-10'!CP15+'[3]CB-11'!CP15+'[3]CB-12'!CP15+'[3]CB-13'!CP15+'[3]CB-14'!CP15+'[3]CB-15'!CP15+'[3]CB-16'!CP15+'[3]CB-17'!CP15+'[3]CB-18'!CP15+'[3]CB-19'!CP15+'[3]CB-20'!CP15+'[3]CB-21'!CP15+'[3]CB-22'!CP15+'[3]CB-23'!CP15+'[3]CB-24'!CP15+'[4]LCT-1'!CP15+'[4]LCT-2'!CP15+'[4]LCT-3'!CP15+'[4]LCT-4'!CP15+'[4]LCT-5'!CP15+'[4]LCT-6'!CP15+'[4]LCT-7'!CP15+'[4]LCT-8'!CP15+'[5]TB-1'!CP15+'[5]TB-2'!CP15+'[5]TB-3'!CP15+'[5]TB-4'!CP15+'[5]TB-5'!CP15+'[5]TB-6'!CP15+'[5]TB-7'!CP15+'[5]TB-8'!CP15+'[5]TB-9'!CP15+'[5]TB-10'!CP15+'[6]DSV-1'!CP15+'[6]DSV-2'!CP15+'[6]DSV-3'!CP15+'[7]TUB-1'!CP15+'[7]TUB-2'!CP15+'[8]Barge-1'!CP15+'[8]Barge-2'!CP15+'[8]Barge-3'!CP15+'[8]Barge-4'!CP15</f>
        <v>0</v>
      </c>
      <c r="L15" s="181">
        <f>'[2]AHTS-1'!AY15+'[2]AHTS-2'!AY15+'[2]AHTS-3'!AY15+'[2]AHTS-4'!AY15+'[2]AHTS-5'!AY15+'[2]AHTS-6'!AY15+'[2]AHTS-7'!AY15+'[2]AHTS-8'!AY15+'[3]CB-1'!AY15+'[3]CB-2'!AY15+'[3]CB-3'!AY15+'[3]CB-4'!AY15+'[3]CB-5'!AY15+'[3]CB-6'!AY15+'[3]CB-7'!AY15+'[3]CB-8'!AY15+'[3]CB-9'!AY15+'[3]CB-10'!AY15+'[3]CB-11'!AY15+'[3]CB-12'!AY15+'[3]CB-13'!AY15+'[3]CB-14'!AY15+'[3]CB-15'!AY15+'[3]CB-16'!AY15+'[3]CB-17'!AY15+'[3]CB-18'!AY15+'[3]CB-19'!AY15+'[3]CB-20'!AY15+'[3]CB-21'!AY15+'[3]CB-22'!AY15+'[3]CB-23'!AY15+'[3]CB-24'!AY15+'[4]LCT-1'!AY15+'[4]LCT-2'!AY15+'[4]LCT-3'!AY15+'[4]LCT-4'!AY15+'[4]LCT-5'!AY15+'[4]LCT-6'!AY15+'[4]LCT-7'!AY15+'[4]LCT-8'!AY15+'[5]TB-1'!AY15+'[5]TB-2'!AY15+'[5]TB-3'!AY15+'[5]TB-4'!AY15+'[5]TB-5'!AY15+'[5]TB-6'!AY15+'[5]TB-7'!AY15+'[5]TB-8'!AY15+'[5]TB-9'!AY15+'[5]TB-10'!AY15+'[6]DSV-1'!AY15+'[6]DSV-2'!AY15+'[6]DSV-3'!AY15+'[7]TUB-1'!AY15+'[7]TUB-2'!AY15+'[8]Barge-1'!AY15+'[8]Barge-2'!AY15+'[8]Barge-3'!AY15+'[8]Barge-4'!AY15</f>
        <v>2740.8544839255496</v>
      </c>
      <c r="M15" s="182">
        <f>'[2]AHTS-1'!BU15+'[2]AHTS-2'!BU15+'[2]AHTS-3'!BU15+'[2]AHTS-4'!BU15+'[2]AHTS-5'!BU15+'[2]AHTS-6'!BU15+'[2]AHTS-7'!BU15+'[2]AHTS-8'!BU15+'[3]CB-1'!BU15+'[3]CB-2'!BU15+'[3]CB-3'!BU15+'[3]CB-4'!BU15+'[3]CB-5'!BU15+'[3]CB-6'!BU15+'[3]CB-7'!BU15+'[3]CB-8'!BU15+'[3]CB-9'!BU15+'[3]CB-10'!BU15+'[3]CB-11'!BU15+'[3]CB-12'!BU15+'[3]CB-13'!BU15+'[3]CB-14'!BU15+'[3]CB-15'!BU15+'[3]CB-16'!BU15+'[3]CB-17'!BU15+'[3]CB-18'!BU15+'[3]CB-19'!BU15+'[3]CB-20'!BU15+'[3]CB-21'!BU15+'[3]CB-22'!BU15+'[3]CB-23'!BU15+'[3]CB-24'!BU15+'[4]LCT-1'!BU15+'[4]LCT-2'!BU15+'[4]LCT-3'!BU15+'[4]LCT-4'!BU15+'[4]LCT-5'!BU15+'[4]LCT-6'!BU15+'[4]LCT-7'!BU15+'[4]LCT-8'!BU15+'[5]TB-1'!BU15+'[5]TB-2'!BU15+'[5]TB-3'!BU15+'[5]TB-4'!BU15+'[5]TB-5'!BU15+'[5]TB-6'!BU15+'[5]TB-7'!BU15+'[5]TB-8'!BU15+'[5]TB-9'!BU15+'[5]TB-10'!BU15+'[6]DSV-1'!BU15+'[6]DSV-2'!BU15+'[6]DSV-3'!BU15+'[7]TUB-1'!BU15+'[7]TUB-2'!BU15+'[8]Barge-1'!BU15+'[8]Barge-2'!BU15+'[8]Barge-3'!BU15+'[8]Barge-4'!BU15</f>
        <v>4147.6311336717417</v>
      </c>
      <c r="N15" s="182">
        <f>'[2]AHTS-1'!CQ15+'[2]AHTS-2'!CQ15+'[2]AHTS-3'!CQ15+'[2]AHTS-4'!CQ15+'[2]AHTS-5'!CQ15+'[2]AHTS-6'!CQ15+'[2]AHTS-7'!CQ15+'[2]AHTS-8'!CQ15+'[3]CB-1'!CQ15+'[3]CB-2'!CQ15+'[3]CB-3'!CQ15+'[3]CB-4'!CQ15+'[3]CB-5'!CQ15+'[3]CB-6'!CQ15+'[3]CB-7'!CQ15+'[3]CB-8'!CQ15+'[3]CB-9'!CQ15+'[3]CB-10'!CQ15+'[3]CB-11'!CQ15+'[3]CB-12'!CQ15+'[3]CB-13'!CQ15+'[3]CB-14'!CQ15+'[3]CB-15'!CQ15+'[3]CB-16'!CQ15+'[3]CB-17'!CQ15+'[3]CB-18'!CQ15+'[3]CB-19'!CQ15+'[3]CB-20'!CQ15+'[3]CB-21'!CQ15+'[3]CB-22'!CQ15+'[3]CB-23'!CQ15+'[3]CB-24'!CQ15+'[4]LCT-1'!CQ15+'[4]LCT-2'!CQ15+'[4]LCT-3'!CQ15+'[4]LCT-4'!CQ15+'[4]LCT-5'!CQ15+'[4]LCT-6'!CQ15+'[4]LCT-7'!CQ15+'[4]LCT-8'!CQ15+'[5]TB-1'!CQ15+'[5]TB-2'!CQ15+'[5]TB-3'!CQ15+'[5]TB-4'!CQ15+'[5]TB-5'!CQ15+'[5]TB-6'!CQ15+'[5]TB-7'!CQ15+'[5]TB-8'!CQ15+'[5]TB-9'!CQ15+'[5]TB-10'!CQ15+'[6]DSV-1'!CQ15+'[6]DSV-2'!CQ15+'[6]DSV-3'!CQ15+'[7]TUB-1'!CQ15+'[7]TUB-2'!CQ15+'[8]Barge-1'!CQ15+'[8]Barge-2'!CQ15+'[8]Barge-3'!CQ15+'[8]Barge-4'!CQ15</f>
        <v>0</v>
      </c>
      <c r="O15" s="179">
        <f>'[2]AHTS-1'!AZ15+'[2]AHTS-2'!AZ15+'[2]AHTS-3'!AZ15+'[2]AHTS-4'!AZ15+'[2]AHTS-5'!AZ15+'[2]AHTS-6'!AZ15+'[2]AHTS-7'!AZ15+'[2]AHTS-8'!AZ15+'[3]CB-1'!AZ15+'[3]CB-2'!AZ15+'[3]CB-3'!AZ15+'[3]CB-4'!AZ15+'[3]CB-5'!AZ15+'[3]CB-6'!AZ15+'[3]CB-7'!AZ15+'[3]CB-8'!AZ15+'[3]CB-9'!AZ15+'[3]CB-10'!AZ15+'[3]CB-11'!AZ15+'[3]CB-12'!AZ15+'[3]CB-13'!AZ15+'[3]CB-14'!AZ15+'[3]CB-15'!AZ15+'[3]CB-16'!AZ15+'[3]CB-17'!AZ15+'[3]CB-18'!AZ15+'[3]CB-19'!AZ15+'[3]CB-20'!AZ15+'[3]CB-21'!AZ15+'[3]CB-22'!AZ15+'[3]CB-23'!AZ15+'[3]CB-24'!AZ15+'[4]LCT-1'!AZ15+'[4]LCT-2'!AZ15+'[4]LCT-3'!AZ15+'[4]LCT-4'!AZ15+'[4]LCT-5'!AZ15+'[4]LCT-6'!AZ15+'[4]LCT-7'!AZ15+'[4]LCT-8'!AZ15+'[5]TB-1'!AZ15+'[5]TB-2'!AZ15+'[5]TB-3'!AZ15+'[5]TB-4'!AZ15+'[5]TB-5'!AZ15+'[5]TB-6'!AZ15+'[5]TB-7'!AZ15+'[5]TB-8'!AZ15+'[5]TB-9'!AZ15+'[5]TB-10'!AZ15+'[6]DSV-1'!AZ15+'[6]DSV-2'!AZ15+'[6]DSV-3'!AZ15+'[7]TUB-1'!AZ15+'[7]TUB-2'!AZ15+'[8]Barge-1'!AZ15+'[8]Barge-2'!AZ15+'[8]Barge-3'!AZ15+'[8]Barge-4'!AZ15</f>
        <v>40.648265651438237</v>
      </c>
      <c r="P15" s="180">
        <f>'[2]AHTS-1'!BV15+'[2]AHTS-2'!BV15+'[2]AHTS-3'!BV15+'[2]AHTS-4'!BV15+'[2]AHTS-5'!BV15+'[2]AHTS-6'!BV15+'[2]AHTS-7'!BV15+'[2]AHTS-8'!BV15+'[3]CB-1'!BV15+'[3]CB-2'!BV15+'[3]CB-3'!BV15+'[3]CB-4'!BV15+'[3]CB-5'!BV15+'[3]CB-6'!BV15+'[3]CB-7'!BV15+'[3]CB-8'!BV15+'[3]CB-9'!BV15+'[3]CB-10'!BV15+'[3]CB-11'!BV15+'[3]CB-12'!BV15+'[3]CB-13'!BV15+'[3]CB-14'!BV15+'[3]CB-15'!BV15+'[3]CB-16'!BV15+'[3]CB-17'!BV15+'[3]CB-18'!BV15+'[3]CB-19'!BV15+'[3]CB-20'!BV15+'[3]CB-21'!BV15+'[3]CB-22'!BV15+'[3]CB-23'!BV15+'[3]CB-24'!BV15+'[4]LCT-1'!BV15+'[4]LCT-2'!BV15+'[4]LCT-3'!BV15+'[4]LCT-4'!BV15+'[4]LCT-5'!BV15+'[4]LCT-6'!BV15+'[4]LCT-7'!BV15+'[4]LCT-8'!BV15+'[5]TB-1'!BV15+'[5]TB-2'!BV15+'[5]TB-3'!BV15+'[5]TB-4'!BV15+'[5]TB-5'!BV15+'[5]TB-6'!BV15+'[5]TB-7'!BV15+'[5]TB-8'!BV15+'[5]TB-9'!BV15+'[5]TB-10'!BV15+'[6]DSV-1'!BV15+'[6]DSV-2'!BV15+'[6]DSV-3'!BV15+'[7]TUB-1'!BV15+'[7]TUB-2'!BV15+'[8]Barge-1'!BV15+'[8]Barge-2'!BV15+'[8]Barge-3'!BV15+'[8]Barge-4'!BV15</f>
        <v>137.47884940778343</v>
      </c>
      <c r="Q15" s="180">
        <f>'[2]AHTS-1'!CR15+'[2]AHTS-2'!CR15+'[2]AHTS-3'!CR15+'[2]AHTS-4'!CR15+'[2]AHTS-5'!CR15+'[2]AHTS-6'!CR15+'[2]AHTS-7'!CR15+'[2]AHTS-8'!CR15+'[3]CB-1'!CR15+'[3]CB-2'!CR15+'[3]CB-3'!CR15+'[3]CB-4'!CR15+'[3]CB-5'!CR15+'[3]CB-6'!CR15+'[3]CB-7'!CR15+'[3]CB-8'!CR15+'[3]CB-9'!CR15+'[3]CB-10'!CR15+'[3]CB-11'!CR15+'[3]CB-12'!CR15+'[3]CB-13'!CR15+'[3]CB-14'!CR15+'[3]CB-15'!CR15+'[3]CB-16'!CR15+'[3]CB-17'!CR15+'[3]CB-18'!CR15+'[3]CB-19'!CR15+'[3]CB-20'!CR15+'[3]CB-21'!CR15+'[3]CB-22'!CR15+'[3]CB-23'!CR15+'[3]CB-24'!CR15+'[4]LCT-1'!CR15+'[4]LCT-2'!CR15+'[4]LCT-3'!CR15+'[4]LCT-4'!CR15+'[4]LCT-5'!CR15+'[4]LCT-6'!CR15+'[4]LCT-7'!CR15+'[4]LCT-8'!CR15+'[5]TB-1'!CR15+'[5]TB-2'!CR15+'[5]TB-3'!CR15+'[5]TB-4'!CR15+'[5]TB-5'!CR15+'[5]TB-6'!CR15+'[5]TB-7'!CR15+'[5]TB-8'!CR15+'[5]TB-9'!CR15+'[5]TB-10'!CR15+'[6]DSV-1'!CR15+'[6]DSV-2'!CR15+'[6]DSV-3'!CR15+'[7]TUB-1'!CR15+'[7]TUB-2'!CR15+'[8]Barge-1'!CR15+'[8]Barge-2'!CR15+'[8]Barge-3'!CR15+'[8]Barge-4'!CR15</f>
        <v>0</v>
      </c>
      <c r="R15" s="183">
        <f>'[2]AHTS-1'!BA15+'[2]AHTS-2'!BA15+'[2]AHTS-3'!BA15+'[2]AHTS-4'!BA15+'[2]AHTS-5'!BA15+'[2]AHTS-6'!BA15+'[2]AHTS-7'!BA15+'[2]AHTS-8'!BA15+'[3]CB-1'!BA15+'[3]CB-2'!BA15+'[3]CB-3'!BA15+'[3]CB-4'!BA15+'[3]CB-5'!BA15+'[3]CB-6'!BA15+'[3]CB-7'!BA15+'[3]CB-8'!BA15+'[3]CB-9'!BA15+'[3]CB-10'!BA15+'[3]CB-11'!BA15+'[3]CB-12'!BA15+'[3]CB-13'!BA15+'[3]CB-14'!BA15+'[3]CB-15'!BA15+'[3]CB-16'!BA15+'[3]CB-17'!BA15+'[3]CB-18'!BA15+'[3]CB-19'!BA15+'[3]CB-20'!BA15+'[3]CB-21'!BA15+'[3]CB-22'!BA15+'[3]CB-23'!BA15+'[3]CB-24'!BA15+'[4]LCT-1'!BA15+'[4]LCT-2'!BA15+'[4]LCT-3'!BA15+'[4]LCT-4'!BA15+'[4]LCT-5'!BA15+'[4]LCT-6'!BA15+'[4]LCT-7'!BA15+'[4]LCT-8'!BA15+'[5]TB-1'!BA15+'[5]TB-2'!BA15+'[5]TB-3'!BA15+'[5]TB-4'!BA15+'[5]TB-5'!BA15+'[5]TB-6'!BA15+'[5]TB-7'!BA15+'[5]TB-8'!BA15+'[5]TB-9'!BA15+'[5]TB-10'!BA15+'[6]DSV-1'!BA15+'[6]DSV-2'!BA15+'[6]DSV-3'!BA15+'[7]TUB-1'!BA15+'[7]TUB-2'!BA15+'[8]Barge-1'!BA15+'[8]Barge-2'!BA15+'[8]Barge-3'!BA15+'[8]Barge-4'!BA15</f>
        <v>3998.9012267343478</v>
      </c>
      <c r="S15" s="180">
        <f>'[2]AHTS-1'!BW15+'[2]AHTS-2'!BW15+'[2]AHTS-3'!BW15+'[2]AHTS-4'!BW15+'[2]AHTS-5'!BW15+'[2]AHTS-6'!BW15+'[2]AHTS-7'!BW15+'[2]AHTS-8'!BW15+'[3]CB-1'!BW15+'[3]CB-2'!BW15+'[3]CB-3'!BW15+'[3]CB-4'!BW15+'[3]CB-5'!BW15+'[3]CB-6'!BW15+'[3]CB-7'!BW15+'[3]CB-8'!BW15+'[3]CB-9'!BW15+'[3]CB-10'!BW15+'[3]CB-11'!BW15+'[3]CB-12'!BW15+'[3]CB-13'!BW15+'[3]CB-14'!BW15+'[3]CB-15'!BW15+'[3]CB-16'!BW15+'[3]CB-17'!BW15+'[3]CB-18'!BW15+'[3]CB-19'!BW15+'[3]CB-20'!BW15+'[3]CB-21'!BW15+'[3]CB-22'!BW15+'[3]CB-23'!BW15+'[3]CB-24'!BW15+'[4]LCT-1'!BW15+'[4]LCT-2'!BW15+'[4]LCT-3'!BW15+'[4]LCT-4'!BW15+'[4]LCT-5'!BW15+'[4]LCT-6'!BW15+'[4]LCT-7'!BW15+'[4]LCT-8'!BW15+'[5]TB-1'!BW15+'[5]TB-2'!BW15+'[5]TB-3'!BW15+'[5]TB-4'!BW15+'[5]TB-5'!BW15+'[5]TB-6'!BW15+'[5]TB-7'!BW15+'[5]TB-8'!BW15+'[5]TB-9'!BW15+'[5]TB-10'!BW15+'[6]DSV-1'!BW15+'[6]DSV-2'!BW15+'[6]DSV-3'!BW15+'[7]TUB-1'!BW15+'[7]TUB-2'!BW15+'[8]Barge-1'!BW15+'[8]Barge-2'!BW15+'[8]Barge-3'!BW15+'[8]Barge-4'!BW15</f>
        <v>5866.1167512690354</v>
      </c>
      <c r="T15" s="184">
        <f>'[2]AHTS-1'!CS15+'[2]AHTS-2'!CS15+'[2]AHTS-3'!CS15+'[2]AHTS-4'!CS15+'[2]AHTS-5'!CS15+'[2]AHTS-6'!CS15+'[2]AHTS-7'!CS15+'[2]AHTS-8'!CS15+'[3]CB-1'!CS15+'[3]CB-2'!CS15+'[3]CB-3'!CS15+'[3]CB-4'!CS15+'[3]CB-5'!CS15+'[3]CB-6'!CS15+'[3]CB-7'!CS15+'[3]CB-8'!CS15+'[3]CB-9'!CS15+'[3]CB-10'!CS15+'[3]CB-11'!CS15+'[3]CB-12'!CS15+'[3]CB-13'!CS15+'[3]CB-14'!CS15+'[3]CB-15'!CS15+'[3]CB-16'!CS15+'[3]CB-17'!CS15+'[3]CB-18'!CS15+'[3]CB-19'!CS15+'[3]CB-20'!CS15+'[3]CB-21'!CS15+'[3]CB-22'!CS15+'[3]CB-23'!CS15+'[3]CB-24'!CS15+'[4]LCT-1'!CS15+'[4]LCT-2'!CS15+'[4]LCT-3'!CS15+'[4]LCT-4'!CS15+'[4]LCT-5'!CS15+'[4]LCT-6'!CS15+'[4]LCT-7'!CS15+'[4]LCT-8'!CS15+'[5]TB-1'!CS15+'[5]TB-2'!CS15+'[5]TB-3'!CS15+'[5]TB-4'!CS15+'[5]TB-5'!CS15+'[5]TB-6'!CS15+'[5]TB-7'!CS15+'[5]TB-8'!CS15+'[5]TB-9'!CS15+'[5]TB-10'!CS15+'[6]DSV-1'!CS15+'[6]DSV-2'!CS15+'[6]DSV-3'!CS15+'[7]TUB-1'!CS15+'[7]TUB-2'!CS15+'[8]Barge-1'!CS15+'[8]Barge-2'!CS15+'[8]Barge-3'!CS15+'[8]Barge-4'!CS15</f>
        <v>0</v>
      </c>
      <c r="U15" s="183">
        <f>'[2]AHTS-1'!BB15+'[2]AHTS-2'!BB15+'[2]AHTS-3'!BB15+'[2]AHTS-4'!BB15+'[2]AHTS-5'!BB15+'[2]AHTS-6'!BB15+'[2]AHTS-7'!BB15+'[2]AHTS-8'!BB15+'[3]CB-1'!BB15+'[3]CB-2'!BB15+'[3]CB-3'!BB15+'[3]CB-4'!BB15+'[3]CB-5'!BB15+'[3]CB-6'!BB15+'[3]CB-7'!BB15+'[3]CB-8'!BB15+'[3]CB-9'!BB15+'[3]CB-10'!BB15+'[3]CB-11'!BB15+'[3]CB-12'!BB15+'[3]CB-13'!BB15+'[3]CB-14'!BB15+'[3]CB-15'!BB15+'[3]CB-16'!BB15+'[3]CB-17'!BB15+'[3]CB-18'!BB15+'[3]CB-19'!BB15+'[3]CB-20'!BB15+'[3]CB-21'!BB15+'[3]CB-22'!BB15+'[3]CB-23'!BB15+'[3]CB-24'!BB15+'[4]LCT-1'!BB15+'[4]LCT-2'!BB15+'[4]LCT-3'!BB15+'[4]LCT-4'!BB15+'[4]LCT-5'!BB15+'[4]LCT-6'!BB15+'[4]LCT-7'!BB15+'[4]LCT-8'!BB15+'[5]TB-1'!BB15+'[5]TB-2'!BB15+'[5]TB-3'!BB15+'[5]TB-4'!BB15+'[5]TB-5'!BB15+'[5]TB-6'!BB15+'[5]TB-7'!BB15+'[5]TB-8'!BB15+'[5]TB-9'!BB15+'[5]TB-10'!BB15+'[6]DSV-1'!BB15+'[6]DSV-2'!BB15+'[6]DSV-3'!BB15+'[7]TUB-1'!BB15+'[7]TUB-2'!BB15+'[8]Barge-1'!BB15+'[8]Barge-2'!BB15+'[8]Barge-3'!BB15+'[8]Barge-4'!BB15</f>
        <v>0</v>
      </c>
      <c r="V15" s="180">
        <f>'[2]AHTS-1'!BX15+'[2]AHTS-2'!BX15+'[2]AHTS-3'!BX15+'[2]AHTS-4'!BX15+'[2]AHTS-5'!BX15+'[2]AHTS-6'!BX15+'[2]AHTS-7'!BX15+'[2]AHTS-8'!BX15+'[3]CB-1'!BX15+'[3]CB-2'!BX15+'[3]CB-3'!BX15+'[3]CB-4'!BX15+'[3]CB-5'!BX15+'[3]CB-6'!BX15+'[3]CB-7'!BX15+'[3]CB-8'!BX15+'[3]CB-9'!BX15+'[3]CB-10'!BX15+'[3]CB-11'!BX15+'[3]CB-12'!BX15+'[3]CB-13'!BX15+'[3]CB-14'!BX15+'[3]CB-15'!BX15+'[3]CB-16'!BX15+'[3]CB-17'!BX15+'[3]CB-18'!BX15+'[3]CB-19'!BX15+'[3]CB-20'!BX15+'[3]CB-21'!BX15+'[3]CB-22'!BX15+'[3]CB-23'!BX15+'[3]CB-24'!BX15+'[4]LCT-1'!BX15+'[4]LCT-2'!BX15+'[4]LCT-3'!BX15+'[4]LCT-4'!BX15+'[4]LCT-5'!BX15+'[4]LCT-6'!BX15+'[4]LCT-7'!BX15+'[4]LCT-8'!BX15+'[5]TB-1'!BX15+'[5]TB-2'!BX15+'[5]TB-3'!BX15+'[5]TB-4'!BX15+'[5]TB-5'!BX15+'[5]TB-6'!BX15+'[5]TB-7'!BX15+'[5]TB-8'!BX15+'[5]TB-9'!BX15+'[5]TB-10'!BX15+'[6]DSV-1'!BX15+'[6]DSV-2'!BX15+'[6]DSV-3'!BX15+'[7]TUB-1'!BX15+'[7]TUB-2'!BX15+'[8]Barge-1'!BX15+'[8]Barge-2'!BX15+'[8]Barge-3'!BX15+'[8]Barge-4'!BX15</f>
        <v>0</v>
      </c>
      <c r="W15" s="184">
        <f>'[2]AHTS-1'!CT15+'[2]AHTS-2'!CT15+'[2]AHTS-3'!CT15+'[2]AHTS-4'!CT15+'[2]AHTS-5'!CT15+'[2]AHTS-6'!CT15+'[2]AHTS-7'!CT15+'[2]AHTS-8'!CT15+'[3]CB-1'!CT15+'[3]CB-2'!CT15+'[3]CB-3'!CT15+'[3]CB-4'!CT15+'[3]CB-5'!CT15+'[3]CB-6'!CT15+'[3]CB-7'!CT15+'[3]CB-8'!CT15+'[3]CB-9'!CT15+'[3]CB-10'!CT15+'[3]CB-11'!CT15+'[3]CB-12'!CT15+'[3]CB-13'!CT15+'[3]CB-14'!CT15+'[3]CB-15'!CT15+'[3]CB-16'!CT15+'[3]CB-17'!CT15+'[3]CB-18'!CT15+'[3]CB-19'!CT15+'[3]CB-20'!CT15+'[3]CB-21'!CT15+'[3]CB-22'!CT15+'[3]CB-23'!CT15+'[3]CB-24'!CT15+'[4]LCT-1'!CT15+'[4]LCT-2'!CT15+'[4]LCT-3'!CT15+'[4]LCT-4'!CT15+'[4]LCT-5'!CT15+'[4]LCT-6'!CT15+'[4]LCT-7'!CT15+'[4]LCT-8'!CT15+'[5]TB-1'!CT15+'[5]TB-2'!CT15+'[5]TB-3'!CT15+'[5]TB-4'!CT15+'[5]TB-5'!CT15+'[5]TB-6'!CT15+'[5]TB-7'!CT15+'[5]TB-8'!CT15+'[5]TB-9'!CT15+'[5]TB-10'!CT15+'[6]DSV-1'!CT15+'[6]DSV-2'!CT15+'[6]DSV-3'!CT15+'[7]TUB-1'!CT15+'[7]TUB-2'!CT15+'[8]Barge-1'!CT15+'[8]Barge-2'!CT15+'[8]Barge-3'!CT15+'[8]Barge-4'!CT15</f>
        <v>0</v>
      </c>
      <c r="X15" s="67"/>
      <c r="Y15" s="67"/>
      <c r="Z15" s="68"/>
      <c r="AA15" s="111">
        <f>[1]Control!AZ15</f>
        <v>45990</v>
      </c>
      <c r="AB15" s="66"/>
      <c r="AC15" s="132">
        <f>'[2]AHTS-1'!IC53+'[2]AHTS-2'!IC53+'[2]AHTS-3'!IC53+'[2]AHTS-4'!IC53+'[2]AHTS-5'!IC53+'[2]AHTS-6'!IC53+'[2]AHTS-7'!IC53+'[2]AHTS-8'!IC53+'[3]CB-1'!IC53+'[3]CB-2'!IC53+'[3]CB-3'!IC53+'[3]CB-4'!IC53+'[3]CB-5'!IC53+'[3]CB-6'!IC53+'[3]CB-7'!IC53+'[3]CB-8'!IC53+'[3]CB-9'!IC53+'[3]CB-10'!IC53+'[3]CB-11'!IC53+'[3]CB-12'!IC53+'[3]CB-13'!IC53+'[3]CB-14'!IC53+'[3]CB-15'!IC53+'[3]CB-16'!IC53+'[3]CB-17'!IC53+'[3]CB-18'!IC53+'[3]CB-19'!IC53+'[3]CB-20'!IC53+'[3]CB-21'!IC53+'[3]CB-22'!IC53+'[3]CB-23'!IC53+'[3]CB-24'!IC53+'[4]LCT-1'!IC53+'[4]LCT-2'!IC53+'[4]LCT-3'!IC53+'[4]LCT-4'!IC53+'[4]LCT-5'!IC53+'[4]LCT-6'!IC53+'[4]LCT-7'!IC53+'[4]LCT-8'!IC53+'[5]TB-1'!IC53+'[5]TB-2'!IC53+'[5]TB-3'!IC53+'[5]TB-4'!IC53+'[5]TB-5'!IC53+'[5]TB-6'!IC53+'[5]TB-7'!IC53+'[5]TB-8'!IC53+'[5]TB-9'!IC53+'[5]TB-10'!IC53+'[6]DSV-1'!IC53+'[6]DSV-2'!IC53+'[6]DSV-3'!IC53+'[7]TUB-1'!IC53+'[7]TUB-2'!IC53+'[8]Barge-1'!IC53+'[8]Barge-2'!IC53+'[8]Barge-3'!IC53+'[8]Barge-4'!IC53</f>
        <v>0</v>
      </c>
      <c r="AD15" s="133">
        <f>'[2]AHTS-1'!IC15+'[2]AHTS-2'!IC15+'[2]AHTS-3'!IC15+'[2]AHTS-4'!IC15+'[2]AHTS-5'!IC15+'[2]AHTS-6'!IC15+'[2]AHTS-7'!IC15+'[2]AHTS-8'!IC15+'[3]CB-1'!IC15+'[3]CB-2'!IC15+'[3]CB-3'!IC15+'[3]CB-4'!IC15+'[3]CB-5'!IC15+'[3]CB-6'!IC15+'[3]CB-7'!IC15+'[3]CB-8'!IC15+'[3]CB-9'!IC15+'[3]CB-10'!IC15+'[3]CB-11'!IC15+'[3]CB-12'!IC15+'[3]CB-13'!IC15+'[3]CB-14'!IC15+'[3]CB-15'!IC15+'[3]CB-16'!IC15+'[3]CB-17'!IC15+'[3]CB-18'!IC15+'[3]CB-19'!IC15+'[3]CB-20'!IC15+'[3]CB-21'!IC15+'[3]CB-22'!IC15+'[3]CB-23'!IC15+'[3]CB-24'!IC15+'[4]LCT-1'!IC15+'[4]LCT-2'!IC15+'[4]LCT-3'!IC15+'[4]LCT-4'!IC15+'[4]LCT-5'!IC15+'[4]LCT-6'!IC15+'[4]LCT-7'!IC15+'[4]LCT-8'!IC15+'[5]TB-1'!IC15+'[5]TB-2'!IC15+'[5]TB-3'!IC15+'[5]TB-4'!IC15+'[5]TB-5'!IC15+'[5]TB-6'!IC15+'[5]TB-7'!IC15+'[5]TB-8'!IC15+'[5]TB-9'!IC15+'[5]TB-10'!IC15+'[6]DSV-1'!IC15+'[6]DSV-2'!IC15+'[6]DSV-3'!IC15+'[7]TUB-1'!IC15+'[7]TUB-2'!IC15+'[8]Barge-1'!IC15+'[8]Barge-2'!IC15+'[8]Barge-3'!IC15+'[8]Barge-4'!IC15</f>
        <v>0</v>
      </c>
      <c r="AE15" s="134">
        <f>'[2]AHTS-1'!IC86+'[2]AHTS-2'!IC86+'[2]AHTS-3'!IC86+'[2]AHTS-4'!IC86+'[2]AHTS-5'!IC86+'[2]AHTS-6'!IC86+'[2]AHTS-7'!IC86+'[2]AHTS-8'!IC86+'[3]CB-1'!IC86+'[3]CB-2'!IC86+'[3]CB-3'!IC86+'[3]CB-4'!IC86+'[3]CB-5'!IC86+'[3]CB-6'!IC86+'[3]CB-7'!IC86+'[3]CB-8'!IC86+'[3]CB-9'!IC86+'[3]CB-10'!IC86+'[3]CB-11'!IC86+'[3]CB-12'!IC86+'[3]CB-13'!IC86+'[3]CB-14'!IC86+'[3]CB-15'!IC86+'[3]CB-16'!IC86+'[3]CB-17'!IC86+'[3]CB-18'!IC86+'[3]CB-19'!IC86+'[3]CB-20'!IC86+'[3]CB-21'!IC86+'[3]CB-22'!IC86+'[3]CB-23'!IC86+'[3]CB-24'!IC86+'[4]LCT-1'!IC86+'[4]LCT-2'!IC86+'[4]LCT-3'!IC86+'[4]LCT-4'!IC86+'[4]LCT-5'!IC86+'[4]LCT-6'!IC86+'[4]LCT-7'!IC86+'[4]LCT-8'!IC86+'[5]TB-1'!IC86+'[5]TB-2'!IC86+'[5]TB-3'!IC86+'[5]TB-4'!IC86+'[5]TB-5'!IC86+'[5]TB-6'!IC86+'[5]TB-7'!IC86+'[5]TB-8'!IC86+'[5]TB-9'!IC86+'[5]TB-10'!IC86+'[6]DSV-1'!IC86+'[6]DSV-2'!IC86+'[6]DSV-3'!IC86+'[7]TUB-1'!IC86+'[7]TUB-2'!IC86+'[8]Barge-1'!IC86+'[8]Barge-2'!IC86+'[8]Barge-3'!IC86+'[8]Barge-4'!IC86</f>
        <v>0</v>
      </c>
      <c r="AF15" s="135">
        <f>'[2]AHTS-1'!ID53+'[2]AHTS-2'!ID53+'[2]AHTS-3'!ID53+'[2]AHTS-4'!ID53+'[2]AHTS-5'!ID53+'[2]AHTS-6'!ID53+'[2]AHTS-7'!ID53+'[2]AHTS-8'!ID53+'[3]CB-1'!ID53+'[3]CB-2'!ID53+'[3]CB-3'!ID53+'[3]CB-4'!ID53+'[3]CB-5'!ID53+'[3]CB-6'!ID53+'[3]CB-7'!ID53+'[3]CB-8'!ID53+'[3]CB-9'!ID53+'[3]CB-10'!ID53+'[3]CB-11'!ID53+'[3]CB-12'!ID53+'[3]CB-13'!ID53+'[3]CB-14'!ID53+'[3]CB-15'!ID53+'[3]CB-16'!ID53+'[3]CB-17'!ID53+'[3]CB-18'!ID53+'[3]CB-19'!ID53+'[3]CB-20'!ID53+'[3]CB-21'!ID53+'[3]CB-22'!ID53+'[3]CB-23'!ID53+'[3]CB-24'!ID53+'[4]LCT-1'!ID53+'[4]LCT-2'!ID53+'[4]LCT-3'!ID53+'[4]LCT-4'!ID53+'[4]LCT-5'!ID53+'[4]LCT-6'!ID53+'[4]LCT-7'!ID53+'[4]LCT-8'!ID53+'[5]TB-1'!ID53+'[5]TB-2'!ID53+'[5]TB-3'!ID53+'[5]TB-4'!ID53+'[5]TB-5'!ID53+'[5]TB-6'!ID53+'[5]TB-7'!ID53+'[5]TB-8'!ID53+'[5]TB-9'!ID53+'[5]TB-10'!ID53+'[6]DSV-1'!ID53+'[6]DSV-2'!ID53+'[6]DSV-3'!ID53+'[7]TUB-1'!ID53+'[7]TUB-2'!ID53+'[8]Barge-1'!ID53+'[8]Barge-2'!ID53+'[8]Barge-3'!ID53+'[8]Barge-4'!ID53</f>
        <v>45246916.666666664</v>
      </c>
      <c r="AG15" s="136">
        <f>'[2]AHTS-1'!ID15+'[2]AHTS-2'!ID15+'[2]AHTS-3'!ID15+'[2]AHTS-4'!ID15+'[2]AHTS-5'!ID15+'[2]AHTS-6'!ID15+'[2]AHTS-7'!ID15+'[2]AHTS-8'!ID15+'[3]CB-1'!ID15+'[3]CB-2'!ID15+'[3]CB-3'!ID15+'[3]CB-4'!ID15+'[3]CB-5'!ID15+'[3]CB-6'!ID15+'[3]CB-7'!ID15+'[3]CB-8'!ID15+'[3]CB-9'!ID15+'[3]CB-10'!ID15+'[3]CB-11'!ID15+'[3]CB-12'!ID15+'[3]CB-13'!ID15+'[3]CB-14'!ID15+'[3]CB-15'!ID15+'[3]CB-16'!ID15+'[3]CB-17'!ID15+'[3]CB-18'!ID15+'[3]CB-19'!ID15+'[3]CB-20'!ID15+'[3]CB-21'!ID15+'[3]CB-22'!ID15+'[3]CB-23'!ID15+'[3]CB-24'!ID15+'[4]LCT-1'!ID15+'[4]LCT-2'!ID15+'[4]LCT-3'!ID15+'[4]LCT-4'!ID15+'[4]LCT-5'!ID15+'[4]LCT-6'!ID15+'[4]LCT-7'!ID15+'[4]LCT-8'!ID15+'[5]TB-1'!ID15+'[5]TB-2'!ID15+'[5]TB-3'!ID15+'[5]TB-4'!ID15+'[5]TB-5'!ID15+'[5]TB-6'!ID15+'[5]TB-7'!ID15+'[5]TB-8'!ID15+'[5]TB-9'!ID15+'[5]TB-10'!ID15+'[6]DSV-1'!ID15+'[6]DSV-2'!ID15+'[6]DSV-3'!ID15+'[7]TUB-1'!ID15+'[7]TUB-2'!ID15+'[8]Barge-1'!ID15+'[8]Barge-2'!ID15+'[8]Barge-3'!ID15+'[8]Barge-4'!ID15</f>
        <v>46287500</v>
      </c>
      <c r="AH15" s="136">
        <f>'[2]AHTS-1'!ID86+'[2]AHTS-2'!ID86+'[2]AHTS-3'!ID86+'[2]AHTS-4'!ID86+'[2]AHTS-5'!ID86+'[2]AHTS-6'!ID86+'[2]AHTS-7'!ID86+'[2]AHTS-8'!ID86+'[3]CB-1'!ID86+'[3]CB-2'!ID86+'[3]CB-3'!ID86+'[3]CB-4'!ID86+'[3]CB-5'!ID86+'[3]CB-6'!ID86+'[3]CB-7'!ID86+'[3]CB-8'!ID86+'[3]CB-9'!ID86+'[3]CB-10'!ID86+'[3]CB-11'!ID86+'[3]CB-12'!ID86+'[3]CB-13'!ID86+'[3]CB-14'!ID86+'[3]CB-15'!ID86+'[3]CB-16'!ID86+'[3]CB-17'!ID86+'[3]CB-18'!ID86+'[3]CB-19'!ID86+'[3]CB-20'!ID86+'[3]CB-21'!ID86+'[3]CB-22'!ID86+'[3]CB-23'!ID86+'[3]CB-24'!ID86+'[4]LCT-1'!ID86+'[4]LCT-2'!ID86+'[4]LCT-3'!ID86+'[4]LCT-4'!ID86+'[4]LCT-5'!ID86+'[4]LCT-6'!ID86+'[4]LCT-7'!ID86+'[4]LCT-8'!ID86+'[5]TB-1'!ID86+'[5]TB-2'!ID86+'[5]TB-3'!ID86+'[5]TB-4'!ID86+'[5]TB-5'!ID86+'[5]TB-6'!ID86+'[5]TB-7'!ID86+'[5]TB-8'!ID86+'[5]TB-9'!ID86+'[5]TB-10'!ID86+'[6]DSV-1'!ID86+'[6]DSV-2'!ID86+'[6]DSV-3'!ID86+'[7]TUB-1'!ID86+'[7]TUB-2'!ID86+'[8]Barge-1'!ID86+'[8]Barge-2'!ID86+'[8]Barge-3'!ID86+'[8]Barge-4'!ID86</f>
        <v>0</v>
      </c>
      <c r="AI15" s="135">
        <f>'[2]AHTS-1'!IE53+'[2]AHTS-2'!IE53+'[2]AHTS-3'!IE53+'[2]AHTS-4'!IE53+'[2]AHTS-5'!IE53+'[2]AHTS-6'!IE53+'[2]AHTS-7'!IE53+'[2]AHTS-8'!IE53+'[3]CB-1'!IE53+'[3]CB-2'!IE53+'[3]CB-3'!IE53+'[3]CB-4'!IE53+'[3]CB-5'!IE53+'[3]CB-6'!IE53+'[3]CB-7'!IE53+'[3]CB-8'!IE53+'[3]CB-9'!IE53+'[3]CB-10'!IE53+'[3]CB-11'!IE53+'[3]CB-12'!IE53+'[3]CB-13'!IE53+'[3]CB-14'!IE53+'[3]CB-15'!IE53+'[3]CB-16'!IE53+'[3]CB-17'!IE53+'[3]CB-18'!IE53+'[3]CB-19'!IE53+'[3]CB-20'!IE53+'[3]CB-21'!IE53+'[3]CB-22'!IE53+'[3]CB-23'!IE53+'[3]CB-24'!IE53+'[4]LCT-1'!IE53+'[4]LCT-2'!IE53+'[4]LCT-3'!IE53+'[4]LCT-4'!IE53+'[4]LCT-5'!IE53+'[4]LCT-6'!IE53+'[4]LCT-7'!IE53+'[4]LCT-8'!IE53+'[5]TB-1'!IE53+'[5]TB-2'!IE53+'[5]TB-3'!IE53+'[5]TB-4'!IE53+'[5]TB-5'!IE53+'[5]TB-6'!IE53+'[5]TB-7'!IE53+'[5]TB-8'!IE53+'[5]TB-9'!IE53+'[5]TB-10'!IE53+'[6]DSV-1'!IE53+'[6]DSV-2'!IE53+'[6]DSV-3'!IE53+'[7]TUB-1'!IE53+'[7]TUB-2'!IE53+'[8]Barge-1'!IE53+'[8]Barge-2'!IE53+'[8]Barge-3'!IE53+'[8]Barge-4'!IE53</f>
        <v>21615877.777777776</v>
      </c>
      <c r="AJ15" s="136">
        <f>'[2]AHTS-1'!IE15+'[2]AHTS-2'!IE15+'[2]AHTS-3'!IE15+'[2]AHTS-4'!IE15+'[2]AHTS-5'!IE15+'[2]AHTS-6'!IE15+'[2]AHTS-7'!IE15+'[2]AHTS-8'!IE15+'[3]CB-1'!IE15+'[3]CB-2'!IE15+'[3]CB-3'!IE15+'[3]CB-4'!IE15+'[3]CB-5'!IE15+'[3]CB-6'!IE15+'[3]CB-7'!IE15+'[3]CB-8'!IE15+'[3]CB-9'!IE15+'[3]CB-10'!IE15+'[3]CB-11'!IE15+'[3]CB-12'!IE15+'[3]CB-13'!IE15+'[3]CB-14'!IE15+'[3]CB-15'!IE15+'[3]CB-16'!IE15+'[3]CB-17'!IE15+'[3]CB-18'!IE15+'[3]CB-19'!IE15+'[3]CB-20'!IE15+'[3]CB-21'!IE15+'[3]CB-22'!IE15+'[3]CB-23'!IE15+'[3]CB-24'!IE15+'[4]LCT-1'!IE15+'[4]LCT-2'!IE15+'[4]LCT-3'!IE15+'[4]LCT-4'!IE15+'[4]LCT-5'!IE15+'[4]LCT-6'!IE15+'[4]LCT-7'!IE15+'[4]LCT-8'!IE15+'[5]TB-1'!IE15+'[5]TB-2'!IE15+'[5]TB-3'!IE15+'[5]TB-4'!IE15+'[5]TB-5'!IE15+'[5]TB-6'!IE15+'[5]TB-7'!IE15+'[5]TB-8'!IE15+'[5]TB-9'!IE15+'[5]TB-10'!IE15+'[6]DSV-1'!IE15+'[6]DSV-2'!IE15+'[6]DSV-3'!IE15+'[7]TUB-1'!IE15+'[7]TUB-2'!IE15+'[8]Barge-1'!IE15+'[8]Barge-2'!IE15+'[8]Barge-3'!IE15+'[8]Barge-4'!IE15</f>
        <v>18166666.666666664</v>
      </c>
      <c r="AK15" s="136">
        <f>'[2]AHTS-1'!IE86+'[2]AHTS-2'!IE86+'[2]AHTS-3'!IE86+'[2]AHTS-4'!IE86+'[2]AHTS-5'!IE86+'[2]AHTS-6'!IE86+'[2]AHTS-7'!IE86+'[2]AHTS-8'!IE86+'[3]CB-1'!IE86+'[3]CB-2'!IE86+'[3]CB-3'!IE86+'[3]CB-4'!IE86+'[3]CB-5'!IE86+'[3]CB-6'!IE86+'[3]CB-7'!IE86+'[3]CB-8'!IE86+'[3]CB-9'!IE86+'[3]CB-10'!IE86+'[3]CB-11'!IE86+'[3]CB-12'!IE86+'[3]CB-13'!IE86+'[3]CB-14'!IE86+'[3]CB-15'!IE86+'[3]CB-16'!IE86+'[3]CB-17'!IE86+'[3]CB-18'!IE86+'[3]CB-19'!IE86+'[3]CB-20'!IE86+'[3]CB-21'!IE86+'[3]CB-22'!IE86+'[3]CB-23'!IE86+'[3]CB-24'!IE86+'[4]LCT-1'!IE86+'[4]LCT-2'!IE86+'[4]LCT-3'!IE86+'[4]LCT-4'!IE86+'[4]LCT-5'!IE86+'[4]LCT-6'!IE86+'[4]LCT-7'!IE86+'[4]LCT-8'!IE86+'[5]TB-1'!IE86+'[5]TB-2'!IE86+'[5]TB-3'!IE86+'[5]TB-4'!IE86+'[5]TB-5'!IE86+'[5]TB-6'!IE86+'[5]TB-7'!IE86+'[5]TB-8'!IE86+'[5]TB-9'!IE86+'[5]TB-10'!IE86+'[6]DSV-1'!IE86+'[6]DSV-2'!IE86+'[6]DSV-3'!IE86+'[7]TUB-1'!IE86+'[7]TUB-2'!IE86+'[8]Barge-1'!IE86+'[8]Barge-2'!IE86+'[8]Barge-3'!IE86+'[8]Barge-4'!IE86</f>
        <v>0</v>
      </c>
      <c r="AL15" s="137">
        <f>'[2]AHTS-1'!IF53+'[2]AHTS-2'!IF53+'[2]AHTS-3'!IF53+'[2]AHTS-4'!IF53+'[2]AHTS-5'!IF53+'[2]AHTS-6'!IF53+'[2]AHTS-7'!IF53+'[2]AHTS-8'!IF53+'[3]CB-1'!IF53+'[3]CB-2'!IF53+'[3]CB-3'!IF53+'[3]CB-4'!IF53+'[3]CB-5'!IF53+'[3]CB-6'!IF53+'[3]CB-7'!IF53+'[3]CB-8'!IF53+'[3]CB-9'!IF53+'[3]CB-10'!IF53+'[3]CB-11'!IF53+'[3]CB-12'!IF53+'[3]CB-13'!IF53+'[3]CB-14'!IF53+'[3]CB-15'!IF53+'[3]CB-16'!IF53+'[3]CB-17'!IF53+'[3]CB-18'!IF53+'[3]CB-19'!IF53+'[3]CB-20'!IF53+'[3]CB-21'!IF53+'[3]CB-22'!IF53+'[3]CB-23'!IF53+'[3]CB-24'!IF53+'[4]LCT-1'!IF53+'[4]LCT-2'!IF53+'[4]LCT-3'!IF53+'[4]LCT-4'!IF53+'[4]LCT-5'!IF53+'[4]LCT-6'!IF53+'[4]LCT-7'!IF53+'[4]LCT-8'!IF53+'[5]TB-1'!IF53+'[5]TB-2'!IF53+'[5]TB-3'!IF53+'[5]TB-4'!IF53+'[5]TB-5'!IF53+'[5]TB-6'!IF53+'[5]TB-7'!IF53+'[5]TB-8'!IF53+'[5]TB-9'!IF53+'[5]TB-10'!IF53+'[6]DSV-1'!IF53+'[6]DSV-2'!IF53+'[6]DSV-3'!IF53+'[7]TUB-1'!IF53+'[7]TUB-2'!IF53+'[8]Barge-1'!IF53+'[8]Barge-2'!IF53+'[8]Barge-3'!IF53+'[8]Barge-4'!IF53</f>
        <v>43195866.666666664</v>
      </c>
      <c r="AM15" s="138">
        <f>'[2]AHTS-1'!IF15+'[2]AHTS-2'!IF15+'[2]AHTS-3'!IF15+'[2]AHTS-4'!IF15+'[2]AHTS-5'!IF15+'[2]AHTS-6'!IF15+'[2]AHTS-7'!IF15+'[2]AHTS-8'!IF15+'[3]CB-1'!IF15+'[3]CB-2'!IF15+'[3]CB-3'!IF15+'[3]CB-4'!IF15+'[3]CB-5'!IF15+'[3]CB-6'!IF15+'[3]CB-7'!IF15+'[3]CB-8'!IF15+'[3]CB-9'!IF15+'[3]CB-10'!IF15+'[3]CB-11'!IF15+'[3]CB-12'!IF15+'[3]CB-13'!IF15+'[3]CB-14'!IF15+'[3]CB-15'!IF15+'[3]CB-16'!IF15+'[3]CB-17'!IF15+'[3]CB-18'!IF15+'[3]CB-19'!IF15+'[3]CB-20'!IF15+'[3]CB-21'!IF15+'[3]CB-22'!IF15+'[3]CB-23'!IF15+'[3]CB-24'!IF15+'[4]LCT-1'!IF15+'[4]LCT-2'!IF15+'[4]LCT-3'!IF15+'[4]LCT-4'!IF15+'[4]LCT-5'!IF15+'[4]LCT-6'!IF15+'[4]LCT-7'!IF15+'[4]LCT-8'!IF15+'[5]TB-1'!IF15+'[5]TB-2'!IF15+'[5]TB-3'!IF15+'[5]TB-4'!IF15+'[5]TB-5'!IF15+'[5]TB-6'!IF15+'[5]TB-7'!IF15+'[5]TB-8'!IF15+'[5]TB-9'!IF15+'[5]TB-10'!IF15+'[6]DSV-1'!IF15+'[6]DSV-2'!IF15+'[6]DSV-3'!IF15+'[7]TUB-1'!IF15+'[7]TUB-2'!IF15+'[8]Barge-1'!IF15+'[8]Barge-2'!IF15+'[8]Barge-3'!IF15+'[8]Barge-4'!IF15</f>
        <v>65366666.666666664</v>
      </c>
      <c r="AN15" s="138">
        <f>'[2]AHTS-1'!IF86+'[2]AHTS-2'!IF86+'[2]AHTS-3'!IF86+'[2]AHTS-4'!IF86+'[2]AHTS-5'!IF86+'[2]AHTS-6'!IF86+'[2]AHTS-7'!IF86+'[2]AHTS-8'!IF86+'[3]CB-1'!IF86+'[3]CB-2'!IF86+'[3]CB-3'!IF86+'[3]CB-4'!IF86+'[3]CB-5'!IF86+'[3]CB-6'!IF86+'[3]CB-7'!IF86+'[3]CB-8'!IF86+'[3]CB-9'!IF86+'[3]CB-10'!IF86+'[3]CB-11'!IF86+'[3]CB-12'!IF86+'[3]CB-13'!IF86+'[3]CB-14'!IF86+'[3]CB-15'!IF86+'[3]CB-16'!IF86+'[3]CB-17'!IF86+'[3]CB-18'!IF86+'[3]CB-19'!IF86+'[3]CB-20'!IF86+'[3]CB-21'!IF86+'[3]CB-22'!IF86+'[3]CB-23'!IF86+'[3]CB-24'!IF86+'[4]LCT-1'!IF86+'[4]LCT-2'!IF86+'[4]LCT-3'!IF86+'[4]LCT-4'!IF86+'[4]LCT-5'!IF86+'[4]LCT-6'!IF86+'[4]LCT-7'!IF86+'[4]LCT-8'!IF86+'[5]TB-1'!IF86+'[5]TB-2'!IF86+'[5]TB-3'!IF86+'[5]TB-4'!IF86+'[5]TB-5'!IF86+'[5]TB-6'!IF86+'[5]TB-7'!IF86+'[5]TB-8'!IF86+'[5]TB-9'!IF86+'[5]TB-10'!IF86+'[6]DSV-1'!IF86+'[6]DSV-2'!IF86+'[6]DSV-3'!IF86+'[7]TUB-1'!IF86+'[7]TUB-2'!IF86+'[8]Barge-1'!IF86+'[8]Barge-2'!IF86+'[8]Barge-3'!IF86+'[8]Barge-4'!IF86</f>
        <v>0</v>
      </c>
      <c r="AO15" s="135">
        <f>'[2]AHTS-1'!IG53+'[2]AHTS-2'!IG53+'[2]AHTS-3'!IG53+'[2]AHTS-4'!IG53+'[2]AHTS-5'!IG53+'[2]AHTS-6'!IG53+'[2]AHTS-7'!IG53+'[2]AHTS-8'!IG53+'[3]CB-1'!IG53+'[3]CB-2'!IG53+'[3]CB-3'!IG53+'[3]CB-4'!IG53+'[3]CB-5'!IG53+'[3]CB-6'!IG53+'[3]CB-7'!IG53+'[3]CB-8'!IG53+'[3]CB-9'!IG53+'[3]CB-10'!IG53+'[3]CB-11'!IG53+'[3]CB-12'!IG53+'[3]CB-13'!IG53+'[3]CB-14'!IG53+'[3]CB-15'!IG53+'[3]CB-16'!IG53+'[3]CB-17'!IG53+'[3]CB-18'!IG53+'[3]CB-19'!IG53+'[3]CB-20'!IG53+'[3]CB-21'!IG53+'[3]CB-22'!IG53+'[3]CB-23'!IG53+'[3]CB-24'!IG53+'[4]LCT-1'!IG53+'[4]LCT-2'!IG53+'[4]LCT-3'!IG53+'[4]LCT-4'!IG53+'[4]LCT-5'!IG53+'[4]LCT-6'!IG53+'[4]LCT-7'!IG53+'[4]LCT-8'!IG53+'[5]TB-1'!IG53+'[5]TB-2'!IG53+'[5]TB-3'!IG53+'[5]TB-4'!IG53+'[5]TB-5'!IG53+'[5]TB-6'!IG53+'[5]TB-7'!IG53+'[5]TB-8'!IG53+'[5]TB-9'!IG53+'[5]TB-10'!IG53+'[6]DSV-1'!IG53+'[6]DSV-2'!IG53+'[6]DSV-3'!IG53+'[7]TUB-1'!IG53+'[7]TUB-2'!IG53+'[8]Barge-1'!IG53+'[8]Barge-2'!IG53+'[8]Barge-3'!IG53+'[8]Barge-4'!IG53</f>
        <v>640616.66666666663</v>
      </c>
      <c r="AP15" s="136">
        <f>'[2]AHTS-1'!IG15+'[2]AHTS-2'!IG15+'[2]AHTS-3'!IG15+'[2]AHTS-4'!IG15+'[2]AHTS-5'!IG15+'[2]AHTS-6'!IG15+'[2]AHTS-7'!IG15+'[2]AHTS-8'!IG15+'[3]CB-1'!IG15+'[3]CB-2'!IG15+'[3]CB-3'!IG15+'[3]CB-4'!IG15+'[3]CB-5'!IG15+'[3]CB-6'!IG15+'[3]CB-7'!IG15+'[3]CB-8'!IG15+'[3]CB-9'!IG15+'[3]CB-10'!IG15+'[3]CB-11'!IG15+'[3]CB-12'!IG15+'[3]CB-13'!IG15+'[3]CB-14'!IG15+'[3]CB-15'!IG15+'[3]CB-16'!IG15+'[3]CB-17'!IG15+'[3]CB-18'!IG15+'[3]CB-19'!IG15+'[3]CB-20'!IG15+'[3]CB-21'!IG15+'[3]CB-22'!IG15+'[3]CB-23'!IG15+'[3]CB-24'!IG15+'[4]LCT-1'!IG15+'[4]LCT-2'!IG15+'[4]LCT-3'!IG15+'[4]LCT-4'!IG15+'[4]LCT-5'!IG15+'[4]LCT-6'!IG15+'[4]LCT-7'!IG15+'[4]LCT-8'!IG15+'[5]TB-1'!IG15+'[5]TB-2'!IG15+'[5]TB-3'!IG15+'[5]TB-4'!IG15+'[5]TB-5'!IG15+'[5]TB-6'!IG15+'[5]TB-7'!IG15+'[5]TB-8'!IG15+'[5]TB-9'!IG15+'[5]TB-10'!IG15+'[6]DSV-1'!IG15+'[6]DSV-2'!IG15+'[6]DSV-3'!IG15+'[7]TUB-1'!IG15+'[7]TUB-2'!IG15+'[8]Barge-1'!IG15+'[8]Barge-2'!IG15+'[8]Barge-3'!IG15+'[8]Barge-4'!IG15</f>
        <v>2166666.6666666665</v>
      </c>
      <c r="AQ15" s="136">
        <f>'[2]AHTS-1'!IG86+'[2]AHTS-2'!IG86+'[2]AHTS-3'!IG86+'[2]AHTS-4'!IG86+'[2]AHTS-5'!IG86+'[2]AHTS-6'!IG86+'[2]AHTS-7'!IG86+'[2]AHTS-8'!IG86+'[3]CB-1'!IG86+'[3]CB-2'!IG86+'[3]CB-3'!IG86+'[3]CB-4'!IG86+'[3]CB-5'!IG86+'[3]CB-6'!IG86+'[3]CB-7'!IG86+'[3]CB-8'!IG86+'[3]CB-9'!IG86+'[3]CB-10'!IG86+'[3]CB-11'!IG86+'[3]CB-12'!IG86+'[3]CB-13'!IG86+'[3]CB-14'!IG86+'[3]CB-15'!IG86+'[3]CB-16'!IG86+'[3]CB-17'!IG86+'[3]CB-18'!IG86+'[3]CB-19'!IG86+'[3]CB-20'!IG86+'[3]CB-21'!IG86+'[3]CB-22'!IG86+'[3]CB-23'!IG86+'[3]CB-24'!IG86+'[4]LCT-1'!IG86+'[4]LCT-2'!IG86+'[4]LCT-3'!IG86+'[4]LCT-4'!IG86+'[4]LCT-5'!IG86+'[4]LCT-6'!IG86+'[4]LCT-7'!IG86+'[4]LCT-8'!IG86+'[5]TB-1'!IG86+'[5]TB-2'!IG86+'[5]TB-3'!IG86+'[5]TB-4'!IG86+'[5]TB-5'!IG86+'[5]TB-6'!IG86+'[5]TB-7'!IG86+'[5]TB-8'!IG86+'[5]TB-9'!IG86+'[5]TB-10'!IG86+'[6]DSV-1'!IG86+'[6]DSV-2'!IG86+'[6]DSV-3'!IG86+'[7]TUB-1'!IG86+'[7]TUB-2'!IG86+'[8]Barge-1'!IG86+'[8]Barge-2'!IG86+'[8]Barge-3'!IG86+'[8]Barge-4'!IG86</f>
        <v>0</v>
      </c>
      <c r="AR15" s="139">
        <f>'[2]AHTS-1'!IH53+'[2]AHTS-2'!IH53+'[2]AHTS-3'!IH53+'[2]AHTS-4'!IH53+'[2]AHTS-5'!IH53+'[2]AHTS-6'!IH53+'[2]AHTS-7'!IH53+'[2]AHTS-8'!IH53+'[3]CB-1'!IH53+'[3]CB-2'!IH53+'[3]CB-3'!IH53+'[3]CB-4'!IH53+'[3]CB-5'!IH53+'[3]CB-6'!IH53+'[3]CB-7'!IH53+'[3]CB-8'!IH53+'[3]CB-9'!IH53+'[3]CB-10'!IH53+'[3]CB-11'!IH53+'[3]CB-12'!IH53+'[3]CB-13'!IH53+'[3]CB-14'!IH53+'[3]CB-15'!IH53+'[3]CB-16'!IH53+'[3]CB-17'!IH53+'[3]CB-18'!IH53+'[3]CB-19'!IH53+'[3]CB-20'!IH53+'[3]CB-21'!IH53+'[3]CB-22'!IH53+'[3]CB-23'!IH53+'[3]CB-24'!IH53+'[4]LCT-1'!IH53+'[4]LCT-2'!IH53+'[4]LCT-3'!IH53+'[4]LCT-4'!IH53+'[4]LCT-5'!IH53+'[4]LCT-6'!IH53+'[4]LCT-7'!IH53+'[4]LCT-8'!IH53+'[5]TB-1'!IH53+'[5]TB-2'!IH53+'[5]TB-3'!IH53+'[5]TB-4'!IH53+'[5]TB-5'!IH53+'[5]TB-6'!IH53+'[5]TB-7'!IH53+'[5]TB-8'!IH53+'[5]TB-9'!IH53+'[5]TB-10'!IH53+'[6]DSV-1'!IH53+'[6]DSV-2'!IH53+'[6]DSV-3'!IH53+'[7]TUB-1'!IH53+'[7]TUB-2'!IH53+'[8]Barge-1'!IH53+'[8]Barge-2'!IH53+'[8]Barge-3'!IH53+'[8]Barge-4'!IH53</f>
        <v>63022683.333333336</v>
      </c>
      <c r="AS15" s="136">
        <f>'[2]AHTS-1'!IH15+'[2]AHTS-2'!IH15+'[2]AHTS-3'!IH15+'[2]AHTS-4'!IH15+'[2]AHTS-5'!IH15+'[2]AHTS-6'!IH15+'[2]AHTS-7'!IH15+'[2]AHTS-8'!IH15+'[3]CB-1'!IH15+'[3]CB-2'!IH15+'[3]CB-3'!IH15+'[3]CB-4'!IH15+'[3]CB-5'!IH15+'[3]CB-6'!IH15+'[3]CB-7'!IH15+'[3]CB-8'!IH15+'[3]CB-9'!IH15+'[3]CB-10'!IH15+'[3]CB-11'!IH15+'[3]CB-12'!IH15+'[3]CB-13'!IH15+'[3]CB-14'!IH15+'[3]CB-15'!IH15+'[3]CB-16'!IH15+'[3]CB-17'!IH15+'[3]CB-18'!IH15+'[3]CB-19'!IH15+'[3]CB-20'!IH15+'[3]CB-21'!IH15+'[3]CB-22'!IH15+'[3]CB-23'!IH15+'[3]CB-24'!IH15+'[4]LCT-1'!IH15+'[4]LCT-2'!IH15+'[4]LCT-3'!IH15+'[4]LCT-4'!IH15+'[4]LCT-5'!IH15+'[4]LCT-6'!IH15+'[4]LCT-7'!IH15+'[4]LCT-8'!IH15+'[5]TB-1'!IH15+'[5]TB-2'!IH15+'[5]TB-3'!IH15+'[5]TB-4'!IH15+'[5]TB-5'!IH15+'[5]TB-6'!IH15+'[5]TB-7'!IH15+'[5]TB-8'!IH15+'[5]TB-9'!IH15+'[5]TB-10'!IH15+'[6]DSV-1'!IH15+'[6]DSV-2'!IH15+'[6]DSV-3'!IH15+'[7]TUB-1'!IH15+'[7]TUB-2'!IH15+'[8]Barge-1'!IH15+'[8]Barge-2'!IH15+'[8]Barge-3'!IH15+'[8]Barge-4'!IH15</f>
        <v>92450000</v>
      </c>
      <c r="AT15" s="140">
        <f>'[2]AHTS-1'!IH86+'[2]AHTS-2'!IH86+'[2]AHTS-3'!IH86+'[2]AHTS-4'!IH86+'[2]AHTS-5'!IH86+'[2]AHTS-6'!IH86+'[2]AHTS-7'!IH86+'[2]AHTS-8'!IH86+'[3]CB-1'!IH86+'[3]CB-2'!IH86+'[3]CB-3'!IH86+'[3]CB-4'!IH86+'[3]CB-5'!IH86+'[3]CB-6'!IH86+'[3]CB-7'!IH86+'[3]CB-8'!IH86+'[3]CB-9'!IH86+'[3]CB-10'!IH86+'[3]CB-11'!IH86+'[3]CB-12'!IH86+'[3]CB-13'!IH86+'[3]CB-14'!IH86+'[3]CB-15'!IH86+'[3]CB-16'!IH86+'[3]CB-17'!IH86+'[3]CB-18'!IH86+'[3]CB-19'!IH86+'[3]CB-20'!IH86+'[3]CB-21'!IH86+'[3]CB-22'!IH86+'[3]CB-23'!IH86+'[3]CB-24'!IH86+'[4]LCT-1'!IH86+'[4]LCT-2'!IH86+'[4]LCT-3'!IH86+'[4]LCT-4'!IH86+'[4]LCT-5'!IH86+'[4]LCT-6'!IH86+'[4]LCT-7'!IH86+'[4]LCT-8'!IH86+'[5]TB-1'!IH86+'[5]TB-2'!IH86+'[5]TB-3'!IH86+'[5]TB-4'!IH86+'[5]TB-5'!IH86+'[5]TB-6'!IH86+'[5]TB-7'!IH86+'[5]TB-8'!IH86+'[5]TB-9'!IH86+'[5]TB-10'!IH86+'[6]DSV-1'!IH86+'[6]DSV-2'!IH86+'[6]DSV-3'!IH86+'[7]TUB-1'!IH86+'[7]TUB-2'!IH86+'[8]Barge-1'!IH86+'[8]Barge-2'!IH86+'[8]Barge-3'!IH86+'[8]Barge-4'!IH86</f>
        <v>0</v>
      </c>
      <c r="AU15" s="139">
        <f>'[2]AHTS-1'!II53+'[2]AHTS-2'!II53+'[2]AHTS-3'!II53+'[2]AHTS-4'!II53+'[2]AHTS-5'!II53+'[2]AHTS-6'!II53+'[2]AHTS-7'!II53+'[2]AHTS-8'!II53+'[3]CB-1'!II53+'[3]CB-2'!II53+'[3]CB-3'!II53+'[3]CB-4'!II53+'[3]CB-5'!II53+'[3]CB-6'!II53+'[3]CB-7'!II53+'[3]CB-8'!II53+'[3]CB-9'!II53+'[3]CB-10'!II53+'[3]CB-11'!II53+'[3]CB-12'!II53+'[3]CB-13'!II53+'[3]CB-14'!II53+'[3]CB-15'!II53+'[3]CB-16'!II53+'[3]CB-17'!II53+'[3]CB-18'!II53+'[3]CB-19'!II53+'[3]CB-20'!II53+'[3]CB-21'!II53+'[3]CB-22'!II53+'[3]CB-23'!II53+'[3]CB-24'!II53+'[4]LCT-1'!II53+'[4]LCT-2'!II53+'[4]LCT-3'!II53+'[4]LCT-4'!II53+'[4]LCT-5'!II53+'[4]LCT-6'!II53+'[4]LCT-7'!II53+'[4]LCT-8'!II53+'[5]TB-1'!II53+'[5]TB-2'!II53+'[5]TB-3'!II53+'[5]TB-4'!II53+'[5]TB-5'!II53+'[5]TB-6'!II53+'[5]TB-7'!II53+'[5]TB-8'!II53+'[5]TB-9'!II53+'[5]TB-10'!II53+'[6]DSV-1'!II53+'[6]DSV-2'!II53+'[6]DSV-3'!II53+'[7]TUB-1'!II53+'[7]TUB-2'!II53+'[8]Barge-1'!II53+'[8]Barge-2'!II53+'[8]Barge-3'!II53+'[8]Barge-4'!II53</f>
        <v>0</v>
      </c>
      <c r="AV15" s="136">
        <f>'[2]AHTS-1'!II15+'[2]AHTS-2'!II15+'[2]AHTS-3'!II15+'[2]AHTS-4'!II15+'[2]AHTS-5'!II15+'[2]AHTS-6'!II15+'[2]AHTS-7'!II15+'[2]AHTS-8'!II15+'[3]CB-1'!II15+'[3]CB-2'!II15+'[3]CB-3'!II15+'[3]CB-4'!II15+'[3]CB-5'!II15+'[3]CB-6'!II15+'[3]CB-7'!II15+'[3]CB-8'!II15+'[3]CB-9'!II15+'[3]CB-10'!II15+'[3]CB-11'!II15+'[3]CB-12'!II15+'[3]CB-13'!II15+'[3]CB-14'!II15+'[3]CB-15'!II15+'[3]CB-16'!II15+'[3]CB-17'!II15+'[3]CB-18'!II15+'[3]CB-19'!II15+'[3]CB-20'!II15+'[3]CB-21'!II15+'[3]CB-22'!II15+'[3]CB-23'!II15+'[3]CB-24'!II15+'[4]LCT-1'!II15+'[4]LCT-2'!II15+'[4]LCT-3'!II15+'[4]LCT-4'!II15+'[4]LCT-5'!II15+'[4]LCT-6'!II15+'[4]LCT-7'!II15+'[4]LCT-8'!II15+'[5]TB-1'!II15+'[5]TB-2'!II15+'[5]TB-3'!II15+'[5]TB-4'!II15+'[5]TB-5'!II15+'[5]TB-6'!II15+'[5]TB-7'!II15+'[5]TB-8'!II15+'[5]TB-9'!II15+'[5]TB-10'!II15+'[6]DSV-1'!II15+'[6]DSV-2'!II15+'[6]DSV-3'!II15+'[7]TUB-1'!II15+'[7]TUB-2'!II15+'[8]Barge-1'!II15+'[8]Barge-2'!II15+'[8]Barge-3'!II15+'[8]Barge-4'!II15</f>
        <v>0</v>
      </c>
      <c r="AW15" s="140">
        <f>'[2]AHTS-1'!II86+'[2]AHTS-2'!II86+'[2]AHTS-3'!II86+'[2]AHTS-4'!II86+'[2]AHTS-5'!II86+'[2]AHTS-6'!II86+'[2]AHTS-7'!II86+'[2]AHTS-8'!II86+'[3]CB-1'!II86+'[3]CB-2'!II86+'[3]CB-3'!II86+'[3]CB-4'!II86+'[3]CB-5'!II86+'[3]CB-6'!II86+'[3]CB-7'!II86+'[3]CB-8'!II86+'[3]CB-9'!II86+'[3]CB-10'!II86+'[3]CB-11'!II86+'[3]CB-12'!II86+'[3]CB-13'!II86+'[3]CB-14'!II86+'[3]CB-15'!II86+'[3]CB-16'!II86+'[3]CB-17'!II86+'[3]CB-18'!II86+'[3]CB-19'!II86+'[3]CB-20'!II86+'[3]CB-21'!II86+'[3]CB-22'!II86+'[3]CB-23'!II86+'[3]CB-24'!II86+'[4]LCT-1'!II86+'[4]LCT-2'!II86+'[4]LCT-3'!II86+'[4]LCT-4'!II86+'[4]LCT-5'!II86+'[4]LCT-6'!II86+'[4]LCT-7'!II86+'[4]LCT-8'!II86+'[5]TB-1'!II86+'[5]TB-2'!II86+'[5]TB-3'!II86+'[5]TB-4'!II86+'[5]TB-5'!II86+'[5]TB-6'!II86+'[5]TB-7'!II86+'[5]TB-8'!II86+'[5]TB-9'!II86+'[5]TB-10'!II86+'[6]DSV-1'!II86+'[6]DSV-2'!II86+'[6]DSV-3'!II86+'[7]TUB-1'!II86+'[7]TUB-2'!II86+'[8]Barge-1'!II86+'[8]Barge-2'!II86+'[8]Barge-3'!II86+'[8]Barge-4'!II86</f>
        <v>0</v>
      </c>
      <c r="AX15" s="67"/>
      <c r="AY15" s="67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</row>
    <row r="16" spans="1:97" s="69" customFormat="1" ht="14.25" customHeight="1" x14ac:dyDescent="0.25">
      <c r="A16" s="111">
        <f>[1]Control!AZ16</f>
        <v>45991</v>
      </c>
      <c r="B16" s="66"/>
      <c r="C16" s="176">
        <f>'[2]AHTS-1'!AV16+'[2]AHTS-2'!AV16+'[2]AHTS-3'!AV16+'[2]AHTS-4'!AV16+'[2]AHTS-5'!AV16+'[2]AHTS-6'!AV16+'[2]AHTS-7'!AV16+'[2]AHTS-8'!AV16+'[3]CB-1'!AV16+'[3]CB-2'!AV16+'[3]CB-3'!AV16+'[3]CB-4'!AV16+'[3]CB-5'!AV16+'[3]CB-6'!AV16+'[3]CB-7'!AV16+'[3]CB-8'!AV16+'[3]CB-9'!AV16+'[3]CB-10'!AV16+'[3]CB-11'!AV16+'[3]CB-12'!AV16+'[3]CB-13'!AV16+'[3]CB-14'!AV16+'[3]CB-15'!AV16+'[3]CB-16'!AV16+'[3]CB-17'!AV16+'[3]CB-18'!AV16+'[3]CB-19'!AV16+'[3]CB-20'!AV16+'[3]CB-21'!AV16+'[3]CB-22'!AV16+'[3]CB-23'!AV16+'[3]CB-24'!AV16+'[4]LCT-1'!AV16+'[4]LCT-2'!AV16+'[4]LCT-3'!AV16+'[4]LCT-4'!AV16+'[4]LCT-5'!AV16+'[4]LCT-6'!AV16+'[4]LCT-7'!AV16+'[4]LCT-8'!AV16+'[5]TB-1'!AV16+'[5]TB-2'!AV16+'[5]TB-3'!AV16+'[5]TB-4'!AV16+'[5]TB-5'!AV16+'[5]TB-6'!AV16+'[5]TB-7'!AV16+'[5]TB-8'!AV16+'[5]TB-9'!AV16+'[5]TB-10'!AV16+'[6]DSV-1'!AV16+'[6]DSV-2'!AV16+'[6]DSV-3'!AV16+'[7]TUB-1'!AV16+'[7]TUB-2'!AV16+'[8]Barge-1'!AV16+'[8]Barge-2'!AV16+'[8]Barge-3'!AV16+'[8]Barge-4'!AV16</f>
        <v>0</v>
      </c>
      <c r="D16" s="177">
        <f>'[2]AHTS-1'!BR16+'[2]AHTS-2'!BR16+'[2]AHTS-3'!BR16+'[2]AHTS-4'!BR16+'[2]AHTS-5'!BR16+'[2]AHTS-6'!BR16+'[2]AHTS-7'!BR16+'[2]AHTS-8'!BR16+'[3]CB-1'!BR16+'[3]CB-2'!BR16+'[3]CB-3'!BR16+'[3]CB-4'!BR16+'[3]CB-5'!BR16+'[3]CB-6'!BR16+'[3]CB-7'!BR16+'[3]CB-8'!BR16+'[3]CB-9'!BR16+'[3]CB-10'!BR16+'[3]CB-11'!BR16+'[3]CB-12'!BR16+'[3]CB-13'!BR16+'[3]CB-14'!BR16+'[3]CB-15'!BR16+'[3]CB-16'!BR16+'[3]CB-17'!BR16+'[3]CB-18'!BR16+'[3]CB-19'!BR16+'[3]CB-20'!BR16+'[3]CB-21'!BR16+'[3]CB-22'!BR16+'[3]CB-23'!BR16+'[3]CB-24'!BR16+'[4]LCT-1'!BR16+'[4]LCT-2'!BR16+'[4]LCT-3'!BR16+'[4]LCT-4'!BR16+'[4]LCT-5'!BR16+'[4]LCT-6'!BR16+'[4]LCT-7'!BR16+'[4]LCT-8'!BR16+'[5]TB-1'!BR16+'[5]TB-2'!BR16+'[5]TB-3'!BR16+'[5]TB-4'!BR16+'[5]TB-5'!BR16+'[5]TB-6'!BR16+'[5]TB-7'!BR16+'[5]TB-8'!BR16+'[5]TB-9'!BR16+'[5]TB-10'!BR16+'[6]DSV-1'!BR16+'[6]DSV-2'!BR16+'[6]DSV-3'!BR16+'[7]TUB-1'!BR16+'[7]TUB-2'!BR16+'[8]Barge-1'!BR16+'[8]Barge-2'!BR16+'[8]Barge-3'!BR16+'[8]Barge-4'!BR16</f>
        <v>0</v>
      </c>
      <c r="E16" s="178">
        <f>'[2]AHTS-1'!CN16+'[2]AHTS-2'!CN16+'[2]AHTS-3'!CN16+'[2]AHTS-4'!CN16+'[2]AHTS-5'!CN16+'[2]AHTS-6'!CN16+'[2]AHTS-7'!CN16+'[2]AHTS-8'!CN16+'[3]CB-1'!CN16+'[3]CB-2'!CN16+'[3]CB-3'!CN16+'[3]CB-4'!CN16+'[3]CB-5'!CN16+'[3]CB-6'!CN16+'[3]CB-7'!CN16+'[3]CB-8'!CN16+'[3]CB-9'!CN16+'[3]CB-10'!CN16+'[3]CB-11'!CN16+'[3]CB-12'!CN16+'[3]CB-13'!CN16+'[3]CB-14'!CN16+'[3]CB-15'!CN16+'[3]CB-16'!CN16+'[3]CB-17'!CN16+'[3]CB-18'!CN16+'[3]CB-19'!CN16+'[3]CB-20'!CN16+'[3]CB-21'!CN16+'[3]CB-22'!CN16+'[3]CB-23'!CN16+'[3]CB-24'!CN16+'[4]LCT-1'!CN16+'[4]LCT-2'!CN16+'[4]LCT-3'!CN16+'[4]LCT-4'!CN16+'[4]LCT-5'!CN16+'[4]LCT-6'!CN16+'[4]LCT-7'!CN16+'[4]LCT-8'!CN16+'[5]TB-1'!CN16+'[5]TB-2'!CN16+'[5]TB-3'!CN16+'[5]TB-4'!CN16+'[5]TB-5'!CN16+'[5]TB-6'!CN16+'[5]TB-7'!CN16+'[5]TB-8'!CN16+'[5]TB-9'!CN16+'[5]TB-10'!CN16+'[6]DSV-1'!CN16+'[6]DSV-2'!CN16+'[6]DSV-3'!CN16+'[7]TUB-1'!CN16+'[7]TUB-2'!CN16+'[8]Barge-1'!CN16+'[8]Barge-2'!CN16+'[8]Barge-3'!CN16+'[8]Barge-4'!CN16</f>
        <v>0</v>
      </c>
      <c r="F16" s="179">
        <f>'[2]AHTS-1'!AW16+'[2]AHTS-2'!AW16+'[2]AHTS-3'!AW16+'[2]AHTS-4'!AW16+'[2]AHTS-5'!AW16+'[2]AHTS-6'!AW16+'[2]AHTS-7'!AW16+'[2]AHTS-8'!AW16+'[3]CB-1'!AW16+'[3]CB-2'!AW16+'[3]CB-3'!AW16+'[3]CB-4'!AW16+'[3]CB-5'!AW16+'[3]CB-6'!AW16+'[3]CB-7'!AW16+'[3]CB-8'!AW16+'[3]CB-9'!AW16+'[3]CB-10'!AW16+'[3]CB-11'!AW16+'[3]CB-12'!AW16+'[3]CB-13'!AW16+'[3]CB-14'!AW16+'[3]CB-15'!AW16+'[3]CB-16'!AW16+'[3]CB-17'!AW16+'[3]CB-18'!AW16+'[3]CB-19'!AW16+'[3]CB-20'!AW16+'[3]CB-21'!AW16+'[3]CB-22'!AW16+'[3]CB-23'!AW16+'[3]CB-24'!AW16+'[4]LCT-1'!AW16+'[4]LCT-2'!AW16+'[4]LCT-3'!AW16+'[4]LCT-4'!AW16+'[4]LCT-5'!AW16+'[4]LCT-6'!AW16+'[4]LCT-7'!AW16+'[4]LCT-8'!AW16+'[5]TB-1'!AW16+'[5]TB-2'!AW16+'[5]TB-3'!AW16+'[5]TB-4'!AW16+'[5]TB-5'!AW16+'[5]TB-6'!AW16+'[5]TB-7'!AW16+'[5]TB-8'!AW16+'[5]TB-9'!AW16+'[5]TB-10'!AW16+'[6]DSV-1'!AW16+'[6]DSV-2'!AW16+'[6]DSV-3'!AW16+'[7]TUB-1'!AW16+'[7]TUB-2'!AW16+'[8]Barge-1'!AW16+'[8]Barge-2'!AW16+'[8]Barge-3'!AW16+'[8]Barge-4'!AW16</f>
        <v>1047.1527777777776</v>
      </c>
      <c r="G16" s="180">
        <f>'[2]AHTS-1'!BS16+'[2]AHTS-2'!BS16+'[2]AHTS-3'!BS16+'[2]AHTS-4'!BS16+'[2]AHTS-5'!BS16+'[2]AHTS-6'!BS16+'[2]AHTS-7'!BS16+'[2]AHTS-8'!BS16+'[3]CB-1'!BS16+'[3]CB-2'!BS16+'[3]CB-3'!BS16+'[3]CB-4'!BS16+'[3]CB-5'!BS16+'[3]CB-6'!BS16+'[3]CB-7'!BS16+'[3]CB-8'!BS16+'[3]CB-9'!BS16+'[3]CB-10'!BS16+'[3]CB-11'!BS16+'[3]CB-12'!BS16+'[3]CB-13'!BS16+'[3]CB-14'!BS16+'[3]CB-15'!BS16+'[3]CB-16'!BS16+'[3]CB-17'!BS16+'[3]CB-18'!BS16+'[3]CB-19'!BS16+'[3]CB-20'!BS16+'[3]CB-21'!BS16+'[3]CB-22'!BS16+'[3]CB-23'!BS16+'[3]CB-24'!BS16+'[4]LCT-1'!BS16+'[4]LCT-2'!BS16+'[4]LCT-3'!BS16+'[4]LCT-4'!BS16+'[4]LCT-5'!BS16+'[4]LCT-6'!BS16+'[4]LCT-7'!BS16+'[4]LCT-8'!BS16+'[5]TB-1'!BS16+'[5]TB-2'!BS16+'[5]TB-3'!BS16+'[5]TB-4'!BS16+'[5]TB-5'!BS16+'[5]TB-6'!BS16+'[5]TB-7'!BS16+'[5]TB-8'!BS16+'[5]TB-9'!BS16+'[5]TB-10'!BS16+'[6]DSV-1'!BS16+'[6]DSV-2'!BS16+'[6]DSV-3'!BS16+'[7]TUB-1'!BS16+'[7]TUB-2'!BS16+'[8]Barge-1'!BS16+'[8]Barge-2'!BS16+'[8]Barge-3'!BS16+'[8]Barge-4'!BS16</f>
        <v>1165.9224298669378</v>
      </c>
      <c r="H16" s="180">
        <f>'[2]AHTS-1'!CO16+'[2]AHTS-2'!CO16+'[2]AHTS-3'!CO16+'[2]AHTS-4'!CO16+'[2]AHTS-5'!CO16+'[2]AHTS-6'!CO16+'[2]AHTS-7'!CO16+'[2]AHTS-8'!CO16+'[3]CB-1'!CO16+'[3]CB-2'!CO16+'[3]CB-3'!CO16+'[3]CB-4'!CO16+'[3]CB-5'!CO16+'[3]CB-6'!CO16+'[3]CB-7'!CO16+'[3]CB-8'!CO16+'[3]CB-9'!CO16+'[3]CB-10'!CO16+'[3]CB-11'!CO16+'[3]CB-12'!CO16+'[3]CB-13'!CO16+'[3]CB-14'!CO16+'[3]CB-15'!CO16+'[3]CB-16'!CO16+'[3]CB-17'!CO16+'[3]CB-18'!CO16+'[3]CB-19'!CO16+'[3]CB-20'!CO16+'[3]CB-21'!CO16+'[3]CB-22'!CO16+'[3]CB-23'!CO16+'[3]CB-24'!CO16+'[4]LCT-1'!CO16+'[4]LCT-2'!CO16+'[4]LCT-3'!CO16+'[4]LCT-4'!CO16+'[4]LCT-5'!CO16+'[4]LCT-6'!CO16+'[4]LCT-7'!CO16+'[4]LCT-8'!CO16+'[5]TB-1'!CO16+'[5]TB-2'!CO16+'[5]TB-3'!CO16+'[5]TB-4'!CO16+'[5]TB-5'!CO16+'[5]TB-6'!CO16+'[5]TB-7'!CO16+'[5]TB-8'!CO16+'[5]TB-9'!CO16+'[5]TB-10'!CO16+'[6]DSV-1'!CO16+'[6]DSV-2'!CO16+'[6]DSV-3'!CO16+'[7]TUB-1'!CO16+'[7]TUB-2'!CO16+'[8]Barge-1'!CO16+'[8]Barge-2'!CO16+'[8]Barge-3'!CO16+'[8]Barge-4'!CO16</f>
        <v>0</v>
      </c>
      <c r="I16" s="179">
        <f>'[2]AHTS-1'!AX16+'[2]AHTS-2'!AX16+'[2]AHTS-3'!AX16+'[2]AHTS-4'!AX16+'[2]AHTS-5'!AX16+'[2]AHTS-6'!AX16+'[2]AHTS-7'!AX16+'[2]AHTS-8'!AX16+'[3]CB-1'!AX16+'[3]CB-2'!AX16+'[3]CB-3'!AX16+'[3]CB-4'!AX16+'[3]CB-5'!AX16+'[3]CB-6'!AX16+'[3]CB-7'!AX16+'[3]CB-8'!AX16+'[3]CB-9'!AX16+'[3]CB-10'!AX16+'[3]CB-11'!AX16+'[3]CB-12'!AX16+'[3]CB-13'!AX16+'[3]CB-14'!AX16+'[3]CB-15'!AX16+'[3]CB-16'!AX16+'[3]CB-17'!AX16+'[3]CB-18'!AX16+'[3]CB-19'!AX16+'[3]CB-20'!AX16+'[3]CB-21'!AX16+'[3]CB-22'!AX16+'[3]CB-23'!AX16+'[3]CB-24'!AX16+'[4]LCT-1'!AX16+'[4]LCT-2'!AX16+'[4]LCT-3'!AX16+'[4]LCT-4'!AX16+'[4]LCT-5'!AX16+'[4]LCT-6'!AX16+'[4]LCT-7'!AX16+'[4]LCT-8'!AX16+'[5]TB-1'!AX16+'[5]TB-2'!AX16+'[5]TB-3'!AX16+'[5]TB-4'!AX16+'[5]TB-5'!AX16+'[5]TB-6'!AX16+'[5]TB-7'!AX16+'[5]TB-8'!AX16+'[5]TB-9'!AX16+'[5]TB-10'!AX16+'[6]DSV-1'!AX16+'[6]DSV-2'!AX16+'[6]DSV-3'!AX16+'[7]TUB-1'!AX16+'[7]TUB-2'!AX16+'[8]Barge-1'!AX16+'[8]Barge-2'!AX16+'[8]Barge-3'!AX16+'[8]Barge-4'!AX16</f>
        <v>1727.8029388083733</v>
      </c>
      <c r="J16" s="180">
        <f>'[2]AHTS-1'!BT16+'[2]AHTS-2'!BT16+'[2]AHTS-3'!BT16+'[2]AHTS-4'!BT16+'[2]AHTS-5'!BT16+'[2]AHTS-6'!BT16+'[2]AHTS-7'!BT16+'[2]AHTS-8'!BT16+'[3]CB-1'!BT16+'[3]CB-2'!BT16+'[3]CB-3'!BT16+'[3]CB-4'!BT16+'[3]CB-5'!BT16+'[3]CB-6'!BT16+'[3]CB-7'!BT16+'[3]CB-8'!BT16+'[3]CB-9'!BT16+'[3]CB-10'!BT16+'[3]CB-11'!BT16+'[3]CB-12'!BT16+'[3]CB-13'!BT16+'[3]CB-14'!BT16+'[3]CB-15'!BT16+'[3]CB-16'!BT16+'[3]CB-17'!BT16+'[3]CB-18'!BT16+'[3]CB-19'!BT16+'[3]CB-20'!BT16+'[3]CB-21'!BT16+'[3]CB-22'!BT16+'[3]CB-23'!BT16+'[3]CB-24'!BT16+'[4]LCT-1'!BT16+'[4]LCT-2'!BT16+'[4]LCT-3'!BT16+'[4]LCT-4'!BT16+'[4]LCT-5'!BT16+'[4]LCT-6'!BT16+'[4]LCT-7'!BT16+'[4]LCT-8'!BT16+'[5]TB-1'!BT16+'[5]TB-2'!BT16+'[5]TB-3'!BT16+'[5]TB-4'!BT16+'[5]TB-5'!BT16+'[5]TB-6'!BT16+'[5]TB-7'!BT16+'[5]TB-8'!BT16+'[5]TB-9'!BT16+'[5]TB-10'!BT16+'[6]DSV-1'!BT16+'[6]DSV-2'!BT16+'[6]DSV-3'!BT16+'[7]TUB-1'!BT16+'[7]TUB-2'!BT16+'[8]Barge-1'!BT16+'[8]Barge-2'!BT16+'[8]Barge-3'!BT16+'[8]Barge-4'!BT16</f>
        <v>1442.9188914314773</v>
      </c>
      <c r="K16" s="180">
        <f>'[2]AHTS-1'!CP16+'[2]AHTS-2'!CP16+'[2]AHTS-3'!CP16+'[2]AHTS-4'!CP16+'[2]AHTS-5'!CP16+'[2]AHTS-6'!CP16+'[2]AHTS-7'!CP16+'[2]AHTS-8'!CP16+'[3]CB-1'!CP16+'[3]CB-2'!CP16+'[3]CB-3'!CP16+'[3]CB-4'!CP16+'[3]CB-5'!CP16+'[3]CB-6'!CP16+'[3]CB-7'!CP16+'[3]CB-8'!CP16+'[3]CB-9'!CP16+'[3]CB-10'!CP16+'[3]CB-11'!CP16+'[3]CB-12'!CP16+'[3]CB-13'!CP16+'[3]CB-14'!CP16+'[3]CB-15'!CP16+'[3]CB-16'!CP16+'[3]CB-17'!CP16+'[3]CB-18'!CP16+'[3]CB-19'!CP16+'[3]CB-20'!CP16+'[3]CB-21'!CP16+'[3]CB-22'!CP16+'[3]CB-23'!CP16+'[3]CB-24'!CP16+'[4]LCT-1'!CP16+'[4]LCT-2'!CP16+'[4]LCT-3'!CP16+'[4]LCT-4'!CP16+'[4]LCT-5'!CP16+'[4]LCT-6'!CP16+'[4]LCT-7'!CP16+'[4]LCT-8'!CP16+'[5]TB-1'!CP16+'[5]TB-2'!CP16+'[5]TB-3'!CP16+'[5]TB-4'!CP16+'[5]TB-5'!CP16+'[5]TB-6'!CP16+'[5]TB-7'!CP16+'[5]TB-8'!CP16+'[5]TB-9'!CP16+'[5]TB-10'!CP16+'[6]DSV-1'!CP16+'[6]DSV-2'!CP16+'[6]DSV-3'!CP16+'[7]TUB-1'!CP16+'[7]TUB-2'!CP16+'[8]Barge-1'!CP16+'[8]Barge-2'!CP16+'[8]Barge-3'!CP16+'[8]Barge-4'!CP16</f>
        <v>0</v>
      </c>
      <c r="L16" s="181">
        <f>'[2]AHTS-1'!AY16+'[2]AHTS-2'!AY16+'[2]AHTS-3'!AY16+'[2]AHTS-4'!AY16+'[2]AHTS-5'!AY16+'[2]AHTS-6'!AY16+'[2]AHTS-7'!AY16+'[2]AHTS-8'!AY16+'[3]CB-1'!AY16+'[3]CB-2'!AY16+'[3]CB-3'!AY16+'[3]CB-4'!AY16+'[3]CB-5'!AY16+'[3]CB-6'!AY16+'[3]CB-7'!AY16+'[3]CB-8'!AY16+'[3]CB-9'!AY16+'[3]CB-10'!AY16+'[3]CB-11'!AY16+'[3]CB-12'!AY16+'[3]CB-13'!AY16+'[3]CB-14'!AY16+'[3]CB-15'!AY16+'[3]CB-16'!AY16+'[3]CB-17'!AY16+'[3]CB-18'!AY16+'[3]CB-19'!AY16+'[3]CB-20'!AY16+'[3]CB-21'!AY16+'[3]CB-22'!AY16+'[3]CB-23'!AY16+'[3]CB-24'!AY16+'[4]LCT-1'!AY16+'[4]LCT-2'!AY16+'[4]LCT-3'!AY16+'[4]LCT-4'!AY16+'[4]LCT-5'!AY16+'[4]LCT-6'!AY16+'[4]LCT-7'!AY16+'[4]LCT-8'!AY16+'[5]TB-1'!AY16+'[5]TB-2'!AY16+'[5]TB-3'!AY16+'[5]TB-4'!AY16+'[5]TB-5'!AY16+'[5]TB-6'!AY16+'[5]TB-7'!AY16+'[5]TB-8'!AY16+'[5]TB-9'!AY16+'[5]TB-10'!AY16+'[6]DSV-1'!AY16+'[6]DSV-2'!AY16+'[6]DSV-3'!AY16+'[7]TUB-1'!AY16+'[7]TUB-2'!AY16+'[8]Barge-1'!AY16+'[8]Barge-2'!AY16+'[8]Barge-3'!AY16+'[8]Barge-4'!AY16</f>
        <v>8738.4722222222208</v>
      </c>
      <c r="M16" s="182">
        <f>'[2]AHTS-1'!BU16+'[2]AHTS-2'!BU16+'[2]AHTS-3'!BU16+'[2]AHTS-4'!BU16+'[2]AHTS-5'!BU16+'[2]AHTS-6'!BU16+'[2]AHTS-7'!BU16+'[2]AHTS-8'!BU16+'[3]CB-1'!BU16+'[3]CB-2'!BU16+'[3]CB-3'!BU16+'[3]CB-4'!BU16+'[3]CB-5'!BU16+'[3]CB-6'!BU16+'[3]CB-7'!BU16+'[3]CB-8'!BU16+'[3]CB-9'!BU16+'[3]CB-10'!BU16+'[3]CB-11'!BU16+'[3]CB-12'!BU16+'[3]CB-13'!BU16+'[3]CB-14'!BU16+'[3]CB-15'!BU16+'[3]CB-16'!BU16+'[3]CB-17'!BU16+'[3]CB-18'!BU16+'[3]CB-19'!BU16+'[3]CB-20'!BU16+'[3]CB-21'!BU16+'[3]CB-22'!BU16+'[3]CB-23'!BU16+'[3]CB-24'!BU16+'[4]LCT-1'!BU16+'[4]LCT-2'!BU16+'[4]LCT-3'!BU16+'[4]LCT-4'!BU16+'[4]LCT-5'!BU16+'[4]LCT-6'!BU16+'[4]LCT-7'!BU16+'[4]LCT-8'!BU16+'[5]TB-1'!BU16+'[5]TB-2'!BU16+'[5]TB-3'!BU16+'[5]TB-4'!BU16+'[5]TB-5'!BU16+'[5]TB-6'!BU16+'[5]TB-7'!BU16+'[5]TB-8'!BU16+'[5]TB-9'!BU16+'[5]TB-10'!BU16+'[6]DSV-1'!BU16+'[6]DSV-2'!BU16+'[6]DSV-3'!BU16+'[7]TUB-1'!BU16+'[7]TUB-2'!BU16+'[8]Barge-1'!BU16+'[8]Barge-2'!BU16+'[8]Barge-3'!BU16+'[8]Barge-4'!BU16</f>
        <v>5252.6697177726928</v>
      </c>
      <c r="N16" s="182">
        <f>'[2]AHTS-1'!CQ16+'[2]AHTS-2'!CQ16+'[2]AHTS-3'!CQ16+'[2]AHTS-4'!CQ16+'[2]AHTS-5'!CQ16+'[2]AHTS-6'!CQ16+'[2]AHTS-7'!CQ16+'[2]AHTS-8'!CQ16+'[3]CB-1'!CQ16+'[3]CB-2'!CQ16+'[3]CB-3'!CQ16+'[3]CB-4'!CQ16+'[3]CB-5'!CQ16+'[3]CB-6'!CQ16+'[3]CB-7'!CQ16+'[3]CB-8'!CQ16+'[3]CB-9'!CQ16+'[3]CB-10'!CQ16+'[3]CB-11'!CQ16+'[3]CB-12'!CQ16+'[3]CB-13'!CQ16+'[3]CB-14'!CQ16+'[3]CB-15'!CQ16+'[3]CB-16'!CQ16+'[3]CB-17'!CQ16+'[3]CB-18'!CQ16+'[3]CB-19'!CQ16+'[3]CB-20'!CQ16+'[3]CB-21'!CQ16+'[3]CB-22'!CQ16+'[3]CB-23'!CQ16+'[3]CB-24'!CQ16+'[4]LCT-1'!CQ16+'[4]LCT-2'!CQ16+'[4]LCT-3'!CQ16+'[4]LCT-4'!CQ16+'[4]LCT-5'!CQ16+'[4]LCT-6'!CQ16+'[4]LCT-7'!CQ16+'[4]LCT-8'!CQ16+'[5]TB-1'!CQ16+'[5]TB-2'!CQ16+'[5]TB-3'!CQ16+'[5]TB-4'!CQ16+'[5]TB-5'!CQ16+'[5]TB-6'!CQ16+'[5]TB-7'!CQ16+'[5]TB-8'!CQ16+'[5]TB-9'!CQ16+'[5]TB-10'!CQ16+'[6]DSV-1'!CQ16+'[6]DSV-2'!CQ16+'[6]DSV-3'!CQ16+'[7]TUB-1'!CQ16+'[7]TUB-2'!CQ16+'[8]Barge-1'!CQ16+'[8]Barge-2'!CQ16+'[8]Barge-3'!CQ16+'[8]Barge-4'!CQ16</f>
        <v>0</v>
      </c>
      <c r="O16" s="179">
        <f>'[2]AHTS-1'!AZ16+'[2]AHTS-2'!AZ16+'[2]AHTS-3'!AZ16+'[2]AHTS-4'!AZ16+'[2]AHTS-5'!AZ16+'[2]AHTS-6'!AZ16+'[2]AHTS-7'!AZ16+'[2]AHTS-8'!AZ16+'[3]CB-1'!AZ16+'[3]CB-2'!AZ16+'[3]CB-3'!AZ16+'[3]CB-4'!AZ16+'[3]CB-5'!AZ16+'[3]CB-6'!AZ16+'[3]CB-7'!AZ16+'[3]CB-8'!AZ16+'[3]CB-9'!AZ16+'[3]CB-10'!AZ16+'[3]CB-11'!AZ16+'[3]CB-12'!AZ16+'[3]CB-13'!AZ16+'[3]CB-14'!AZ16+'[3]CB-15'!AZ16+'[3]CB-16'!AZ16+'[3]CB-17'!AZ16+'[3]CB-18'!AZ16+'[3]CB-19'!AZ16+'[3]CB-20'!AZ16+'[3]CB-21'!AZ16+'[3]CB-22'!AZ16+'[3]CB-23'!AZ16+'[3]CB-24'!AZ16+'[4]LCT-1'!AZ16+'[4]LCT-2'!AZ16+'[4]LCT-3'!AZ16+'[4]LCT-4'!AZ16+'[4]LCT-5'!AZ16+'[4]LCT-6'!AZ16+'[4]LCT-7'!AZ16+'[4]LCT-8'!AZ16+'[5]TB-1'!AZ16+'[5]TB-2'!AZ16+'[5]TB-3'!AZ16+'[5]TB-4'!AZ16+'[5]TB-5'!AZ16+'[5]TB-6'!AZ16+'[5]TB-7'!AZ16+'[5]TB-8'!AZ16+'[5]TB-9'!AZ16+'[5]TB-10'!AZ16+'[6]DSV-1'!AZ16+'[6]DSV-2'!AZ16+'[6]DSV-3'!AZ16+'[7]TUB-1'!AZ16+'[7]TUB-2'!AZ16+'[8]Barge-1'!AZ16+'[8]Barge-2'!AZ16+'[8]Barge-3'!AZ16+'[8]Barge-4'!AZ16</f>
        <v>52.35507246376811</v>
      </c>
      <c r="P16" s="180">
        <f>'[2]AHTS-1'!BV16+'[2]AHTS-2'!BV16+'[2]AHTS-3'!BV16+'[2]AHTS-4'!BV16+'[2]AHTS-5'!BV16+'[2]AHTS-6'!BV16+'[2]AHTS-7'!BV16+'[2]AHTS-8'!BV16+'[3]CB-1'!BV16+'[3]CB-2'!BV16+'[3]CB-3'!BV16+'[3]CB-4'!BV16+'[3]CB-5'!BV16+'[3]CB-6'!BV16+'[3]CB-7'!BV16+'[3]CB-8'!BV16+'[3]CB-9'!BV16+'[3]CB-10'!BV16+'[3]CB-11'!BV16+'[3]CB-12'!BV16+'[3]CB-13'!BV16+'[3]CB-14'!BV16+'[3]CB-15'!BV16+'[3]CB-16'!BV16+'[3]CB-17'!BV16+'[3]CB-18'!BV16+'[3]CB-19'!BV16+'[3]CB-20'!BV16+'[3]CB-21'!BV16+'[3]CB-22'!BV16+'[3]CB-23'!BV16+'[3]CB-24'!BV16+'[4]LCT-1'!BV16+'[4]LCT-2'!BV16+'[4]LCT-3'!BV16+'[4]LCT-4'!BV16+'[4]LCT-5'!BV16+'[4]LCT-6'!BV16+'[4]LCT-7'!BV16+'[4]LCT-8'!BV16+'[5]TB-1'!BV16+'[5]TB-2'!BV16+'[5]TB-3'!BV16+'[5]TB-4'!BV16+'[5]TB-5'!BV16+'[5]TB-6'!BV16+'[5]TB-7'!BV16+'[5]TB-8'!BV16+'[5]TB-9'!BV16+'[5]TB-10'!BV16+'[6]DSV-1'!BV16+'[6]DSV-2'!BV16+'[6]DSV-3'!BV16+'[7]TUB-1'!BV16+'[7]TUB-2'!BV16+'[8]Barge-1'!BV16+'[8]Barge-2'!BV16+'[8]Barge-3'!BV16+'[8]Barge-4'!BV16</f>
        <v>206.58530383930841</v>
      </c>
      <c r="Q16" s="180">
        <f>'[2]AHTS-1'!CR16+'[2]AHTS-2'!CR16+'[2]AHTS-3'!CR16+'[2]AHTS-4'!CR16+'[2]AHTS-5'!CR16+'[2]AHTS-6'!CR16+'[2]AHTS-7'!CR16+'[2]AHTS-8'!CR16+'[3]CB-1'!CR16+'[3]CB-2'!CR16+'[3]CB-3'!CR16+'[3]CB-4'!CR16+'[3]CB-5'!CR16+'[3]CB-6'!CR16+'[3]CB-7'!CR16+'[3]CB-8'!CR16+'[3]CB-9'!CR16+'[3]CB-10'!CR16+'[3]CB-11'!CR16+'[3]CB-12'!CR16+'[3]CB-13'!CR16+'[3]CB-14'!CR16+'[3]CB-15'!CR16+'[3]CB-16'!CR16+'[3]CB-17'!CR16+'[3]CB-18'!CR16+'[3]CB-19'!CR16+'[3]CB-20'!CR16+'[3]CB-21'!CR16+'[3]CB-22'!CR16+'[3]CB-23'!CR16+'[3]CB-24'!CR16+'[4]LCT-1'!CR16+'[4]LCT-2'!CR16+'[4]LCT-3'!CR16+'[4]LCT-4'!CR16+'[4]LCT-5'!CR16+'[4]LCT-6'!CR16+'[4]LCT-7'!CR16+'[4]LCT-8'!CR16+'[5]TB-1'!CR16+'[5]TB-2'!CR16+'[5]TB-3'!CR16+'[5]TB-4'!CR16+'[5]TB-5'!CR16+'[5]TB-6'!CR16+'[5]TB-7'!CR16+'[5]TB-8'!CR16+'[5]TB-9'!CR16+'[5]TB-10'!CR16+'[6]DSV-1'!CR16+'[6]DSV-2'!CR16+'[6]DSV-3'!CR16+'[7]TUB-1'!CR16+'[7]TUB-2'!CR16+'[8]Barge-1'!CR16+'[8]Barge-2'!CR16+'[8]Barge-3'!CR16+'[8]Barge-4'!CR16</f>
        <v>0</v>
      </c>
      <c r="R16" s="183">
        <f>'[2]AHTS-1'!BA16+'[2]AHTS-2'!BA16+'[2]AHTS-3'!BA16+'[2]AHTS-4'!BA16+'[2]AHTS-5'!BA16+'[2]AHTS-6'!BA16+'[2]AHTS-7'!BA16+'[2]AHTS-8'!BA16+'[3]CB-1'!BA16+'[3]CB-2'!BA16+'[3]CB-3'!BA16+'[3]CB-4'!BA16+'[3]CB-5'!BA16+'[3]CB-6'!BA16+'[3]CB-7'!BA16+'[3]CB-8'!BA16+'[3]CB-9'!BA16+'[3]CB-10'!BA16+'[3]CB-11'!BA16+'[3]CB-12'!BA16+'[3]CB-13'!BA16+'[3]CB-14'!BA16+'[3]CB-15'!BA16+'[3]CB-16'!BA16+'[3]CB-17'!BA16+'[3]CB-18'!BA16+'[3]CB-19'!BA16+'[3]CB-20'!BA16+'[3]CB-21'!BA16+'[3]CB-22'!BA16+'[3]CB-23'!BA16+'[3]CB-24'!BA16+'[4]LCT-1'!BA16+'[4]LCT-2'!BA16+'[4]LCT-3'!BA16+'[4]LCT-4'!BA16+'[4]LCT-5'!BA16+'[4]LCT-6'!BA16+'[4]LCT-7'!BA16+'[4]LCT-8'!BA16+'[5]TB-1'!BA16+'[5]TB-2'!BA16+'[5]TB-3'!BA16+'[5]TB-4'!BA16+'[5]TB-5'!BA16+'[5]TB-6'!BA16+'[5]TB-7'!BA16+'[5]TB-8'!BA16+'[5]TB-9'!BA16+'[5]TB-10'!BA16+'[6]DSV-1'!BA16+'[6]DSV-2'!BA16+'[6]DSV-3'!BA16+'[7]TUB-1'!BA16+'[7]TUB-2'!BA16+'[8]Barge-1'!BA16+'[8]Barge-2'!BA16+'[8]Barge-3'!BA16+'[8]Barge-4'!BA16</f>
        <v>4749.9396135265697</v>
      </c>
      <c r="S16" s="180">
        <f>'[2]AHTS-1'!BW16+'[2]AHTS-2'!BW16+'[2]AHTS-3'!BW16+'[2]AHTS-4'!BW16+'[2]AHTS-5'!BW16+'[2]AHTS-6'!BW16+'[2]AHTS-7'!BW16+'[2]AHTS-8'!BW16+'[3]CB-1'!BW16+'[3]CB-2'!BW16+'[3]CB-3'!BW16+'[3]CB-4'!BW16+'[3]CB-5'!BW16+'[3]CB-6'!BW16+'[3]CB-7'!BW16+'[3]CB-8'!BW16+'[3]CB-9'!BW16+'[3]CB-10'!BW16+'[3]CB-11'!BW16+'[3]CB-12'!BW16+'[3]CB-13'!BW16+'[3]CB-14'!BW16+'[3]CB-15'!BW16+'[3]CB-16'!BW16+'[3]CB-17'!BW16+'[3]CB-18'!BW16+'[3]CB-19'!BW16+'[3]CB-20'!BW16+'[3]CB-21'!BW16+'[3]CB-22'!BW16+'[3]CB-23'!BW16+'[3]CB-24'!BW16+'[4]LCT-1'!BW16+'[4]LCT-2'!BW16+'[4]LCT-3'!BW16+'[4]LCT-4'!BW16+'[4]LCT-5'!BW16+'[4]LCT-6'!BW16+'[4]LCT-7'!BW16+'[4]LCT-8'!BW16+'[5]TB-1'!BW16+'[5]TB-2'!BW16+'[5]TB-3'!BW16+'[5]TB-4'!BW16+'[5]TB-5'!BW16+'[5]TB-6'!BW16+'[5]TB-7'!BW16+'[5]TB-8'!BW16+'[5]TB-9'!BW16+'[5]TB-10'!BW16+'[6]DSV-1'!BW16+'[6]DSV-2'!BW16+'[6]DSV-3'!BW16+'[7]TUB-1'!BW16+'[7]TUB-2'!BW16+'[8]Barge-1'!BW16+'[8]Barge-2'!BW16+'[8]Barge-3'!BW16+'[8]Barge-4'!BW16</f>
        <v>5876.5573353674044</v>
      </c>
      <c r="T16" s="184">
        <f>'[2]AHTS-1'!CS16+'[2]AHTS-2'!CS16+'[2]AHTS-3'!CS16+'[2]AHTS-4'!CS16+'[2]AHTS-5'!CS16+'[2]AHTS-6'!CS16+'[2]AHTS-7'!CS16+'[2]AHTS-8'!CS16+'[3]CB-1'!CS16+'[3]CB-2'!CS16+'[3]CB-3'!CS16+'[3]CB-4'!CS16+'[3]CB-5'!CS16+'[3]CB-6'!CS16+'[3]CB-7'!CS16+'[3]CB-8'!CS16+'[3]CB-9'!CS16+'[3]CB-10'!CS16+'[3]CB-11'!CS16+'[3]CB-12'!CS16+'[3]CB-13'!CS16+'[3]CB-14'!CS16+'[3]CB-15'!CS16+'[3]CB-16'!CS16+'[3]CB-17'!CS16+'[3]CB-18'!CS16+'[3]CB-19'!CS16+'[3]CB-20'!CS16+'[3]CB-21'!CS16+'[3]CB-22'!CS16+'[3]CB-23'!CS16+'[3]CB-24'!CS16+'[4]LCT-1'!CS16+'[4]LCT-2'!CS16+'[4]LCT-3'!CS16+'[4]LCT-4'!CS16+'[4]LCT-5'!CS16+'[4]LCT-6'!CS16+'[4]LCT-7'!CS16+'[4]LCT-8'!CS16+'[5]TB-1'!CS16+'[5]TB-2'!CS16+'[5]TB-3'!CS16+'[5]TB-4'!CS16+'[5]TB-5'!CS16+'[5]TB-6'!CS16+'[5]TB-7'!CS16+'[5]TB-8'!CS16+'[5]TB-9'!CS16+'[5]TB-10'!CS16+'[6]DSV-1'!CS16+'[6]DSV-2'!CS16+'[6]DSV-3'!CS16+'[7]TUB-1'!CS16+'[7]TUB-2'!CS16+'[8]Barge-1'!CS16+'[8]Barge-2'!CS16+'[8]Barge-3'!CS16+'[8]Barge-4'!CS16</f>
        <v>0</v>
      </c>
      <c r="U16" s="183">
        <f>'[2]AHTS-1'!BB16+'[2]AHTS-2'!BB16+'[2]AHTS-3'!BB16+'[2]AHTS-4'!BB16+'[2]AHTS-5'!BB16+'[2]AHTS-6'!BB16+'[2]AHTS-7'!BB16+'[2]AHTS-8'!BB16+'[3]CB-1'!BB16+'[3]CB-2'!BB16+'[3]CB-3'!BB16+'[3]CB-4'!BB16+'[3]CB-5'!BB16+'[3]CB-6'!BB16+'[3]CB-7'!BB16+'[3]CB-8'!BB16+'[3]CB-9'!BB16+'[3]CB-10'!BB16+'[3]CB-11'!BB16+'[3]CB-12'!BB16+'[3]CB-13'!BB16+'[3]CB-14'!BB16+'[3]CB-15'!BB16+'[3]CB-16'!BB16+'[3]CB-17'!BB16+'[3]CB-18'!BB16+'[3]CB-19'!BB16+'[3]CB-20'!BB16+'[3]CB-21'!BB16+'[3]CB-22'!BB16+'[3]CB-23'!BB16+'[3]CB-24'!BB16+'[4]LCT-1'!BB16+'[4]LCT-2'!BB16+'[4]LCT-3'!BB16+'[4]LCT-4'!BB16+'[4]LCT-5'!BB16+'[4]LCT-6'!BB16+'[4]LCT-7'!BB16+'[4]LCT-8'!BB16+'[5]TB-1'!BB16+'[5]TB-2'!BB16+'[5]TB-3'!BB16+'[5]TB-4'!BB16+'[5]TB-5'!BB16+'[5]TB-6'!BB16+'[5]TB-7'!BB16+'[5]TB-8'!BB16+'[5]TB-9'!BB16+'[5]TB-10'!BB16+'[6]DSV-1'!BB16+'[6]DSV-2'!BB16+'[6]DSV-3'!BB16+'[7]TUB-1'!BB16+'[7]TUB-2'!BB16+'[8]Barge-1'!BB16+'[8]Barge-2'!BB16+'[8]Barge-3'!BB16+'[8]Barge-4'!BB16</f>
        <v>0</v>
      </c>
      <c r="V16" s="180">
        <f>'[2]AHTS-1'!BX16+'[2]AHTS-2'!BX16+'[2]AHTS-3'!BX16+'[2]AHTS-4'!BX16+'[2]AHTS-5'!BX16+'[2]AHTS-6'!BX16+'[2]AHTS-7'!BX16+'[2]AHTS-8'!BX16+'[3]CB-1'!BX16+'[3]CB-2'!BX16+'[3]CB-3'!BX16+'[3]CB-4'!BX16+'[3]CB-5'!BX16+'[3]CB-6'!BX16+'[3]CB-7'!BX16+'[3]CB-8'!BX16+'[3]CB-9'!BX16+'[3]CB-10'!BX16+'[3]CB-11'!BX16+'[3]CB-12'!BX16+'[3]CB-13'!BX16+'[3]CB-14'!BX16+'[3]CB-15'!BX16+'[3]CB-16'!BX16+'[3]CB-17'!BX16+'[3]CB-18'!BX16+'[3]CB-19'!BX16+'[3]CB-20'!BX16+'[3]CB-21'!BX16+'[3]CB-22'!BX16+'[3]CB-23'!BX16+'[3]CB-24'!BX16+'[4]LCT-1'!BX16+'[4]LCT-2'!BX16+'[4]LCT-3'!BX16+'[4]LCT-4'!BX16+'[4]LCT-5'!BX16+'[4]LCT-6'!BX16+'[4]LCT-7'!BX16+'[4]LCT-8'!BX16+'[5]TB-1'!BX16+'[5]TB-2'!BX16+'[5]TB-3'!BX16+'[5]TB-4'!BX16+'[5]TB-5'!BX16+'[5]TB-6'!BX16+'[5]TB-7'!BX16+'[5]TB-8'!BX16+'[5]TB-9'!BX16+'[5]TB-10'!BX16+'[6]DSV-1'!BX16+'[6]DSV-2'!BX16+'[6]DSV-3'!BX16+'[7]TUB-1'!BX16+'[7]TUB-2'!BX16+'[8]Barge-1'!BX16+'[8]Barge-2'!BX16+'[8]Barge-3'!BX16+'[8]Barge-4'!BX16</f>
        <v>0</v>
      </c>
      <c r="W16" s="184">
        <f>'[2]AHTS-1'!CT16+'[2]AHTS-2'!CT16+'[2]AHTS-3'!CT16+'[2]AHTS-4'!CT16+'[2]AHTS-5'!CT16+'[2]AHTS-6'!CT16+'[2]AHTS-7'!CT16+'[2]AHTS-8'!CT16+'[3]CB-1'!CT16+'[3]CB-2'!CT16+'[3]CB-3'!CT16+'[3]CB-4'!CT16+'[3]CB-5'!CT16+'[3]CB-6'!CT16+'[3]CB-7'!CT16+'[3]CB-8'!CT16+'[3]CB-9'!CT16+'[3]CB-10'!CT16+'[3]CB-11'!CT16+'[3]CB-12'!CT16+'[3]CB-13'!CT16+'[3]CB-14'!CT16+'[3]CB-15'!CT16+'[3]CB-16'!CT16+'[3]CB-17'!CT16+'[3]CB-18'!CT16+'[3]CB-19'!CT16+'[3]CB-20'!CT16+'[3]CB-21'!CT16+'[3]CB-22'!CT16+'[3]CB-23'!CT16+'[3]CB-24'!CT16+'[4]LCT-1'!CT16+'[4]LCT-2'!CT16+'[4]LCT-3'!CT16+'[4]LCT-4'!CT16+'[4]LCT-5'!CT16+'[4]LCT-6'!CT16+'[4]LCT-7'!CT16+'[4]LCT-8'!CT16+'[5]TB-1'!CT16+'[5]TB-2'!CT16+'[5]TB-3'!CT16+'[5]TB-4'!CT16+'[5]TB-5'!CT16+'[5]TB-6'!CT16+'[5]TB-7'!CT16+'[5]TB-8'!CT16+'[5]TB-9'!CT16+'[5]TB-10'!CT16+'[6]DSV-1'!CT16+'[6]DSV-2'!CT16+'[6]DSV-3'!CT16+'[7]TUB-1'!CT16+'[7]TUB-2'!CT16+'[8]Barge-1'!CT16+'[8]Barge-2'!CT16+'[8]Barge-3'!CT16+'[8]Barge-4'!CT16</f>
        <v>0</v>
      </c>
      <c r="X16" s="67"/>
      <c r="Y16" s="67"/>
      <c r="Z16" s="68"/>
      <c r="AA16" s="111">
        <f>[1]Control!AZ16</f>
        <v>45991</v>
      </c>
      <c r="AB16" s="66"/>
      <c r="AC16" s="132">
        <f>'[2]AHTS-1'!IC54+'[2]AHTS-2'!IC54+'[2]AHTS-3'!IC54+'[2]AHTS-4'!IC54+'[2]AHTS-5'!IC54+'[2]AHTS-6'!IC54+'[2]AHTS-7'!IC54+'[2]AHTS-8'!IC54+'[3]CB-1'!IC54+'[3]CB-2'!IC54+'[3]CB-3'!IC54+'[3]CB-4'!IC54+'[3]CB-5'!IC54+'[3]CB-6'!IC54+'[3]CB-7'!IC54+'[3]CB-8'!IC54+'[3]CB-9'!IC54+'[3]CB-10'!IC54+'[3]CB-11'!IC54+'[3]CB-12'!IC54+'[3]CB-13'!IC54+'[3]CB-14'!IC54+'[3]CB-15'!IC54+'[3]CB-16'!IC54+'[3]CB-17'!IC54+'[3]CB-18'!IC54+'[3]CB-19'!IC54+'[3]CB-20'!IC54+'[3]CB-21'!IC54+'[3]CB-22'!IC54+'[3]CB-23'!IC54+'[3]CB-24'!IC54+'[4]LCT-1'!IC54+'[4]LCT-2'!IC54+'[4]LCT-3'!IC54+'[4]LCT-4'!IC54+'[4]LCT-5'!IC54+'[4]LCT-6'!IC54+'[4]LCT-7'!IC54+'[4]LCT-8'!IC54+'[5]TB-1'!IC54+'[5]TB-2'!IC54+'[5]TB-3'!IC54+'[5]TB-4'!IC54+'[5]TB-5'!IC54+'[5]TB-6'!IC54+'[5]TB-7'!IC54+'[5]TB-8'!IC54+'[5]TB-9'!IC54+'[5]TB-10'!IC54+'[6]DSV-1'!IC54+'[6]DSV-2'!IC54+'[6]DSV-3'!IC54+'[7]TUB-1'!IC54+'[7]TUB-2'!IC54+'[8]Barge-1'!IC54+'[8]Barge-2'!IC54+'[8]Barge-3'!IC54+'[8]Barge-4'!IC54</f>
        <v>0</v>
      </c>
      <c r="AD16" s="133">
        <f>'[2]AHTS-1'!IC16+'[2]AHTS-2'!IC16+'[2]AHTS-3'!IC16+'[2]AHTS-4'!IC16+'[2]AHTS-5'!IC16+'[2]AHTS-6'!IC16+'[2]AHTS-7'!IC16+'[2]AHTS-8'!IC16+'[3]CB-1'!IC16+'[3]CB-2'!IC16+'[3]CB-3'!IC16+'[3]CB-4'!IC16+'[3]CB-5'!IC16+'[3]CB-6'!IC16+'[3]CB-7'!IC16+'[3]CB-8'!IC16+'[3]CB-9'!IC16+'[3]CB-10'!IC16+'[3]CB-11'!IC16+'[3]CB-12'!IC16+'[3]CB-13'!IC16+'[3]CB-14'!IC16+'[3]CB-15'!IC16+'[3]CB-16'!IC16+'[3]CB-17'!IC16+'[3]CB-18'!IC16+'[3]CB-19'!IC16+'[3]CB-20'!IC16+'[3]CB-21'!IC16+'[3]CB-22'!IC16+'[3]CB-23'!IC16+'[3]CB-24'!IC16+'[4]LCT-1'!IC16+'[4]LCT-2'!IC16+'[4]LCT-3'!IC16+'[4]LCT-4'!IC16+'[4]LCT-5'!IC16+'[4]LCT-6'!IC16+'[4]LCT-7'!IC16+'[4]LCT-8'!IC16+'[5]TB-1'!IC16+'[5]TB-2'!IC16+'[5]TB-3'!IC16+'[5]TB-4'!IC16+'[5]TB-5'!IC16+'[5]TB-6'!IC16+'[5]TB-7'!IC16+'[5]TB-8'!IC16+'[5]TB-9'!IC16+'[5]TB-10'!IC16+'[6]DSV-1'!IC16+'[6]DSV-2'!IC16+'[6]DSV-3'!IC16+'[7]TUB-1'!IC16+'[7]TUB-2'!IC16+'[8]Barge-1'!IC16+'[8]Barge-2'!IC16+'[8]Barge-3'!IC16+'[8]Barge-4'!IC16</f>
        <v>0</v>
      </c>
      <c r="AE16" s="134">
        <f>'[2]AHTS-1'!IC87+'[2]AHTS-2'!IC87+'[2]AHTS-3'!IC87+'[2]AHTS-4'!IC87+'[2]AHTS-5'!IC87+'[2]AHTS-6'!IC87+'[2]AHTS-7'!IC87+'[2]AHTS-8'!IC87+'[3]CB-1'!IC87+'[3]CB-2'!IC87+'[3]CB-3'!IC87+'[3]CB-4'!IC87+'[3]CB-5'!IC87+'[3]CB-6'!IC87+'[3]CB-7'!IC87+'[3]CB-8'!IC87+'[3]CB-9'!IC87+'[3]CB-10'!IC87+'[3]CB-11'!IC87+'[3]CB-12'!IC87+'[3]CB-13'!IC87+'[3]CB-14'!IC87+'[3]CB-15'!IC87+'[3]CB-16'!IC87+'[3]CB-17'!IC87+'[3]CB-18'!IC87+'[3]CB-19'!IC87+'[3]CB-20'!IC87+'[3]CB-21'!IC87+'[3]CB-22'!IC87+'[3]CB-23'!IC87+'[3]CB-24'!IC87+'[4]LCT-1'!IC87+'[4]LCT-2'!IC87+'[4]LCT-3'!IC87+'[4]LCT-4'!IC87+'[4]LCT-5'!IC87+'[4]LCT-6'!IC87+'[4]LCT-7'!IC87+'[4]LCT-8'!IC87+'[5]TB-1'!IC87+'[5]TB-2'!IC87+'[5]TB-3'!IC87+'[5]TB-4'!IC87+'[5]TB-5'!IC87+'[5]TB-6'!IC87+'[5]TB-7'!IC87+'[5]TB-8'!IC87+'[5]TB-9'!IC87+'[5]TB-10'!IC87+'[6]DSV-1'!IC87+'[6]DSV-2'!IC87+'[6]DSV-3'!IC87+'[7]TUB-1'!IC87+'[7]TUB-2'!IC87+'[8]Barge-1'!IC87+'[8]Barge-2'!IC87+'[8]Barge-3'!IC87+'[8]Barge-4'!IC87</f>
        <v>0</v>
      </c>
      <c r="AF16" s="135">
        <f>'[2]AHTS-1'!ID54+'[2]AHTS-2'!ID54+'[2]AHTS-3'!ID54+'[2]AHTS-4'!ID54+'[2]AHTS-5'!ID54+'[2]AHTS-6'!ID54+'[2]AHTS-7'!ID54+'[2]AHTS-8'!ID54+'[3]CB-1'!ID54+'[3]CB-2'!ID54+'[3]CB-3'!ID54+'[3]CB-4'!ID54+'[3]CB-5'!ID54+'[3]CB-6'!ID54+'[3]CB-7'!ID54+'[3]CB-8'!ID54+'[3]CB-9'!ID54+'[3]CB-10'!ID54+'[3]CB-11'!ID54+'[3]CB-12'!ID54+'[3]CB-13'!ID54+'[3]CB-14'!ID54+'[3]CB-15'!ID54+'[3]CB-16'!ID54+'[3]CB-17'!ID54+'[3]CB-18'!ID54+'[3]CB-19'!ID54+'[3]CB-20'!ID54+'[3]CB-21'!ID54+'[3]CB-22'!ID54+'[3]CB-23'!ID54+'[3]CB-24'!ID54+'[4]LCT-1'!ID54+'[4]LCT-2'!ID54+'[4]LCT-3'!ID54+'[4]LCT-4'!ID54+'[4]LCT-5'!ID54+'[4]LCT-6'!ID54+'[4]LCT-7'!ID54+'[4]LCT-8'!ID54+'[5]TB-1'!ID54+'[5]TB-2'!ID54+'[5]TB-3'!ID54+'[5]TB-4'!ID54+'[5]TB-5'!ID54+'[5]TB-6'!ID54+'[5]TB-7'!ID54+'[5]TB-8'!ID54+'[5]TB-9'!ID54+'[5]TB-10'!ID54+'[6]DSV-1'!ID54+'[6]DSV-2'!ID54+'[6]DSV-3'!ID54+'[7]TUB-1'!ID54+'[7]TUB-2'!ID54+'[8]Barge-1'!ID54+'[8]Barge-2'!ID54+'[8]Barge-3'!ID54+'[8]Barge-4'!ID54</f>
        <v>16473807.5</v>
      </c>
      <c r="AG16" s="136">
        <f>'[2]AHTS-1'!ID16+'[2]AHTS-2'!ID16+'[2]AHTS-3'!ID16+'[2]AHTS-4'!ID16+'[2]AHTS-5'!ID16+'[2]AHTS-6'!ID16+'[2]AHTS-7'!ID16+'[2]AHTS-8'!ID16+'[3]CB-1'!ID16+'[3]CB-2'!ID16+'[3]CB-3'!ID16+'[3]CB-4'!ID16+'[3]CB-5'!ID16+'[3]CB-6'!ID16+'[3]CB-7'!ID16+'[3]CB-8'!ID16+'[3]CB-9'!ID16+'[3]CB-10'!ID16+'[3]CB-11'!ID16+'[3]CB-12'!ID16+'[3]CB-13'!ID16+'[3]CB-14'!ID16+'[3]CB-15'!ID16+'[3]CB-16'!ID16+'[3]CB-17'!ID16+'[3]CB-18'!ID16+'[3]CB-19'!ID16+'[3]CB-20'!ID16+'[3]CB-21'!ID16+'[3]CB-22'!ID16+'[3]CB-23'!ID16+'[3]CB-24'!ID16+'[4]LCT-1'!ID16+'[4]LCT-2'!ID16+'[4]LCT-3'!ID16+'[4]LCT-4'!ID16+'[4]LCT-5'!ID16+'[4]LCT-6'!ID16+'[4]LCT-7'!ID16+'[4]LCT-8'!ID16+'[5]TB-1'!ID16+'[5]TB-2'!ID16+'[5]TB-3'!ID16+'[5]TB-4'!ID16+'[5]TB-5'!ID16+'[5]TB-6'!ID16+'[5]TB-7'!ID16+'[5]TB-8'!ID16+'[5]TB-9'!ID16+'[5]TB-10'!ID16+'[6]DSV-1'!ID16+'[6]DSV-2'!ID16+'[6]DSV-3'!ID16+'[7]TUB-1'!ID16+'[7]TUB-2'!ID16+'[8]Barge-1'!ID16+'[8]Barge-2'!ID16+'[8]Barge-3'!ID16+'[8]Barge-4'!ID16</f>
        <v>18342291.666666668</v>
      </c>
      <c r="AH16" s="136">
        <f>'[2]AHTS-1'!ID87+'[2]AHTS-2'!ID87+'[2]AHTS-3'!ID87+'[2]AHTS-4'!ID87+'[2]AHTS-5'!ID87+'[2]AHTS-6'!ID87+'[2]AHTS-7'!ID87+'[2]AHTS-8'!ID87+'[3]CB-1'!ID87+'[3]CB-2'!ID87+'[3]CB-3'!ID87+'[3]CB-4'!ID87+'[3]CB-5'!ID87+'[3]CB-6'!ID87+'[3]CB-7'!ID87+'[3]CB-8'!ID87+'[3]CB-9'!ID87+'[3]CB-10'!ID87+'[3]CB-11'!ID87+'[3]CB-12'!ID87+'[3]CB-13'!ID87+'[3]CB-14'!ID87+'[3]CB-15'!ID87+'[3]CB-16'!ID87+'[3]CB-17'!ID87+'[3]CB-18'!ID87+'[3]CB-19'!ID87+'[3]CB-20'!ID87+'[3]CB-21'!ID87+'[3]CB-22'!ID87+'[3]CB-23'!ID87+'[3]CB-24'!ID87+'[4]LCT-1'!ID87+'[4]LCT-2'!ID87+'[4]LCT-3'!ID87+'[4]LCT-4'!ID87+'[4]LCT-5'!ID87+'[4]LCT-6'!ID87+'[4]LCT-7'!ID87+'[4]LCT-8'!ID87+'[5]TB-1'!ID87+'[5]TB-2'!ID87+'[5]TB-3'!ID87+'[5]TB-4'!ID87+'[5]TB-5'!ID87+'[5]TB-6'!ID87+'[5]TB-7'!ID87+'[5]TB-8'!ID87+'[5]TB-9'!ID87+'[5]TB-10'!ID87+'[6]DSV-1'!ID87+'[6]DSV-2'!ID87+'[6]DSV-3'!ID87+'[7]TUB-1'!ID87+'[7]TUB-2'!ID87+'[8]Barge-1'!ID87+'[8]Barge-2'!ID87+'[8]Barge-3'!ID87+'[8]Barge-4'!ID87</f>
        <v>0</v>
      </c>
      <c r="AI16" s="135">
        <f>'[2]AHTS-1'!IE54+'[2]AHTS-2'!IE54+'[2]AHTS-3'!IE54+'[2]AHTS-4'!IE54+'[2]AHTS-5'!IE54+'[2]AHTS-6'!IE54+'[2]AHTS-7'!IE54+'[2]AHTS-8'!IE54+'[3]CB-1'!IE54+'[3]CB-2'!IE54+'[3]CB-3'!IE54+'[3]CB-4'!IE54+'[3]CB-5'!IE54+'[3]CB-6'!IE54+'[3]CB-7'!IE54+'[3]CB-8'!IE54+'[3]CB-9'!IE54+'[3]CB-10'!IE54+'[3]CB-11'!IE54+'[3]CB-12'!IE54+'[3]CB-13'!IE54+'[3]CB-14'!IE54+'[3]CB-15'!IE54+'[3]CB-16'!IE54+'[3]CB-17'!IE54+'[3]CB-18'!IE54+'[3]CB-19'!IE54+'[3]CB-20'!IE54+'[3]CB-21'!IE54+'[3]CB-22'!IE54+'[3]CB-23'!IE54+'[3]CB-24'!IE54+'[4]LCT-1'!IE54+'[4]LCT-2'!IE54+'[4]LCT-3'!IE54+'[4]LCT-4'!IE54+'[4]LCT-5'!IE54+'[4]LCT-6'!IE54+'[4]LCT-7'!IE54+'[4]LCT-8'!IE54+'[5]TB-1'!IE54+'[5]TB-2'!IE54+'[5]TB-3'!IE54+'[5]TB-4'!IE54+'[5]TB-5'!IE54+'[5]TB-6'!IE54+'[5]TB-7'!IE54+'[5]TB-8'!IE54+'[5]TB-9'!IE54+'[5]TB-10'!IE54+'[6]DSV-1'!IE54+'[6]DSV-2'!IE54+'[6]DSV-3'!IE54+'[7]TUB-1'!IE54+'[7]TUB-2'!IE54+'[8]Barge-1'!IE54+'[8]Barge-2'!IE54+'[8]Barge-3'!IE54+'[8]Barge-4'!IE54</f>
        <v>27181795.833333332</v>
      </c>
      <c r="AJ16" s="136">
        <f>'[2]AHTS-1'!IE16+'[2]AHTS-2'!IE16+'[2]AHTS-3'!IE16+'[2]AHTS-4'!IE16+'[2]AHTS-5'!IE16+'[2]AHTS-6'!IE16+'[2]AHTS-7'!IE16+'[2]AHTS-8'!IE16+'[3]CB-1'!IE16+'[3]CB-2'!IE16+'[3]CB-3'!IE16+'[3]CB-4'!IE16+'[3]CB-5'!IE16+'[3]CB-6'!IE16+'[3]CB-7'!IE16+'[3]CB-8'!IE16+'[3]CB-9'!IE16+'[3]CB-10'!IE16+'[3]CB-11'!IE16+'[3]CB-12'!IE16+'[3]CB-13'!IE16+'[3]CB-14'!IE16+'[3]CB-15'!IE16+'[3]CB-16'!IE16+'[3]CB-17'!IE16+'[3]CB-18'!IE16+'[3]CB-19'!IE16+'[3]CB-20'!IE16+'[3]CB-21'!IE16+'[3]CB-22'!IE16+'[3]CB-23'!IE16+'[3]CB-24'!IE16+'[4]LCT-1'!IE16+'[4]LCT-2'!IE16+'[4]LCT-3'!IE16+'[4]LCT-4'!IE16+'[4]LCT-5'!IE16+'[4]LCT-6'!IE16+'[4]LCT-7'!IE16+'[4]LCT-8'!IE16+'[5]TB-1'!IE16+'[5]TB-2'!IE16+'[5]TB-3'!IE16+'[5]TB-4'!IE16+'[5]TB-5'!IE16+'[5]TB-6'!IE16+'[5]TB-7'!IE16+'[5]TB-8'!IE16+'[5]TB-9'!IE16+'[5]TB-10'!IE16+'[6]DSV-1'!IE16+'[6]DSV-2'!IE16+'[6]DSV-3'!IE16+'[7]TUB-1'!IE16+'[7]TUB-2'!IE16+'[8]Barge-1'!IE16+'[8]Barge-2'!IE16+'[8]Barge-3'!IE16+'[8]Barge-4'!IE16</f>
        <v>22700000</v>
      </c>
      <c r="AK16" s="136">
        <f>'[2]AHTS-1'!IE87+'[2]AHTS-2'!IE87+'[2]AHTS-3'!IE87+'[2]AHTS-4'!IE87+'[2]AHTS-5'!IE87+'[2]AHTS-6'!IE87+'[2]AHTS-7'!IE87+'[2]AHTS-8'!IE87+'[3]CB-1'!IE87+'[3]CB-2'!IE87+'[3]CB-3'!IE87+'[3]CB-4'!IE87+'[3]CB-5'!IE87+'[3]CB-6'!IE87+'[3]CB-7'!IE87+'[3]CB-8'!IE87+'[3]CB-9'!IE87+'[3]CB-10'!IE87+'[3]CB-11'!IE87+'[3]CB-12'!IE87+'[3]CB-13'!IE87+'[3]CB-14'!IE87+'[3]CB-15'!IE87+'[3]CB-16'!IE87+'[3]CB-17'!IE87+'[3]CB-18'!IE87+'[3]CB-19'!IE87+'[3]CB-20'!IE87+'[3]CB-21'!IE87+'[3]CB-22'!IE87+'[3]CB-23'!IE87+'[3]CB-24'!IE87+'[4]LCT-1'!IE87+'[4]LCT-2'!IE87+'[4]LCT-3'!IE87+'[4]LCT-4'!IE87+'[4]LCT-5'!IE87+'[4]LCT-6'!IE87+'[4]LCT-7'!IE87+'[4]LCT-8'!IE87+'[5]TB-1'!IE87+'[5]TB-2'!IE87+'[5]TB-3'!IE87+'[5]TB-4'!IE87+'[5]TB-5'!IE87+'[5]TB-6'!IE87+'[5]TB-7'!IE87+'[5]TB-8'!IE87+'[5]TB-9'!IE87+'[5]TB-10'!IE87+'[6]DSV-1'!IE87+'[6]DSV-2'!IE87+'[6]DSV-3'!IE87+'[7]TUB-1'!IE87+'[7]TUB-2'!IE87+'[8]Barge-1'!IE87+'[8]Barge-2'!IE87+'[8]Barge-3'!IE87+'[8]Barge-4'!IE87</f>
        <v>0</v>
      </c>
      <c r="AL16" s="137">
        <f>'[2]AHTS-1'!IF54+'[2]AHTS-2'!IF54+'[2]AHTS-3'!IF54+'[2]AHTS-4'!IF54+'[2]AHTS-5'!IF54+'[2]AHTS-6'!IF54+'[2]AHTS-7'!IF54+'[2]AHTS-8'!IF54+'[3]CB-1'!IF54+'[3]CB-2'!IF54+'[3]CB-3'!IF54+'[3]CB-4'!IF54+'[3]CB-5'!IF54+'[3]CB-6'!IF54+'[3]CB-7'!IF54+'[3]CB-8'!IF54+'[3]CB-9'!IF54+'[3]CB-10'!IF54+'[3]CB-11'!IF54+'[3]CB-12'!IF54+'[3]CB-13'!IF54+'[3]CB-14'!IF54+'[3]CB-15'!IF54+'[3]CB-16'!IF54+'[3]CB-17'!IF54+'[3]CB-18'!IF54+'[3]CB-19'!IF54+'[3]CB-20'!IF54+'[3]CB-21'!IF54+'[3]CB-22'!IF54+'[3]CB-23'!IF54+'[3]CB-24'!IF54+'[4]LCT-1'!IF54+'[4]LCT-2'!IF54+'[4]LCT-3'!IF54+'[4]LCT-4'!IF54+'[4]LCT-5'!IF54+'[4]LCT-6'!IF54+'[4]LCT-7'!IF54+'[4]LCT-8'!IF54+'[5]TB-1'!IF54+'[5]TB-2'!IF54+'[5]TB-3'!IF54+'[5]TB-4'!IF54+'[5]TB-5'!IF54+'[5]TB-6'!IF54+'[5]TB-7'!IF54+'[5]TB-8'!IF54+'[5]TB-9'!IF54+'[5]TB-10'!IF54+'[6]DSV-1'!IF54+'[6]DSV-2'!IF54+'[6]DSV-3'!IF54+'[7]TUB-1'!IF54+'[7]TUB-2'!IF54+'[8]Barge-1'!IF54+'[8]Barge-2'!IF54+'[8]Barge-3'!IF54+'[8]Barge-4'!IF54</f>
        <v>137473645</v>
      </c>
      <c r="AM16" s="138">
        <f>'[2]AHTS-1'!IF16+'[2]AHTS-2'!IF16+'[2]AHTS-3'!IF16+'[2]AHTS-4'!IF16+'[2]AHTS-5'!IF16+'[2]AHTS-6'!IF16+'[2]AHTS-7'!IF16+'[2]AHTS-8'!IF16+'[3]CB-1'!IF16+'[3]CB-2'!IF16+'[3]CB-3'!IF16+'[3]CB-4'!IF16+'[3]CB-5'!IF16+'[3]CB-6'!IF16+'[3]CB-7'!IF16+'[3]CB-8'!IF16+'[3]CB-9'!IF16+'[3]CB-10'!IF16+'[3]CB-11'!IF16+'[3]CB-12'!IF16+'[3]CB-13'!IF16+'[3]CB-14'!IF16+'[3]CB-15'!IF16+'[3]CB-16'!IF16+'[3]CB-17'!IF16+'[3]CB-18'!IF16+'[3]CB-19'!IF16+'[3]CB-20'!IF16+'[3]CB-21'!IF16+'[3]CB-22'!IF16+'[3]CB-23'!IF16+'[3]CB-24'!IF16+'[4]LCT-1'!IF16+'[4]LCT-2'!IF16+'[4]LCT-3'!IF16+'[4]LCT-4'!IF16+'[4]LCT-5'!IF16+'[4]LCT-6'!IF16+'[4]LCT-7'!IF16+'[4]LCT-8'!IF16+'[5]TB-1'!IF16+'[5]TB-2'!IF16+'[5]TB-3'!IF16+'[5]TB-4'!IF16+'[5]TB-5'!IF16+'[5]TB-6'!IF16+'[5]TB-7'!IF16+'[5]TB-8'!IF16+'[5]TB-9'!IF16+'[5]TB-10'!IF16+'[6]DSV-1'!IF16+'[6]DSV-2'!IF16+'[6]DSV-3'!IF16+'[7]TUB-1'!IF16+'[7]TUB-2'!IF16+'[8]Barge-1'!IF16+'[8]Barge-2'!IF16+'[8]Barge-3'!IF16+'[8]Barge-4'!IF16</f>
        <v>82635000</v>
      </c>
      <c r="AN16" s="138">
        <f>'[2]AHTS-1'!IF87+'[2]AHTS-2'!IF87+'[2]AHTS-3'!IF87+'[2]AHTS-4'!IF87+'[2]AHTS-5'!IF87+'[2]AHTS-6'!IF87+'[2]AHTS-7'!IF87+'[2]AHTS-8'!IF87+'[3]CB-1'!IF87+'[3]CB-2'!IF87+'[3]CB-3'!IF87+'[3]CB-4'!IF87+'[3]CB-5'!IF87+'[3]CB-6'!IF87+'[3]CB-7'!IF87+'[3]CB-8'!IF87+'[3]CB-9'!IF87+'[3]CB-10'!IF87+'[3]CB-11'!IF87+'[3]CB-12'!IF87+'[3]CB-13'!IF87+'[3]CB-14'!IF87+'[3]CB-15'!IF87+'[3]CB-16'!IF87+'[3]CB-17'!IF87+'[3]CB-18'!IF87+'[3]CB-19'!IF87+'[3]CB-20'!IF87+'[3]CB-21'!IF87+'[3]CB-22'!IF87+'[3]CB-23'!IF87+'[3]CB-24'!IF87+'[4]LCT-1'!IF87+'[4]LCT-2'!IF87+'[4]LCT-3'!IF87+'[4]LCT-4'!IF87+'[4]LCT-5'!IF87+'[4]LCT-6'!IF87+'[4]LCT-7'!IF87+'[4]LCT-8'!IF87+'[5]TB-1'!IF87+'[5]TB-2'!IF87+'[5]TB-3'!IF87+'[5]TB-4'!IF87+'[5]TB-5'!IF87+'[5]TB-6'!IF87+'[5]TB-7'!IF87+'[5]TB-8'!IF87+'[5]TB-9'!IF87+'[5]TB-10'!IF87+'[6]DSV-1'!IF87+'[6]DSV-2'!IF87+'[6]DSV-3'!IF87+'[7]TUB-1'!IF87+'[7]TUB-2'!IF87+'[8]Barge-1'!IF87+'[8]Barge-2'!IF87+'[8]Barge-3'!IF87+'[8]Barge-4'!IF87</f>
        <v>0</v>
      </c>
      <c r="AO16" s="135">
        <f>'[2]AHTS-1'!IG54+'[2]AHTS-2'!IG54+'[2]AHTS-3'!IG54+'[2]AHTS-4'!IG54+'[2]AHTS-5'!IG54+'[2]AHTS-6'!IG54+'[2]AHTS-7'!IG54+'[2]AHTS-8'!IG54+'[3]CB-1'!IG54+'[3]CB-2'!IG54+'[3]CB-3'!IG54+'[3]CB-4'!IG54+'[3]CB-5'!IG54+'[3]CB-6'!IG54+'[3]CB-7'!IG54+'[3]CB-8'!IG54+'[3]CB-9'!IG54+'[3]CB-10'!IG54+'[3]CB-11'!IG54+'[3]CB-12'!IG54+'[3]CB-13'!IG54+'[3]CB-14'!IG54+'[3]CB-15'!IG54+'[3]CB-16'!IG54+'[3]CB-17'!IG54+'[3]CB-18'!IG54+'[3]CB-19'!IG54+'[3]CB-20'!IG54+'[3]CB-21'!IG54+'[3]CB-22'!IG54+'[3]CB-23'!IG54+'[3]CB-24'!IG54+'[4]LCT-1'!IG54+'[4]LCT-2'!IG54+'[4]LCT-3'!IG54+'[4]LCT-4'!IG54+'[4]LCT-5'!IG54+'[4]LCT-6'!IG54+'[4]LCT-7'!IG54+'[4]LCT-8'!IG54+'[5]TB-1'!IG54+'[5]TB-2'!IG54+'[5]TB-3'!IG54+'[5]TB-4'!IG54+'[5]TB-5'!IG54+'[5]TB-6'!IG54+'[5]TB-7'!IG54+'[5]TB-8'!IG54+'[5]TB-9'!IG54+'[5]TB-10'!IG54+'[6]DSV-1'!IG54+'[6]DSV-2'!IG54+'[6]DSV-3'!IG54+'[7]TUB-1'!IG54+'[7]TUB-2'!IG54+'[8]Barge-1'!IG54+'[8]Barge-2'!IG54+'[8]Barge-3'!IG54+'[8]Barge-4'!IG54</f>
        <v>823650</v>
      </c>
      <c r="AP16" s="136">
        <f>'[2]AHTS-1'!IG16+'[2]AHTS-2'!IG16+'[2]AHTS-3'!IG16+'[2]AHTS-4'!IG16+'[2]AHTS-5'!IG16+'[2]AHTS-6'!IG16+'[2]AHTS-7'!IG16+'[2]AHTS-8'!IG16+'[3]CB-1'!IG16+'[3]CB-2'!IG16+'[3]CB-3'!IG16+'[3]CB-4'!IG16+'[3]CB-5'!IG16+'[3]CB-6'!IG16+'[3]CB-7'!IG16+'[3]CB-8'!IG16+'[3]CB-9'!IG16+'[3]CB-10'!IG16+'[3]CB-11'!IG16+'[3]CB-12'!IG16+'[3]CB-13'!IG16+'[3]CB-14'!IG16+'[3]CB-15'!IG16+'[3]CB-16'!IG16+'[3]CB-17'!IG16+'[3]CB-18'!IG16+'[3]CB-19'!IG16+'[3]CB-20'!IG16+'[3]CB-21'!IG16+'[3]CB-22'!IG16+'[3]CB-23'!IG16+'[3]CB-24'!IG16+'[4]LCT-1'!IG16+'[4]LCT-2'!IG16+'[4]LCT-3'!IG16+'[4]LCT-4'!IG16+'[4]LCT-5'!IG16+'[4]LCT-6'!IG16+'[4]LCT-7'!IG16+'[4]LCT-8'!IG16+'[5]TB-1'!IG16+'[5]TB-2'!IG16+'[5]TB-3'!IG16+'[5]TB-4'!IG16+'[5]TB-5'!IG16+'[5]TB-6'!IG16+'[5]TB-7'!IG16+'[5]TB-8'!IG16+'[5]TB-9'!IG16+'[5]TB-10'!IG16+'[6]DSV-1'!IG16+'[6]DSV-2'!IG16+'[6]DSV-3'!IG16+'[7]TUB-1'!IG16+'[7]TUB-2'!IG16+'[8]Barge-1'!IG16+'[8]Barge-2'!IG16+'[8]Barge-3'!IG16+'[8]Barge-4'!IG16</f>
        <v>3250000</v>
      </c>
      <c r="AQ16" s="136">
        <f>'[2]AHTS-1'!IG87+'[2]AHTS-2'!IG87+'[2]AHTS-3'!IG87+'[2]AHTS-4'!IG87+'[2]AHTS-5'!IG87+'[2]AHTS-6'!IG87+'[2]AHTS-7'!IG87+'[2]AHTS-8'!IG87+'[3]CB-1'!IG87+'[3]CB-2'!IG87+'[3]CB-3'!IG87+'[3]CB-4'!IG87+'[3]CB-5'!IG87+'[3]CB-6'!IG87+'[3]CB-7'!IG87+'[3]CB-8'!IG87+'[3]CB-9'!IG87+'[3]CB-10'!IG87+'[3]CB-11'!IG87+'[3]CB-12'!IG87+'[3]CB-13'!IG87+'[3]CB-14'!IG87+'[3]CB-15'!IG87+'[3]CB-16'!IG87+'[3]CB-17'!IG87+'[3]CB-18'!IG87+'[3]CB-19'!IG87+'[3]CB-20'!IG87+'[3]CB-21'!IG87+'[3]CB-22'!IG87+'[3]CB-23'!IG87+'[3]CB-24'!IG87+'[4]LCT-1'!IG87+'[4]LCT-2'!IG87+'[4]LCT-3'!IG87+'[4]LCT-4'!IG87+'[4]LCT-5'!IG87+'[4]LCT-6'!IG87+'[4]LCT-7'!IG87+'[4]LCT-8'!IG87+'[5]TB-1'!IG87+'[5]TB-2'!IG87+'[5]TB-3'!IG87+'[5]TB-4'!IG87+'[5]TB-5'!IG87+'[5]TB-6'!IG87+'[5]TB-7'!IG87+'[5]TB-8'!IG87+'[5]TB-9'!IG87+'[5]TB-10'!IG87+'[6]DSV-1'!IG87+'[6]DSV-2'!IG87+'[6]DSV-3'!IG87+'[7]TUB-1'!IG87+'[7]TUB-2'!IG87+'[8]Barge-1'!IG87+'[8]Barge-2'!IG87+'[8]Barge-3'!IG87+'[8]Barge-4'!IG87</f>
        <v>0</v>
      </c>
      <c r="AR16" s="139">
        <f>'[2]AHTS-1'!IH54+'[2]AHTS-2'!IH54+'[2]AHTS-3'!IH54+'[2]AHTS-4'!IH54+'[2]AHTS-5'!IH54+'[2]AHTS-6'!IH54+'[2]AHTS-7'!IH54+'[2]AHTS-8'!IH54+'[3]CB-1'!IH54+'[3]CB-2'!IH54+'[3]CB-3'!IH54+'[3]CB-4'!IH54+'[3]CB-5'!IH54+'[3]CB-6'!IH54+'[3]CB-7'!IH54+'[3]CB-8'!IH54+'[3]CB-9'!IH54+'[3]CB-10'!IH54+'[3]CB-11'!IH54+'[3]CB-12'!IH54+'[3]CB-13'!IH54+'[3]CB-14'!IH54+'[3]CB-15'!IH54+'[3]CB-16'!IH54+'[3]CB-17'!IH54+'[3]CB-18'!IH54+'[3]CB-19'!IH54+'[3]CB-20'!IH54+'[3]CB-21'!IH54+'[3]CB-22'!IH54+'[3]CB-23'!IH54+'[3]CB-24'!IH54+'[4]LCT-1'!IH54+'[4]LCT-2'!IH54+'[4]LCT-3'!IH54+'[4]LCT-4'!IH54+'[4]LCT-5'!IH54+'[4]LCT-6'!IH54+'[4]LCT-7'!IH54+'[4]LCT-8'!IH54+'[5]TB-1'!IH54+'[5]TB-2'!IH54+'[5]TB-3'!IH54+'[5]TB-4'!IH54+'[5]TB-5'!IH54+'[5]TB-6'!IH54+'[5]TB-7'!IH54+'[5]TB-8'!IH54+'[5]TB-9'!IH54+'[5]TB-10'!IH54+'[6]DSV-1'!IH54+'[6]DSV-2'!IH54+'[6]DSV-3'!IH54+'[7]TUB-1'!IH54+'[7]TUB-2'!IH54+'[8]Barge-1'!IH54+'[8]Barge-2'!IH54+'[8]Barge-3'!IH54+'[8]Barge-4'!IH54</f>
        <v>74726050</v>
      </c>
      <c r="AS16" s="136">
        <f>'[2]AHTS-1'!IH16+'[2]AHTS-2'!IH16+'[2]AHTS-3'!IH16+'[2]AHTS-4'!IH16+'[2]AHTS-5'!IH16+'[2]AHTS-6'!IH16+'[2]AHTS-7'!IH16+'[2]AHTS-8'!IH16+'[3]CB-1'!IH16+'[3]CB-2'!IH16+'[3]CB-3'!IH16+'[3]CB-4'!IH16+'[3]CB-5'!IH16+'[3]CB-6'!IH16+'[3]CB-7'!IH16+'[3]CB-8'!IH16+'[3]CB-9'!IH16+'[3]CB-10'!IH16+'[3]CB-11'!IH16+'[3]CB-12'!IH16+'[3]CB-13'!IH16+'[3]CB-14'!IH16+'[3]CB-15'!IH16+'[3]CB-16'!IH16+'[3]CB-17'!IH16+'[3]CB-18'!IH16+'[3]CB-19'!IH16+'[3]CB-20'!IH16+'[3]CB-21'!IH16+'[3]CB-22'!IH16+'[3]CB-23'!IH16+'[3]CB-24'!IH16+'[4]LCT-1'!IH16+'[4]LCT-2'!IH16+'[4]LCT-3'!IH16+'[4]LCT-4'!IH16+'[4]LCT-5'!IH16+'[4]LCT-6'!IH16+'[4]LCT-7'!IH16+'[4]LCT-8'!IH16+'[5]TB-1'!IH16+'[5]TB-2'!IH16+'[5]TB-3'!IH16+'[5]TB-4'!IH16+'[5]TB-5'!IH16+'[5]TB-6'!IH16+'[5]TB-7'!IH16+'[5]TB-8'!IH16+'[5]TB-9'!IH16+'[5]TB-10'!IH16+'[6]DSV-1'!IH16+'[6]DSV-2'!IH16+'[6]DSV-3'!IH16+'[7]TUB-1'!IH16+'[7]TUB-2'!IH16+'[8]Barge-1'!IH16+'[8]Barge-2'!IH16+'[8]Barge-3'!IH16+'[8]Barge-4'!IH16</f>
        <v>92450000</v>
      </c>
      <c r="AT16" s="140">
        <f>'[2]AHTS-1'!IH87+'[2]AHTS-2'!IH87+'[2]AHTS-3'!IH87+'[2]AHTS-4'!IH87+'[2]AHTS-5'!IH87+'[2]AHTS-6'!IH87+'[2]AHTS-7'!IH87+'[2]AHTS-8'!IH87+'[3]CB-1'!IH87+'[3]CB-2'!IH87+'[3]CB-3'!IH87+'[3]CB-4'!IH87+'[3]CB-5'!IH87+'[3]CB-6'!IH87+'[3]CB-7'!IH87+'[3]CB-8'!IH87+'[3]CB-9'!IH87+'[3]CB-10'!IH87+'[3]CB-11'!IH87+'[3]CB-12'!IH87+'[3]CB-13'!IH87+'[3]CB-14'!IH87+'[3]CB-15'!IH87+'[3]CB-16'!IH87+'[3]CB-17'!IH87+'[3]CB-18'!IH87+'[3]CB-19'!IH87+'[3]CB-20'!IH87+'[3]CB-21'!IH87+'[3]CB-22'!IH87+'[3]CB-23'!IH87+'[3]CB-24'!IH87+'[4]LCT-1'!IH87+'[4]LCT-2'!IH87+'[4]LCT-3'!IH87+'[4]LCT-4'!IH87+'[4]LCT-5'!IH87+'[4]LCT-6'!IH87+'[4]LCT-7'!IH87+'[4]LCT-8'!IH87+'[5]TB-1'!IH87+'[5]TB-2'!IH87+'[5]TB-3'!IH87+'[5]TB-4'!IH87+'[5]TB-5'!IH87+'[5]TB-6'!IH87+'[5]TB-7'!IH87+'[5]TB-8'!IH87+'[5]TB-9'!IH87+'[5]TB-10'!IH87+'[6]DSV-1'!IH87+'[6]DSV-2'!IH87+'[6]DSV-3'!IH87+'[7]TUB-1'!IH87+'[7]TUB-2'!IH87+'[8]Barge-1'!IH87+'[8]Barge-2'!IH87+'[8]Barge-3'!IH87+'[8]Barge-4'!IH87</f>
        <v>0</v>
      </c>
      <c r="AU16" s="139">
        <f>'[2]AHTS-1'!II54+'[2]AHTS-2'!II54+'[2]AHTS-3'!II54+'[2]AHTS-4'!II54+'[2]AHTS-5'!II54+'[2]AHTS-6'!II54+'[2]AHTS-7'!II54+'[2]AHTS-8'!II54+'[3]CB-1'!II54+'[3]CB-2'!II54+'[3]CB-3'!II54+'[3]CB-4'!II54+'[3]CB-5'!II54+'[3]CB-6'!II54+'[3]CB-7'!II54+'[3]CB-8'!II54+'[3]CB-9'!II54+'[3]CB-10'!II54+'[3]CB-11'!II54+'[3]CB-12'!II54+'[3]CB-13'!II54+'[3]CB-14'!II54+'[3]CB-15'!II54+'[3]CB-16'!II54+'[3]CB-17'!II54+'[3]CB-18'!II54+'[3]CB-19'!II54+'[3]CB-20'!II54+'[3]CB-21'!II54+'[3]CB-22'!II54+'[3]CB-23'!II54+'[3]CB-24'!II54+'[4]LCT-1'!II54+'[4]LCT-2'!II54+'[4]LCT-3'!II54+'[4]LCT-4'!II54+'[4]LCT-5'!II54+'[4]LCT-6'!II54+'[4]LCT-7'!II54+'[4]LCT-8'!II54+'[5]TB-1'!II54+'[5]TB-2'!II54+'[5]TB-3'!II54+'[5]TB-4'!II54+'[5]TB-5'!II54+'[5]TB-6'!II54+'[5]TB-7'!II54+'[5]TB-8'!II54+'[5]TB-9'!II54+'[5]TB-10'!II54+'[6]DSV-1'!II54+'[6]DSV-2'!II54+'[6]DSV-3'!II54+'[7]TUB-1'!II54+'[7]TUB-2'!II54+'[8]Barge-1'!II54+'[8]Barge-2'!II54+'[8]Barge-3'!II54+'[8]Barge-4'!II54</f>
        <v>0</v>
      </c>
      <c r="AV16" s="136">
        <f>'[2]AHTS-1'!II16+'[2]AHTS-2'!II16+'[2]AHTS-3'!II16+'[2]AHTS-4'!II16+'[2]AHTS-5'!II16+'[2]AHTS-6'!II16+'[2]AHTS-7'!II16+'[2]AHTS-8'!II16+'[3]CB-1'!II16+'[3]CB-2'!II16+'[3]CB-3'!II16+'[3]CB-4'!II16+'[3]CB-5'!II16+'[3]CB-6'!II16+'[3]CB-7'!II16+'[3]CB-8'!II16+'[3]CB-9'!II16+'[3]CB-10'!II16+'[3]CB-11'!II16+'[3]CB-12'!II16+'[3]CB-13'!II16+'[3]CB-14'!II16+'[3]CB-15'!II16+'[3]CB-16'!II16+'[3]CB-17'!II16+'[3]CB-18'!II16+'[3]CB-19'!II16+'[3]CB-20'!II16+'[3]CB-21'!II16+'[3]CB-22'!II16+'[3]CB-23'!II16+'[3]CB-24'!II16+'[4]LCT-1'!II16+'[4]LCT-2'!II16+'[4]LCT-3'!II16+'[4]LCT-4'!II16+'[4]LCT-5'!II16+'[4]LCT-6'!II16+'[4]LCT-7'!II16+'[4]LCT-8'!II16+'[5]TB-1'!II16+'[5]TB-2'!II16+'[5]TB-3'!II16+'[5]TB-4'!II16+'[5]TB-5'!II16+'[5]TB-6'!II16+'[5]TB-7'!II16+'[5]TB-8'!II16+'[5]TB-9'!II16+'[5]TB-10'!II16+'[6]DSV-1'!II16+'[6]DSV-2'!II16+'[6]DSV-3'!II16+'[7]TUB-1'!II16+'[7]TUB-2'!II16+'[8]Barge-1'!II16+'[8]Barge-2'!II16+'[8]Barge-3'!II16+'[8]Barge-4'!II16</f>
        <v>0</v>
      </c>
      <c r="AW16" s="140">
        <f>'[2]AHTS-1'!II87+'[2]AHTS-2'!II87+'[2]AHTS-3'!II87+'[2]AHTS-4'!II87+'[2]AHTS-5'!II87+'[2]AHTS-6'!II87+'[2]AHTS-7'!II87+'[2]AHTS-8'!II87+'[3]CB-1'!II87+'[3]CB-2'!II87+'[3]CB-3'!II87+'[3]CB-4'!II87+'[3]CB-5'!II87+'[3]CB-6'!II87+'[3]CB-7'!II87+'[3]CB-8'!II87+'[3]CB-9'!II87+'[3]CB-10'!II87+'[3]CB-11'!II87+'[3]CB-12'!II87+'[3]CB-13'!II87+'[3]CB-14'!II87+'[3]CB-15'!II87+'[3]CB-16'!II87+'[3]CB-17'!II87+'[3]CB-18'!II87+'[3]CB-19'!II87+'[3]CB-20'!II87+'[3]CB-21'!II87+'[3]CB-22'!II87+'[3]CB-23'!II87+'[3]CB-24'!II87+'[4]LCT-1'!II87+'[4]LCT-2'!II87+'[4]LCT-3'!II87+'[4]LCT-4'!II87+'[4]LCT-5'!II87+'[4]LCT-6'!II87+'[4]LCT-7'!II87+'[4]LCT-8'!II87+'[5]TB-1'!II87+'[5]TB-2'!II87+'[5]TB-3'!II87+'[5]TB-4'!II87+'[5]TB-5'!II87+'[5]TB-6'!II87+'[5]TB-7'!II87+'[5]TB-8'!II87+'[5]TB-9'!II87+'[5]TB-10'!II87+'[6]DSV-1'!II87+'[6]DSV-2'!II87+'[6]DSV-3'!II87+'[7]TUB-1'!II87+'[7]TUB-2'!II87+'[8]Barge-1'!II87+'[8]Barge-2'!II87+'[8]Barge-3'!II87+'[8]Barge-4'!II87</f>
        <v>0</v>
      </c>
      <c r="AX16" s="67"/>
      <c r="AY16" s="67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</row>
    <row r="17" spans="1:97" s="69" customFormat="1" ht="14.25" customHeight="1" x14ac:dyDescent="0.25">
      <c r="A17" s="111">
        <f>[1]Control!AZ17</f>
        <v>45992</v>
      </c>
      <c r="B17" s="66"/>
      <c r="C17" s="176">
        <f>'[2]AHTS-1'!AV17+'[2]AHTS-2'!AV17+'[2]AHTS-3'!AV17+'[2]AHTS-4'!AV17+'[2]AHTS-5'!AV17+'[2]AHTS-6'!AV17+'[2]AHTS-7'!AV17+'[2]AHTS-8'!AV17+'[3]CB-1'!AV17+'[3]CB-2'!AV17+'[3]CB-3'!AV17+'[3]CB-4'!AV17+'[3]CB-5'!AV17+'[3]CB-6'!AV17+'[3]CB-7'!AV17+'[3]CB-8'!AV17+'[3]CB-9'!AV17+'[3]CB-10'!AV17+'[3]CB-11'!AV17+'[3]CB-12'!AV17+'[3]CB-13'!AV17+'[3]CB-14'!AV17+'[3]CB-15'!AV17+'[3]CB-16'!AV17+'[3]CB-17'!AV17+'[3]CB-18'!AV17+'[3]CB-19'!AV17+'[3]CB-20'!AV17+'[3]CB-21'!AV17+'[3]CB-22'!AV17+'[3]CB-23'!AV17+'[3]CB-24'!AV17+'[4]LCT-1'!AV17+'[4]LCT-2'!AV17+'[4]LCT-3'!AV17+'[4]LCT-4'!AV17+'[4]LCT-5'!AV17+'[4]LCT-6'!AV17+'[4]LCT-7'!AV17+'[4]LCT-8'!AV17+'[5]TB-1'!AV17+'[5]TB-2'!AV17+'[5]TB-3'!AV17+'[5]TB-4'!AV17+'[5]TB-5'!AV17+'[5]TB-6'!AV17+'[5]TB-7'!AV17+'[5]TB-8'!AV17+'[5]TB-9'!AV17+'[5]TB-10'!AV17+'[6]DSV-1'!AV17+'[6]DSV-2'!AV17+'[6]DSV-3'!AV17+'[7]TUB-1'!AV17+'[7]TUB-2'!AV17+'[8]Barge-1'!AV17+'[8]Barge-2'!AV17+'[8]Barge-3'!AV17+'[8]Barge-4'!AV17</f>
        <v>0</v>
      </c>
      <c r="D17" s="177">
        <f>'[2]AHTS-1'!BR17+'[2]AHTS-2'!BR17+'[2]AHTS-3'!BR17+'[2]AHTS-4'!BR17+'[2]AHTS-5'!BR17+'[2]AHTS-6'!BR17+'[2]AHTS-7'!BR17+'[2]AHTS-8'!BR17+'[3]CB-1'!BR17+'[3]CB-2'!BR17+'[3]CB-3'!BR17+'[3]CB-4'!BR17+'[3]CB-5'!BR17+'[3]CB-6'!BR17+'[3]CB-7'!BR17+'[3]CB-8'!BR17+'[3]CB-9'!BR17+'[3]CB-10'!BR17+'[3]CB-11'!BR17+'[3]CB-12'!BR17+'[3]CB-13'!BR17+'[3]CB-14'!BR17+'[3]CB-15'!BR17+'[3]CB-16'!BR17+'[3]CB-17'!BR17+'[3]CB-18'!BR17+'[3]CB-19'!BR17+'[3]CB-20'!BR17+'[3]CB-21'!BR17+'[3]CB-22'!BR17+'[3]CB-23'!BR17+'[3]CB-24'!BR17+'[4]LCT-1'!BR17+'[4]LCT-2'!BR17+'[4]LCT-3'!BR17+'[4]LCT-4'!BR17+'[4]LCT-5'!BR17+'[4]LCT-6'!BR17+'[4]LCT-7'!BR17+'[4]LCT-8'!BR17+'[5]TB-1'!BR17+'[5]TB-2'!BR17+'[5]TB-3'!BR17+'[5]TB-4'!BR17+'[5]TB-5'!BR17+'[5]TB-6'!BR17+'[5]TB-7'!BR17+'[5]TB-8'!BR17+'[5]TB-9'!BR17+'[5]TB-10'!BR17+'[6]DSV-1'!BR17+'[6]DSV-2'!BR17+'[6]DSV-3'!BR17+'[7]TUB-1'!BR17+'[7]TUB-2'!BR17+'[8]Barge-1'!BR17+'[8]Barge-2'!BR17+'[8]Barge-3'!BR17+'[8]Barge-4'!BR17</f>
        <v>0</v>
      </c>
      <c r="E17" s="178">
        <f>'[2]AHTS-1'!CN17+'[2]AHTS-2'!CN17+'[2]AHTS-3'!CN17+'[2]AHTS-4'!CN17+'[2]AHTS-5'!CN17+'[2]AHTS-6'!CN17+'[2]AHTS-7'!CN17+'[2]AHTS-8'!CN17+'[3]CB-1'!CN17+'[3]CB-2'!CN17+'[3]CB-3'!CN17+'[3]CB-4'!CN17+'[3]CB-5'!CN17+'[3]CB-6'!CN17+'[3]CB-7'!CN17+'[3]CB-8'!CN17+'[3]CB-9'!CN17+'[3]CB-10'!CN17+'[3]CB-11'!CN17+'[3]CB-12'!CN17+'[3]CB-13'!CN17+'[3]CB-14'!CN17+'[3]CB-15'!CN17+'[3]CB-16'!CN17+'[3]CB-17'!CN17+'[3]CB-18'!CN17+'[3]CB-19'!CN17+'[3]CB-20'!CN17+'[3]CB-21'!CN17+'[3]CB-22'!CN17+'[3]CB-23'!CN17+'[3]CB-24'!CN17+'[4]LCT-1'!CN17+'[4]LCT-2'!CN17+'[4]LCT-3'!CN17+'[4]LCT-4'!CN17+'[4]LCT-5'!CN17+'[4]LCT-6'!CN17+'[4]LCT-7'!CN17+'[4]LCT-8'!CN17+'[5]TB-1'!CN17+'[5]TB-2'!CN17+'[5]TB-3'!CN17+'[5]TB-4'!CN17+'[5]TB-5'!CN17+'[5]TB-6'!CN17+'[5]TB-7'!CN17+'[5]TB-8'!CN17+'[5]TB-9'!CN17+'[5]TB-10'!CN17+'[6]DSV-1'!CN17+'[6]DSV-2'!CN17+'[6]DSV-3'!CN17+'[7]TUB-1'!CN17+'[7]TUB-2'!CN17+'[8]Barge-1'!CN17+'[8]Barge-2'!CN17+'[8]Barge-3'!CN17+'[8]Barge-4'!CN17</f>
        <v>0</v>
      </c>
      <c r="F17" s="179">
        <f>'[2]AHTS-1'!AW17+'[2]AHTS-2'!AW17+'[2]AHTS-3'!AW17+'[2]AHTS-4'!AW17+'[2]AHTS-5'!AW17+'[2]AHTS-6'!AW17+'[2]AHTS-7'!AW17+'[2]AHTS-8'!AW17+'[3]CB-1'!AW17+'[3]CB-2'!AW17+'[3]CB-3'!AW17+'[3]CB-4'!AW17+'[3]CB-5'!AW17+'[3]CB-6'!AW17+'[3]CB-7'!AW17+'[3]CB-8'!AW17+'[3]CB-9'!AW17+'[3]CB-10'!AW17+'[3]CB-11'!AW17+'[3]CB-12'!AW17+'[3]CB-13'!AW17+'[3]CB-14'!AW17+'[3]CB-15'!AW17+'[3]CB-16'!AW17+'[3]CB-17'!AW17+'[3]CB-18'!AW17+'[3]CB-19'!AW17+'[3]CB-20'!AW17+'[3]CB-21'!AW17+'[3]CB-22'!AW17+'[3]CB-23'!AW17+'[3]CB-24'!AW17+'[4]LCT-1'!AW17+'[4]LCT-2'!AW17+'[4]LCT-3'!AW17+'[4]LCT-4'!AW17+'[4]LCT-5'!AW17+'[4]LCT-6'!AW17+'[4]LCT-7'!AW17+'[4]LCT-8'!AW17+'[5]TB-1'!AW17+'[5]TB-2'!AW17+'[5]TB-3'!AW17+'[5]TB-4'!AW17+'[5]TB-5'!AW17+'[5]TB-6'!AW17+'[5]TB-7'!AW17+'[5]TB-8'!AW17+'[5]TB-9'!AW17+'[5]TB-10'!AW17+'[6]DSV-1'!AW17+'[6]DSV-2'!AW17+'[6]DSV-3'!AW17+'[7]TUB-1'!AW17+'[7]TUB-2'!AW17+'[8]Barge-1'!AW17+'[8]Barge-2'!AW17+'[8]Barge-3'!AW17+'[8]Barge-4'!AW17</f>
        <v>269.44517404223711</v>
      </c>
      <c r="G17" s="180">
        <f>'[2]AHTS-1'!BS17+'[2]AHTS-2'!BS17+'[2]AHTS-3'!BS17+'[2]AHTS-4'!BS17+'[2]AHTS-5'!BS17+'[2]AHTS-6'!BS17+'[2]AHTS-7'!BS17+'[2]AHTS-8'!BS17+'[3]CB-1'!BS17+'[3]CB-2'!BS17+'[3]CB-3'!BS17+'[3]CB-4'!BS17+'[3]CB-5'!BS17+'[3]CB-6'!BS17+'[3]CB-7'!BS17+'[3]CB-8'!BS17+'[3]CB-9'!BS17+'[3]CB-10'!BS17+'[3]CB-11'!BS17+'[3]CB-12'!BS17+'[3]CB-13'!BS17+'[3]CB-14'!BS17+'[3]CB-15'!BS17+'[3]CB-16'!BS17+'[3]CB-17'!BS17+'[3]CB-18'!BS17+'[3]CB-19'!BS17+'[3]CB-20'!BS17+'[3]CB-21'!BS17+'[3]CB-22'!BS17+'[3]CB-23'!BS17+'[3]CB-24'!BS17+'[4]LCT-1'!BS17+'[4]LCT-2'!BS17+'[4]LCT-3'!BS17+'[4]LCT-4'!BS17+'[4]LCT-5'!BS17+'[4]LCT-6'!BS17+'[4]LCT-7'!BS17+'[4]LCT-8'!BS17+'[5]TB-1'!BS17+'[5]TB-2'!BS17+'[5]TB-3'!BS17+'[5]TB-4'!BS17+'[5]TB-5'!BS17+'[5]TB-6'!BS17+'[5]TB-7'!BS17+'[5]TB-8'!BS17+'[5]TB-9'!BS17+'[5]TB-10'!BS17+'[6]DSV-1'!BS17+'[6]DSV-2'!BS17+'[6]DSV-3'!BS17+'[7]TUB-1'!BS17+'[7]TUB-2'!BS17+'[8]Barge-1'!BS17+'[8]Barge-2'!BS17+'[8]Barge-3'!BS17+'[8]Barge-4'!BS17</f>
        <v>309.72531748558492</v>
      </c>
      <c r="H17" s="180">
        <f>'[2]AHTS-1'!CO17+'[2]AHTS-2'!CO17+'[2]AHTS-3'!CO17+'[2]AHTS-4'!CO17+'[2]AHTS-5'!CO17+'[2]AHTS-6'!CO17+'[2]AHTS-7'!CO17+'[2]AHTS-8'!CO17+'[3]CB-1'!CO17+'[3]CB-2'!CO17+'[3]CB-3'!CO17+'[3]CB-4'!CO17+'[3]CB-5'!CO17+'[3]CB-6'!CO17+'[3]CB-7'!CO17+'[3]CB-8'!CO17+'[3]CB-9'!CO17+'[3]CB-10'!CO17+'[3]CB-11'!CO17+'[3]CB-12'!CO17+'[3]CB-13'!CO17+'[3]CB-14'!CO17+'[3]CB-15'!CO17+'[3]CB-16'!CO17+'[3]CB-17'!CO17+'[3]CB-18'!CO17+'[3]CB-19'!CO17+'[3]CB-20'!CO17+'[3]CB-21'!CO17+'[3]CB-22'!CO17+'[3]CB-23'!CO17+'[3]CB-24'!CO17+'[4]LCT-1'!CO17+'[4]LCT-2'!CO17+'[4]LCT-3'!CO17+'[4]LCT-4'!CO17+'[4]LCT-5'!CO17+'[4]LCT-6'!CO17+'[4]LCT-7'!CO17+'[4]LCT-8'!CO17+'[5]TB-1'!CO17+'[5]TB-2'!CO17+'[5]TB-3'!CO17+'[5]TB-4'!CO17+'[5]TB-5'!CO17+'[5]TB-6'!CO17+'[5]TB-7'!CO17+'[5]TB-8'!CO17+'[5]TB-9'!CO17+'[5]TB-10'!CO17+'[6]DSV-1'!CO17+'[6]DSV-2'!CO17+'[6]DSV-3'!CO17+'[7]TUB-1'!CO17+'[7]TUB-2'!CO17+'[8]Barge-1'!CO17+'[8]Barge-2'!CO17+'[8]Barge-3'!CO17+'[8]Barge-4'!CO17</f>
        <v>0</v>
      </c>
      <c r="I17" s="179">
        <f>'[2]AHTS-1'!AX17+'[2]AHTS-2'!AX17+'[2]AHTS-3'!AX17+'[2]AHTS-4'!AX17+'[2]AHTS-5'!AX17+'[2]AHTS-6'!AX17+'[2]AHTS-7'!AX17+'[2]AHTS-8'!AX17+'[3]CB-1'!AX17+'[3]CB-2'!AX17+'[3]CB-3'!AX17+'[3]CB-4'!AX17+'[3]CB-5'!AX17+'[3]CB-6'!AX17+'[3]CB-7'!AX17+'[3]CB-8'!AX17+'[3]CB-9'!AX17+'[3]CB-10'!AX17+'[3]CB-11'!AX17+'[3]CB-12'!AX17+'[3]CB-13'!AX17+'[3]CB-14'!AX17+'[3]CB-15'!AX17+'[3]CB-16'!AX17+'[3]CB-17'!AX17+'[3]CB-18'!AX17+'[3]CB-19'!AX17+'[3]CB-20'!AX17+'[3]CB-21'!AX17+'[3]CB-22'!AX17+'[3]CB-23'!AX17+'[3]CB-24'!AX17+'[4]LCT-1'!AX17+'[4]LCT-2'!AX17+'[4]LCT-3'!AX17+'[4]LCT-4'!AX17+'[4]LCT-5'!AX17+'[4]LCT-6'!AX17+'[4]LCT-7'!AX17+'[4]LCT-8'!AX17+'[5]TB-1'!AX17+'[5]TB-2'!AX17+'[5]TB-3'!AX17+'[5]TB-4'!AX17+'[5]TB-5'!AX17+'[5]TB-6'!AX17+'[5]TB-7'!AX17+'[5]TB-8'!AX17+'[5]TB-9'!AX17+'[5]TB-10'!AX17+'[6]DSV-1'!AX17+'[6]DSV-2'!AX17+'[6]DSV-3'!AX17+'[7]TUB-1'!AX17+'[7]TUB-2'!AX17+'[8]Barge-1'!AX17+'[8]Barge-2'!AX17+'[8]Barge-3'!AX17+'[8]Barge-4'!AX17</f>
        <v>2428.0701475114083</v>
      </c>
      <c r="J17" s="180">
        <f>'[2]AHTS-1'!BT17+'[2]AHTS-2'!BT17+'[2]AHTS-3'!BT17+'[2]AHTS-4'!BT17+'[2]AHTS-5'!BT17+'[2]AHTS-6'!BT17+'[2]AHTS-7'!BT17+'[2]AHTS-8'!BT17+'[3]CB-1'!BT17+'[3]CB-2'!BT17+'[3]CB-3'!BT17+'[3]CB-4'!BT17+'[3]CB-5'!BT17+'[3]CB-6'!BT17+'[3]CB-7'!BT17+'[3]CB-8'!BT17+'[3]CB-9'!BT17+'[3]CB-10'!BT17+'[3]CB-11'!BT17+'[3]CB-12'!BT17+'[3]CB-13'!BT17+'[3]CB-14'!BT17+'[3]CB-15'!BT17+'[3]CB-16'!BT17+'[3]CB-17'!BT17+'[3]CB-18'!BT17+'[3]CB-19'!BT17+'[3]CB-20'!BT17+'[3]CB-21'!BT17+'[3]CB-22'!BT17+'[3]CB-23'!BT17+'[3]CB-24'!BT17+'[4]LCT-1'!BT17+'[4]LCT-2'!BT17+'[4]LCT-3'!BT17+'[4]LCT-4'!BT17+'[4]LCT-5'!BT17+'[4]LCT-6'!BT17+'[4]LCT-7'!BT17+'[4]LCT-8'!BT17+'[5]TB-1'!BT17+'[5]TB-2'!BT17+'[5]TB-3'!BT17+'[5]TB-4'!BT17+'[5]TB-5'!BT17+'[5]TB-6'!BT17+'[5]TB-7'!BT17+'[5]TB-8'!BT17+'[5]TB-9'!BT17+'[5]TB-10'!BT17+'[6]DSV-1'!BT17+'[6]DSV-2'!BT17+'[6]DSV-3'!BT17+'[7]TUB-1'!BT17+'[7]TUB-2'!BT17+'[8]Barge-1'!BT17+'[8]Barge-2'!BT17+'[8]Barge-3'!BT17+'[8]Barge-4'!BT17</f>
        <v>1806.7494428525947</v>
      </c>
      <c r="K17" s="180">
        <f>'[2]AHTS-1'!CP17+'[2]AHTS-2'!CP17+'[2]AHTS-3'!CP17+'[2]AHTS-4'!CP17+'[2]AHTS-5'!CP17+'[2]AHTS-6'!CP17+'[2]AHTS-7'!CP17+'[2]AHTS-8'!CP17+'[3]CB-1'!CP17+'[3]CB-2'!CP17+'[3]CB-3'!CP17+'[3]CB-4'!CP17+'[3]CB-5'!CP17+'[3]CB-6'!CP17+'[3]CB-7'!CP17+'[3]CB-8'!CP17+'[3]CB-9'!CP17+'[3]CB-10'!CP17+'[3]CB-11'!CP17+'[3]CB-12'!CP17+'[3]CB-13'!CP17+'[3]CB-14'!CP17+'[3]CB-15'!CP17+'[3]CB-16'!CP17+'[3]CB-17'!CP17+'[3]CB-18'!CP17+'[3]CB-19'!CP17+'[3]CB-20'!CP17+'[3]CB-21'!CP17+'[3]CB-22'!CP17+'[3]CB-23'!CP17+'[3]CB-24'!CP17+'[4]LCT-1'!CP17+'[4]LCT-2'!CP17+'[4]LCT-3'!CP17+'[4]LCT-4'!CP17+'[4]LCT-5'!CP17+'[4]LCT-6'!CP17+'[4]LCT-7'!CP17+'[4]LCT-8'!CP17+'[5]TB-1'!CP17+'[5]TB-2'!CP17+'[5]TB-3'!CP17+'[5]TB-4'!CP17+'[5]TB-5'!CP17+'[5]TB-6'!CP17+'[5]TB-7'!CP17+'[5]TB-8'!CP17+'[5]TB-9'!CP17+'[5]TB-10'!CP17+'[6]DSV-1'!CP17+'[6]DSV-2'!CP17+'[6]DSV-3'!CP17+'[7]TUB-1'!CP17+'[7]TUB-2'!CP17+'[8]Barge-1'!CP17+'[8]Barge-2'!CP17+'[8]Barge-3'!CP17+'[8]Barge-4'!CP17</f>
        <v>0</v>
      </c>
      <c r="L17" s="181">
        <f>'[2]AHTS-1'!AY17+'[2]AHTS-2'!AY17+'[2]AHTS-3'!AY17+'[2]AHTS-4'!AY17+'[2]AHTS-5'!AY17+'[2]AHTS-6'!AY17+'[2]AHTS-7'!AY17+'[2]AHTS-8'!AY17+'[3]CB-1'!AY17+'[3]CB-2'!AY17+'[3]CB-3'!AY17+'[3]CB-4'!AY17+'[3]CB-5'!AY17+'[3]CB-6'!AY17+'[3]CB-7'!AY17+'[3]CB-8'!AY17+'[3]CB-9'!AY17+'[3]CB-10'!AY17+'[3]CB-11'!AY17+'[3]CB-12'!AY17+'[3]CB-13'!AY17+'[3]CB-14'!AY17+'[3]CB-15'!AY17+'[3]CB-16'!AY17+'[3]CB-17'!AY17+'[3]CB-18'!AY17+'[3]CB-19'!AY17+'[3]CB-20'!AY17+'[3]CB-21'!AY17+'[3]CB-22'!AY17+'[3]CB-23'!AY17+'[3]CB-24'!AY17+'[4]LCT-1'!AY17+'[4]LCT-2'!AY17+'[4]LCT-3'!AY17+'[4]LCT-4'!AY17+'[4]LCT-5'!AY17+'[4]LCT-6'!AY17+'[4]LCT-7'!AY17+'[4]LCT-8'!AY17+'[5]TB-1'!AY17+'[5]TB-2'!AY17+'[5]TB-3'!AY17+'[5]TB-4'!AY17+'[5]TB-5'!AY17+'[5]TB-6'!AY17+'[5]TB-7'!AY17+'[5]TB-8'!AY17+'[5]TB-9'!AY17+'[5]TB-10'!AY17+'[6]DSV-1'!AY17+'[6]DSV-2'!AY17+'[6]DSV-3'!AY17+'[7]TUB-1'!AY17+'[7]TUB-2'!AY17+'[8]Barge-1'!AY17+'[8]Barge-2'!AY17+'[8]Barge-3'!AY17+'[8]Barge-4'!AY17</f>
        <v>9709.5383635784801</v>
      </c>
      <c r="M17" s="182">
        <f>'[2]AHTS-1'!BU17+'[2]AHTS-2'!BU17+'[2]AHTS-3'!BU17+'[2]AHTS-4'!BU17+'[2]AHTS-5'!BU17+'[2]AHTS-6'!BU17+'[2]AHTS-7'!BU17+'[2]AHTS-8'!BU17+'[3]CB-1'!BU17+'[3]CB-2'!BU17+'[3]CB-3'!BU17+'[3]CB-4'!BU17+'[3]CB-5'!BU17+'[3]CB-6'!BU17+'[3]CB-7'!BU17+'[3]CB-8'!BU17+'[3]CB-9'!BU17+'[3]CB-10'!BU17+'[3]CB-11'!BU17+'[3]CB-12'!BU17+'[3]CB-13'!BU17+'[3]CB-14'!BU17+'[3]CB-15'!BU17+'[3]CB-16'!BU17+'[3]CB-17'!BU17+'[3]CB-18'!BU17+'[3]CB-19'!BU17+'[3]CB-20'!BU17+'[3]CB-21'!BU17+'[3]CB-22'!BU17+'[3]CB-23'!BU17+'[3]CB-24'!BU17+'[4]LCT-1'!BU17+'[4]LCT-2'!BU17+'[4]LCT-3'!BU17+'[4]LCT-4'!BU17+'[4]LCT-5'!BU17+'[4]LCT-6'!BU17+'[4]LCT-7'!BU17+'[4]LCT-8'!BU17+'[5]TB-1'!BU17+'[5]TB-2'!BU17+'[5]TB-3'!BU17+'[5]TB-4'!BU17+'[5]TB-5'!BU17+'[5]TB-6'!BU17+'[5]TB-7'!BU17+'[5]TB-8'!BU17+'[5]TB-9'!BU17+'[5]TB-10'!BU17+'[6]DSV-1'!BU17+'[6]DSV-2'!BU17+'[6]DSV-3'!BU17+'[7]TUB-1'!BU17+'[7]TUB-2'!BU17+'[8]Barge-1'!BU17+'[8]Barge-2'!BU17+'[8]Barge-3'!BU17+'[8]Barge-4'!BU17</f>
        <v>5458.9833386394994</v>
      </c>
      <c r="N17" s="182">
        <f>'[2]AHTS-1'!CQ17+'[2]AHTS-2'!CQ17+'[2]AHTS-3'!CQ17+'[2]AHTS-4'!CQ17+'[2]AHTS-5'!CQ17+'[2]AHTS-6'!CQ17+'[2]AHTS-7'!CQ17+'[2]AHTS-8'!CQ17+'[3]CB-1'!CQ17+'[3]CB-2'!CQ17+'[3]CB-3'!CQ17+'[3]CB-4'!CQ17+'[3]CB-5'!CQ17+'[3]CB-6'!CQ17+'[3]CB-7'!CQ17+'[3]CB-8'!CQ17+'[3]CB-9'!CQ17+'[3]CB-10'!CQ17+'[3]CB-11'!CQ17+'[3]CB-12'!CQ17+'[3]CB-13'!CQ17+'[3]CB-14'!CQ17+'[3]CB-15'!CQ17+'[3]CB-16'!CQ17+'[3]CB-17'!CQ17+'[3]CB-18'!CQ17+'[3]CB-19'!CQ17+'[3]CB-20'!CQ17+'[3]CB-21'!CQ17+'[3]CB-22'!CQ17+'[3]CB-23'!CQ17+'[3]CB-24'!CQ17+'[4]LCT-1'!CQ17+'[4]LCT-2'!CQ17+'[4]LCT-3'!CQ17+'[4]LCT-4'!CQ17+'[4]LCT-5'!CQ17+'[4]LCT-6'!CQ17+'[4]LCT-7'!CQ17+'[4]LCT-8'!CQ17+'[5]TB-1'!CQ17+'[5]TB-2'!CQ17+'[5]TB-3'!CQ17+'[5]TB-4'!CQ17+'[5]TB-5'!CQ17+'[5]TB-6'!CQ17+'[5]TB-7'!CQ17+'[5]TB-8'!CQ17+'[5]TB-9'!CQ17+'[5]TB-10'!CQ17+'[6]DSV-1'!CQ17+'[6]DSV-2'!CQ17+'[6]DSV-3'!CQ17+'[7]TUB-1'!CQ17+'[7]TUB-2'!CQ17+'[8]Barge-1'!CQ17+'[8]Barge-2'!CQ17+'[8]Barge-3'!CQ17+'[8]Barge-4'!CQ17</f>
        <v>0</v>
      </c>
      <c r="O17" s="179">
        <f>'[2]AHTS-1'!AZ17+'[2]AHTS-2'!AZ17+'[2]AHTS-3'!AZ17+'[2]AHTS-4'!AZ17+'[2]AHTS-5'!AZ17+'[2]AHTS-6'!AZ17+'[2]AHTS-7'!AZ17+'[2]AHTS-8'!AZ17+'[3]CB-1'!AZ17+'[3]CB-2'!AZ17+'[3]CB-3'!AZ17+'[3]CB-4'!AZ17+'[3]CB-5'!AZ17+'[3]CB-6'!AZ17+'[3]CB-7'!AZ17+'[3]CB-8'!AZ17+'[3]CB-9'!AZ17+'[3]CB-10'!AZ17+'[3]CB-11'!AZ17+'[3]CB-12'!AZ17+'[3]CB-13'!AZ17+'[3]CB-14'!AZ17+'[3]CB-15'!AZ17+'[3]CB-16'!AZ17+'[3]CB-17'!AZ17+'[3]CB-18'!AZ17+'[3]CB-19'!AZ17+'[3]CB-20'!AZ17+'[3]CB-21'!AZ17+'[3]CB-22'!AZ17+'[3]CB-23'!AZ17+'[3]CB-24'!AZ17+'[4]LCT-1'!AZ17+'[4]LCT-2'!AZ17+'[4]LCT-3'!AZ17+'[4]LCT-4'!AZ17+'[4]LCT-5'!AZ17+'[4]LCT-6'!AZ17+'[4]LCT-7'!AZ17+'[4]LCT-8'!AZ17+'[5]TB-1'!AZ17+'[5]TB-2'!AZ17+'[5]TB-3'!AZ17+'[5]TB-4'!AZ17+'[5]TB-5'!AZ17+'[5]TB-6'!AZ17+'[5]TB-7'!AZ17+'[5]TB-8'!AZ17+'[5]TB-9'!AZ17+'[5]TB-10'!AZ17+'[6]DSV-1'!AZ17+'[6]DSV-2'!AZ17+'[6]DSV-3'!AZ17+'[7]TUB-1'!AZ17+'[7]TUB-2'!AZ17+'[8]Barge-1'!AZ17+'[8]Barge-2'!AZ17+'[8]Barge-3'!AZ17+'[8]Barge-4'!AZ17</f>
        <v>69.926774912448266</v>
      </c>
      <c r="P17" s="180">
        <f>'[2]AHTS-1'!BV17+'[2]AHTS-2'!BV17+'[2]AHTS-3'!BV17+'[2]AHTS-4'!BV17+'[2]AHTS-5'!BV17+'[2]AHTS-6'!BV17+'[2]AHTS-7'!BV17+'[2]AHTS-8'!BV17+'[3]CB-1'!BV17+'[3]CB-2'!BV17+'[3]CB-3'!BV17+'[3]CB-4'!BV17+'[3]CB-5'!BV17+'[3]CB-6'!BV17+'[3]CB-7'!BV17+'[3]CB-8'!BV17+'[3]CB-9'!BV17+'[3]CB-10'!BV17+'[3]CB-11'!BV17+'[3]CB-12'!BV17+'[3]CB-13'!BV17+'[3]CB-14'!BV17+'[3]CB-15'!BV17+'[3]CB-16'!BV17+'[3]CB-17'!BV17+'[3]CB-18'!BV17+'[3]CB-19'!BV17+'[3]CB-20'!BV17+'[3]CB-21'!BV17+'[3]CB-22'!BV17+'[3]CB-23'!BV17+'[3]CB-24'!BV17+'[4]LCT-1'!BV17+'[4]LCT-2'!BV17+'[4]LCT-3'!BV17+'[4]LCT-4'!BV17+'[4]LCT-5'!BV17+'[4]LCT-6'!BV17+'[4]LCT-7'!BV17+'[4]LCT-8'!BV17+'[5]TB-1'!BV17+'[5]TB-2'!BV17+'[5]TB-3'!BV17+'[5]TB-4'!BV17+'[5]TB-5'!BV17+'[5]TB-6'!BV17+'[5]TB-7'!BV17+'[5]TB-8'!BV17+'[5]TB-9'!BV17+'[5]TB-10'!BV17+'[6]DSV-1'!BV17+'[6]DSV-2'!BV17+'[6]DSV-3'!BV17+'[7]TUB-1'!BV17+'[7]TUB-2'!BV17+'[8]Barge-1'!BV17+'[8]Barge-2'!BV17+'[8]Barge-3'!BV17+'[8]Barge-4'!BV17</f>
        <v>275.92061976016129</v>
      </c>
      <c r="Q17" s="180">
        <f>'[2]AHTS-1'!CR17+'[2]AHTS-2'!CR17+'[2]AHTS-3'!CR17+'[2]AHTS-4'!CR17+'[2]AHTS-5'!CR17+'[2]AHTS-6'!CR17+'[2]AHTS-7'!CR17+'[2]AHTS-8'!CR17+'[3]CB-1'!CR17+'[3]CB-2'!CR17+'[3]CB-3'!CR17+'[3]CB-4'!CR17+'[3]CB-5'!CR17+'[3]CB-6'!CR17+'[3]CB-7'!CR17+'[3]CB-8'!CR17+'[3]CB-9'!CR17+'[3]CB-10'!CR17+'[3]CB-11'!CR17+'[3]CB-12'!CR17+'[3]CB-13'!CR17+'[3]CB-14'!CR17+'[3]CB-15'!CR17+'[3]CB-16'!CR17+'[3]CB-17'!CR17+'[3]CB-18'!CR17+'[3]CB-19'!CR17+'[3]CB-20'!CR17+'[3]CB-21'!CR17+'[3]CB-22'!CR17+'[3]CB-23'!CR17+'[3]CB-24'!CR17+'[4]LCT-1'!CR17+'[4]LCT-2'!CR17+'[4]LCT-3'!CR17+'[4]LCT-4'!CR17+'[4]LCT-5'!CR17+'[4]LCT-6'!CR17+'[4]LCT-7'!CR17+'[4]LCT-8'!CR17+'[5]TB-1'!CR17+'[5]TB-2'!CR17+'[5]TB-3'!CR17+'[5]TB-4'!CR17+'[5]TB-5'!CR17+'[5]TB-6'!CR17+'[5]TB-7'!CR17+'[5]TB-8'!CR17+'[5]TB-9'!CR17+'[5]TB-10'!CR17+'[6]DSV-1'!CR17+'[6]DSV-2'!CR17+'[6]DSV-3'!CR17+'[7]TUB-1'!CR17+'[7]TUB-2'!CR17+'[8]Barge-1'!CR17+'[8]Barge-2'!CR17+'[8]Barge-3'!CR17+'[8]Barge-4'!CR17</f>
        <v>0</v>
      </c>
      <c r="R17" s="183">
        <f>'[2]AHTS-1'!BA17+'[2]AHTS-2'!BA17+'[2]AHTS-3'!BA17+'[2]AHTS-4'!BA17+'[2]AHTS-5'!BA17+'[2]AHTS-6'!BA17+'[2]AHTS-7'!BA17+'[2]AHTS-8'!BA17+'[3]CB-1'!BA17+'[3]CB-2'!BA17+'[3]CB-3'!BA17+'[3]CB-4'!BA17+'[3]CB-5'!BA17+'[3]CB-6'!BA17+'[3]CB-7'!BA17+'[3]CB-8'!BA17+'[3]CB-9'!BA17+'[3]CB-10'!BA17+'[3]CB-11'!BA17+'[3]CB-12'!BA17+'[3]CB-13'!BA17+'[3]CB-14'!BA17+'[3]CB-15'!BA17+'[3]CB-16'!BA17+'[3]CB-17'!BA17+'[3]CB-18'!BA17+'[3]CB-19'!BA17+'[3]CB-20'!BA17+'[3]CB-21'!BA17+'[3]CB-22'!BA17+'[3]CB-23'!BA17+'[3]CB-24'!BA17+'[4]LCT-1'!BA17+'[4]LCT-2'!BA17+'[4]LCT-3'!BA17+'[4]LCT-4'!BA17+'[4]LCT-5'!BA17+'[4]LCT-6'!BA17+'[4]LCT-7'!BA17+'[4]LCT-8'!BA17+'[5]TB-1'!BA17+'[5]TB-2'!BA17+'[5]TB-3'!BA17+'[5]TB-4'!BA17+'[5]TB-5'!BA17+'[5]TB-6'!BA17+'[5]TB-7'!BA17+'[5]TB-8'!BA17+'[5]TB-9'!BA17+'[5]TB-10'!BA17+'[6]DSV-1'!BA17+'[6]DSV-2'!BA17+'[6]DSV-3'!BA17+'[7]TUB-1'!BA17+'[7]TUB-2'!BA17+'[8]Barge-1'!BA17+'[8]Barge-2'!BA17+'[8]Barge-3'!BA17+'[8]Barge-4'!BA17</f>
        <v>4690.9211503767374</v>
      </c>
      <c r="S17" s="180">
        <f>'[2]AHTS-1'!BW17+'[2]AHTS-2'!BW17+'[2]AHTS-3'!BW17+'[2]AHTS-4'!BW17+'[2]AHTS-5'!BW17+'[2]AHTS-6'!BW17+'[2]AHTS-7'!BW17+'[2]AHTS-8'!BW17+'[3]CB-1'!BW17+'[3]CB-2'!BW17+'[3]CB-3'!BW17+'[3]CB-4'!BW17+'[3]CB-5'!BW17+'[3]CB-6'!BW17+'[3]CB-7'!BW17+'[3]CB-8'!BW17+'[3]CB-9'!BW17+'[3]CB-10'!BW17+'[3]CB-11'!BW17+'[3]CB-12'!BW17+'[3]CB-13'!BW17+'[3]CB-14'!BW17+'[3]CB-15'!BW17+'[3]CB-16'!BW17+'[3]CB-17'!BW17+'[3]CB-18'!BW17+'[3]CB-19'!BW17+'[3]CB-20'!BW17+'[3]CB-21'!BW17+'[3]CB-22'!BW17+'[3]CB-23'!BW17+'[3]CB-24'!BW17+'[4]LCT-1'!BW17+'[4]LCT-2'!BW17+'[4]LCT-3'!BW17+'[4]LCT-4'!BW17+'[4]LCT-5'!BW17+'[4]LCT-6'!BW17+'[4]LCT-7'!BW17+'[4]LCT-8'!BW17+'[5]TB-1'!BW17+'[5]TB-2'!BW17+'[5]TB-3'!BW17+'[5]TB-4'!BW17+'[5]TB-5'!BW17+'[5]TB-6'!BW17+'[5]TB-7'!BW17+'[5]TB-8'!BW17+'[5]TB-9'!BW17+'[5]TB-10'!BW17+'[6]DSV-1'!BW17+'[6]DSV-2'!BW17+'[6]DSV-3'!BW17+'[7]TUB-1'!BW17+'[7]TUB-2'!BW17+'[8]Barge-1'!BW17+'[8]Barge-2'!BW17+'[8]Barge-3'!BW17+'[8]Barge-4'!BW17</f>
        <v>5886.660299267749</v>
      </c>
      <c r="T17" s="184">
        <f>'[2]AHTS-1'!CS17+'[2]AHTS-2'!CS17+'[2]AHTS-3'!CS17+'[2]AHTS-4'!CS17+'[2]AHTS-5'!CS17+'[2]AHTS-6'!CS17+'[2]AHTS-7'!CS17+'[2]AHTS-8'!CS17+'[3]CB-1'!CS17+'[3]CB-2'!CS17+'[3]CB-3'!CS17+'[3]CB-4'!CS17+'[3]CB-5'!CS17+'[3]CB-6'!CS17+'[3]CB-7'!CS17+'[3]CB-8'!CS17+'[3]CB-9'!CS17+'[3]CB-10'!CS17+'[3]CB-11'!CS17+'[3]CB-12'!CS17+'[3]CB-13'!CS17+'[3]CB-14'!CS17+'[3]CB-15'!CS17+'[3]CB-16'!CS17+'[3]CB-17'!CS17+'[3]CB-18'!CS17+'[3]CB-19'!CS17+'[3]CB-20'!CS17+'[3]CB-21'!CS17+'[3]CB-22'!CS17+'[3]CB-23'!CS17+'[3]CB-24'!CS17+'[4]LCT-1'!CS17+'[4]LCT-2'!CS17+'[4]LCT-3'!CS17+'[4]LCT-4'!CS17+'[4]LCT-5'!CS17+'[4]LCT-6'!CS17+'[4]LCT-7'!CS17+'[4]LCT-8'!CS17+'[5]TB-1'!CS17+'[5]TB-2'!CS17+'[5]TB-3'!CS17+'[5]TB-4'!CS17+'[5]TB-5'!CS17+'[5]TB-6'!CS17+'[5]TB-7'!CS17+'[5]TB-8'!CS17+'[5]TB-9'!CS17+'[5]TB-10'!CS17+'[6]DSV-1'!CS17+'[6]DSV-2'!CS17+'[6]DSV-3'!CS17+'[7]TUB-1'!CS17+'[7]TUB-2'!CS17+'[8]Barge-1'!CS17+'[8]Barge-2'!CS17+'[8]Barge-3'!CS17+'[8]Barge-4'!CS17</f>
        <v>0</v>
      </c>
      <c r="U17" s="183">
        <f>'[2]AHTS-1'!BB17+'[2]AHTS-2'!BB17+'[2]AHTS-3'!BB17+'[2]AHTS-4'!BB17+'[2]AHTS-5'!BB17+'[2]AHTS-6'!BB17+'[2]AHTS-7'!BB17+'[2]AHTS-8'!BB17+'[3]CB-1'!BB17+'[3]CB-2'!BB17+'[3]CB-3'!BB17+'[3]CB-4'!BB17+'[3]CB-5'!BB17+'[3]CB-6'!BB17+'[3]CB-7'!BB17+'[3]CB-8'!BB17+'[3]CB-9'!BB17+'[3]CB-10'!BB17+'[3]CB-11'!BB17+'[3]CB-12'!BB17+'[3]CB-13'!BB17+'[3]CB-14'!BB17+'[3]CB-15'!BB17+'[3]CB-16'!BB17+'[3]CB-17'!BB17+'[3]CB-18'!BB17+'[3]CB-19'!BB17+'[3]CB-20'!BB17+'[3]CB-21'!BB17+'[3]CB-22'!BB17+'[3]CB-23'!BB17+'[3]CB-24'!BB17+'[4]LCT-1'!BB17+'[4]LCT-2'!BB17+'[4]LCT-3'!BB17+'[4]LCT-4'!BB17+'[4]LCT-5'!BB17+'[4]LCT-6'!BB17+'[4]LCT-7'!BB17+'[4]LCT-8'!BB17+'[5]TB-1'!BB17+'[5]TB-2'!BB17+'[5]TB-3'!BB17+'[5]TB-4'!BB17+'[5]TB-5'!BB17+'[5]TB-6'!BB17+'[5]TB-7'!BB17+'[5]TB-8'!BB17+'[5]TB-9'!BB17+'[5]TB-10'!BB17+'[6]DSV-1'!BB17+'[6]DSV-2'!BB17+'[6]DSV-3'!BB17+'[7]TUB-1'!BB17+'[7]TUB-2'!BB17+'[8]Barge-1'!BB17+'[8]Barge-2'!BB17+'[8]Barge-3'!BB17+'[8]Barge-4'!BB17</f>
        <v>0</v>
      </c>
      <c r="V17" s="180">
        <f>'[2]AHTS-1'!BX17+'[2]AHTS-2'!BX17+'[2]AHTS-3'!BX17+'[2]AHTS-4'!BX17+'[2]AHTS-5'!BX17+'[2]AHTS-6'!BX17+'[2]AHTS-7'!BX17+'[2]AHTS-8'!BX17+'[3]CB-1'!BX17+'[3]CB-2'!BX17+'[3]CB-3'!BX17+'[3]CB-4'!BX17+'[3]CB-5'!BX17+'[3]CB-6'!BX17+'[3]CB-7'!BX17+'[3]CB-8'!BX17+'[3]CB-9'!BX17+'[3]CB-10'!BX17+'[3]CB-11'!BX17+'[3]CB-12'!BX17+'[3]CB-13'!BX17+'[3]CB-14'!BX17+'[3]CB-15'!BX17+'[3]CB-16'!BX17+'[3]CB-17'!BX17+'[3]CB-18'!BX17+'[3]CB-19'!BX17+'[3]CB-20'!BX17+'[3]CB-21'!BX17+'[3]CB-22'!BX17+'[3]CB-23'!BX17+'[3]CB-24'!BX17+'[4]LCT-1'!BX17+'[4]LCT-2'!BX17+'[4]LCT-3'!BX17+'[4]LCT-4'!BX17+'[4]LCT-5'!BX17+'[4]LCT-6'!BX17+'[4]LCT-7'!BX17+'[4]LCT-8'!BX17+'[5]TB-1'!BX17+'[5]TB-2'!BX17+'[5]TB-3'!BX17+'[5]TB-4'!BX17+'[5]TB-5'!BX17+'[5]TB-6'!BX17+'[5]TB-7'!BX17+'[5]TB-8'!BX17+'[5]TB-9'!BX17+'[5]TB-10'!BX17+'[6]DSV-1'!BX17+'[6]DSV-2'!BX17+'[6]DSV-3'!BX17+'[7]TUB-1'!BX17+'[7]TUB-2'!BX17+'[8]Barge-1'!BX17+'[8]Barge-2'!BX17+'[8]Barge-3'!BX17+'[8]Barge-4'!BX17</f>
        <v>0</v>
      </c>
      <c r="W17" s="184">
        <f>'[2]AHTS-1'!CT17+'[2]AHTS-2'!CT17+'[2]AHTS-3'!CT17+'[2]AHTS-4'!CT17+'[2]AHTS-5'!CT17+'[2]AHTS-6'!CT17+'[2]AHTS-7'!CT17+'[2]AHTS-8'!CT17+'[3]CB-1'!CT17+'[3]CB-2'!CT17+'[3]CB-3'!CT17+'[3]CB-4'!CT17+'[3]CB-5'!CT17+'[3]CB-6'!CT17+'[3]CB-7'!CT17+'[3]CB-8'!CT17+'[3]CB-9'!CT17+'[3]CB-10'!CT17+'[3]CB-11'!CT17+'[3]CB-12'!CT17+'[3]CB-13'!CT17+'[3]CB-14'!CT17+'[3]CB-15'!CT17+'[3]CB-16'!CT17+'[3]CB-17'!CT17+'[3]CB-18'!CT17+'[3]CB-19'!CT17+'[3]CB-20'!CT17+'[3]CB-21'!CT17+'[3]CB-22'!CT17+'[3]CB-23'!CT17+'[3]CB-24'!CT17+'[4]LCT-1'!CT17+'[4]LCT-2'!CT17+'[4]LCT-3'!CT17+'[4]LCT-4'!CT17+'[4]LCT-5'!CT17+'[4]LCT-6'!CT17+'[4]LCT-7'!CT17+'[4]LCT-8'!CT17+'[5]TB-1'!CT17+'[5]TB-2'!CT17+'[5]TB-3'!CT17+'[5]TB-4'!CT17+'[5]TB-5'!CT17+'[5]TB-6'!CT17+'[5]TB-7'!CT17+'[5]TB-8'!CT17+'[5]TB-9'!CT17+'[5]TB-10'!CT17+'[6]DSV-1'!CT17+'[6]DSV-2'!CT17+'[6]DSV-3'!CT17+'[7]TUB-1'!CT17+'[7]TUB-2'!CT17+'[8]Barge-1'!CT17+'[8]Barge-2'!CT17+'[8]Barge-3'!CT17+'[8]Barge-4'!CT17</f>
        <v>0</v>
      </c>
      <c r="X17" s="67"/>
      <c r="Y17" s="67"/>
      <c r="Z17" s="68"/>
      <c r="AA17" s="111">
        <f>[1]Control!AZ17</f>
        <v>45992</v>
      </c>
      <c r="AB17" s="66"/>
      <c r="AC17" s="132">
        <f>'[2]AHTS-1'!IC55+'[2]AHTS-2'!IC55+'[2]AHTS-3'!IC55+'[2]AHTS-4'!IC55+'[2]AHTS-5'!IC55+'[2]AHTS-6'!IC55+'[2]AHTS-7'!IC55+'[2]AHTS-8'!IC55+'[3]CB-1'!IC55+'[3]CB-2'!IC55+'[3]CB-3'!IC55+'[3]CB-4'!IC55+'[3]CB-5'!IC55+'[3]CB-6'!IC55+'[3]CB-7'!IC55+'[3]CB-8'!IC55+'[3]CB-9'!IC55+'[3]CB-10'!IC55+'[3]CB-11'!IC55+'[3]CB-12'!IC55+'[3]CB-13'!IC55+'[3]CB-14'!IC55+'[3]CB-15'!IC55+'[3]CB-16'!IC55+'[3]CB-17'!IC55+'[3]CB-18'!IC55+'[3]CB-19'!IC55+'[3]CB-20'!IC55+'[3]CB-21'!IC55+'[3]CB-22'!IC55+'[3]CB-23'!IC55+'[3]CB-24'!IC55+'[4]LCT-1'!IC55+'[4]LCT-2'!IC55+'[4]LCT-3'!IC55+'[4]LCT-4'!IC55+'[4]LCT-5'!IC55+'[4]LCT-6'!IC55+'[4]LCT-7'!IC55+'[4]LCT-8'!IC55+'[5]TB-1'!IC55+'[5]TB-2'!IC55+'[5]TB-3'!IC55+'[5]TB-4'!IC55+'[5]TB-5'!IC55+'[5]TB-6'!IC55+'[5]TB-7'!IC55+'[5]TB-8'!IC55+'[5]TB-9'!IC55+'[5]TB-10'!IC55+'[6]DSV-1'!IC55+'[6]DSV-2'!IC55+'[6]DSV-3'!IC55+'[7]TUB-1'!IC55+'[7]TUB-2'!IC55+'[8]Barge-1'!IC55+'[8]Barge-2'!IC55+'[8]Barge-3'!IC55+'[8]Barge-4'!IC55</f>
        <v>0</v>
      </c>
      <c r="AD17" s="133">
        <f>'[2]AHTS-1'!IC17+'[2]AHTS-2'!IC17+'[2]AHTS-3'!IC17+'[2]AHTS-4'!IC17+'[2]AHTS-5'!IC17+'[2]AHTS-6'!IC17+'[2]AHTS-7'!IC17+'[2]AHTS-8'!IC17+'[3]CB-1'!IC17+'[3]CB-2'!IC17+'[3]CB-3'!IC17+'[3]CB-4'!IC17+'[3]CB-5'!IC17+'[3]CB-6'!IC17+'[3]CB-7'!IC17+'[3]CB-8'!IC17+'[3]CB-9'!IC17+'[3]CB-10'!IC17+'[3]CB-11'!IC17+'[3]CB-12'!IC17+'[3]CB-13'!IC17+'[3]CB-14'!IC17+'[3]CB-15'!IC17+'[3]CB-16'!IC17+'[3]CB-17'!IC17+'[3]CB-18'!IC17+'[3]CB-19'!IC17+'[3]CB-20'!IC17+'[3]CB-21'!IC17+'[3]CB-22'!IC17+'[3]CB-23'!IC17+'[3]CB-24'!IC17+'[4]LCT-1'!IC17+'[4]LCT-2'!IC17+'[4]LCT-3'!IC17+'[4]LCT-4'!IC17+'[4]LCT-5'!IC17+'[4]LCT-6'!IC17+'[4]LCT-7'!IC17+'[4]LCT-8'!IC17+'[5]TB-1'!IC17+'[5]TB-2'!IC17+'[5]TB-3'!IC17+'[5]TB-4'!IC17+'[5]TB-5'!IC17+'[5]TB-6'!IC17+'[5]TB-7'!IC17+'[5]TB-8'!IC17+'[5]TB-9'!IC17+'[5]TB-10'!IC17+'[6]DSV-1'!IC17+'[6]DSV-2'!IC17+'[6]DSV-3'!IC17+'[7]TUB-1'!IC17+'[7]TUB-2'!IC17+'[8]Barge-1'!IC17+'[8]Barge-2'!IC17+'[8]Barge-3'!IC17+'[8]Barge-4'!IC17</f>
        <v>0</v>
      </c>
      <c r="AE17" s="134">
        <f>'[2]AHTS-1'!IC88+'[2]AHTS-2'!IC88+'[2]AHTS-3'!IC88+'[2]AHTS-4'!IC88+'[2]AHTS-5'!IC88+'[2]AHTS-6'!IC88+'[2]AHTS-7'!IC88+'[2]AHTS-8'!IC88+'[3]CB-1'!IC88+'[3]CB-2'!IC88+'[3]CB-3'!IC88+'[3]CB-4'!IC88+'[3]CB-5'!IC88+'[3]CB-6'!IC88+'[3]CB-7'!IC88+'[3]CB-8'!IC88+'[3]CB-9'!IC88+'[3]CB-10'!IC88+'[3]CB-11'!IC88+'[3]CB-12'!IC88+'[3]CB-13'!IC88+'[3]CB-14'!IC88+'[3]CB-15'!IC88+'[3]CB-16'!IC88+'[3]CB-17'!IC88+'[3]CB-18'!IC88+'[3]CB-19'!IC88+'[3]CB-20'!IC88+'[3]CB-21'!IC88+'[3]CB-22'!IC88+'[3]CB-23'!IC88+'[3]CB-24'!IC88+'[4]LCT-1'!IC88+'[4]LCT-2'!IC88+'[4]LCT-3'!IC88+'[4]LCT-4'!IC88+'[4]LCT-5'!IC88+'[4]LCT-6'!IC88+'[4]LCT-7'!IC88+'[4]LCT-8'!IC88+'[5]TB-1'!IC88+'[5]TB-2'!IC88+'[5]TB-3'!IC88+'[5]TB-4'!IC88+'[5]TB-5'!IC88+'[5]TB-6'!IC88+'[5]TB-7'!IC88+'[5]TB-8'!IC88+'[5]TB-9'!IC88+'[5]TB-10'!IC88+'[6]DSV-1'!IC88+'[6]DSV-2'!IC88+'[6]DSV-3'!IC88+'[7]TUB-1'!IC88+'[7]TUB-2'!IC88+'[8]Barge-1'!IC88+'[8]Barge-2'!IC88+'[8]Barge-3'!IC88+'[8]Barge-4'!IC88</f>
        <v>0</v>
      </c>
      <c r="AF17" s="135">
        <f>'[2]AHTS-1'!ID55+'[2]AHTS-2'!ID55+'[2]AHTS-3'!ID55+'[2]AHTS-4'!ID55+'[2]AHTS-5'!ID55+'[2]AHTS-6'!ID55+'[2]AHTS-7'!ID55+'[2]AHTS-8'!ID55+'[3]CB-1'!ID55+'[3]CB-2'!ID55+'[3]CB-3'!ID55+'[3]CB-4'!ID55+'[3]CB-5'!ID55+'[3]CB-6'!ID55+'[3]CB-7'!ID55+'[3]CB-8'!ID55+'[3]CB-9'!ID55+'[3]CB-10'!ID55+'[3]CB-11'!ID55+'[3]CB-12'!ID55+'[3]CB-13'!ID55+'[3]CB-14'!ID55+'[3]CB-15'!ID55+'[3]CB-16'!ID55+'[3]CB-17'!ID55+'[3]CB-18'!ID55+'[3]CB-19'!ID55+'[3]CB-20'!ID55+'[3]CB-21'!ID55+'[3]CB-22'!ID55+'[3]CB-23'!ID55+'[3]CB-24'!ID55+'[4]LCT-1'!ID55+'[4]LCT-2'!ID55+'[4]LCT-3'!ID55+'[4]LCT-4'!ID55+'[4]LCT-5'!ID55+'[4]LCT-6'!ID55+'[4]LCT-7'!ID55+'[4]LCT-8'!ID55+'[5]TB-1'!ID55+'[5]TB-2'!ID55+'[5]TB-3'!ID55+'[5]TB-4'!ID55+'[5]TB-5'!ID55+'[5]TB-6'!ID55+'[5]TB-7'!ID55+'[5]TB-8'!ID55+'[5]TB-9'!ID55+'[5]TB-10'!ID55+'[6]DSV-1'!ID55+'[6]DSV-2'!ID55+'[6]DSV-3'!ID55+'[7]TUB-1'!ID55+'[7]TUB-2'!ID55+'[8]Barge-1'!ID55+'[8]Barge-2'!ID55+'[8]Barge-3'!ID55+'[8]Barge-4'!ID55</f>
        <v>4231636.458333333</v>
      </c>
      <c r="AG17" s="136">
        <f>'[2]AHTS-1'!ID17+'[2]AHTS-2'!ID17+'[2]AHTS-3'!ID17+'[2]AHTS-4'!ID17+'[2]AHTS-5'!ID17+'[2]AHTS-6'!ID17+'[2]AHTS-7'!ID17+'[2]AHTS-8'!ID17+'[3]CB-1'!ID17+'[3]CB-2'!ID17+'[3]CB-3'!ID17+'[3]CB-4'!ID17+'[3]CB-5'!ID17+'[3]CB-6'!ID17+'[3]CB-7'!ID17+'[3]CB-8'!ID17+'[3]CB-9'!ID17+'[3]CB-10'!ID17+'[3]CB-11'!ID17+'[3]CB-12'!ID17+'[3]CB-13'!ID17+'[3]CB-14'!ID17+'[3]CB-15'!ID17+'[3]CB-16'!ID17+'[3]CB-17'!ID17+'[3]CB-18'!ID17+'[3]CB-19'!ID17+'[3]CB-20'!ID17+'[3]CB-21'!ID17+'[3]CB-22'!ID17+'[3]CB-23'!ID17+'[3]CB-24'!ID17+'[4]LCT-1'!ID17+'[4]LCT-2'!ID17+'[4]LCT-3'!ID17+'[4]LCT-4'!ID17+'[4]LCT-5'!ID17+'[4]LCT-6'!ID17+'[4]LCT-7'!ID17+'[4]LCT-8'!ID17+'[5]TB-1'!ID17+'[5]TB-2'!ID17+'[5]TB-3'!ID17+'[5]TB-4'!ID17+'[5]TB-5'!ID17+'[5]TB-6'!ID17+'[5]TB-7'!ID17+'[5]TB-8'!ID17+'[5]TB-9'!ID17+'[5]TB-10'!ID17+'[6]DSV-1'!ID17+'[6]DSV-2'!ID17+'[6]DSV-3'!ID17+'[7]TUB-1'!ID17+'[7]TUB-2'!ID17+'[8]Barge-1'!ID17+'[8]Barge-2'!ID17+'[8]Barge-3'!ID17+'[8]Barge-4'!ID17</f>
        <v>4864236.111111111</v>
      </c>
      <c r="AH17" s="136">
        <f>'[2]AHTS-1'!ID88+'[2]AHTS-2'!ID88+'[2]AHTS-3'!ID88+'[2]AHTS-4'!ID88+'[2]AHTS-5'!ID88+'[2]AHTS-6'!ID88+'[2]AHTS-7'!ID88+'[2]AHTS-8'!ID88+'[3]CB-1'!ID88+'[3]CB-2'!ID88+'[3]CB-3'!ID88+'[3]CB-4'!ID88+'[3]CB-5'!ID88+'[3]CB-6'!ID88+'[3]CB-7'!ID88+'[3]CB-8'!ID88+'[3]CB-9'!ID88+'[3]CB-10'!ID88+'[3]CB-11'!ID88+'[3]CB-12'!ID88+'[3]CB-13'!ID88+'[3]CB-14'!ID88+'[3]CB-15'!ID88+'[3]CB-16'!ID88+'[3]CB-17'!ID88+'[3]CB-18'!ID88+'[3]CB-19'!ID88+'[3]CB-20'!ID88+'[3]CB-21'!ID88+'[3]CB-22'!ID88+'[3]CB-23'!ID88+'[3]CB-24'!ID88+'[4]LCT-1'!ID88+'[4]LCT-2'!ID88+'[4]LCT-3'!ID88+'[4]LCT-4'!ID88+'[4]LCT-5'!ID88+'[4]LCT-6'!ID88+'[4]LCT-7'!ID88+'[4]LCT-8'!ID88+'[5]TB-1'!ID88+'[5]TB-2'!ID88+'[5]TB-3'!ID88+'[5]TB-4'!ID88+'[5]TB-5'!ID88+'[5]TB-6'!ID88+'[5]TB-7'!ID88+'[5]TB-8'!ID88+'[5]TB-9'!ID88+'[5]TB-10'!ID88+'[6]DSV-1'!ID88+'[6]DSV-2'!ID88+'[6]DSV-3'!ID88+'[7]TUB-1'!ID88+'[7]TUB-2'!ID88+'[8]Barge-1'!ID88+'[8]Barge-2'!ID88+'[8]Barge-3'!ID88+'[8]Barge-4'!ID88</f>
        <v>0</v>
      </c>
      <c r="AI17" s="135">
        <f>'[2]AHTS-1'!IE55+'[2]AHTS-2'!IE55+'[2]AHTS-3'!IE55+'[2]AHTS-4'!IE55+'[2]AHTS-5'!IE55+'[2]AHTS-6'!IE55+'[2]AHTS-7'!IE55+'[2]AHTS-8'!IE55+'[3]CB-1'!IE55+'[3]CB-2'!IE55+'[3]CB-3'!IE55+'[3]CB-4'!IE55+'[3]CB-5'!IE55+'[3]CB-6'!IE55+'[3]CB-7'!IE55+'[3]CB-8'!IE55+'[3]CB-9'!IE55+'[3]CB-10'!IE55+'[3]CB-11'!IE55+'[3]CB-12'!IE55+'[3]CB-13'!IE55+'[3]CB-14'!IE55+'[3]CB-15'!IE55+'[3]CB-16'!IE55+'[3]CB-17'!IE55+'[3]CB-18'!IE55+'[3]CB-19'!IE55+'[3]CB-20'!IE55+'[3]CB-21'!IE55+'[3]CB-22'!IE55+'[3]CB-23'!IE55+'[3]CB-24'!IE55+'[4]LCT-1'!IE55+'[4]LCT-2'!IE55+'[4]LCT-3'!IE55+'[4]LCT-4'!IE55+'[4]LCT-5'!IE55+'[4]LCT-6'!IE55+'[4]LCT-7'!IE55+'[4]LCT-8'!IE55+'[5]TB-1'!IE55+'[5]TB-2'!IE55+'[5]TB-3'!IE55+'[5]TB-4'!IE55+'[5]TB-5'!IE55+'[5]TB-6'!IE55+'[5]TB-7'!IE55+'[5]TB-8'!IE55+'[5]TB-9'!IE55+'[5]TB-10'!IE55+'[6]DSV-1'!IE55+'[6]DSV-2'!IE55+'[6]DSV-3'!IE55+'[7]TUB-1'!IE55+'[7]TUB-2'!IE55+'[8]Barge-1'!IE55+'[8]Barge-2'!IE55+'[8]Barge-3'!IE55+'[8]Barge-4'!IE55</f>
        <v>38132841.666666664</v>
      </c>
      <c r="AJ17" s="136">
        <f>'[2]AHTS-1'!IE17+'[2]AHTS-2'!IE17+'[2]AHTS-3'!IE17+'[2]AHTS-4'!IE17+'[2]AHTS-5'!IE17+'[2]AHTS-6'!IE17+'[2]AHTS-7'!IE17+'[2]AHTS-8'!IE17+'[3]CB-1'!IE17+'[3]CB-2'!IE17+'[3]CB-3'!IE17+'[3]CB-4'!IE17+'[3]CB-5'!IE17+'[3]CB-6'!IE17+'[3]CB-7'!IE17+'[3]CB-8'!IE17+'[3]CB-9'!IE17+'[3]CB-10'!IE17+'[3]CB-11'!IE17+'[3]CB-12'!IE17+'[3]CB-13'!IE17+'[3]CB-14'!IE17+'[3]CB-15'!IE17+'[3]CB-16'!IE17+'[3]CB-17'!IE17+'[3]CB-18'!IE17+'[3]CB-19'!IE17+'[3]CB-20'!IE17+'[3]CB-21'!IE17+'[3]CB-22'!IE17+'[3]CB-23'!IE17+'[3]CB-24'!IE17+'[4]LCT-1'!IE17+'[4]LCT-2'!IE17+'[4]LCT-3'!IE17+'[4]LCT-4'!IE17+'[4]LCT-5'!IE17+'[4]LCT-6'!IE17+'[4]LCT-7'!IE17+'[4]LCT-8'!IE17+'[5]TB-1'!IE17+'[5]TB-2'!IE17+'[5]TB-3'!IE17+'[5]TB-4'!IE17+'[5]TB-5'!IE17+'[5]TB-6'!IE17+'[5]TB-7'!IE17+'[5]TB-8'!IE17+'[5]TB-9'!IE17+'[5]TB-10'!IE17+'[6]DSV-1'!IE17+'[6]DSV-2'!IE17+'[6]DSV-3'!IE17+'[7]TUB-1'!IE17+'[7]TUB-2'!IE17+'[8]Barge-1'!IE17+'[8]Barge-2'!IE17+'[8]Barge-3'!IE17+'[8]Barge-4'!IE17</f>
        <v>28375000</v>
      </c>
      <c r="AK17" s="136">
        <f>'[2]AHTS-1'!IE88+'[2]AHTS-2'!IE88+'[2]AHTS-3'!IE88+'[2]AHTS-4'!IE88+'[2]AHTS-5'!IE88+'[2]AHTS-6'!IE88+'[2]AHTS-7'!IE88+'[2]AHTS-8'!IE88+'[3]CB-1'!IE88+'[3]CB-2'!IE88+'[3]CB-3'!IE88+'[3]CB-4'!IE88+'[3]CB-5'!IE88+'[3]CB-6'!IE88+'[3]CB-7'!IE88+'[3]CB-8'!IE88+'[3]CB-9'!IE88+'[3]CB-10'!IE88+'[3]CB-11'!IE88+'[3]CB-12'!IE88+'[3]CB-13'!IE88+'[3]CB-14'!IE88+'[3]CB-15'!IE88+'[3]CB-16'!IE88+'[3]CB-17'!IE88+'[3]CB-18'!IE88+'[3]CB-19'!IE88+'[3]CB-20'!IE88+'[3]CB-21'!IE88+'[3]CB-22'!IE88+'[3]CB-23'!IE88+'[3]CB-24'!IE88+'[4]LCT-1'!IE88+'[4]LCT-2'!IE88+'[4]LCT-3'!IE88+'[4]LCT-4'!IE88+'[4]LCT-5'!IE88+'[4]LCT-6'!IE88+'[4]LCT-7'!IE88+'[4]LCT-8'!IE88+'[5]TB-1'!IE88+'[5]TB-2'!IE88+'[5]TB-3'!IE88+'[5]TB-4'!IE88+'[5]TB-5'!IE88+'[5]TB-6'!IE88+'[5]TB-7'!IE88+'[5]TB-8'!IE88+'[5]TB-9'!IE88+'[5]TB-10'!IE88+'[6]DSV-1'!IE88+'[6]DSV-2'!IE88+'[6]DSV-3'!IE88+'[7]TUB-1'!IE88+'[7]TUB-2'!IE88+'[8]Barge-1'!IE88+'[8]Barge-2'!IE88+'[8]Barge-3'!IE88+'[8]Barge-4'!IE88</f>
        <v>0</v>
      </c>
      <c r="AL17" s="137">
        <f>'[2]AHTS-1'!IF55+'[2]AHTS-2'!IF55+'[2]AHTS-3'!IF55+'[2]AHTS-4'!IF55+'[2]AHTS-5'!IF55+'[2]AHTS-6'!IF55+'[2]AHTS-7'!IF55+'[2]AHTS-8'!IF55+'[3]CB-1'!IF55+'[3]CB-2'!IF55+'[3]CB-3'!IF55+'[3]CB-4'!IF55+'[3]CB-5'!IF55+'[3]CB-6'!IF55+'[3]CB-7'!IF55+'[3]CB-8'!IF55+'[3]CB-9'!IF55+'[3]CB-10'!IF55+'[3]CB-11'!IF55+'[3]CB-12'!IF55+'[3]CB-13'!IF55+'[3]CB-14'!IF55+'[3]CB-15'!IF55+'[3]CB-16'!IF55+'[3]CB-17'!IF55+'[3]CB-18'!IF55+'[3]CB-19'!IF55+'[3]CB-20'!IF55+'[3]CB-21'!IF55+'[3]CB-22'!IF55+'[3]CB-23'!IF55+'[3]CB-24'!IF55+'[4]LCT-1'!IF55+'[4]LCT-2'!IF55+'[4]LCT-3'!IF55+'[4]LCT-4'!IF55+'[4]LCT-5'!IF55+'[4]LCT-6'!IF55+'[4]LCT-7'!IF55+'[4]LCT-8'!IF55+'[5]TB-1'!IF55+'[5]TB-2'!IF55+'[5]TB-3'!IF55+'[5]TB-4'!IF55+'[5]TB-5'!IF55+'[5]TB-6'!IF55+'[5]TB-7'!IF55+'[5]TB-8'!IF55+'[5]TB-9'!IF55+'[5]TB-10'!IF55+'[6]DSV-1'!IF55+'[6]DSV-2'!IF55+'[6]DSV-3'!IF55+'[7]TUB-1'!IF55+'[7]TUB-2'!IF55+'[8]Barge-1'!IF55+'[8]Barge-2'!IF55+'[8]Barge-3'!IF55+'[8]Barge-4'!IF55</f>
        <v>152488300</v>
      </c>
      <c r="AM17" s="138">
        <f>'[2]AHTS-1'!IF17+'[2]AHTS-2'!IF17+'[2]AHTS-3'!IF17+'[2]AHTS-4'!IF17+'[2]AHTS-5'!IF17+'[2]AHTS-6'!IF17+'[2]AHTS-7'!IF17+'[2]AHTS-8'!IF17+'[3]CB-1'!IF17+'[3]CB-2'!IF17+'[3]CB-3'!IF17+'[3]CB-4'!IF17+'[3]CB-5'!IF17+'[3]CB-6'!IF17+'[3]CB-7'!IF17+'[3]CB-8'!IF17+'[3]CB-9'!IF17+'[3]CB-10'!IF17+'[3]CB-11'!IF17+'[3]CB-12'!IF17+'[3]CB-13'!IF17+'[3]CB-14'!IF17+'[3]CB-15'!IF17+'[3]CB-16'!IF17+'[3]CB-17'!IF17+'[3]CB-18'!IF17+'[3]CB-19'!IF17+'[3]CB-20'!IF17+'[3]CB-21'!IF17+'[3]CB-22'!IF17+'[3]CB-23'!IF17+'[3]CB-24'!IF17+'[4]LCT-1'!IF17+'[4]LCT-2'!IF17+'[4]LCT-3'!IF17+'[4]LCT-4'!IF17+'[4]LCT-5'!IF17+'[4]LCT-6'!IF17+'[4]LCT-7'!IF17+'[4]LCT-8'!IF17+'[5]TB-1'!IF17+'[5]TB-2'!IF17+'[5]TB-3'!IF17+'[5]TB-4'!IF17+'[5]TB-5'!IF17+'[5]TB-6'!IF17+'[5]TB-7'!IF17+'[5]TB-8'!IF17+'[5]TB-9'!IF17+'[5]TB-10'!IF17+'[6]DSV-1'!IF17+'[6]DSV-2'!IF17+'[6]DSV-3'!IF17+'[7]TUB-1'!IF17+'[7]TUB-2'!IF17+'[8]Barge-1'!IF17+'[8]Barge-2'!IF17+'[8]Barge-3'!IF17+'[8]Barge-4'!IF17</f>
        <v>85733333.333333343</v>
      </c>
      <c r="AN17" s="138">
        <f>'[2]AHTS-1'!IF88+'[2]AHTS-2'!IF88+'[2]AHTS-3'!IF88+'[2]AHTS-4'!IF88+'[2]AHTS-5'!IF88+'[2]AHTS-6'!IF88+'[2]AHTS-7'!IF88+'[2]AHTS-8'!IF88+'[3]CB-1'!IF88+'[3]CB-2'!IF88+'[3]CB-3'!IF88+'[3]CB-4'!IF88+'[3]CB-5'!IF88+'[3]CB-6'!IF88+'[3]CB-7'!IF88+'[3]CB-8'!IF88+'[3]CB-9'!IF88+'[3]CB-10'!IF88+'[3]CB-11'!IF88+'[3]CB-12'!IF88+'[3]CB-13'!IF88+'[3]CB-14'!IF88+'[3]CB-15'!IF88+'[3]CB-16'!IF88+'[3]CB-17'!IF88+'[3]CB-18'!IF88+'[3]CB-19'!IF88+'[3]CB-20'!IF88+'[3]CB-21'!IF88+'[3]CB-22'!IF88+'[3]CB-23'!IF88+'[3]CB-24'!IF88+'[4]LCT-1'!IF88+'[4]LCT-2'!IF88+'[4]LCT-3'!IF88+'[4]LCT-4'!IF88+'[4]LCT-5'!IF88+'[4]LCT-6'!IF88+'[4]LCT-7'!IF88+'[4]LCT-8'!IF88+'[5]TB-1'!IF88+'[5]TB-2'!IF88+'[5]TB-3'!IF88+'[5]TB-4'!IF88+'[5]TB-5'!IF88+'[5]TB-6'!IF88+'[5]TB-7'!IF88+'[5]TB-8'!IF88+'[5]TB-9'!IF88+'[5]TB-10'!IF88+'[6]DSV-1'!IF88+'[6]DSV-2'!IF88+'[6]DSV-3'!IF88+'[7]TUB-1'!IF88+'[7]TUB-2'!IF88+'[8]Barge-1'!IF88+'[8]Barge-2'!IF88+'[8]Barge-3'!IF88+'[8]Barge-4'!IF88</f>
        <v>0</v>
      </c>
      <c r="AO17" s="135">
        <f>'[2]AHTS-1'!IG55+'[2]AHTS-2'!IG55+'[2]AHTS-3'!IG55+'[2]AHTS-4'!IG55+'[2]AHTS-5'!IG55+'[2]AHTS-6'!IG55+'[2]AHTS-7'!IG55+'[2]AHTS-8'!IG55+'[3]CB-1'!IG55+'[3]CB-2'!IG55+'[3]CB-3'!IG55+'[3]CB-4'!IG55+'[3]CB-5'!IG55+'[3]CB-6'!IG55+'[3]CB-7'!IG55+'[3]CB-8'!IG55+'[3]CB-9'!IG55+'[3]CB-10'!IG55+'[3]CB-11'!IG55+'[3]CB-12'!IG55+'[3]CB-13'!IG55+'[3]CB-14'!IG55+'[3]CB-15'!IG55+'[3]CB-16'!IG55+'[3]CB-17'!IG55+'[3]CB-18'!IG55+'[3]CB-19'!IG55+'[3]CB-20'!IG55+'[3]CB-21'!IG55+'[3]CB-22'!IG55+'[3]CB-23'!IG55+'[3]CB-24'!IG55+'[4]LCT-1'!IG55+'[4]LCT-2'!IG55+'[4]LCT-3'!IG55+'[4]LCT-4'!IG55+'[4]LCT-5'!IG55+'[4]LCT-6'!IG55+'[4]LCT-7'!IG55+'[4]LCT-8'!IG55+'[5]TB-1'!IG55+'[5]TB-2'!IG55+'[5]TB-3'!IG55+'[5]TB-4'!IG55+'[5]TB-5'!IG55+'[5]TB-6'!IG55+'[5]TB-7'!IG55+'[5]TB-8'!IG55+'[5]TB-9'!IG55+'[5]TB-10'!IG55+'[6]DSV-1'!IG55+'[6]DSV-2'!IG55+'[6]DSV-3'!IG55+'[7]TUB-1'!IG55+'[7]TUB-2'!IG55+'[8]Barge-1'!IG55+'[8]Barge-2'!IG55+'[8]Barge-3'!IG55+'[8]Barge-4'!IG55</f>
        <v>1098200</v>
      </c>
      <c r="AP17" s="136">
        <f>'[2]AHTS-1'!IG17+'[2]AHTS-2'!IG17+'[2]AHTS-3'!IG17+'[2]AHTS-4'!IG17+'[2]AHTS-5'!IG17+'[2]AHTS-6'!IG17+'[2]AHTS-7'!IG17+'[2]AHTS-8'!IG17+'[3]CB-1'!IG17+'[3]CB-2'!IG17+'[3]CB-3'!IG17+'[3]CB-4'!IG17+'[3]CB-5'!IG17+'[3]CB-6'!IG17+'[3]CB-7'!IG17+'[3]CB-8'!IG17+'[3]CB-9'!IG17+'[3]CB-10'!IG17+'[3]CB-11'!IG17+'[3]CB-12'!IG17+'[3]CB-13'!IG17+'[3]CB-14'!IG17+'[3]CB-15'!IG17+'[3]CB-16'!IG17+'[3]CB-17'!IG17+'[3]CB-18'!IG17+'[3]CB-19'!IG17+'[3]CB-20'!IG17+'[3]CB-21'!IG17+'[3]CB-22'!IG17+'[3]CB-23'!IG17+'[3]CB-24'!IG17+'[4]LCT-1'!IG17+'[4]LCT-2'!IG17+'[4]LCT-3'!IG17+'[4]LCT-4'!IG17+'[4]LCT-5'!IG17+'[4]LCT-6'!IG17+'[4]LCT-7'!IG17+'[4]LCT-8'!IG17+'[5]TB-1'!IG17+'[5]TB-2'!IG17+'[5]TB-3'!IG17+'[5]TB-4'!IG17+'[5]TB-5'!IG17+'[5]TB-6'!IG17+'[5]TB-7'!IG17+'[5]TB-8'!IG17+'[5]TB-9'!IG17+'[5]TB-10'!IG17+'[6]DSV-1'!IG17+'[6]DSV-2'!IG17+'[6]DSV-3'!IG17+'[7]TUB-1'!IG17+'[7]TUB-2'!IG17+'[8]Barge-1'!IG17+'[8]Barge-2'!IG17+'[8]Barge-3'!IG17+'[8]Barge-4'!IG17</f>
        <v>4333333.333333333</v>
      </c>
      <c r="AQ17" s="136">
        <f>'[2]AHTS-1'!IG88+'[2]AHTS-2'!IG88+'[2]AHTS-3'!IG88+'[2]AHTS-4'!IG88+'[2]AHTS-5'!IG88+'[2]AHTS-6'!IG88+'[2]AHTS-7'!IG88+'[2]AHTS-8'!IG88+'[3]CB-1'!IG88+'[3]CB-2'!IG88+'[3]CB-3'!IG88+'[3]CB-4'!IG88+'[3]CB-5'!IG88+'[3]CB-6'!IG88+'[3]CB-7'!IG88+'[3]CB-8'!IG88+'[3]CB-9'!IG88+'[3]CB-10'!IG88+'[3]CB-11'!IG88+'[3]CB-12'!IG88+'[3]CB-13'!IG88+'[3]CB-14'!IG88+'[3]CB-15'!IG88+'[3]CB-16'!IG88+'[3]CB-17'!IG88+'[3]CB-18'!IG88+'[3]CB-19'!IG88+'[3]CB-20'!IG88+'[3]CB-21'!IG88+'[3]CB-22'!IG88+'[3]CB-23'!IG88+'[3]CB-24'!IG88+'[4]LCT-1'!IG88+'[4]LCT-2'!IG88+'[4]LCT-3'!IG88+'[4]LCT-4'!IG88+'[4]LCT-5'!IG88+'[4]LCT-6'!IG88+'[4]LCT-7'!IG88+'[4]LCT-8'!IG88+'[5]TB-1'!IG88+'[5]TB-2'!IG88+'[5]TB-3'!IG88+'[5]TB-4'!IG88+'[5]TB-5'!IG88+'[5]TB-6'!IG88+'[5]TB-7'!IG88+'[5]TB-8'!IG88+'[5]TB-9'!IG88+'[5]TB-10'!IG88+'[6]DSV-1'!IG88+'[6]DSV-2'!IG88+'[6]DSV-3'!IG88+'[7]TUB-1'!IG88+'[7]TUB-2'!IG88+'[8]Barge-1'!IG88+'[8]Barge-2'!IG88+'[8]Barge-3'!IG88+'[8]Barge-4'!IG88</f>
        <v>0</v>
      </c>
      <c r="AR17" s="139">
        <f>'[2]AHTS-1'!IH55+'[2]AHTS-2'!IH55+'[2]AHTS-3'!IH55+'[2]AHTS-4'!IH55+'[2]AHTS-5'!IH55+'[2]AHTS-6'!IH55+'[2]AHTS-7'!IH55+'[2]AHTS-8'!IH55+'[3]CB-1'!IH55+'[3]CB-2'!IH55+'[3]CB-3'!IH55+'[3]CB-4'!IH55+'[3]CB-5'!IH55+'[3]CB-6'!IH55+'[3]CB-7'!IH55+'[3]CB-8'!IH55+'[3]CB-9'!IH55+'[3]CB-10'!IH55+'[3]CB-11'!IH55+'[3]CB-12'!IH55+'[3]CB-13'!IH55+'[3]CB-14'!IH55+'[3]CB-15'!IH55+'[3]CB-16'!IH55+'[3]CB-17'!IH55+'[3]CB-18'!IH55+'[3]CB-19'!IH55+'[3]CB-20'!IH55+'[3]CB-21'!IH55+'[3]CB-22'!IH55+'[3]CB-23'!IH55+'[3]CB-24'!IH55+'[4]LCT-1'!IH55+'[4]LCT-2'!IH55+'[4]LCT-3'!IH55+'[4]LCT-4'!IH55+'[4]LCT-5'!IH55+'[4]LCT-6'!IH55+'[4]LCT-7'!IH55+'[4]LCT-8'!IH55+'[5]TB-1'!IH55+'[5]TB-2'!IH55+'[5]TB-3'!IH55+'[5]TB-4'!IH55+'[5]TB-5'!IH55+'[5]TB-6'!IH55+'[5]TB-7'!IH55+'[5]TB-8'!IH55+'[5]TB-9'!IH55+'[5]TB-10'!IH55+'[6]DSV-1'!IH55+'[6]DSV-2'!IH55+'[6]DSV-3'!IH55+'[7]TUB-1'!IH55+'[7]TUB-2'!IH55+'[8]Barge-1'!IH55+'[8]Barge-2'!IH55+'[8]Barge-3'!IH55+'[8]Barge-4'!IH55</f>
        <v>73670916.666666657</v>
      </c>
      <c r="AS17" s="136">
        <f>'[2]AHTS-1'!IH17+'[2]AHTS-2'!IH17+'[2]AHTS-3'!IH17+'[2]AHTS-4'!IH17+'[2]AHTS-5'!IH17+'[2]AHTS-6'!IH17+'[2]AHTS-7'!IH17+'[2]AHTS-8'!IH17+'[3]CB-1'!IH17+'[3]CB-2'!IH17+'[3]CB-3'!IH17+'[3]CB-4'!IH17+'[3]CB-5'!IH17+'[3]CB-6'!IH17+'[3]CB-7'!IH17+'[3]CB-8'!IH17+'[3]CB-9'!IH17+'[3]CB-10'!IH17+'[3]CB-11'!IH17+'[3]CB-12'!IH17+'[3]CB-13'!IH17+'[3]CB-14'!IH17+'[3]CB-15'!IH17+'[3]CB-16'!IH17+'[3]CB-17'!IH17+'[3]CB-18'!IH17+'[3]CB-19'!IH17+'[3]CB-20'!IH17+'[3]CB-21'!IH17+'[3]CB-22'!IH17+'[3]CB-23'!IH17+'[3]CB-24'!IH17+'[4]LCT-1'!IH17+'[4]LCT-2'!IH17+'[4]LCT-3'!IH17+'[4]LCT-4'!IH17+'[4]LCT-5'!IH17+'[4]LCT-6'!IH17+'[4]LCT-7'!IH17+'[4]LCT-8'!IH17+'[5]TB-1'!IH17+'[5]TB-2'!IH17+'[5]TB-3'!IH17+'[5]TB-4'!IH17+'[5]TB-5'!IH17+'[5]TB-6'!IH17+'[5]TB-7'!IH17+'[5]TB-8'!IH17+'[5]TB-9'!IH17+'[5]TB-10'!IH17+'[6]DSV-1'!IH17+'[6]DSV-2'!IH17+'[6]DSV-3'!IH17+'[7]TUB-1'!IH17+'[7]TUB-2'!IH17+'[8]Barge-1'!IH17+'[8]Barge-2'!IH17+'[8]Barge-3'!IH17+'[8]Barge-4'!IH17</f>
        <v>92450000</v>
      </c>
      <c r="AT17" s="140">
        <f>'[2]AHTS-1'!IH88+'[2]AHTS-2'!IH88+'[2]AHTS-3'!IH88+'[2]AHTS-4'!IH88+'[2]AHTS-5'!IH88+'[2]AHTS-6'!IH88+'[2]AHTS-7'!IH88+'[2]AHTS-8'!IH88+'[3]CB-1'!IH88+'[3]CB-2'!IH88+'[3]CB-3'!IH88+'[3]CB-4'!IH88+'[3]CB-5'!IH88+'[3]CB-6'!IH88+'[3]CB-7'!IH88+'[3]CB-8'!IH88+'[3]CB-9'!IH88+'[3]CB-10'!IH88+'[3]CB-11'!IH88+'[3]CB-12'!IH88+'[3]CB-13'!IH88+'[3]CB-14'!IH88+'[3]CB-15'!IH88+'[3]CB-16'!IH88+'[3]CB-17'!IH88+'[3]CB-18'!IH88+'[3]CB-19'!IH88+'[3]CB-20'!IH88+'[3]CB-21'!IH88+'[3]CB-22'!IH88+'[3]CB-23'!IH88+'[3]CB-24'!IH88+'[4]LCT-1'!IH88+'[4]LCT-2'!IH88+'[4]LCT-3'!IH88+'[4]LCT-4'!IH88+'[4]LCT-5'!IH88+'[4]LCT-6'!IH88+'[4]LCT-7'!IH88+'[4]LCT-8'!IH88+'[5]TB-1'!IH88+'[5]TB-2'!IH88+'[5]TB-3'!IH88+'[5]TB-4'!IH88+'[5]TB-5'!IH88+'[5]TB-6'!IH88+'[5]TB-7'!IH88+'[5]TB-8'!IH88+'[5]TB-9'!IH88+'[5]TB-10'!IH88+'[6]DSV-1'!IH88+'[6]DSV-2'!IH88+'[6]DSV-3'!IH88+'[7]TUB-1'!IH88+'[7]TUB-2'!IH88+'[8]Barge-1'!IH88+'[8]Barge-2'!IH88+'[8]Barge-3'!IH88+'[8]Barge-4'!IH88</f>
        <v>0</v>
      </c>
      <c r="AU17" s="139">
        <f>'[2]AHTS-1'!II55+'[2]AHTS-2'!II55+'[2]AHTS-3'!II55+'[2]AHTS-4'!II55+'[2]AHTS-5'!II55+'[2]AHTS-6'!II55+'[2]AHTS-7'!II55+'[2]AHTS-8'!II55+'[3]CB-1'!II55+'[3]CB-2'!II55+'[3]CB-3'!II55+'[3]CB-4'!II55+'[3]CB-5'!II55+'[3]CB-6'!II55+'[3]CB-7'!II55+'[3]CB-8'!II55+'[3]CB-9'!II55+'[3]CB-10'!II55+'[3]CB-11'!II55+'[3]CB-12'!II55+'[3]CB-13'!II55+'[3]CB-14'!II55+'[3]CB-15'!II55+'[3]CB-16'!II55+'[3]CB-17'!II55+'[3]CB-18'!II55+'[3]CB-19'!II55+'[3]CB-20'!II55+'[3]CB-21'!II55+'[3]CB-22'!II55+'[3]CB-23'!II55+'[3]CB-24'!II55+'[4]LCT-1'!II55+'[4]LCT-2'!II55+'[4]LCT-3'!II55+'[4]LCT-4'!II55+'[4]LCT-5'!II55+'[4]LCT-6'!II55+'[4]LCT-7'!II55+'[4]LCT-8'!II55+'[5]TB-1'!II55+'[5]TB-2'!II55+'[5]TB-3'!II55+'[5]TB-4'!II55+'[5]TB-5'!II55+'[5]TB-6'!II55+'[5]TB-7'!II55+'[5]TB-8'!II55+'[5]TB-9'!II55+'[5]TB-10'!II55+'[6]DSV-1'!II55+'[6]DSV-2'!II55+'[6]DSV-3'!II55+'[7]TUB-1'!II55+'[7]TUB-2'!II55+'[8]Barge-1'!II55+'[8]Barge-2'!II55+'[8]Barge-3'!II55+'[8]Barge-4'!II55</f>
        <v>0</v>
      </c>
      <c r="AV17" s="136">
        <f>'[2]AHTS-1'!II17+'[2]AHTS-2'!II17+'[2]AHTS-3'!II17+'[2]AHTS-4'!II17+'[2]AHTS-5'!II17+'[2]AHTS-6'!II17+'[2]AHTS-7'!II17+'[2]AHTS-8'!II17+'[3]CB-1'!II17+'[3]CB-2'!II17+'[3]CB-3'!II17+'[3]CB-4'!II17+'[3]CB-5'!II17+'[3]CB-6'!II17+'[3]CB-7'!II17+'[3]CB-8'!II17+'[3]CB-9'!II17+'[3]CB-10'!II17+'[3]CB-11'!II17+'[3]CB-12'!II17+'[3]CB-13'!II17+'[3]CB-14'!II17+'[3]CB-15'!II17+'[3]CB-16'!II17+'[3]CB-17'!II17+'[3]CB-18'!II17+'[3]CB-19'!II17+'[3]CB-20'!II17+'[3]CB-21'!II17+'[3]CB-22'!II17+'[3]CB-23'!II17+'[3]CB-24'!II17+'[4]LCT-1'!II17+'[4]LCT-2'!II17+'[4]LCT-3'!II17+'[4]LCT-4'!II17+'[4]LCT-5'!II17+'[4]LCT-6'!II17+'[4]LCT-7'!II17+'[4]LCT-8'!II17+'[5]TB-1'!II17+'[5]TB-2'!II17+'[5]TB-3'!II17+'[5]TB-4'!II17+'[5]TB-5'!II17+'[5]TB-6'!II17+'[5]TB-7'!II17+'[5]TB-8'!II17+'[5]TB-9'!II17+'[5]TB-10'!II17+'[6]DSV-1'!II17+'[6]DSV-2'!II17+'[6]DSV-3'!II17+'[7]TUB-1'!II17+'[7]TUB-2'!II17+'[8]Barge-1'!II17+'[8]Barge-2'!II17+'[8]Barge-3'!II17+'[8]Barge-4'!II17</f>
        <v>0</v>
      </c>
      <c r="AW17" s="140">
        <f>'[2]AHTS-1'!II88+'[2]AHTS-2'!II88+'[2]AHTS-3'!II88+'[2]AHTS-4'!II88+'[2]AHTS-5'!II88+'[2]AHTS-6'!II88+'[2]AHTS-7'!II88+'[2]AHTS-8'!II88+'[3]CB-1'!II88+'[3]CB-2'!II88+'[3]CB-3'!II88+'[3]CB-4'!II88+'[3]CB-5'!II88+'[3]CB-6'!II88+'[3]CB-7'!II88+'[3]CB-8'!II88+'[3]CB-9'!II88+'[3]CB-10'!II88+'[3]CB-11'!II88+'[3]CB-12'!II88+'[3]CB-13'!II88+'[3]CB-14'!II88+'[3]CB-15'!II88+'[3]CB-16'!II88+'[3]CB-17'!II88+'[3]CB-18'!II88+'[3]CB-19'!II88+'[3]CB-20'!II88+'[3]CB-21'!II88+'[3]CB-22'!II88+'[3]CB-23'!II88+'[3]CB-24'!II88+'[4]LCT-1'!II88+'[4]LCT-2'!II88+'[4]LCT-3'!II88+'[4]LCT-4'!II88+'[4]LCT-5'!II88+'[4]LCT-6'!II88+'[4]LCT-7'!II88+'[4]LCT-8'!II88+'[5]TB-1'!II88+'[5]TB-2'!II88+'[5]TB-3'!II88+'[5]TB-4'!II88+'[5]TB-5'!II88+'[5]TB-6'!II88+'[5]TB-7'!II88+'[5]TB-8'!II88+'[5]TB-9'!II88+'[5]TB-10'!II88+'[6]DSV-1'!II88+'[6]DSV-2'!II88+'[6]DSV-3'!II88+'[7]TUB-1'!II88+'[7]TUB-2'!II88+'[8]Barge-1'!II88+'[8]Barge-2'!II88+'[8]Barge-3'!II88+'[8]Barge-4'!II88</f>
        <v>0</v>
      </c>
      <c r="AX17" s="67"/>
      <c r="AY17" s="67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</row>
    <row r="18" spans="1:97" s="69" customFormat="1" ht="14.25" customHeight="1" x14ac:dyDescent="0.25">
      <c r="A18" s="111">
        <f>[1]Control!AZ18</f>
        <v>45993</v>
      </c>
      <c r="B18" s="66"/>
      <c r="C18" s="176">
        <f>'[2]AHTS-1'!AV18+'[2]AHTS-2'!AV18+'[2]AHTS-3'!AV18+'[2]AHTS-4'!AV18+'[2]AHTS-5'!AV18+'[2]AHTS-6'!AV18+'[2]AHTS-7'!AV18+'[2]AHTS-8'!AV18+'[3]CB-1'!AV18+'[3]CB-2'!AV18+'[3]CB-3'!AV18+'[3]CB-4'!AV18+'[3]CB-5'!AV18+'[3]CB-6'!AV18+'[3]CB-7'!AV18+'[3]CB-8'!AV18+'[3]CB-9'!AV18+'[3]CB-10'!AV18+'[3]CB-11'!AV18+'[3]CB-12'!AV18+'[3]CB-13'!AV18+'[3]CB-14'!AV18+'[3]CB-15'!AV18+'[3]CB-16'!AV18+'[3]CB-17'!AV18+'[3]CB-18'!AV18+'[3]CB-19'!AV18+'[3]CB-20'!AV18+'[3]CB-21'!AV18+'[3]CB-22'!AV18+'[3]CB-23'!AV18+'[3]CB-24'!AV18+'[4]LCT-1'!AV18+'[4]LCT-2'!AV18+'[4]LCT-3'!AV18+'[4]LCT-4'!AV18+'[4]LCT-5'!AV18+'[4]LCT-6'!AV18+'[4]LCT-7'!AV18+'[4]LCT-8'!AV18+'[5]TB-1'!AV18+'[5]TB-2'!AV18+'[5]TB-3'!AV18+'[5]TB-4'!AV18+'[5]TB-5'!AV18+'[5]TB-6'!AV18+'[5]TB-7'!AV18+'[5]TB-8'!AV18+'[5]TB-9'!AV18+'[5]TB-10'!AV18+'[6]DSV-1'!AV18+'[6]DSV-2'!AV18+'[6]DSV-3'!AV18+'[7]TUB-1'!AV18+'[7]TUB-2'!AV18+'[8]Barge-1'!AV18+'[8]Barge-2'!AV18+'[8]Barge-3'!AV18+'[8]Barge-4'!AV18</f>
        <v>0</v>
      </c>
      <c r="D18" s="177">
        <f>'[2]AHTS-1'!BR18+'[2]AHTS-2'!BR18+'[2]AHTS-3'!BR18+'[2]AHTS-4'!BR18+'[2]AHTS-5'!BR18+'[2]AHTS-6'!BR18+'[2]AHTS-7'!BR18+'[2]AHTS-8'!BR18+'[3]CB-1'!BR18+'[3]CB-2'!BR18+'[3]CB-3'!BR18+'[3]CB-4'!BR18+'[3]CB-5'!BR18+'[3]CB-6'!BR18+'[3]CB-7'!BR18+'[3]CB-8'!BR18+'[3]CB-9'!BR18+'[3]CB-10'!BR18+'[3]CB-11'!BR18+'[3]CB-12'!BR18+'[3]CB-13'!BR18+'[3]CB-14'!BR18+'[3]CB-15'!BR18+'[3]CB-16'!BR18+'[3]CB-17'!BR18+'[3]CB-18'!BR18+'[3]CB-19'!BR18+'[3]CB-20'!BR18+'[3]CB-21'!BR18+'[3]CB-22'!BR18+'[3]CB-23'!BR18+'[3]CB-24'!BR18+'[4]LCT-1'!BR18+'[4]LCT-2'!BR18+'[4]LCT-3'!BR18+'[4]LCT-4'!BR18+'[4]LCT-5'!BR18+'[4]LCT-6'!BR18+'[4]LCT-7'!BR18+'[4]LCT-8'!BR18+'[5]TB-1'!BR18+'[5]TB-2'!BR18+'[5]TB-3'!BR18+'[5]TB-4'!BR18+'[5]TB-5'!BR18+'[5]TB-6'!BR18+'[5]TB-7'!BR18+'[5]TB-8'!BR18+'[5]TB-9'!BR18+'[5]TB-10'!BR18+'[6]DSV-1'!BR18+'[6]DSV-2'!BR18+'[6]DSV-3'!BR18+'[7]TUB-1'!BR18+'[7]TUB-2'!BR18+'[8]Barge-1'!BR18+'[8]Barge-2'!BR18+'[8]Barge-3'!BR18+'[8]Barge-4'!BR18</f>
        <v>0</v>
      </c>
      <c r="E18" s="178">
        <f>'[2]AHTS-1'!CN18+'[2]AHTS-2'!CN18+'[2]AHTS-3'!CN18+'[2]AHTS-4'!CN18+'[2]AHTS-5'!CN18+'[2]AHTS-6'!CN18+'[2]AHTS-7'!CN18+'[2]AHTS-8'!CN18+'[3]CB-1'!CN18+'[3]CB-2'!CN18+'[3]CB-3'!CN18+'[3]CB-4'!CN18+'[3]CB-5'!CN18+'[3]CB-6'!CN18+'[3]CB-7'!CN18+'[3]CB-8'!CN18+'[3]CB-9'!CN18+'[3]CB-10'!CN18+'[3]CB-11'!CN18+'[3]CB-12'!CN18+'[3]CB-13'!CN18+'[3]CB-14'!CN18+'[3]CB-15'!CN18+'[3]CB-16'!CN18+'[3]CB-17'!CN18+'[3]CB-18'!CN18+'[3]CB-19'!CN18+'[3]CB-20'!CN18+'[3]CB-21'!CN18+'[3]CB-22'!CN18+'[3]CB-23'!CN18+'[3]CB-24'!CN18+'[4]LCT-1'!CN18+'[4]LCT-2'!CN18+'[4]LCT-3'!CN18+'[4]LCT-4'!CN18+'[4]LCT-5'!CN18+'[4]LCT-6'!CN18+'[4]LCT-7'!CN18+'[4]LCT-8'!CN18+'[5]TB-1'!CN18+'[5]TB-2'!CN18+'[5]TB-3'!CN18+'[5]TB-4'!CN18+'[5]TB-5'!CN18+'[5]TB-6'!CN18+'[5]TB-7'!CN18+'[5]TB-8'!CN18+'[5]TB-9'!CN18+'[5]TB-10'!CN18+'[6]DSV-1'!CN18+'[6]DSV-2'!CN18+'[6]DSV-3'!CN18+'[7]TUB-1'!CN18+'[7]TUB-2'!CN18+'[8]Barge-1'!CN18+'[8]Barge-2'!CN18+'[8]Barge-3'!CN18+'[8]Barge-4'!CN18</f>
        <v>0</v>
      </c>
      <c r="F18" s="179">
        <f>'[2]AHTS-1'!AW18+'[2]AHTS-2'!AW18+'[2]AHTS-3'!AW18+'[2]AHTS-4'!AW18+'[2]AHTS-5'!AW18+'[2]AHTS-6'!AW18+'[2]AHTS-7'!AW18+'[2]AHTS-8'!AW18+'[3]CB-1'!AW18+'[3]CB-2'!AW18+'[3]CB-3'!AW18+'[3]CB-4'!AW18+'[3]CB-5'!AW18+'[3]CB-6'!AW18+'[3]CB-7'!AW18+'[3]CB-8'!AW18+'[3]CB-9'!AW18+'[3]CB-10'!AW18+'[3]CB-11'!AW18+'[3]CB-12'!AW18+'[3]CB-13'!AW18+'[3]CB-14'!AW18+'[3]CB-15'!AW18+'[3]CB-16'!AW18+'[3]CB-17'!AW18+'[3]CB-18'!AW18+'[3]CB-19'!AW18+'[3]CB-20'!AW18+'[3]CB-21'!AW18+'[3]CB-22'!AW18+'[3]CB-23'!AW18+'[3]CB-24'!AW18+'[4]LCT-1'!AW18+'[4]LCT-2'!AW18+'[4]LCT-3'!AW18+'[4]LCT-4'!AW18+'[4]LCT-5'!AW18+'[4]LCT-6'!AW18+'[4]LCT-7'!AW18+'[4]LCT-8'!AW18+'[5]TB-1'!AW18+'[5]TB-2'!AW18+'[5]TB-3'!AW18+'[5]TB-4'!AW18+'[5]TB-5'!AW18+'[5]TB-6'!AW18+'[5]TB-7'!AW18+'[5]TB-8'!AW18+'[5]TB-9'!AW18+'[5]TB-10'!AW18+'[6]DSV-1'!AW18+'[6]DSV-2'!AW18+'[6]DSV-3'!AW18+'[7]TUB-1'!AW18+'[7]TUB-2'!AW18+'[8]Barge-1'!AW18+'[8]Barge-2'!AW18+'[8]Barge-3'!AW18+'[8]Barge-4'!AW18</f>
        <v>2572.1739913926522</v>
      </c>
      <c r="G18" s="180">
        <f>'[2]AHTS-1'!BS18+'[2]AHTS-2'!BS18+'[2]AHTS-3'!BS18+'[2]AHTS-4'!BS18+'[2]AHTS-5'!BS18+'[2]AHTS-6'!BS18+'[2]AHTS-7'!BS18+'[2]AHTS-8'!BS18+'[3]CB-1'!BS18+'[3]CB-2'!BS18+'[3]CB-3'!BS18+'[3]CB-4'!BS18+'[3]CB-5'!BS18+'[3]CB-6'!BS18+'[3]CB-7'!BS18+'[3]CB-8'!BS18+'[3]CB-9'!BS18+'[3]CB-10'!BS18+'[3]CB-11'!BS18+'[3]CB-12'!BS18+'[3]CB-13'!BS18+'[3]CB-14'!BS18+'[3]CB-15'!BS18+'[3]CB-16'!BS18+'[3]CB-17'!BS18+'[3]CB-18'!BS18+'[3]CB-19'!BS18+'[3]CB-20'!BS18+'[3]CB-21'!BS18+'[3]CB-22'!BS18+'[3]CB-23'!BS18+'[3]CB-24'!BS18+'[4]LCT-1'!BS18+'[4]LCT-2'!BS18+'[4]LCT-3'!BS18+'[4]LCT-4'!BS18+'[4]LCT-5'!BS18+'[4]LCT-6'!BS18+'[4]LCT-7'!BS18+'[4]LCT-8'!BS18+'[5]TB-1'!BS18+'[5]TB-2'!BS18+'[5]TB-3'!BS18+'[5]TB-4'!BS18+'[5]TB-5'!BS18+'[5]TB-6'!BS18+'[5]TB-7'!BS18+'[5]TB-8'!BS18+'[5]TB-9'!BS18+'[5]TB-10'!BS18+'[6]DSV-1'!BS18+'[6]DSV-2'!BS18+'[6]DSV-3'!BS18+'[7]TUB-1'!BS18+'[7]TUB-2'!BS18+'[8]Barge-1'!BS18+'[8]Barge-2'!BS18+'[8]Barge-3'!BS18+'[8]Barge-4'!BS18</f>
        <v>2224.1832559520026</v>
      </c>
      <c r="H18" s="180">
        <f>'[2]AHTS-1'!CO18+'[2]AHTS-2'!CO18+'[2]AHTS-3'!CO18+'[2]AHTS-4'!CO18+'[2]AHTS-5'!CO18+'[2]AHTS-6'!CO18+'[2]AHTS-7'!CO18+'[2]AHTS-8'!CO18+'[3]CB-1'!CO18+'[3]CB-2'!CO18+'[3]CB-3'!CO18+'[3]CB-4'!CO18+'[3]CB-5'!CO18+'[3]CB-6'!CO18+'[3]CB-7'!CO18+'[3]CB-8'!CO18+'[3]CB-9'!CO18+'[3]CB-10'!CO18+'[3]CB-11'!CO18+'[3]CB-12'!CO18+'[3]CB-13'!CO18+'[3]CB-14'!CO18+'[3]CB-15'!CO18+'[3]CB-16'!CO18+'[3]CB-17'!CO18+'[3]CB-18'!CO18+'[3]CB-19'!CO18+'[3]CB-20'!CO18+'[3]CB-21'!CO18+'[3]CB-22'!CO18+'[3]CB-23'!CO18+'[3]CB-24'!CO18+'[4]LCT-1'!CO18+'[4]LCT-2'!CO18+'[4]LCT-3'!CO18+'[4]LCT-4'!CO18+'[4]LCT-5'!CO18+'[4]LCT-6'!CO18+'[4]LCT-7'!CO18+'[4]LCT-8'!CO18+'[5]TB-1'!CO18+'[5]TB-2'!CO18+'[5]TB-3'!CO18+'[5]TB-4'!CO18+'[5]TB-5'!CO18+'[5]TB-6'!CO18+'[5]TB-7'!CO18+'[5]TB-8'!CO18+'[5]TB-9'!CO18+'[5]TB-10'!CO18+'[6]DSV-1'!CO18+'[6]DSV-2'!CO18+'[6]DSV-3'!CO18+'[7]TUB-1'!CO18+'[7]TUB-2'!CO18+'[8]Barge-1'!CO18+'[8]Barge-2'!CO18+'[8]Barge-3'!CO18+'[8]Barge-4'!CO18</f>
        <v>0</v>
      </c>
      <c r="I18" s="179">
        <f>'[2]AHTS-1'!AX18+'[2]AHTS-2'!AX18+'[2]AHTS-3'!AX18+'[2]AHTS-4'!AX18+'[2]AHTS-5'!AX18+'[2]AHTS-6'!AX18+'[2]AHTS-7'!AX18+'[2]AHTS-8'!AX18+'[3]CB-1'!AX18+'[3]CB-2'!AX18+'[3]CB-3'!AX18+'[3]CB-4'!AX18+'[3]CB-5'!AX18+'[3]CB-6'!AX18+'[3]CB-7'!AX18+'[3]CB-8'!AX18+'[3]CB-9'!AX18+'[3]CB-10'!AX18+'[3]CB-11'!AX18+'[3]CB-12'!AX18+'[3]CB-13'!AX18+'[3]CB-14'!AX18+'[3]CB-15'!AX18+'[3]CB-16'!AX18+'[3]CB-17'!AX18+'[3]CB-18'!AX18+'[3]CB-19'!AX18+'[3]CB-20'!AX18+'[3]CB-21'!AX18+'[3]CB-22'!AX18+'[3]CB-23'!AX18+'[3]CB-24'!AX18+'[4]LCT-1'!AX18+'[4]LCT-2'!AX18+'[4]LCT-3'!AX18+'[4]LCT-4'!AX18+'[4]LCT-5'!AX18+'[4]LCT-6'!AX18+'[4]LCT-7'!AX18+'[4]LCT-8'!AX18+'[5]TB-1'!AX18+'[5]TB-2'!AX18+'[5]TB-3'!AX18+'[5]TB-4'!AX18+'[5]TB-5'!AX18+'[5]TB-6'!AX18+'[5]TB-7'!AX18+'[5]TB-8'!AX18+'[5]TB-9'!AX18+'[5]TB-10'!AX18+'[6]DSV-1'!AX18+'[6]DSV-2'!AX18+'[6]DSV-3'!AX18+'[7]TUB-1'!AX18+'[7]TUB-2'!AX18+'[8]Barge-1'!AX18+'[8]Barge-2'!AX18+'[8]Barge-3'!AX18+'[8]Barge-4'!AX18</f>
        <v>1744.6272975895183</v>
      </c>
      <c r="J18" s="180">
        <f>'[2]AHTS-1'!BT18+'[2]AHTS-2'!BT18+'[2]AHTS-3'!BT18+'[2]AHTS-4'!BT18+'[2]AHTS-5'!BT18+'[2]AHTS-6'!BT18+'[2]AHTS-7'!BT18+'[2]AHTS-8'!BT18+'[3]CB-1'!BT18+'[3]CB-2'!BT18+'[3]CB-3'!BT18+'[3]CB-4'!BT18+'[3]CB-5'!BT18+'[3]CB-6'!BT18+'[3]CB-7'!BT18+'[3]CB-8'!BT18+'[3]CB-9'!BT18+'[3]CB-10'!BT18+'[3]CB-11'!BT18+'[3]CB-12'!BT18+'[3]CB-13'!BT18+'[3]CB-14'!BT18+'[3]CB-15'!BT18+'[3]CB-16'!BT18+'[3]CB-17'!BT18+'[3]CB-18'!BT18+'[3]CB-19'!BT18+'[3]CB-20'!BT18+'[3]CB-21'!BT18+'[3]CB-22'!BT18+'[3]CB-23'!BT18+'[3]CB-24'!BT18+'[4]LCT-1'!BT18+'[4]LCT-2'!BT18+'[4]LCT-3'!BT18+'[4]LCT-4'!BT18+'[4]LCT-5'!BT18+'[4]LCT-6'!BT18+'[4]LCT-7'!BT18+'[4]LCT-8'!BT18+'[5]TB-1'!BT18+'[5]TB-2'!BT18+'[5]TB-3'!BT18+'[5]TB-4'!BT18+'[5]TB-5'!BT18+'[5]TB-6'!BT18+'[5]TB-7'!BT18+'[5]TB-8'!BT18+'[5]TB-9'!BT18+'[5]TB-10'!BT18+'[6]DSV-1'!BT18+'[6]DSV-2'!BT18+'[6]DSV-3'!BT18+'[7]TUB-1'!BT18+'[7]TUB-2'!BT18+'[8]Barge-1'!BT18+'[8]Barge-2'!BT18+'[8]Barge-3'!BT18+'[8]Barge-4'!BT18</f>
        <v>1566.9719519175728</v>
      </c>
      <c r="K18" s="180">
        <f>'[2]AHTS-1'!CP18+'[2]AHTS-2'!CP18+'[2]AHTS-3'!CP18+'[2]AHTS-4'!CP18+'[2]AHTS-5'!CP18+'[2]AHTS-6'!CP18+'[2]AHTS-7'!CP18+'[2]AHTS-8'!CP18+'[3]CB-1'!CP18+'[3]CB-2'!CP18+'[3]CB-3'!CP18+'[3]CB-4'!CP18+'[3]CB-5'!CP18+'[3]CB-6'!CP18+'[3]CB-7'!CP18+'[3]CB-8'!CP18+'[3]CB-9'!CP18+'[3]CB-10'!CP18+'[3]CB-11'!CP18+'[3]CB-12'!CP18+'[3]CB-13'!CP18+'[3]CB-14'!CP18+'[3]CB-15'!CP18+'[3]CB-16'!CP18+'[3]CB-17'!CP18+'[3]CB-18'!CP18+'[3]CB-19'!CP18+'[3]CB-20'!CP18+'[3]CB-21'!CP18+'[3]CB-22'!CP18+'[3]CB-23'!CP18+'[3]CB-24'!CP18+'[4]LCT-1'!CP18+'[4]LCT-2'!CP18+'[4]LCT-3'!CP18+'[4]LCT-4'!CP18+'[4]LCT-5'!CP18+'[4]LCT-6'!CP18+'[4]LCT-7'!CP18+'[4]LCT-8'!CP18+'[5]TB-1'!CP18+'[5]TB-2'!CP18+'[5]TB-3'!CP18+'[5]TB-4'!CP18+'[5]TB-5'!CP18+'[5]TB-6'!CP18+'[5]TB-7'!CP18+'[5]TB-8'!CP18+'[5]TB-9'!CP18+'[5]TB-10'!CP18+'[6]DSV-1'!CP18+'[6]DSV-2'!CP18+'[6]DSV-3'!CP18+'[7]TUB-1'!CP18+'[7]TUB-2'!CP18+'[8]Barge-1'!CP18+'[8]Barge-2'!CP18+'[8]Barge-3'!CP18+'[8]Barge-4'!CP18</f>
        <v>0</v>
      </c>
      <c r="L18" s="181">
        <f>'[2]AHTS-1'!AY18+'[2]AHTS-2'!AY18+'[2]AHTS-3'!AY18+'[2]AHTS-4'!AY18+'[2]AHTS-5'!AY18+'[2]AHTS-6'!AY18+'[2]AHTS-7'!AY18+'[2]AHTS-8'!AY18+'[3]CB-1'!AY18+'[3]CB-2'!AY18+'[3]CB-3'!AY18+'[3]CB-4'!AY18+'[3]CB-5'!AY18+'[3]CB-6'!AY18+'[3]CB-7'!AY18+'[3]CB-8'!AY18+'[3]CB-9'!AY18+'[3]CB-10'!AY18+'[3]CB-11'!AY18+'[3]CB-12'!AY18+'[3]CB-13'!AY18+'[3]CB-14'!AY18+'[3]CB-15'!AY18+'[3]CB-16'!AY18+'[3]CB-17'!AY18+'[3]CB-18'!AY18+'[3]CB-19'!AY18+'[3]CB-20'!AY18+'[3]CB-21'!AY18+'[3]CB-22'!AY18+'[3]CB-23'!AY18+'[3]CB-24'!AY18+'[4]LCT-1'!AY18+'[4]LCT-2'!AY18+'[4]LCT-3'!AY18+'[4]LCT-4'!AY18+'[4]LCT-5'!AY18+'[4]LCT-6'!AY18+'[4]LCT-7'!AY18+'[4]LCT-8'!AY18+'[5]TB-1'!AY18+'[5]TB-2'!AY18+'[5]TB-3'!AY18+'[5]TB-4'!AY18+'[5]TB-5'!AY18+'[5]TB-6'!AY18+'[5]TB-7'!AY18+'[5]TB-8'!AY18+'[5]TB-9'!AY18+'[5]TB-10'!AY18+'[6]DSV-1'!AY18+'[6]DSV-2'!AY18+'[6]DSV-3'!AY18+'[7]TUB-1'!AY18+'[7]TUB-2'!AY18+'[8]Barge-1'!AY18+'[8]Barge-2'!AY18+'[8]Barge-3'!AY18+'[8]Barge-4'!AY18</f>
        <v>2728.4731497381758</v>
      </c>
      <c r="M18" s="182">
        <f>'[2]AHTS-1'!BU18+'[2]AHTS-2'!BU18+'[2]AHTS-3'!BU18+'[2]AHTS-4'!BU18+'[2]AHTS-5'!BU18+'[2]AHTS-6'!BU18+'[2]AHTS-7'!BU18+'[2]AHTS-8'!BU18+'[3]CB-1'!BU18+'[3]CB-2'!BU18+'[3]CB-3'!BU18+'[3]CB-4'!BU18+'[3]CB-5'!BU18+'[3]CB-6'!BU18+'[3]CB-7'!BU18+'[3]CB-8'!BU18+'[3]CB-9'!BU18+'[3]CB-10'!BU18+'[3]CB-11'!BU18+'[3]CB-12'!BU18+'[3]CB-13'!BU18+'[3]CB-14'!BU18+'[3]CB-15'!BU18+'[3]CB-16'!BU18+'[3]CB-17'!BU18+'[3]CB-18'!BU18+'[3]CB-19'!BU18+'[3]CB-20'!BU18+'[3]CB-21'!BU18+'[3]CB-22'!BU18+'[3]CB-23'!BU18+'[3]CB-24'!BU18+'[4]LCT-1'!BU18+'[4]LCT-2'!BU18+'[4]LCT-3'!BU18+'[4]LCT-4'!BU18+'[4]LCT-5'!BU18+'[4]LCT-6'!BU18+'[4]LCT-7'!BU18+'[4]LCT-8'!BU18+'[5]TB-1'!BU18+'[5]TB-2'!BU18+'[5]TB-3'!BU18+'[5]TB-4'!BU18+'[5]TB-5'!BU18+'[5]TB-6'!BU18+'[5]TB-7'!BU18+'[5]TB-8'!BU18+'[5]TB-9'!BU18+'[5]TB-10'!BU18+'[6]DSV-1'!BU18+'[6]DSV-2'!BU18+'[6]DSV-3'!BU18+'[7]TUB-1'!BU18+'[7]TUB-2'!BU18+'[8]Barge-1'!BU18+'[8]Barge-2'!BU18+'[8]Barge-3'!BU18+'[8]Barge-4'!BU18</f>
        <v>4295.1938773346901</v>
      </c>
      <c r="N18" s="182">
        <f>'[2]AHTS-1'!CQ18+'[2]AHTS-2'!CQ18+'[2]AHTS-3'!CQ18+'[2]AHTS-4'!CQ18+'[2]AHTS-5'!CQ18+'[2]AHTS-6'!CQ18+'[2]AHTS-7'!CQ18+'[2]AHTS-8'!CQ18+'[3]CB-1'!CQ18+'[3]CB-2'!CQ18+'[3]CB-3'!CQ18+'[3]CB-4'!CQ18+'[3]CB-5'!CQ18+'[3]CB-6'!CQ18+'[3]CB-7'!CQ18+'[3]CB-8'!CQ18+'[3]CB-9'!CQ18+'[3]CB-10'!CQ18+'[3]CB-11'!CQ18+'[3]CB-12'!CQ18+'[3]CB-13'!CQ18+'[3]CB-14'!CQ18+'[3]CB-15'!CQ18+'[3]CB-16'!CQ18+'[3]CB-17'!CQ18+'[3]CB-18'!CQ18+'[3]CB-19'!CQ18+'[3]CB-20'!CQ18+'[3]CB-21'!CQ18+'[3]CB-22'!CQ18+'[3]CB-23'!CQ18+'[3]CB-24'!CQ18+'[4]LCT-1'!CQ18+'[4]LCT-2'!CQ18+'[4]LCT-3'!CQ18+'[4]LCT-4'!CQ18+'[4]LCT-5'!CQ18+'[4]LCT-6'!CQ18+'[4]LCT-7'!CQ18+'[4]LCT-8'!CQ18+'[5]TB-1'!CQ18+'[5]TB-2'!CQ18+'[5]TB-3'!CQ18+'[5]TB-4'!CQ18+'[5]TB-5'!CQ18+'[5]TB-6'!CQ18+'[5]TB-7'!CQ18+'[5]TB-8'!CQ18+'[5]TB-9'!CQ18+'[5]TB-10'!CQ18+'[6]DSV-1'!CQ18+'[6]DSV-2'!CQ18+'[6]DSV-3'!CQ18+'[7]TUB-1'!CQ18+'[7]TUB-2'!CQ18+'[8]Barge-1'!CQ18+'[8]Barge-2'!CQ18+'[8]Barge-3'!CQ18+'[8]Barge-4'!CQ18</f>
        <v>0</v>
      </c>
      <c r="O18" s="179">
        <f>'[2]AHTS-1'!AZ18+'[2]AHTS-2'!AZ18+'[2]AHTS-3'!AZ18+'[2]AHTS-4'!AZ18+'[2]AHTS-5'!AZ18+'[2]AHTS-6'!AZ18+'[2]AHTS-7'!AZ18+'[2]AHTS-8'!AZ18+'[3]CB-1'!AZ18+'[3]CB-2'!AZ18+'[3]CB-3'!AZ18+'[3]CB-4'!AZ18+'[3]CB-5'!AZ18+'[3]CB-6'!AZ18+'[3]CB-7'!AZ18+'[3]CB-8'!AZ18+'[3]CB-9'!AZ18+'[3]CB-10'!AZ18+'[3]CB-11'!AZ18+'[3]CB-12'!AZ18+'[3]CB-13'!AZ18+'[3]CB-14'!AZ18+'[3]CB-15'!AZ18+'[3]CB-16'!AZ18+'[3]CB-17'!AZ18+'[3]CB-18'!AZ18+'[3]CB-19'!AZ18+'[3]CB-20'!AZ18+'[3]CB-21'!AZ18+'[3]CB-22'!AZ18+'[3]CB-23'!AZ18+'[3]CB-24'!AZ18+'[4]LCT-1'!AZ18+'[4]LCT-2'!AZ18+'[4]LCT-3'!AZ18+'[4]LCT-4'!AZ18+'[4]LCT-5'!AZ18+'[4]LCT-6'!AZ18+'[4]LCT-7'!AZ18+'[4]LCT-8'!AZ18+'[5]TB-1'!AZ18+'[5]TB-2'!AZ18+'[5]TB-3'!AZ18+'[5]TB-4'!AZ18+'[5]TB-5'!AZ18+'[5]TB-6'!AZ18+'[5]TB-7'!AZ18+'[5]TB-8'!AZ18+'[5]TB-9'!AZ18+'[5]TB-10'!AZ18+'[6]DSV-1'!AZ18+'[6]DSV-2'!AZ18+'[6]DSV-3'!AZ18+'[7]TUB-1'!AZ18+'[7]TUB-2'!AZ18+'[8]Barge-1'!AZ18+'[8]Barge-2'!AZ18+'[8]Barge-3'!AZ18+'[8]Barge-4'!AZ18</f>
        <v>46.564480909071634</v>
      </c>
      <c r="P18" s="180">
        <f>'[2]AHTS-1'!BV18+'[2]AHTS-2'!BV18+'[2]AHTS-3'!BV18+'[2]AHTS-4'!BV18+'[2]AHTS-5'!BV18+'[2]AHTS-6'!BV18+'[2]AHTS-7'!BV18+'[2]AHTS-8'!BV18+'[3]CB-1'!BV18+'[3]CB-2'!BV18+'[3]CB-3'!BV18+'[3]CB-4'!BV18+'[3]CB-5'!BV18+'[3]CB-6'!BV18+'[3]CB-7'!BV18+'[3]CB-8'!BV18+'[3]CB-9'!BV18+'[3]CB-10'!BV18+'[3]CB-11'!BV18+'[3]CB-12'!BV18+'[3]CB-13'!BV18+'[3]CB-14'!BV18+'[3]CB-15'!BV18+'[3]CB-16'!BV18+'[3]CB-17'!BV18+'[3]CB-18'!BV18+'[3]CB-19'!BV18+'[3]CB-20'!BV18+'[3]CB-21'!BV18+'[3]CB-22'!BV18+'[3]CB-23'!BV18+'[3]CB-24'!BV18+'[4]LCT-1'!BV18+'[4]LCT-2'!BV18+'[4]LCT-3'!BV18+'[4]LCT-4'!BV18+'[4]LCT-5'!BV18+'[4]LCT-6'!BV18+'[4]LCT-7'!BV18+'[4]LCT-8'!BV18+'[5]TB-1'!BV18+'[5]TB-2'!BV18+'[5]TB-3'!BV18+'[5]TB-4'!BV18+'[5]TB-5'!BV18+'[5]TB-6'!BV18+'[5]TB-7'!BV18+'[5]TB-8'!BV18+'[5]TB-9'!BV18+'[5]TB-10'!BV18+'[6]DSV-1'!BV18+'[6]DSV-2'!BV18+'[6]DSV-3'!BV18+'[7]TUB-1'!BV18+'[7]TUB-2'!BV18+'[8]Barge-1'!BV18+'[8]Barge-2'!BV18+'[8]Barge-3'!BV18+'[8]Barge-4'!BV18</f>
        <v>275.60474040153491</v>
      </c>
      <c r="Q18" s="180">
        <f>'[2]AHTS-1'!CR18+'[2]AHTS-2'!CR18+'[2]AHTS-3'!CR18+'[2]AHTS-4'!CR18+'[2]AHTS-5'!CR18+'[2]AHTS-6'!CR18+'[2]AHTS-7'!CR18+'[2]AHTS-8'!CR18+'[3]CB-1'!CR18+'[3]CB-2'!CR18+'[3]CB-3'!CR18+'[3]CB-4'!CR18+'[3]CB-5'!CR18+'[3]CB-6'!CR18+'[3]CB-7'!CR18+'[3]CB-8'!CR18+'[3]CB-9'!CR18+'[3]CB-10'!CR18+'[3]CB-11'!CR18+'[3]CB-12'!CR18+'[3]CB-13'!CR18+'[3]CB-14'!CR18+'[3]CB-15'!CR18+'[3]CB-16'!CR18+'[3]CB-17'!CR18+'[3]CB-18'!CR18+'[3]CB-19'!CR18+'[3]CB-20'!CR18+'[3]CB-21'!CR18+'[3]CB-22'!CR18+'[3]CB-23'!CR18+'[3]CB-24'!CR18+'[4]LCT-1'!CR18+'[4]LCT-2'!CR18+'[4]LCT-3'!CR18+'[4]LCT-4'!CR18+'[4]LCT-5'!CR18+'[4]LCT-6'!CR18+'[4]LCT-7'!CR18+'[4]LCT-8'!CR18+'[5]TB-1'!CR18+'[5]TB-2'!CR18+'[5]TB-3'!CR18+'[5]TB-4'!CR18+'[5]TB-5'!CR18+'[5]TB-6'!CR18+'[5]TB-7'!CR18+'[5]TB-8'!CR18+'[5]TB-9'!CR18+'[5]TB-10'!CR18+'[6]DSV-1'!CR18+'[6]DSV-2'!CR18+'[6]DSV-3'!CR18+'[7]TUB-1'!CR18+'[7]TUB-2'!CR18+'[8]Barge-1'!CR18+'[8]Barge-2'!CR18+'[8]Barge-3'!CR18+'[8]Barge-4'!CR18</f>
        <v>0</v>
      </c>
      <c r="R18" s="183">
        <f>'[2]AHTS-1'!BA18+'[2]AHTS-2'!BA18+'[2]AHTS-3'!BA18+'[2]AHTS-4'!BA18+'[2]AHTS-5'!BA18+'[2]AHTS-6'!BA18+'[2]AHTS-7'!BA18+'[2]AHTS-8'!BA18+'[3]CB-1'!BA18+'[3]CB-2'!BA18+'[3]CB-3'!BA18+'[3]CB-4'!BA18+'[3]CB-5'!BA18+'[3]CB-6'!BA18+'[3]CB-7'!BA18+'[3]CB-8'!BA18+'[3]CB-9'!BA18+'[3]CB-10'!BA18+'[3]CB-11'!BA18+'[3]CB-12'!BA18+'[3]CB-13'!BA18+'[3]CB-14'!BA18+'[3]CB-15'!BA18+'[3]CB-16'!BA18+'[3]CB-17'!BA18+'[3]CB-18'!BA18+'[3]CB-19'!BA18+'[3]CB-20'!BA18+'[3]CB-21'!BA18+'[3]CB-22'!BA18+'[3]CB-23'!BA18+'[3]CB-24'!BA18+'[4]LCT-1'!BA18+'[4]LCT-2'!BA18+'[4]LCT-3'!BA18+'[4]LCT-4'!BA18+'[4]LCT-5'!BA18+'[4]LCT-6'!BA18+'[4]LCT-7'!BA18+'[4]LCT-8'!BA18+'[5]TB-1'!BA18+'[5]TB-2'!BA18+'[5]TB-3'!BA18+'[5]TB-4'!BA18+'[5]TB-5'!BA18+'[5]TB-6'!BA18+'[5]TB-7'!BA18+'[5]TB-8'!BA18+'[5]TB-9'!BA18+'[5]TB-10'!BA18+'[6]DSV-1'!BA18+'[6]DSV-2'!BA18+'[6]DSV-3'!BA18+'[7]TUB-1'!BA18+'[7]TUB-2'!BA18+'[8]Barge-1'!BA18+'[8]Barge-2'!BA18+'[8]Barge-3'!BA18+'[8]Barge-4'!BA18</f>
        <v>5308.3508236341659</v>
      </c>
      <c r="S18" s="180">
        <f>'[2]AHTS-1'!BW18+'[2]AHTS-2'!BW18+'[2]AHTS-3'!BW18+'[2]AHTS-4'!BW18+'[2]AHTS-5'!BW18+'[2]AHTS-6'!BW18+'[2]AHTS-7'!BW18+'[2]AHTS-8'!BW18+'[3]CB-1'!BW18+'[3]CB-2'!BW18+'[3]CB-3'!BW18+'[3]CB-4'!BW18+'[3]CB-5'!BW18+'[3]CB-6'!BW18+'[3]CB-7'!BW18+'[3]CB-8'!BW18+'[3]CB-9'!BW18+'[3]CB-10'!BW18+'[3]CB-11'!BW18+'[3]CB-12'!BW18+'[3]CB-13'!BW18+'[3]CB-14'!BW18+'[3]CB-15'!BW18+'[3]CB-16'!BW18+'[3]CB-17'!BW18+'[3]CB-18'!BW18+'[3]CB-19'!BW18+'[3]CB-20'!BW18+'[3]CB-21'!BW18+'[3]CB-22'!BW18+'[3]CB-23'!BW18+'[3]CB-24'!BW18+'[4]LCT-1'!BW18+'[4]LCT-2'!BW18+'[4]LCT-3'!BW18+'[4]LCT-4'!BW18+'[4]LCT-5'!BW18+'[4]LCT-6'!BW18+'[4]LCT-7'!BW18+'[4]LCT-8'!BW18+'[5]TB-1'!BW18+'[5]TB-2'!BW18+'[5]TB-3'!BW18+'[5]TB-4'!BW18+'[5]TB-5'!BW18+'[5]TB-6'!BW18+'[5]TB-7'!BW18+'[5]TB-8'!BW18+'[5]TB-9'!BW18+'[5]TB-10'!BW18+'[6]DSV-1'!BW18+'[6]DSV-2'!BW18+'[6]DSV-3'!BW18+'[7]TUB-1'!BW18+'[7]TUB-2'!BW18+'[8]Barge-1'!BW18+'[8]Barge-2'!BW18+'[8]Barge-3'!BW18+'[8]Barge-4'!BW18</f>
        <v>5879.9211346435159</v>
      </c>
      <c r="T18" s="184">
        <f>'[2]AHTS-1'!CS18+'[2]AHTS-2'!CS18+'[2]AHTS-3'!CS18+'[2]AHTS-4'!CS18+'[2]AHTS-5'!CS18+'[2]AHTS-6'!CS18+'[2]AHTS-7'!CS18+'[2]AHTS-8'!CS18+'[3]CB-1'!CS18+'[3]CB-2'!CS18+'[3]CB-3'!CS18+'[3]CB-4'!CS18+'[3]CB-5'!CS18+'[3]CB-6'!CS18+'[3]CB-7'!CS18+'[3]CB-8'!CS18+'[3]CB-9'!CS18+'[3]CB-10'!CS18+'[3]CB-11'!CS18+'[3]CB-12'!CS18+'[3]CB-13'!CS18+'[3]CB-14'!CS18+'[3]CB-15'!CS18+'[3]CB-16'!CS18+'[3]CB-17'!CS18+'[3]CB-18'!CS18+'[3]CB-19'!CS18+'[3]CB-20'!CS18+'[3]CB-21'!CS18+'[3]CB-22'!CS18+'[3]CB-23'!CS18+'[3]CB-24'!CS18+'[4]LCT-1'!CS18+'[4]LCT-2'!CS18+'[4]LCT-3'!CS18+'[4]LCT-4'!CS18+'[4]LCT-5'!CS18+'[4]LCT-6'!CS18+'[4]LCT-7'!CS18+'[4]LCT-8'!CS18+'[5]TB-1'!CS18+'[5]TB-2'!CS18+'[5]TB-3'!CS18+'[5]TB-4'!CS18+'[5]TB-5'!CS18+'[5]TB-6'!CS18+'[5]TB-7'!CS18+'[5]TB-8'!CS18+'[5]TB-9'!CS18+'[5]TB-10'!CS18+'[6]DSV-1'!CS18+'[6]DSV-2'!CS18+'[6]DSV-3'!CS18+'[7]TUB-1'!CS18+'[7]TUB-2'!CS18+'[8]Barge-1'!CS18+'[8]Barge-2'!CS18+'[8]Barge-3'!CS18+'[8]Barge-4'!CS18</f>
        <v>0</v>
      </c>
      <c r="U18" s="183">
        <f>'[2]AHTS-1'!BB18+'[2]AHTS-2'!BB18+'[2]AHTS-3'!BB18+'[2]AHTS-4'!BB18+'[2]AHTS-5'!BB18+'[2]AHTS-6'!BB18+'[2]AHTS-7'!BB18+'[2]AHTS-8'!BB18+'[3]CB-1'!BB18+'[3]CB-2'!BB18+'[3]CB-3'!BB18+'[3]CB-4'!BB18+'[3]CB-5'!BB18+'[3]CB-6'!BB18+'[3]CB-7'!BB18+'[3]CB-8'!BB18+'[3]CB-9'!BB18+'[3]CB-10'!BB18+'[3]CB-11'!BB18+'[3]CB-12'!BB18+'[3]CB-13'!BB18+'[3]CB-14'!BB18+'[3]CB-15'!BB18+'[3]CB-16'!BB18+'[3]CB-17'!BB18+'[3]CB-18'!BB18+'[3]CB-19'!BB18+'[3]CB-20'!BB18+'[3]CB-21'!BB18+'[3]CB-22'!BB18+'[3]CB-23'!BB18+'[3]CB-24'!BB18+'[4]LCT-1'!BB18+'[4]LCT-2'!BB18+'[4]LCT-3'!BB18+'[4]LCT-4'!BB18+'[4]LCT-5'!BB18+'[4]LCT-6'!BB18+'[4]LCT-7'!BB18+'[4]LCT-8'!BB18+'[5]TB-1'!BB18+'[5]TB-2'!BB18+'[5]TB-3'!BB18+'[5]TB-4'!BB18+'[5]TB-5'!BB18+'[5]TB-6'!BB18+'[5]TB-7'!BB18+'[5]TB-8'!BB18+'[5]TB-9'!BB18+'[5]TB-10'!BB18+'[6]DSV-1'!BB18+'[6]DSV-2'!BB18+'[6]DSV-3'!BB18+'[7]TUB-1'!BB18+'[7]TUB-2'!BB18+'[8]Barge-1'!BB18+'[8]Barge-2'!BB18+'[8]Barge-3'!BB18+'[8]Barge-4'!BB18</f>
        <v>0</v>
      </c>
      <c r="V18" s="180">
        <f>'[2]AHTS-1'!BX18+'[2]AHTS-2'!BX18+'[2]AHTS-3'!BX18+'[2]AHTS-4'!BX18+'[2]AHTS-5'!BX18+'[2]AHTS-6'!BX18+'[2]AHTS-7'!BX18+'[2]AHTS-8'!BX18+'[3]CB-1'!BX18+'[3]CB-2'!BX18+'[3]CB-3'!BX18+'[3]CB-4'!BX18+'[3]CB-5'!BX18+'[3]CB-6'!BX18+'[3]CB-7'!BX18+'[3]CB-8'!BX18+'[3]CB-9'!BX18+'[3]CB-10'!BX18+'[3]CB-11'!BX18+'[3]CB-12'!BX18+'[3]CB-13'!BX18+'[3]CB-14'!BX18+'[3]CB-15'!BX18+'[3]CB-16'!BX18+'[3]CB-17'!BX18+'[3]CB-18'!BX18+'[3]CB-19'!BX18+'[3]CB-20'!BX18+'[3]CB-21'!BX18+'[3]CB-22'!BX18+'[3]CB-23'!BX18+'[3]CB-24'!BX18+'[4]LCT-1'!BX18+'[4]LCT-2'!BX18+'[4]LCT-3'!BX18+'[4]LCT-4'!BX18+'[4]LCT-5'!BX18+'[4]LCT-6'!BX18+'[4]LCT-7'!BX18+'[4]LCT-8'!BX18+'[5]TB-1'!BX18+'[5]TB-2'!BX18+'[5]TB-3'!BX18+'[5]TB-4'!BX18+'[5]TB-5'!BX18+'[5]TB-6'!BX18+'[5]TB-7'!BX18+'[5]TB-8'!BX18+'[5]TB-9'!BX18+'[5]TB-10'!BX18+'[6]DSV-1'!BX18+'[6]DSV-2'!BX18+'[6]DSV-3'!BX18+'[7]TUB-1'!BX18+'[7]TUB-2'!BX18+'[8]Barge-1'!BX18+'[8]Barge-2'!BX18+'[8]Barge-3'!BX18+'[8]Barge-4'!BX18</f>
        <v>0</v>
      </c>
      <c r="W18" s="184">
        <f>'[2]AHTS-1'!CT18+'[2]AHTS-2'!CT18+'[2]AHTS-3'!CT18+'[2]AHTS-4'!CT18+'[2]AHTS-5'!CT18+'[2]AHTS-6'!CT18+'[2]AHTS-7'!CT18+'[2]AHTS-8'!CT18+'[3]CB-1'!CT18+'[3]CB-2'!CT18+'[3]CB-3'!CT18+'[3]CB-4'!CT18+'[3]CB-5'!CT18+'[3]CB-6'!CT18+'[3]CB-7'!CT18+'[3]CB-8'!CT18+'[3]CB-9'!CT18+'[3]CB-10'!CT18+'[3]CB-11'!CT18+'[3]CB-12'!CT18+'[3]CB-13'!CT18+'[3]CB-14'!CT18+'[3]CB-15'!CT18+'[3]CB-16'!CT18+'[3]CB-17'!CT18+'[3]CB-18'!CT18+'[3]CB-19'!CT18+'[3]CB-20'!CT18+'[3]CB-21'!CT18+'[3]CB-22'!CT18+'[3]CB-23'!CT18+'[3]CB-24'!CT18+'[4]LCT-1'!CT18+'[4]LCT-2'!CT18+'[4]LCT-3'!CT18+'[4]LCT-4'!CT18+'[4]LCT-5'!CT18+'[4]LCT-6'!CT18+'[4]LCT-7'!CT18+'[4]LCT-8'!CT18+'[5]TB-1'!CT18+'[5]TB-2'!CT18+'[5]TB-3'!CT18+'[5]TB-4'!CT18+'[5]TB-5'!CT18+'[5]TB-6'!CT18+'[5]TB-7'!CT18+'[5]TB-8'!CT18+'[5]TB-9'!CT18+'[5]TB-10'!CT18+'[6]DSV-1'!CT18+'[6]DSV-2'!CT18+'[6]DSV-3'!CT18+'[7]TUB-1'!CT18+'[7]TUB-2'!CT18+'[8]Barge-1'!CT18+'[8]Barge-2'!CT18+'[8]Barge-3'!CT18+'[8]Barge-4'!CT18</f>
        <v>0</v>
      </c>
      <c r="X18" s="67"/>
      <c r="Y18" s="67"/>
      <c r="Z18" s="68"/>
      <c r="AA18" s="111">
        <f>[1]Control!AZ18</f>
        <v>45993</v>
      </c>
      <c r="AB18" s="66"/>
      <c r="AC18" s="132">
        <f>'[2]AHTS-1'!IC56+'[2]AHTS-2'!IC56+'[2]AHTS-3'!IC56+'[2]AHTS-4'!IC56+'[2]AHTS-5'!IC56+'[2]AHTS-6'!IC56+'[2]AHTS-7'!IC56+'[2]AHTS-8'!IC56+'[3]CB-1'!IC56+'[3]CB-2'!IC56+'[3]CB-3'!IC56+'[3]CB-4'!IC56+'[3]CB-5'!IC56+'[3]CB-6'!IC56+'[3]CB-7'!IC56+'[3]CB-8'!IC56+'[3]CB-9'!IC56+'[3]CB-10'!IC56+'[3]CB-11'!IC56+'[3]CB-12'!IC56+'[3]CB-13'!IC56+'[3]CB-14'!IC56+'[3]CB-15'!IC56+'[3]CB-16'!IC56+'[3]CB-17'!IC56+'[3]CB-18'!IC56+'[3]CB-19'!IC56+'[3]CB-20'!IC56+'[3]CB-21'!IC56+'[3]CB-22'!IC56+'[3]CB-23'!IC56+'[3]CB-24'!IC56+'[4]LCT-1'!IC56+'[4]LCT-2'!IC56+'[4]LCT-3'!IC56+'[4]LCT-4'!IC56+'[4]LCT-5'!IC56+'[4]LCT-6'!IC56+'[4]LCT-7'!IC56+'[4]LCT-8'!IC56+'[5]TB-1'!IC56+'[5]TB-2'!IC56+'[5]TB-3'!IC56+'[5]TB-4'!IC56+'[5]TB-5'!IC56+'[5]TB-6'!IC56+'[5]TB-7'!IC56+'[5]TB-8'!IC56+'[5]TB-9'!IC56+'[5]TB-10'!IC56+'[6]DSV-1'!IC56+'[6]DSV-2'!IC56+'[6]DSV-3'!IC56+'[7]TUB-1'!IC56+'[7]TUB-2'!IC56+'[8]Barge-1'!IC56+'[8]Barge-2'!IC56+'[8]Barge-3'!IC56+'[8]Barge-4'!IC56</f>
        <v>0</v>
      </c>
      <c r="AD18" s="133">
        <f>'[2]AHTS-1'!IC18+'[2]AHTS-2'!IC18+'[2]AHTS-3'!IC18+'[2]AHTS-4'!IC18+'[2]AHTS-5'!IC18+'[2]AHTS-6'!IC18+'[2]AHTS-7'!IC18+'[2]AHTS-8'!IC18+'[3]CB-1'!IC18+'[3]CB-2'!IC18+'[3]CB-3'!IC18+'[3]CB-4'!IC18+'[3]CB-5'!IC18+'[3]CB-6'!IC18+'[3]CB-7'!IC18+'[3]CB-8'!IC18+'[3]CB-9'!IC18+'[3]CB-10'!IC18+'[3]CB-11'!IC18+'[3]CB-12'!IC18+'[3]CB-13'!IC18+'[3]CB-14'!IC18+'[3]CB-15'!IC18+'[3]CB-16'!IC18+'[3]CB-17'!IC18+'[3]CB-18'!IC18+'[3]CB-19'!IC18+'[3]CB-20'!IC18+'[3]CB-21'!IC18+'[3]CB-22'!IC18+'[3]CB-23'!IC18+'[3]CB-24'!IC18+'[4]LCT-1'!IC18+'[4]LCT-2'!IC18+'[4]LCT-3'!IC18+'[4]LCT-4'!IC18+'[4]LCT-5'!IC18+'[4]LCT-6'!IC18+'[4]LCT-7'!IC18+'[4]LCT-8'!IC18+'[5]TB-1'!IC18+'[5]TB-2'!IC18+'[5]TB-3'!IC18+'[5]TB-4'!IC18+'[5]TB-5'!IC18+'[5]TB-6'!IC18+'[5]TB-7'!IC18+'[5]TB-8'!IC18+'[5]TB-9'!IC18+'[5]TB-10'!IC18+'[6]DSV-1'!IC18+'[6]DSV-2'!IC18+'[6]DSV-3'!IC18+'[7]TUB-1'!IC18+'[7]TUB-2'!IC18+'[8]Barge-1'!IC18+'[8]Barge-2'!IC18+'[8]Barge-3'!IC18+'[8]Barge-4'!IC18</f>
        <v>0</v>
      </c>
      <c r="AE18" s="134">
        <f>'[2]AHTS-1'!IC89+'[2]AHTS-2'!IC89+'[2]AHTS-3'!IC89+'[2]AHTS-4'!IC89+'[2]AHTS-5'!IC89+'[2]AHTS-6'!IC89+'[2]AHTS-7'!IC89+'[2]AHTS-8'!IC89+'[3]CB-1'!IC89+'[3]CB-2'!IC89+'[3]CB-3'!IC89+'[3]CB-4'!IC89+'[3]CB-5'!IC89+'[3]CB-6'!IC89+'[3]CB-7'!IC89+'[3]CB-8'!IC89+'[3]CB-9'!IC89+'[3]CB-10'!IC89+'[3]CB-11'!IC89+'[3]CB-12'!IC89+'[3]CB-13'!IC89+'[3]CB-14'!IC89+'[3]CB-15'!IC89+'[3]CB-16'!IC89+'[3]CB-17'!IC89+'[3]CB-18'!IC89+'[3]CB-19'!IC89+'[3]CB-20'!IC89+'[3]CB-21'!IC89+'[3]CB-22'!IC89+'[3]CB-23'!IC89+'[3]CB-24'!IC89+'[4]LCT-1'!IC89+'[4]LCT-2'!IC89+'[4]LCT-3'!IC89+'[4]LCT-4'!IC89+'[4]LCT-5'!IC89+'[4]LCT-6'!IC89+'[4]LCT-7'!IC89+'[4]LCT-8'!IC89+'[5]TB-1'!IC89+'[5]TB-2'!IC89+'[5]TB-3'!IC89+'[5]TB-4'!IC89+'[5]TB-5'!IC89+'[5]TB-6'!IC89+'[5]TB-7'!IC89+'[5]TB-8'!IC89+'[5]TB-9'!IC89+'[5]TB-10'!IC89+'[6]DSV-1'!IC89+'[6]DSV-2'!IC89+'[6]DSV-3'!IC89+'[7]TUB-1'!IC89+'[7]TUB-2'!IC89+'[8]Barge-1'!IC89+'[8]Barge-2'!IC89+'[8]Barge-3'!IC89+'[8]Barge-4'!IC89</f>
        <v>0</v>
      </c>
      <c r="AF18" s="135">
        <f>'[2]AHTS-1'!ID56+'[2]AHTS-2'!ID56+'[2]AHTS-3'!ID56+'[2]AHTS-4'!ID56+'[2]AHTS-5'!ID56+'[2]AHTS-6'!ID56+'[2]AHTS-7'!ID56+'[2]AHTS-8'!ID56+'[3]CB-1'!ID56+'[3]CB-2'!ID56+'[3]CB-3'!ID56+'[3]CB-4'!ID56+'[3]CB-5'!ID56+'[3]CB-6'!ID56+'[3]CB-7'!ID56+'[3]CB-8'!ID56+'[3]CB-9'!ID56+'[3]CB-10'!ID56+'[3]CB-11'!ID56+'[3]CB-12'!ID56+'[3]CB-13'!ID56+'[3]CB-14'!ID56+'[3]CB-15'!ID56+'[3]CB-16'!ID56+'[3]CB-17'!ID56+'[3]CB-18'!ID56+'[3]CB-19'!ID56+'[3]CB-20'!ID56+'[3]CB-21'!ID56+'[3]CB-22'!ID56+'[3]CB-23'!ID56+'[3]CB-24'!ID56+'[4]LCT-1'!ID56+'[4]LCT-2'!ID56+'[4]LCT-3'!ID56+'[4]LCT-4'!ID56+'[4]LCT-5'!ID56+'[4]LCT-6'!ID56+'[4]LCT-7'!ID56+'[4]LCT-8'!ID56+'[5]TB-1'!ID56+'[5]TB-2'!ID56+'[5]TB-3'!ID56+'[5]TB-4'!ID56+'[5]TB-5'!ID56+'[5]TB-6'!ID56+'[5]TB-7'!ID56+'[5]TB-8'!ID56+'[5]TB-9'!ID56+'[5]TB-10'!ID56+'[6]DSV-1'!ID56+'[6]DSV-2'!ID56+'[6]DSV-3'!ID56+'[7]TUB-1'!ID56+'[7]TUB-2'!ID56+'[8]Barge-1'!ID56+'[8]Barge-2'!ID56+'[8]Barge-3'!ID56+'[8]Barge-4'!ID56</f>
        <v>40442291.666666672</v>
      </c>
      <c r="AG18" s="136">
        <f>'[2]AHTS-1'!ID18+'[2]AHTS-2'!ID18+'[2]AHTS-3'!ID18+'[2]AHTS-4'!ID18+'[2]AHTS-5'!ID18+'[2]AHTS-6'!ID18+'[2]AHTS-7'!ID18+'[2]AHTS-8'!ID18+'[3]CB-1'!ID18+'[3]CB-2'!ID18+'[3]CB-3'!ID18+'[3]CB-4'!ID18+'[3]CB-5'!ID18+'[3]CB-6'!ID18+'[3]CB-7'!ID18+'[3]CB-8'!ID18+'[3]CB-9'!ID18+'[3]CB-10'!ID18+'[3]CB-11'!ID18+'[3]CB-12'!ID18+'[3]CB-13'!ID18+'[3]CB-14'!ID18+'[3]CB-15'!ID18+'[3]CB-16'!ID18+'[3]CB-17'!ID18+'[3]CB-18'!ID18+'[3]CB-19'!ID18+'[3]CB-20'!ID18+'[3]CB-21'!ID18+'[3]CB-22'!ID18+'[3]CB-23'!ID18+'[3]CB-24'!ID18+'[4]LCT-1'!ID18+'[4]LCT-2'!ID18+'[4]LCT-3'!ID18+'[4]LCT-4'!ID18+'[4]LCT-5'!ID18+'[4]LCT-6'!ID18+'[4]LCT-7'!ID18+'[4]LCT-8'!ID18+'[5]TB-1'!ID18+'[5]TB-2'!ID18+'[5]TB-3'!ID18+'[5]TB-4'!ID18+'[5]TB-5'!ID18+'[5]TB-6'!ID18+'[5]TB-7'!ID18+'[5]TB-8'!ID18+'[5]TB-9'!ID18+'[5]TB-10'!ID18+'[6]DSV-1'!ID18+'[6]DSV-2'!ID18+'[6]DSV-3'!ID18+'[7]TUB-1'!ID18+'[7]TUB-2'!ID18+'[8]Barge-1'!ID18+'[8]Barge-2'!ID18+'[8]Barge-3'!ID18+'[8]Barge-4'!ID18</f>
        <v>34970833.333333336</v>
      </c>
      <c r="AH18" s="136">
        <f>'[2]AHTS-1'!ID89+'[2]AHTS-2'!ID89+'[2]AHTS-3'!ID89+'[2]AHTS-4'!ID89+'[2]AHTS-5'!ID89+'[2]AHTS-6'!ID89+'[2]AHTS-7'!ID89+'[2]AHTS-8'!ID89+'[3]CB-1'!ID89+'[3]CB-2'!ID89+'[3]CB-3'!ID89+'[3]CB-4'!ID89+'[3]CB-5'!ID89+'[3]CB-6'!ID89+'[3]CB-7'!ID89+'[3]CB-8'!ID89+'[3]CB-9'!ID89+'[3]CB-10'!ID89+'[3]CB-11'!ID89+'[3]CB-12'!ID89+'[3]CB-13'!ID89+'[3]CB-14'!ID89+'[3]CB-15'!ID89+'[3]CB-16'!ID89+'[3]CB-17'!ID89+'[3]CB-18'!ID89+'[3]CB-19'!ID89+'[3]CB-20'!ID89+'[3]CB-21'!ID89+'[3]CB-22'!ID89+'[3]CB-23'!ID89+'[3]CB-24'!ID89+'[4]LCT-1'!ID89+'[4]LCT-2'!ID89+'[4]LCT-3'!ID89+'[4]LCT-4'!ID89+'[4]LCT-5'!ID89+'[4]LCT-6'!ID89+'[4]LCT-7'!ID89+'[4]LCT-8'!ID89+'[5]TB-1'!ID89+'[5]TB-2'!ID89+'[5]TB-3'!ID89+'[5]TB-4'!ID89+'[5]TB-5'!ID89+'[5]TB-6'!ID89+'[5]TB-7'!ID89+'[5]TB-8'!ID89+'[5]TB-9'!ID89+'[5]TB-10'!ID89+'[6]DSV-1'!ID89+'[6]DSV-2'!ID89+'[6]DSV-3'!ID89+'[7]TUB-1'!ID89+'[7]TUB-2'!ID89+'[8]Barge-1'!ID89+'[8]Barge-2'!ID89+'[8]Barge-3'!ID89+'[8]Barge-4'!ID89</f>
        <v>0</v>
      </c>
      <c r="AI18" s="135">
        <f>'[2]AHTS-1'!IE56+'[2]AHTS-2'!IE56+'[2]AHTS-3'!IE56+'[2]AHTS-4'!IE56+'[2]AHTS-5'!IE56+'[2]AHTS-6'!IE56+'[2]AHTS-7'!IE56+'[2]AHTS-8'!IE56+'[3]CB-1'!IE56+'[3]CB-2'!IE56+'[3]CB-3'!IE56+'[3]CB-4'!IE56+'[3]CB-5'!IE56+'[3]CB-6'!IE56+'[3]CB-7'!IE56+'[3]CB-8'!IE56+'[3]CB-9'!IE56+'[3]CB-10'!IE56+'[3]CB-11'!IE56+'[3]CB-12'!IE56+'[3]CB-13'!IE56+'[3]CB-14'!IE56+'[3]CB-15'!IE56+'[3]CB-16'!IE56+'[3]CB-17'!IE56+'[3]CB-18'!IE56+'[3]CB-19'!IE56+'[3]CB-20'!IE56+'[3]CB-21'!IE56+'[3]CB-22'!IE56+'[3]CB-23'!IE56+'[3]CB-24'!IE56+'[4]LCT-1'!IE56+'[4]LCT-2'!IE56+'[4]LCT-3'!IE56+'[4]LCT-4'!IE56+'[4]LCT-5'!IE56+'[4]LCT-6'!IE56+'[4]LCT-7'!IE56+'[4]LCT-8'!IE56+'[5]TB-1'!IE56+'[5]TB-2'!IE56+'[5]TB-3'!IE56+'[5]TB-4'!IE56+'[5]TB-5'!IE56+'[5]TB-6'!IE56+'[5]TB-7'!IE56+'[5]TB-8'!IE56+'[5]TB-9'!IE56+'[5]TB-10'!IE56+'[6]DSV-1'!IE56+'[6]DSV-2'!IE56+'[6]DSV-3'!IE56+'[7]TUB-1'!IE56+'[7]TUB-2'!IE56+'[8]Barge-1'!IE56+'[8]Barge-2'!IE56+'[8]Barge-3'!IE56+'[8]Barge-4'!IE56</f>
        <v>27430775</v>
      </c>
      <c r="AJ18" s="136">
        <f>'[2]AHTS-1'!IE18+'[2]AHTS-2'!IE18+'[2]AHTS-3'!IE18+'[2]AHTS-4'!IE18+'[2]AHTS-5'!IE18+'[2]AHTS-6'!IE18+'[2]AHTS-7'!IE18+'[2]AHTS-8'!IE18+'[3]CB-1'!IE18+'[3]CB-2'!IE18+'[3]CB-3'!IE18+'[3]CB-4'!IE18+'[3]CB-5'!IE18+'[3]CB-6'!IE18+'[3]CB-7'!IE18+'[3]CB-8'!IE18+'[3]CB-9'!IE18+'[3]CB-10'!IE18+'[3]CB-11'!IE18+'[3]CB-12'!IE18+'[3]CB-13'!IE18+'[3]CB-14'!IE18+'[3]CB-15'!IE18+'[3]CB-16'!IE18+'[3]CB-17'!IE18+'[3]CB-18'!IE18+'[3]CB-19'!IE18+'[3]CB-20'!IE18+'[3]CB-21'!IE18+'[3]CB-22'!IE18+'[3]CB-23'!IE18+'[3]CB-24'!IE18+'[4]LCT-1'!IE18+'[4]LCT-2'!IE18+'[4]LCT-3'!IE18+'[4]LCT-4'!IE18+'[4]LCT-5'!IE18+'[4]LCT-6'!IE18+'[4]LCT-7'!IE18+'[4]LCT-8'!IE18+'[5]TB-1'!IE18+'[5]TB-2'!IE18+'[5]TB-3'!IE18+'[5]TB-4'!IE18+'[5]TB-5'!IE18+'[5]TB-6'!IE18+'[5]TB-7'!IE18+'[5]TB-8'!IE18+'[5]TB-9'!IE18+'[5]TB-10'!IE18+'[6]DSV-1'!IE18+'[6]DSV-2'!IE18+'[6]DSV-3'!IE18+'[7]TUB-1'!IE18+'[7]TUB-2'!IE18+'[8]Barge-1'!IE18+'[8]Barge-2'!IE18+'[8]Barge-3'!IE18+'[8]Barge-4'!IE18</f>
        <v>24637500</v>
      </c>
      <c r="AK18" s="136">
        <f>'[2]AHTS-1'!IE89+'[2]AHTS-2'!IE89+'[2]AHTS-3'!IE89+'[2]AHTS-4'!IE89+'[2]AHTS-5'!IE89+'[2]AHTS-6'!IE89+'[2]AHTS-7'!IE89+'[2]AHTS-8'!IE89+'[3]CB-1'!IE89+'[3]CB-2'!IE89+'[3]CB-3'!IE89+'[3]CB-4'!IE89+'[3]CB-5'!IE89+'[3]CB-6'!IE89+'[3]CB-7'!IE89+'[3]CB-8'!IE89+'[3]CB-9'!IE89+'[3]CB-10'!IE89+'[3]CB-11'!IE89+'[3]CB-12'!IE89+'[3]CB-13'!IE89+'[3]CB-14'!IE89+'[3]CB-15'!IE89+'[3]CB-16'!IE89+'[3]CB-17'!IE89+'[3]CB-18'!IE89+'[3]CB-19'!IE89+'[3]CB-20'!IE89+'[3]CB-21'!IE89+'[3]CB-22'!IE89+'[3]CB-23'!IE89+'[3]CB-24'!IE89+'[4]LCT-1'!IE89+'[4]LCT-2'!IE89+'[4]LCT-3'!IE89+'[4]LCT-4'!IE89+'[4]LCT-5'!IE89+'[4]LCT-6'!IE89+'[4]LCT-7'!IE89+'[4]LCT-8'!IE89+'[5]TB-1'!IE89+'[5]TB-2'!IE89+'[5]TB-3'!IE89+'[5]TB-4'!IE89+'[5]TB-5'!IE89+'[5]TB-6'!IE89+'[5]TB-7'!IE89+'[5]TB-8'!IE89+'[5]TB-9'!IE89+'[5]TB-10'!IE89+'[6]DSV-1'!IE89+'[6]DSV-2'!IE89+'[6]DSV-3'!IE89+'[7]TUB-1'!IE89+'[7]TUB-2'!IE89+'[8]Barge-1'!IE89+'[8]Barge-2'!IE89+'[8]Barge-3'!IE89+'[8]Barge-4'!IE89</f>
        <v>0</v>
      </c>
      <c r="AL18" s="137">
        <f>'[2]AHTS-1'!IF56+'[2]AHTS-2'!IF56+'[2]AHTS-3'!IF56+'[2]AHTS-4'!IF56+'[2]AHTS-5'!IF56+'[2]AHTS-6'!IF56+'[2]AHTS-7'!IF56+'[2]AHTS-8'!IF56+'[3]CB-1'!IF56+'[3]CB-2'!IF56+'[3]CB-3'!IF56+'[3]CB-4'!IF56+'[3]CB-5'!IF56+'[3]CB-6'!IF56+'[3]CB-7'!IF56+'[3]CB-8'!IF56+'[3]CB-9'!IF56+'[3]CB-10'!IF56+'[3]CB-11'!IF56+'[3]CB-12'!IF56+'[3]CB-13'!IF56+'[3]CB-14'!IF56+'[3]CB-15'!IF56+'[3]CB-16'!IF56+'[3]CB-17'!IF56+'[3]CB-18'!IF56+'[3]CB-19'!IF56+'[3]CB-20'!IF56+'[3]CB-21'!IF56+'[3]CB-22'!IF56+'[3]CB-23'!IF56+'[3]CB-24'!IF56+'[4]LCT-1'!IF56+'[4]LCT-2'!IF56+'[4]LCT-3'!IF56+'[4]LCT-4'!IF56+'[4]LCT-5'!IF56+'[4]LCT-6'!IF56+'[4]LCT-7'!IF56+'[4]LCT-8'!IF56+'[5]TB-1'!IF56+'[5]TB-2'!IF56+'[5]TB-3'!IF56+'[5]TB-4'!IF56+'[5]TB-5'!IF56+'[5]TB-6'!IF56+'[5]TB-7'!IF56+'[5]TB-8'!IF56+'[5]TB-9'!IF56+'[5]TB-10'!IF56+'[6]DSV-1'!IF56+'[6]DSV-2'!IF56+'[6]DSV-3'!IF56+'[7]TUB-1'!IF56+'[7]TUB-2'!IF56+'[8]Barge-1'!IF56+'[8]Barge-2'!IF56+'[8]Barge-3'!IF56+'[8]Barge-4'!IF56</f>
        <v>42899783.333333336</v>
      </c>
      <c r="AM18" s="138">
        <f>'[2]AHTS-1'!IF18+'[2]AHTS-2'!IF18+'[2]AHTS-3'!IF18+'[2]AHTS-4'!IF18+'[2]AHTS-5'!IF18+'[2]AHTS-6'!IF18+'[2]AHTS-7'!IF18+'[2]AHTS-8'!IF18+'[3]CB-1'!IF18+'[3]CB-2'!IF18+'[3]CB-3'!IF18+'[3]CB-4'!IF18+'[3]CB-5'!IF18+'[3]CB-6'!IF18+'[3]CB-7'!IF18+'[3]CB-8'!IF18+'[3]CB-9'!IF18+'[3]CB-10'!IF18+'[3]CB-11'!IF18+'[3]CB-12'!IF18+'[3]CB-13'!IF18+'[3]CB-14'!IF18+'[3]CB-15'!IF18+'[3]CB-16'!IF18+'[3]CB-17'!IF18+'[3]CB-18'!IF18+'[3]CB-19'!IF18+'[3]CB-20'!IF18+'[3]CB-21'!IF18+'[3]CB-22'!IF18+'[3]CB-23'!IF18+'[3]CB-24'!IF18+'[4]LCT-1'!IF18+'[4]LCT-2'!IF18+'[4]LCT-3'!IF18+'[4]LCT-4'!IF18+'[4]LCT-5'!IF18+'[4]LCT-6'!IF18+'[4]LCT-7'!IF18+'[4]LCT-8'!IF18+'[5]TB-1'!IF18+'[5]TB-2'!IF18+'[5]TB-3'!IF18+'[5]TB-4'!IF18+'[5]TB-5'!IF18+'[5]TB-6'!IF18+'[5]TB-7'!IF18+'[5]TB-8'!IF18+'[5]TB-9'!IF18+'[5]TB-10'!IF18+'[6]DSV-1'!IF18+'[6]DSV-2'!IF18+'[6]DSV-3'!IF18+'[7]TUB-1'!IF18+'[7]TUB-2'!IF18+'[8]Barge-1'!IF18+'[8]Barge-2'!IF18+'[8]Barge-3'!IF18+'[8]Barge-4'!IF18</f>
        <v>67533333.333333343</v>
      </c>
      <c r="AN18" s="138">
        <f>'[2]AHTS-1'!IF89+'[2]AHTS-2'!IF89+'[2]AHTS-3'!IF89+'[2]AHTS-4'!IF89+'[2]AHTS-5'!IF89+'[2]AHTS-6'!IF89+'[2]AHTS-7'!IF89+'[2]AHTS-8'!IF89+'[3]CB-1'!IF89+'[3]CB-2'!IF89+'[3]CB-3'!IF89+'[3]CB-4'!IF89+'[3]CB-5'!IF89+'[3]CB-6'!IF89+'[3]CB-7'!IF89+'[3]CB-8'!IF89+'[3]CB-9'!IF89+'[3]CB-10'!IF89+'[3]CB-11'!IF89+'[3]CB-12'!IF89+'[3]CB-13'!IF89+'[3]CB-14'!IF89+'[3]CB-15'!IF89+'[3]CB-16'!IF89+'[3]CB-17'!IF89+'[3]CB-18'!IF89+'[3]CB-19'!IF89+'[3]CB-20'!IF89+'[3]CB-21'!IF89+'[3]CB-22'!IF89+'[3]CB-23'!IF89+'[3]CB-24'!IF89+'[4]LCT-1'!IF89+'[4]LCT-2'!IF89+'[4]LCT-3'!IF89+'[4]LCT-4'!IF89+'[4]LCT-5'!IF89+'[4]LCT-6'!IF89+'[4]LCT-7'!IF89+'[4]LCT-8'!IF89+'[5]TB-1'!IF89+'[5]TB-2'!IF89+'[5]TB-3'!IF89+'[5]TB-4'!IF89+'[5]TB-5'!IF89+'[5]TB-6'!IF89+'[5]TB-7'!IF89+'[5]TB-8'!IF89+'[5]TB-9'!IF89+'[5]TB-10'!IF89+'[6]DSV-1'!IF89+'[6]DSV-2'!IF89+'[6]DSV-3'!IF89+'[7]TUB-1'!IF89+'[7]TUB-2'!IF89+'[8]Barge-1'!IF89+'[8]Barge-2'!IF89+'[8]Barge-3'!IF89+'[8]Barge-4'!IF89</f>
        <v>0</v>
      </c>
      <c r="AO18" s="135">
        <f>'[2]AHTS-1'!IG56+'[2]AHTS-2'!IG56+'[2]AHTS-3'!IG56+'[2]AHTS-4'!IG56+'[2]AHTS-5'!IG56+'[2]AHTS-6'!IG56+'[2]AHTS-7'!IG56+'[2]AHTS-8'!IG56+'[3]CB-1'!IG56+'[3]CB-2'!IG56+'[3]CB-3'!IG56+'[3]CB-4'!IG56+'[3]CB-5'!IG56+'[3]CB-6'!IG56+'[3]CB-7'!IG56+'[3]CB-8'!IG56+'[3]CB-9'!IG56+'[3]CB-10'!IG56+'[3]CB-11'!IG56+'[3]CB-12'!IG56+'[3]CB-13'!IG56+'[3]CB-14'!IG56+'[3]CB-15'!IG56+'[3]CB-16'!IG56+'[3]CB-17'!IG56+'[3]CB-18'!IG56+'[3]CB-19'!IG56+'[3]CB-20'!IG56+'[3]CB-21'!IG56+'[3]CB-22'!IG56+'[3]CB-23'!IG56+'[3]CB-24'!IG56+'[4]LCT-1'!IG56+'[4]LCT-2'!IG56+'[4]LCT-3'!IG56+'[4]LCT-4'!IG56+'[4]LCT-5'!IG56+'[4]LCT-6'!IG56+'[4]LCT-7'!IG56+'[4]LCT-8'!IG56+'[5]TB-1'!IG56+'[5]TB-2'!IG56+'[5]TB-3'!IG56+'[5]TB-4'!IG56+'[5]TB-5'!IG56+'[5]TB-6'!IG56+'[5]TB-7'!IG56+'[5]TB-8'!IG56+'[5]TB-9'!IG56+'[5]TB-10'!IG56+'[6]DSV-1'!IG56+'[6]DSV-2'!IG56+'[6]DSV-3'!IG56+'[7]TUB-1'!IG56+'[7]TUB-2'!IG56+'[8]Barge-1'!IG56+'[8]Barge-2'!IG56+'[8]Barge-3'!IG56+'[8]Barge-4'!IG56</f>
        <v>732133.33333333337</v>
      </c>
      <c r="AP18" s="136">
        <f>'[2]AHTS-1'!IG18+'[2]AHTS-2'!IG18+'[2]AHTS-3'!IG18+'[2]AHTS-4'!IG18+'[2]AHTS-5'!IG18+'[2]AHTS-6'!IG18+'[2]AHTS-7'!IG18+'[2]AHTS-8'!IG18+'[3]CB-1'!IG18+'[3]CB-2'!IG18+'[3]CB-3'!IG18+'[3]CB-4'!IG18+'[3]CB-5'!IG18+'[3]CB-6'!IG18+'[3]CB-7'!IG18+'[3]CB-8'!IG18+'[3]CB-9'!IG18+'[3]CB-10'!IG18+'[3]CB-11'!IG18+'[3]CB-12'!IG18+'[3]CB-13'!IG18+'[3]CB-14'!IG18+'[3]CB-15'!IG18+'[3]CB-16'!IG18+'[3]CB-17'!IG18+'[3]CB-18'!IG18+'[3]CB-19'!IG18+'[3]CB-20'!IG18+'[3]CB-21'!IG18+'[3]CB-22'!IG18+'[3]CB-23'!IG18+'[3]CB-24'!IG18+'[4]LCT-1'!IG18+'[4]LCT-2'!IG18+'[4]LCT-3'!IG18+'[4]LCT-4'!IG18+'[4]LCT-5'!IG18+'[4]LCT-6'!IG18+'[4]LCT-7'!IG18+'[4]LCT-8'!IG18+'[5]TB-1'!IG18+'[5]TB-2'!IG18+'[5]TB-3'!IG18+'[5]TB-4'!IG18+'[5]TB-5'!IG18+'[5]TB-6'!IG18+'[5]TB-7'!IG18+'[5]TB-8'!IG18+'[5]TB-9'!IG18+'[5]TB-10'!IG18+'[6]DSV-1'!IG18+'[6]DSV-2'!IG18+'[6]DSV-3'!IG18+'[7]TUB-1'!IG18+'[7]TUB-2'!IG18+'[8]Barge-1'!IG18+'[8]Barge-2'!IG18+'[8]Barge-3'!IG18+'[8]Barge-4'!IG18</f>
        <v>4333333.333333333</v>
      </c>
      <c r="AQ18" s="136">
        <f>'[2]AHTS-1'!IG89+'[2]AHTS-2'!IG89+'[2]AHTS-3'!IG89+'[2]AHTS-4'!IG89+'[2]AHTS-5'!IG89+'[2]AHTS-6'!IG89+'[2]AHTS-7'!IG89+'[2]AHTS-8'!IG89+'[3]CB-1'!IG89+'[3]CB-2'!IG89+'[3]CB-3'!IG89+'[3]CB-4'!IG89+'[3]CB-5'!IG89+'[3]CB-6'!IG89+'[3]CB-7'!IG89+'[3]CB-8'!IG89+'[3]CB-9'!IG89+'[3]CB-10'!IG89+'[3]CB-11'!IG89+'[3]CB-12'!IG89+'[3]CB-13'!IG89+'[3]CB-14'!IG89+'[3]CB-15'!IG89+'[3]CB-16'!IG89+'[3]CB-17'!IG89+'[3]CB-18'!IG89+'[3]CB-19'!IG89+'[3]CB-20'!IG89+'[3]CB-21'!IG89+'[3]CB-22'!IG89+'[3]CB-23'!IG89+'[3]CB-24'!IG89+'[4]LCT-1'!IG89+'[4]LCT-2'!IG89+'[4]LCT-3'!IG89+'[4]LCT-4'!IG89+'[4]LCT-5'!IG89+'[4]LCT-6'!IG89+'[4]LCT-7'!IG89+'[4]LCT-8'!IG89+'[5]TB-1'!IG89+'[5]TB-2'!IG89+'[5]TB-3'!IG89+'[5]TB-4'!IG89+'[5]TB-5'!IG89+'[5]TB-6'!IG89+'[5]TB-7'!IG89+'[5]TB-8'!IG89+'[5]TB-9'!IG89+'[5]TB-10'!IG89+'[6]DSV-1'!IG89+'[6]DSV-2'!IG89+'[6]DSV-3'!IG89+'[7]TUB-1'!IG89+'[7]TUB-2'!IG89+'[8]Barge-1'!IG89+'[8]Barge-2'!IG89+'[8]Barge-3'!IG89+'[8]Barge-4'!IG89</f>
        <v>0</v>
      </c>
      <c r="AR18" s="139">
        <f>'[2]AHTS-1'!IH56+'[2]AHTS-2'!IH56+'[2]AHTS-3'!IH56+'[2]AHTS-4'!IH56+'[2]AHTS-5'!IH56+'[2]AHTS-6'!IH56+'[2]AHTS-7'!IH56+'[2]AHTS-8'!IH56+'[3]CB-1'!IH56+'[3]CB-2'!IH56+'[3]CB-3'!IH56+'[3]CB-4'!IH56+'[3]CB-5'!IH56+'[3]CB-6'!IH56+'[3]CB-7'!IH56+'[3]CB-8'!IH56+'[3]CB-9'!IH56+'[3]CB-10'!IH56+'[3]CB-11'!IH56+'[3]CB-12'!IH56+'[3]CB-13'!IH56+'[3]CB-14'!IH56+'[3]CB-15'!IH56+'[3]CB-16'!IH56+'[3]CB-17'!IH56+'[3]CB-18'!IH56+'[3]CB-19'!IH56+'[3]CB-20'!IH56+'[3]CB-21'!IH56+'[3]CB-22'!IH56+'[3]CB-23'!IH56+'[3]CB-24'!IH56+'[4]LCT-1'!IH56+'[4]LCT-2'!IH56+'[4]LCT-3'!IH56+'[4]LCT-4'!IH56+'[4]LCT-5'!IH56+'[4]LCT-6'!IH56+'[4]LCT-7'!IH56+'[4]LCT-8'!IH56+'[5]TB-1'!IH56+'[5]TB-2'!IH56+'[5]TB-3'!IH56+'[5]TB-4'!IH56+'[5]TB-5'!IH56+'[5]TB-6'!IH56+'[5]TB-7'!IH56+'[5]TB-8'!IH56+'[5]TB-9'!IH56+'[5]TB-10'!IH56+'[6]DSV-1'!IH56+'[6]DSV-2'!IH56+'[6]DSV-3'!IH56+'[7]TUB-1'!IH56+'[7]TUB-2'!IH56+'[8]Barge-1'!IH56+'[8]Barge-2'!IH56+'[8]Barge-3'!IH56+'[8]Barge-4'!IH56</f>
        <v>83463200</v>
      </c>
      <c r="AS18" s="136">
        <f>'[2]AHTS-1'!IH18+'[2]AHTS-2'!IH18+'[2]AHTS-3'!IH18+'[2]AHTS-4'!IH18+'[2]AHTS-5'!IH18+'[2]AHTS-6'!IH18+'[2]AHTS-7'!IH18+'[2]AHTS-8'!IH18+'[3]CB-1'!IH18+'[3]CB-2'!IH18+'[3]CB-3'!IH18+'[3]CB-4'!IH18+'[3]CB-5'!IH18+'[3]CB-6'!IH18+'[3]CB-7'!IH18+'[3]CB-8'!IH18+'[3]CB-9'!IH18+'[3]CB-10'!IH18+'[3]CB-11'!IH18+'[3]CB-12'!IH18+'[3]CB-13'!IH18+'[3]CB-14'!IH18+'[3]CB-15'!IH18+'[3]CB-16'!IH18+'[3]CB-17'!IH18+'[3]CB-18'!IH18+'[3]CB-19'!IH18+'[3]CB-20'!IH18+'[3]CB-21'!IH18+'[3]CB-22'!IH18+'[3]CB-23'!IH18+'[3]CB-24'!IH18+'[4]LCT-1'!IH18+'[4]LCT-2'!IH18+'[4]LCT-3'!IH18+'[4]LCT-4'!IH18+'[4]LCT-5'!IH18+'[4]LCT-6'!IH18+'[4]LCT-7'!IH18+'[4]LCT-8'!IH18+'[5]TB-1'!IH18+'[5]TB-2'!IH18+'[5]TB-3'!IH18+'[5]TB-4'!IH18+'[5]TB-5'!IH18+'[5]TB-6'!IH18+'[5]TB-7'!IH18+'[5]TB-8'!IH18+'[5]TB-9'!IH18+'[5]TB-10'!IH18+'[6]DSV-1'!IH18+'[6]DSV-2'!IH18+'[6]DSV-3'!IH18+'[7]TUB-1'!IH18+'[7]TUB-2'!IH18+'[8]Barge-1'!IH18+'[8]Barge-2'!IH18+'[8]Barge-3'!IH18+'[8]Barge-4'!IH18</f>
        <v>92450000</v>
      </c>
      <c r="AT18" s="140">
        <f>'[2]AHTS-1'!IH89+'[2]AHTS-2'!IH89+'[2]AHTS-3'!IH89+'[2]AHTS-4'!IH89+'[2]AHTS-5'!IH89+'[2]AHTS-6'!IH89+'[2]AHTS-7'!IH89+'[2]AHTS-8'!IH89+'[3]CB-1'!IH89+'[3]CB-2'!IH89+'[3]CB-3'!IH89+'[3]CB-4'!IH89+'[3]CB-5'!IH89+'[3]CB-6'!IH89+'[3]CB-7'!IH89+'[3]CB-8'!IH89+'[3]CB-9'!IH89+'[3]CB-10'!IH89+'[3]CB-11'!IH89+'[3]CB-12'!IH89+'[3]CB-13'!IH89+'[3]CB-14'!IH89+'[3]CB-15'!IH89+'[3]CB-16'!IH89+'[3]CB-17'!IH89+'[3]CB-18'!IH89+'[3]CB-19'!IH89+'[3]CB-20'!IH89+'[3]CB-21'!IH89+'[3]CB-22'!IH89+'[3]CB-23'!IH89+'[3]CB-24'!IH89+'[4]LCT-1'!IH89+'[4]LCT-2'!IH89+'[4]LCT-3'!IH89+'[4]LCT-4'!IH89+'[4]LCT-5'!IH89+'[4]LCT-6'!IH89+'[4]LCT-7'!IH89+'[4]LCT-8'!IH89+'[5]TB-1'!IH89+'[5]TB-2'!IH89+'[5]TB-3'!IH89+'[5]TB-4'!IH89+'[5]TB-5'!IH89+'[5]TB-6'!IH89+'[5]TB-7'!IH89+'[5]TB-8'!IH89+'[5]TB-9'!IH89+'[5]TB-10'!IH89+'[6]DSV-1'!IH89+'[6]DSV-2'!IH89+'[6]DSV-3'!IH89+'[7]TUB-1'!IH89+'[7]TUB-2'!IH89+'[8]Barge-1'!IH89+'[8]Barge-2'!IH89+'[8]Barge-3'!IH89+'[8]Barge-4'!IH89</f>
        <v>0</v>
      </c>
      <c r="AU18" s="139">
        <f>'[2]AHTS-1'!II56+'[2]AHTS-2'!II56+'[2]AHTS-3'!II56+'[2]AHTS-4'!II56+'[2]AHTS-5'!II56+'[2]AHTS-6'!II56+'[2]AHTS-7'!II56+'[2]AHTS-8'!II56+'[3]CB-1'!II56+'[3]CB-2'!II56+'[3]CB-3'!II56+'[3]CB-4'!II56+'[3]CB-5'!II56+'[3]CB-6'!II56+'[3]CB-7'!II56+'[3]CB-8'!II56+'[3]CB-9'!II56+'[3]CB-10'!II56+'[3]CB-11'!II56+'[3]CB-12'!II56+'[3]CB-13'!II56+'[3]CB-14'!II56+'[3]CB-15'!II56+'[3]CB-16'!II56+'[3]CB-17'!II56+'[3]CB-18'!II56+'[3]CB-19'!II56+'[3]CB-20'!II56+'[3]CB-21'!II56+'[3]CB-22'!II56+'[3]CB-23'!II56+'[3]CB-24'!II56+'[4]LCT-1'!II56+'[4]LCT-2'!II56+'[4]LCT-3'!II56+'[4]LCT-4'!II56+'[4]LCT-5'!II56+'[4]LCT-6'!II56+'[4]LCT-7'!II56+'[4]LCT-8'!II56+'[5]TB-1'!II56+'[5]TB-2'!II56+'[5]TB-3'!II56+'[5]TB-4'!II56+'[5]TB-5'!II56+'[5]TB-6'!II56+'[5]TB-7'!II56+'[5]TB-8'!II56+'[5]TB-9'!II56+'[5]TB-10'!II56+'[6]DSV-1'!II56+'[6]DSV-2'!II56+'[6]DSV-3'!II56+'[7]TUB-1'!II56+'[7]TUB-2'!II56+'[8]Barge-1'!II56+'[8]Barge-2'!II56+'[8]Barge-3'!II56+'[8]Barge-4'!II56</f>
        <v>0</v>
      </c>
      <c r="AV18" s="136">
        <f>'[2]AHTS-1'!II18+'[2]AHTS-2'!II18+'[2]AHTS-3'!II18+'[2]AHTS-4'!II18+'[2]AHTS-5'!II18+'[2]AHTS-6'!II18+'[2]AHTS-7'!II18+'[2]AHTS-8'!II18+'[3]CB-1'!II18+'[3]CB-2'!II18+'[3]CB-3'!II18+'[3]CB-4'!II18+'[3]CB-5'!II18+'[3]CB-6'!II18+'[3]CB-7'!II18+'[3]CB-8'!II18+'[3]CB-9'!II18+'[3]CB-10'!II18+'[3]CB-11'!II18+'[3]CB-12'!II18+'[3]CB-13'!II18+'[3]CB-14'!II18+'[3]CB-15'!II18+'[3]CB-16'!II18+'[3]CB-17'!II18+'[3]CB-18'!II18+'[3]CB-19'!II18+'[3]CB-20'!II18+'[3]CB-21'!II18+'[3]CB-22'!II18+'[3]CB-23'!II18+'[3]CB-24'!II18+'[4]LCT-1'!II18+'[4]LCT-2'!II18+'[4]LCT-3'!II18+'[4]LCT-4'!II18+'[4]LCT-5'!II18+'[4]LCT-6'!II18+'[4]LCT-7'!II18+'[4]LCT-8'!II18+'[5]TB-1'!II18+'[5]TB-2'!II18+'[5]TB-3'!II18+'[5]TB-4'!II18+'[5]TB-5'!II18+'[5]TB-6'!II18+'[5]TB-7'!II18+'[5]TB-8'!II18+'[5]TB-9'!II18+'[5]TB-10'!II18+'[6]DSV-1'!II18+'[6]DSV-2'!II18+'[6]DSV-3'!II18+'[7]TUB-1'!II18+'[7]TUB-2'!II18+'[8]Barge-1'!II18+'[8]Barge-2'!II18+'[8]Barge-3'!II18+'[8]Barge-4'!II18</f>
        <v>0</v>
      </c>
      <c r="AW18" s="140">
        <f>'[2]AHTS-1'!II89+'[2]AHTS-2'!II89+'[2]AHTS-3'!II89+'[2]AHTS-4'!II89+'[2]AHTS-5'!II89+'[2]AHTS-6'!II89+'[2]AHTS-7'!II89+'[2]AHTS-8'!II89+'[3]CB-1'!II89+'[3]CB-2'!II89+'[3]CB-3'!II89+'[3]CB-4'!II89+'[3]CB-5'!II89+'[3]CB-6'!II89+'[3]CB-7'!II89+'[3]CB-8'!II89+'[3]CB-9'!II89+'[3]CB-10'!II89+'[3]CB-11'!II89+'[3]CB-12'!II89+'[3]CB-13'!II89+'[3]CB-14'!II89+'[3]CB-15'!II89+'[3]CB-16'!II89+'[3]CB-17'!II89+'[3]CB-18'!II89+'[3]CB-19'!II89+'[3]CB-20'!II89+'[3]CB-21'!II89+'[3]CB-22'!II89+'[3]CB-23'!II89+'[3]CB-24'!II89+'[4]LCT-1'!II89+'[4]LCT-2'!II89+'[4]LCT-3'!II89+'[4]LCT-4'!II89+'[4]LCT-5'!II89+'[4]LCT-6'!II89+'[4]LCT-7'!II89+'[4]LCT-8'!II89+'[5]TB-1'!II89+'[5]TB-2'!II89+'[5]TB-3'!II89+'[5]TB-4'!II89+'[5]TB-5'!II89+'[5]TB-6'!II89+'[5]TB-7'!II89+'[5]TB-8'!II89+'[5]TB-9'!II89+'[5]TB-10'!II89+'[6]DSV-1'!II89+'[6]DSV-2'!II89+'[6]DSV-3'!II89+'[7]TUB-1'!II89+'[7]TUB-2'!II89+'[8]Barge-1'!II89+'[8]Barge-2'!II89+'[8]Barge-3'!II89+'[8]Barge-4'!II89</f>
        <v>0</v>
      </c>
      <c r="AX18" s="67"/>
      <c r="AY18" s="67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</row>
    <row r="19" spans="1:97" s="69" customFormat="1" ht="14.25" customHeight="1" x14ac:dyDescent="0.25">
      <c r="A19" s="111">
        <f>[1]Control!AZ19</f>
        <v>45994</v>
      </c>
      <c r="B19" s="66"/>
      <c r="C19" s="176">
        <f>'[2]AHTS-1'!AV19+'[2]AHTS-2'!AV19+'[2]AHTS-3'!AV19+'[2]AHTS-4'!AV19+'[2]AHTS-5'!AV19+'[2]AHTS-6'!AV19+'[2]AHTS-7'!AV19+'[2]AHTS-8'!AV19+'[3]CB-1'!AV19+'[3]CB-2'!AV19+'[3]CB-3'!AV19+'[3]CB-4'!AV19+'[3]CB-5'!AV19+'[3]CB-6'!AV19+'[3]CB-7'!AV19+'[3]CB-8'!AV19+'[3]CB-9'!AV19+'[3]CB-10'!AV19+'[3]CB-11'!AV19+'[3]CB-12'!AV19+'[3]CB-13'!AV19+'[3]CB-14'!AV19+'[3]CB-15'!AV19+'[3]CB-16'!AV19+'[3]CB-17'!AV19+'[3]CB-18'!AV19+'[3]CB-19'!AV19+'[3]CB-20'!AV19+'[3]CB-21'!AV19+'[3]CB-22'!AV19+'[3]CB-23'!AV19+'[3]CB-24'!AV19+'[4]LCT-1'!AV19+'[4]LCT-2'!AV19+'[4]LCT-3'!AV19+'[4]LCT-4'!AV19+'[4]LCT-5'!AV19+'[4]LCT-6'!AV19+'[4]LCT-7'!AV19+'[4]LCT-8'!AV19+'[5]TB-1'!AV19+'[5]TB-2'!AV19+'[5]TB-3'!AV19+'[5]TB-4'!AV19+'[5]TB-5'!AV19+'[5]TB-6'!AV19+'[5]TB-7'!AV19+'[5]TB-8'!AV19+'[5]TB-9'!AV19+'[5]TB-10'!AV19+'[6]DSV-1'!AV19+'[6]DSV-2'!AV19+'[6]DSV-3'!AV19+'[7]TUB-1'!AV19+'[7]TUB-2'!AV19+'[8]Barge-1'!AV19+'[8]Barge-2'!AV19+'[8]Barge-3'!AV19+'[8]Barge-4'!AV19</f>
        <v>0</v>
      </c>
      <c r="D19" s="177">
        <f>'[2]AHTS-1'!BR19+'[2]AHTS-2'!BR19+'[2]AHTS-3'!BR19+'[2]AHTS-4'!BR19+'[2]AHTS-5'!BR19+'[2]AHTS-6'!BR19+'[2]AHTS-7'!BR19+'[2]AHTS-8'!BR19+'[3]CB-1'!BR19+'[3]CB-2'!BR19+'[3]CB-3'!BR19+'[3]CB-4'!BR19+'[3]CB-5'!BR19+'[3]CB-6'!BR19+'[3]CB-7'!BR19+'[3]CB-8'!BR19+'[3]CB-9'!BR19+'[3]CB-10'!BR19+'[3]CB-11'!BR19+'[3]CB-12'!BR19+'[3]CB-13'!BR19+'[3]CB-14'!BR19+'[3]CB-15'!BR19+'[3]CB-16'!BR19+'[3]CB-17'!BR19+'[3]CB-18'!BR19+'[3]CB-19'!BR19+'[3]CB-20'!BR19+'[3]CB-21'!BR19+'[3]CB-22'!BR19+'[3]CB-23'!BR19+'[3]CB-24'!BR19+'[4]LCT-1'!BR19+'[4]LCT-2'!BR19+'[4]LCT-3'!BR19+'[4]LCT-4'!BR19+'[4]LCT-5'!BR19+'[4]LCT-6'!BR19+'[4]LCT-7'!BR19+'[4]LCT-8'!BR19+'[5]TB-1'!BR19+'[5]TB-2'!BR19+'[5]TB-3'!BR19+'[5]TB-4'!BR19+'[5]TB-5'!BR19+'[5]TB-6'!BR19+'[5]TB-7'!BR19+'[5]TB-8'!BR19+'[5]TB-9'!BR19+'[5]TB-10'!BR19+'[6]DSV-1'!BR19+'[6]DSV-2'!BR19+'[6]DSV-3'!BR19+'[7]TUB-1'!BR19+'[7]TUB-2'!BR19+'[8]Barge-1'!BR19+'[8]Barge-2'!BR19+'[8]Barge-3'!BR19+'[8]Barge-4'!BR19</f>
        <v>0</v>
      </c>
      <c r="E19" s="178">
        <f>'[2]AHTS-1'!CN19+'[2]AHTS-2'!CN19+'[2]AHTS-3'!CN19+'[2]AHTS-4'!CN19+'[2]AHTS-5'!CN19+'[2]AHTS-6'!CN19+'[2]AHTS-7'!CN19+'[2]AHTS-8'!CN19+'[3]CB-1'!CN19+'[3]CB-2'!CN19+'[3]CB-3'!CN19+'[3]CB-4'!CN19+'[3]CB-5'!CN19+'[3]CB-6'!CN19+'[3]CB-7'!CN19+'[3]CB-8'!CN19+'[3]CB-9'!CN19+'[3]CB-10'!CN19+'[3]CB-11'!CN19+'[3]CB-12'!CN19+'[3]CB-13'!CN19+'[3]CB-14'!CN19+'[3]CB-15'!CN19+'[3]CB-16'!CN19+'[3]CB-17'!CN19+'[3]CB-18'!CN19+'[3]CB-19'!CN19+'[3]CB-20'!CN19+'[3]CB-21'!CN19+'[3]CB-22'!CN19+'[3]CB-23'!CN19+'[3]CB-24'!CN19+'[4]LCT-1'!CN19+'[4]LCT-2'!CN19+'[4]LCT-3'!CN19+'[4]LCT-4'!CN19+'[4]LCT-5'!CN19+'[4]LCT-6'!CN19+'[4]LCT-7'!CN19+'[4]LCT-8'!CN19+'[5]TB-1'!CN19+'[5]TB-2'!CN19+'[5]TB-3'!CN19+'[5]TB-4'!CN19+'[5]TB-5'!CN19+'[5]TB-6'!CN19+'[5]TB-7'!CN19+'[5]TB-8'!CN19+'[5]TB-9'!CN19+'[5]TB-10'!CN19+'[6]DSV-1'!CN19+'[6]DSV-2'!CN19+'[6]DSV-3'!CN19+'[7]TUB-1'!CN19+'[7]TUB-2'!CN19+'[8]Barge-1'!CN19+'[8]Barge-2'!CN19+'[8]Barge-3'!CN19+'[8]Barge-4'!CN19</f>
        <v>0</v>
      </c>
      <c r="F19" s="179">
        <f>'[2]AHTS-1'!AW19+'[2]AHTS-2'!AW19+'[2]AHTS-3'!AW19+'[2]AHTS-4'!AW19+'[2]AHTS-5'!AW19+'[2]AHTS-6'!AW19+'[2]AHTS-7'!AW19+'[2]AHTS-8'!AW19+'[3]CB-1'!AW19+'[3]CB-2'!AW19+'[3]CB-3'!AW19+'[3]CB-4'!AW19+'[3]CB-5'!AW19+'[3]CB-6'!AW19+'[3]CB-7'!AW19+'[3]CB-8'!AW19+'[3]CB-9'!AW19+'[3]CB-10'!AW19+'[3]CB-11'!AW19+'[3]CB-12'!AW19+'[3]CB-13'!AW19+'[3]CB-14'!AW19+'[3]CB-15'!AW19+'[3]CB-16'!AW19+'[3]CB-17'!AW19+'[3]CB-18'!AW19+'[3]CB-19'!AW19+'[3]CB-20'!AW19+'[3]CB-21'!AW19+'[3]CB-22'!AW19+'[3]CB-23'!AW19+'[3]CB-24'!AW19+'[4]LCT-1'!AW19+'[4]LCT-2'!AW19+'[4]LCT-3'!AW19+'[4]LCT-4'!AW19+'[4]LCT-5'!AW19+'[4]LCT-6'!AW19+'[4]LCT-7'!AW19+'[4]LCT-8'!AW19+'[5]TB-1'!AW19+'[5]TB-2'!AW19+'[5]TB-3'!AW19+'[5]TB-4'!AW19+'[5]TB-5'!AW19+'[5]TB-6'!AW19+'[5]TB-7'!AW19+'[5]TB-8'!AW19+'[5]TB-9'!AW19+'[5]TB-10'!AW19+'[6]DSV-1'!AW19+'[6]DSV-2'!AW19+'[6]DSV-3'!AW19+'[7]TUB-1'!AW19+'[7]TUB-2'!AW19+'[8]Barge-1'!AW19+'[8]Barge-2'!AW19+'[8]Barge-3'!AW19+'[8]Barge-4'!AW19</f>
        <v>1867.2014458648689</v>
      </c>
      <c r="G19" s="180">
        <f>'[2]AHTS-1'!BS19+'[2]AHTS-2'!BS19+'[2]AHTS-3'!BS19+'[2]AHTS-4'!BS19+'[2]AHTS-5'!BS19+'[2]AHTS-6'!BS19+'[2]AHTS-7'!BS19+'[2]AHTS-8'!BS19+'[3]CB-1'!BS19+'[3]CB-2'!BS19+'[3]CB-3'!BS19+'[3]CB-4'!BS19+'[3]CB-5'!BS19+'[3]CB-6'!BS19+'[3]CB-7'!BS19+'[3]CB-8'!BS19+'[3]CB-9'!BS19+'[3]CB-10'!BS19+'[3]CB-11'!BS19+'[3]CB-12'!BS19+'[3]CB-13'!BS19+'[3]CB-14'!BS19+'[3]CB-15'!BS19+'[3]CB-16'!BS19+'[3]CB-17'!BS19+'[3]CB-18'!BS19+'[3]CB-19'!BS19+'[3]CB-20'!BS19+'[3]CB-21'!BS19+'[3]CB-22'!BS19+'[3]CB-23'!BS19+'[3]CB-24'!BS19+'[4]LCT-1'!BS19+'[4]LCT-2'!BS19+'[4]LCT-3'!BS19+'[4]LCT-4'!BS19+'[4]LCT-5'!BS19+'[4]LCT-6'!BS19+'[4]LCT-7'!BS19+'[4]LCT-8'!BS19+'[5]TB-1'!BS19+'[5]TB-2'!BS19+'[5]TB-3'!BS19+'[5]TB-4'!BS19+'[5]TB-5'!BS19+'[5]TB-6'!BS19+'[5]TB-7'!BS19+'[5]TB-8'!BS19+'[5]TB-9'!BS19+'[5]TB-10'!BS19+'[6]DSV-1'!BS19+'[6]DSV-2'!BS19+'[6]DSV-3'!BS19+'[7]TUB-1'!BS19+'[7]TUB-2'!BS19+'[8]Barge-1'!BS19+'[8]Barge-2'!BS19+'[8]Barge-3'!BS19+'[8]Barge-4'!BS19</f>
        <v>1905.6477771417667</v>
      </c>
      <c r="H19" s="180">
        <f>'[2]AHTS-1'!CO19+'[2]AHTS-2'!CO19+'[2]AHTS-3'!CO19+'[2]AHTS-4'!CO19+'[2]AHTS-5'!CO19+'[2]AHTS-6'!CO19+'[2]AHTS-7'!CO19+'[2]AHTS-8'!CO19+'[3]CB-1'!CO19+'[3]CB-2'!CO19+'[3]CB-3'!CO19+'[3]CB-4'!CO19+'[3]CB-5'!CO19+'[3]CB-6'!CO19+'[3]CB-7'!CO19+'[3]CB-8'!CO19+'[3]CB-9'!CO19+'[3]CB-10'!CO19+'[3]CB-11'!CO19+'[3]CB-12'!CO19+'[3]CB-13'!CO19+'[3]CB-14'!CO19+'[3]CB-15'!CO19+'[3]CB-16'!CO19+'[3]CB-17'!CO19+'[3]CB-18'!CO19+'[3]CB-19'!CO19+'[3]CB-20'!CO19+'[3]CB-21'!CO19+'[3]CB-22'!CO19+'[3]CB-23'!CO19+'[3]CB-24'!CO19+'[4]LCT-1'!CO19+'[4]LCT-2'!CO19+'[4]LCT-3'!CO19+'[4]LCT-4'!CO19+'[4]LCT-5'!CO19+'[4]LCT-6'!CO19+'[4]LCT-7'!CO19+'[4]LCT-8'!CO19+'[5]TB-1'!CO19+'[5]TB-2'!CO19+'[5]TB-3'!CO19+'[5]TB-4'!CO19+'[5]TB-5'!CO19+'[5]TB-6'!CO19+'[5]TB-7'!CO19+'[5]TB-8'!CO19+'[5]TB-9'!CO19+'[5]TB-10'!CO19+'[6]DSV-1'!CO19+'[6]DSV-2'!CO19+'[6]DSV-3'!CO19+'[7]TUB-1'!CO19+'[7]TUB-2'!CO19+'[8]Barge-1'!CO19+'[8]Barge-2'!CO19+'[8]Barge-3'!CO19+'[8]Barge-4'!CO19</f>
        <v>0</v>
      </c>
      <c r="I19" s="179">
        <f>'[2]AHTS-1'!AX19+'[2]AHTS-2'!AX19+'[2]AHTS-3'!AX19+'[2]AHTS-4'!AX19+'[2]AHTS-5'!AX19+'[2]AHTS-6'!AX19+'[2]AHTS-7'!AX19+'[2]AHTS-8'!AX19+'[3]CB-1'!AX19+'[3]CB-2'!AX19+'[3]CB-3'!AX19+'[3]CB-4'!AX19+'[3]CB-5'!AX19+'[3]CB-6'!AX19+'[3]CB-7'!AX19+'[3]CB-8'!AX19+'[3]CB-9'!AX19+'[3]CB-10'!AX19+'[3]CB-11'!AX19+'[3]CB-12'!AX19+'[3]CB-13'!AX19+'[3]CB-14'!AX19+'[3]CB-15'!AX19+'[3]CB-16'!AX19+'[3]CB-17'!AX19+'[3]CB-18'!AX19+'[3]CB-19'!AX19+'[3]CB-20'!AX19+'[3]CB-21'!AX19+'[3]CB-22'!AX19+'[3]CB-23'!AX19+'[3]CB-24'!AX19+'[4]LCT-1'!AX19+'[4]LCT-2'!AX19+'[4]LCT-3'!AX19+'[4]LCT-4'!AX19+'[4]LCT-5'!AX19+'[4]LCT-6'!AX19+'[4]LCT-7'!AX19+'[4]LCT-8'!AX19+'[5]TB-1'!AX19+'[5]TB-2'!AX19+'[5]TB-3'!AX19+'[5]TB-4'!AX19+'[5]TB-5'!AX19+'[5]TB-6'!AX19+'[5]TB-7'!AX19+'[5]TB-8'!AX19+'[5]TB-9'!AX19+'[5]TB-10'!AX19+'[6]DSV-1'!AX19+'[6]DSV-2'!AX19+'[6]DSV-3'!AX19+'[7]TUB-1'!AX19+'[7]TUB-2'!AX19+'[8]Barge-1'!AX19+'[8]Barge-2'!AX19+'[8]Barge-3'!AX19+'[8]Barge-4'!AX19</f>
        <v>2211.6416502363841</v>
      </c>
      <c r="J19" s="180">
        <f>'[2]AHTS-1'!BT19+'[2]AHTS-2'!BT19+'[2]AHTS-3'!BT19+'[2]AHTS-4'!BT19+'[2]AHTS-5'!BT19+'[2]AHTS-6'!BT19+'[2]AHTS-7'!BT19+'[2]AHTS-8'!BT19+'[3]CB-1'!BT19+'[3]CB-2'!BT19+'[3]CB-3'!BT19+'[3]CB-4'!BT19+'[3]CB-5'!BT19+'[3]CB-6'!BT19+'[3]CB-7'!BT19+'[3]CB-8'!BT19+'[3]CB-9'!BT19+'[3]CB-10'!BT19+'[3]CB-11'!BT19+'[3]CB-12'!BT19+'[3]CB-13'!BT19+'[3]CB-14'!BT19+'[3]CB-15'!BT19+'[3]CB-16'!BT19+'[3]CB-17'!BT19+'[3]CB-18'!BT19+'[3]CB-19'!BT19+'[3]CB-20'!BT19+'[3]CB-21'!BT19+'[3]CB-22'!BT19+'[3]CB-23'!BT19+'[3]CB-24'!BT19+'[4]LCT-1'!BT19+'[4]LCT-2'!BT19+'[4]LCT-3'!BT19+'[4]LCT-4'!BT19+'[4]LCT-5'!BT19+'[4]LCT-6'!BT19+'[4]LCT-7'!BT19+'[4]LCT-8'!BT19+'[5]TB-1'!BT19+'[5]TB-2'!BT19+'[5]TB-3'!BT19+'[5]TB-4'!BT19+'[5]TB-5'!BT19+'[5]TB-6'!BT19+'[5]TB-7'!BT19+'[5]TB-8'!BT19+'[5]TB-9'!BT19+'[5]TB-10'!BT19+'[6]DSV-1'!BT19+'[6]DSV-2'!BT19+'[6]DSV-3'!BT19+'[7]TUB-1'!BT19+'[7]TUB-2'!BT19+'[8]Barge-1'!BT19+'[8]Barge-2'!BT19+'[8]Barge-3'!BT19+'[8]Barge-4'!BT19</f>
        <v>1813.4261909304839</v>
      </c>
      <c r="K19" s="180">
        <f>'[2]AHTS-1'!CP19+'[2]AHTS-2'!CP19+'[2]AHTS-3'!CP19+'[2]AHTS-4'!CP19+'[2]AHTS-5'!CP19+'[2]AHTS-6'!CP19+'[2]AHTS-7'!CP19+'[2]AHTS-8'!CP19+'[3]CB-1'!CP19+'[3]CB-2'!CP19+'[3]CB-3'!CP19+'[3]CB-4'!CP19+'[3]CB-5'!CP19+'[3]CB-6'!CP19+'[3]CB-7'!CP19+'[3]CB-8'!CP19+'[3]CB-9'!CP19+'[3]CB-10'!CP19+'[3]CB-11'!CP19+'[3]CB-12'!CP19+'[3]CB-13'!CP19+'[3]CB-14'!CP19+'[3]CB-15'!CP19+'[3]CB-16'!CP19+'[3]CB-17'!CP19+'[3]CB-18'!CP19+'[3]CB-19'!CP19+'[3]CB-20'!CP19+'[3]CB-21'!CP19+'[3]CB-22'!CP19+'[3]CB-23'!CP19+'[3]CB-24'!CP19+'[4]LCT-1'!CP19+'[4]LCT-2'!CP19+'[4]LCT-3'!CP19+'[4]LCT-4'!CP19+'[4]LCT-5'!CP19+'[4]LCT-6'!CP19+'[4]LCT-7'!CP19+'[4]LCT-8'!CP19+'[5]TB-1'!CP19+'[5]TB-2'!CP19+'[5]TB-3'!CP19+'[5]TB-4'!CP19+'[5]TB-5'!CP19+'[5]TB-6'!CP19+'[5]TB-7'!CP19+'[5]TB-8'!CP19+'[5]TB-9'!CP19+'[5]TB-10'!CP19+'[6]DSV-1'!CP19+'[6]DSV-2'!CP19+'[6]DSV-3'!CP19+'[7]TUB-1'!CP19+'[7]TUB-2'!CP19+'[8]Barge-1'!CP19+'[8]Barge-2'!CP19+'[8]Barge-3'!CP19+'[8]Barge-4'!CP19</f>
        <v>0</v>
      </c>
      <c r="L19" s="181">
        <f>'[2]AHTS-1'!AY19+'[2]AHTS-2'!AY19+'[2]AHTS-3'!AY19+'[2]AHTS-4'!AY19+'[2]AHTS-5'!AY19+'[2]AHTS-6'!AY19+'[2]AHTS-7'!AY19+'[2]AHTS-8'!AY19+'[3]CB-1'!AY19+'[3]CB-2'!AY19+'[3]CB-3'!AY19+'[3]CB-4'!AY19+'[3]CB-5'!AY19+'[3]CB-6'!AY19+'[3]CB-7'!AY19+'[3]CB-8'!AY19+'[3]CB-9'!AY19+'[3]CB-10'!AY19+'[3]CB-11'!AY19+'[3]CB-12'!AY19+'[3]CB-13'!AY19+'[3]CB-14'!AY19+'[3]CB-15'!AY19+'[3]CB-16'!AY19+'[3]CB-17'!AY19+'[3]CB-18'!AY19+'[3]CB-19'!AY19+'[3]CB-20'!AY19+'[3]CB-21'!AY19+'[3]CB-22'!AY19+'[3]CB-23'!AY19+'[3]CB-24'!AY19+'[4]LCT-1'!AY19+'[4]LCT-2'!AY19+'[4]LCT-3'!AY19+'[4]LCT-4'!AY19+'[4]LCT-5'!AY19+'[4]LCT-6'!AY19+'[4]LCT-7'!AY19+'[4]LCT-8'!AY19+'[5]TB-1'!AY19+'[5]TB-2'!AY19+'[5]TB-3'!AY19+'[5]TB-4'!AY19+'[5]TB-5'!AY19+'[5]TB-6'!AY19+'[5]TB-7'!AY19+'[5]TB-8'!AY19+'[5]TB-9'!AY19+'[5]TB-10'!AY19+'[6]DSV-1'!AY19+'[6]DSV-2'!AY19+'[6]DSV-3'!AY19+'[7]TUB-1'!AY19+'[7]TUB-2'!AY19+'[8]Barge-1'!AY19+'[8]Barge-2'!AY19+'[8]Barge-3'!AY19+'[8]Barge-4'!AY19</f>
        <v>2720.9406601793548</v>
      </c>
      <c r="M19" s="182">
        <f>'[2]AHTS-1'!BU19+'[2]AHTS-2'!BU19+'[2]AHTS-3'!BU19+'[2]AHTS-4'!BU19+'[2]AHTS-5'!BU19+'[2]AHTS-6'!BU19+'[2]AHTS-7'!BU19+'[2]AHTS-8'!BU19+'[3]CB-1'!BU19+'[3]CB-2'!BU19+'[3]CB-3'!BU19+'[3]CB-4'!BU19+'[3]CB-5'!BU19+'[3]CB-6'!BU19+'[3]CB-7'!BU19+'[3]CB-8'!BU19+'[3]CB-9'!BU19+'[3]CB-10'!BU19+'[3]CB-11'!BU19+'[3]CB-12'!BU19+'[3]CB-13'!BU19+'[3]CB-14'!BU19+'[3]CB-15'!BU19+'[3]CB-16'!BU19+'[3]CB-17'!BU19+'[3]CB-18'!BU19+'[3]CB-19'!BU19+'[3]CB-20'!BU19+'[3]CB-21'!BU19+'[3]CB-22'!BU19+'[3]CB-23'!BU19+'[3]CB-24'!BU19+'[4]LCT-1'!BU19+'[4]LCT-2'!BU19+'[4]LCT-3'!BU19+'[4]LCT-4'!BU19+'[4]LCT-5'!BU19+'[4]LCT-6'!BU19+'[4]LCT-7'!BU19+'[4]LCT-8'!BU19+'[5]TB-1'!BU19+'[5]TB-2'!BU19+'[5]TB-3'!BU19+'[5]TB-4'!BU19+'[5]TB-5'!BU19+'[5]TB-6'!BU19+'[5]TB-7'!BU19+'[5]TB-8'!BU19+'[5]TB-9'!BU19+'[5]TB-10'!BU19+'[6]DSV-1'!BU19+'[6]DSV-2'!BU19+'[6]DSV-3'!BU19+'[7]TUB-1'!BU19+'[7]TUB-2'!BU19+'[8]Barge-1'!BU19+'[8]Barge-2'!BU19+'[8]Barge-3'!BU19+'[8]Barge-4'!BU19</f>
        <v>4019.5891369331553</v>
      </c>
      <c r="N19" s="182">
        <f>'[2]AHTS-1'!CQ19+'[2]AHTS-2'!CQ19+'[2]AHTS-3'!CQ19+'[2]AHTS-4'!CQ19+'[2]AHTS-5'!CQ19+'[2]AHTS-6'!CQ19+'[2]AHTS-7'!CQ19+'[2]AHTS-8'!CQ19+'[3]CB-1'!CQ19+'[3]CB-2'!CQ19+'[3]CB-3'!CQ19+'[3]CB-4'!CQ19+'[3]CB-5'!CQ19+'[3]CB-6'!CQ19+'[3]CB-7'!CQ19+'[3]CB-8'!CQ19+'[3]CB-9'!CQ19+'[3]CB-10'!CQ19+'[3]CB-11'!CQ19+'[3]CB-12'!CQ19+'[3]CB-13'!CQ19+'[3]CB-14'!CQ19+'[3]CB-15'!CQ19+'[3]CB-16'!CQ19+'[3]CB-17'!CQ19+'[3]CB-18'!CQ19+'[3]CB-19'!CQ19+'[3]CB-20'!CQ19+'[3]CB-21'!CQ19+'[3]CB-22'!CQ19+'[3]CB-23'!CQ19+'[3]CB-24'!CQ19+'[4]LCT-1'!CQ19+'[4]LCT-2'!CQ19+'[4]LCT-3'!CQ19+'[4]LCT-4'!CQ19+'[4]LCT-5'!CQ19+'[4]LCT-6'!CQ19+'[4]LCT-7'!CQ19+'[4]LCT-8'!CQ19+'[5]TB-1'!CQ19+'[5]TB-2'!CQ19+'[5]TB-3'!CQ19+'[5]TB-4'!CQ19+'[5]TB-5'!CQ19+'[5]TB-6'!CQ19+'[5]TB-7'!CQ19+'[5]TB-8'!CQ19+'[5]TB-9'!CQ19+'[5]TB-10'!CQ19+'[6]DSV-1'!CQ19+'[6]DSV-2'!CQ19+'[6]DSV-3'!CQ19+'[7]TUB-1'!CQ19+'[7]TUB-2'!CQ19+'[8]Barge-1'!CQ19+'[8]Barge-2'!CQ19+'[8]Barge-3'!CQ19+'[8]Barge-4'!CQ19</f>
        <v>0</v>
      </c>
      <c r="O19" s="179">
        <f>'[2]AHTS-1'!AZ19+'[2]AHTS-2'!AZ19+'[2]AHTS-3'!AZ19+'[2]AHTS-4'!AZ19+'[2]AHTS-5'!AZ19+'[2]AHTS-6'!AZ19+'[2]AHTS-7'!AZ19+'[2]AHTS-8'!AZ19+'[3]CB-1'!AZ19+'[3]CB-2'!AZ19+'[3]CB-3'!AZ19+'[3]CB-4'!AZ19+'[3]CB-5'!AZ19+'[3]CB-6'!AZ19+'[3]CB-7'!AZ19+'[3]CB-8'!AZ19+'[3]CB-9'!AZ19+'[3]CB-10'!AZ19+'[3]CB-11'!AZ19+'[3]CB-12'!AZ19+'[3]CB-13'!AZ19+'[3]CB-14'!AZ19+'[3]CB-15'!AZ19+'[3]CB-16'!AZ19+'[3]CB-17'!AZ19+'[3]CB-18'!AZ19+'[3]CB-19'!AZ19+'[3]CB-20'!AZ19+'[3]CB-21'!AZ19+'[3]CB-22'!AZ19+'[3]CB-23'!AZ19+'[3]CB-24'!AZ19+'[4]LCT-1'!AZ19+'[4]LCT-2'!AZ19+'[4]LCT-3'!AZ19+'[4]LCT-4'!AZ19+'[4]LCT-5'!AZ19+'[4]LCT-6'!AZ19+'[4]LCT-7'!AZ19+'[4]LCT-8'!AZ19+'[5]TB-1'!AZ19+'[5]TB-2'!AZ19+'[5]TB-3'!AZ19+'[5]TB-4'!AZ19+'[5]TB-5'!AZ19+'[5]TB-6'!AZ19+'[5]TB-7'!AZ19+'[5]TB-8'!AZ19+'[5]TB-9'!AZ19+'[5]TB-10'!AZ19+'[6]DSV-1'!AZ19+'[6]DSV-2'!AZ19+'[6]DSV-3'!AZ19+'[7]TUB-1'!AZ19+'[7]TUB-2'!AZ19+'[8]Barge-1'!AZ19+'[8]Barge-2'!AZ19+'[8]Barge-3'!AZ19+'[8]Barge-4'!AZ19</f>
        <v>17.461680340901864</v>
      </c>
      <c r="P19" s="180">
        <f>'[2]AHTS-1'!BV19+'[2]AHTS-2'!BV19+'[2]AHTS-3'!BV19+'[2]AHTS-4'!BV19+'[2]AHTS-5'!BV19+'[2]AHTS-6'!BV19+'[2]AHTS-7'!BV19+'[2]AHTS-8'!BV19+'[3]CB-1'!BV19+'[3]CB-2'!BV19+'[3]CB-3'!BV19+'[3]CB-4'!BV19+'[3]CB-5'!BV19+'[3]CB-6'!BV19+'[3]CB-7'!BV19+'[3]CB-8'!BV19+'[3]CB-9'!BV19+'[3]CB-10'!BV19+'[3]CB-11'!BV19+'[3]CB-12'!BV19+'[3]CB-13'!BV19+'[3]CB-14'!BV19+'[3]CB-15'!BV19+'[3]CB-16'!BV19+'[3]CB-17'!BV19+'[3]CB-18'!BV19+'[3]CB-19'!BV19+'[3]CB-20'!BV19+'[3]CB-21'!BV19+'[3]CB-22'!BV19+'[3]CB-23'!BV19+'[3]CB-24'!BV19+'[4]LCT-1'!BV19+'[4]LCT-2'!BV19+'[4]LCT-3'!BV19+'[4]LCT-4'!BV19+'[4]LCT-5'!BV19+'[4]LCT-6'!BV19+'[4]LCT-7'!BV19+'[4]LCT-8'!BV19+'[5]TB-1'!BV19+'[5]TB-2'!BV19+'[5]TB-3'!BV19+'[5]TB-4'!BV19+'[5]TB-5'!BV19+'[5]TB-6'!BV19+'[5]TB-7'!BV19+'[5]TB-8'!BV19+'[5]TB-9'!BV19+'[5]TB-10'!BV19+'[6]DSV-1'!BV19+'[6]DSV-2'!BV19+'[6]DSV-3'!BV19+'[7]TUB-1'!BV19+'[7]TUB-2'!BV19+'[8]Barge-1'!BV19+'[8]Barge-2'!BV19+'[8]Barge-3'!BV19+'[8]Barge-4'!BV19</f>
        <v>206.70355530115117</v>
      </c>
      <c r="Q19" s="180">
        <f>'[2]AHTS-1'!CR19+'[2]AHTS-2'!CR19+'[2]AHTS-3'!CR19+'[2]AHTS-4'!CR19+'[2]AHTS-5'!CR19+'[2]AHTS-6'!CR19+'[2]AHTS-7'!CR19+'[2]AHTS-8'!CR19+'[3]CB-1'!CR19+'[3]CB-2'!CR19+'[3]CB-3'!CR19+'[3]CB-4'!CR19+'[3]CB-5'!CR19+'[3]CB-6'!CR19+'[3]CB-7'!CR19+'[3]CB-8'!CR19+'[3]CB-9'!CR19+'[3]CB-10'!CR19+'[3]CB-11'!CR19+'[3]CB-12'!CR19+'[3]CB-13'!CR19+'[3]CB-14'!CR19+'[3]CB-15'!CR19+'[3]CB-16'!CR19+'[3]CB-17'!CR19+'[3]CB-18'!CR19+'[3]CB-19'!CR19+'[3]CB-20'!CR19+'[3]CB-21'!CR19+'[3]CB-22'!CR19+'[3]CB-23'!CR19+'[3]CB-24'!CR19+'[4]LCT-1'!CR19+'[4]LCT-2'!CR19+'[4]LCT-3'!CR19+'[4]LCT-4'!CR19+'[4]LCT-5'!CR19+'[4]LCT-6'!CR19+'[4]LCT-7'!CR19+'[4]LCT-8'!CR19+'[5]TB-1'!CR19+'[5]TB-2'!CR19+'[5]TB-3'!CR19+'[5]TB-4'!CR19+'[5]TB-5'!CR19+'[5]TB-6'!CR19+'[5]TB-7'!CR19+'[5]TB-8'!CR19+'[5]TB-9'!CR19+'[5]TB-10'!CR19+'[6]DSV-1'!CR19+'[6]DSV-2'!CR19+'[6]DSV-3'!CR19+'[7]TUB-1'!CR19+'[7]TUB-2'!CR19+'[8]Barge-1'!CR19+'[8]Barge-2'!CR19+'[8]Barge-3'!CR19+'[8]Barge-4'!CR19</f>
        <v>0</v>
      </c>
      <c r="R19" s="183">
        <f>'[2]AHTS-1'!BA19+'[2]AHTS-2'!BA19+'[2]AHTS-3'!BA19+'[2]AHTS-4'!BA19+'[2]AHTS-5'!BA19+'[2]AHTS-6'!BA19+'[2]AHTS-7'!BA19+'[2]AHTS-8'!BA19+'[3]CB-1'!BA19+'[3]CB-2'!BA19+'[3]CB-3'!BA19+'[3]CB-4'!BA19+'[3]CB-5'!BA19+'[3]CB-6'!BA19+'[3]CB-7'!BA19+'[3]CB-8'!BA19+'[3]CB-9'!BA19+'[3]CB-10'!BA19+'[3]CB-11'!BA19+'[3]CB-12'!BA19+'[3]CB-13'!BA19+'[3]CB-14'!BA19+'[3]CB-15'!BA19+'[3]CB-16'!BA19+'[3]CB-17'!BA19+'[3]CB-18'!BA19+'[3]CB-19'!BA19+'[3]CB-20'!BA19+'[3]CB-21'!BA19+'[3]CB-22'!BA19+'[3]CB-23'!BA19+'[3]CB-24'!BA19+'[4]LCT-1'!BA19+'[4]LCT-2'!BA19+'[4]LCT-3'!BA19+'[4]LCT-4'!BA19+'[4]LCT-5'!BA19+'[4]LCT-6'!BA19+'[4]LCT-7'!BA19+'[4]LCT-8'!BA19+'[5]TB-1'!BA19+'[5]TB-2'!BA19+'[5]TB-3'!BA19+'[5]TB-4'!BA19+'[5]TB-5'!BA19+'[5]TB-6'!BA19+'[5]TB-7'!BA19+'[5]TB-8'!BA19+'[5]TB-9'!BA19+'[5]TB-10'!BA19+'[6]DSV-1'!BA19+'[6]DSV-2'!BA19+'[6]DSV-3'!BA19+'[7]TUB-1'!BA19+'[7]TUB-2'!BA19+'[8]Barge-1'!BA19+'[8]Barge-2'!BA19+'[8]Barge-3'!BA19+'[8]Barge-4'!BA19</f>
        <v>4797.5110771905274</v>
      </c>
      <c r="S19" s="180">
        <f>'[2]AHTS-1'!BW19+'[2]AHTS-2'!BW19+'[2]AHTS-3'!BW19+'[2]AHTS-4'!BW19+'[2]AHTS-5'!BW19+'[2]AHTS-6'!BW19+'[2]AHTS-7'!BW19+'[2]AHTS-8'!BW19+'[3]CB-1'!BW19+'[3]CB-2'!BW19+'[3]CB-3'!BW19+'[3]CB-4'!BW19+'[3]CB-5'!BW19+'[3]CB-6'!BW19+'[3]CB-7'!BW19+'[3]CB-8'!BW19+'[3]CB-9'!BW19+'[3]CB-10'!BW19+'[3]CB-11'!BW19+'[3]CB-12'!BW19+'[3]CB-13'!BW19+'[3]CB-14'!BW19+'[3]CB-15'!BW19+'[3]CB-16'!BW19+'[3]CB-17'!BW19+'[3]CB-18'!BW19+'[3]CB-19'!BW19+'[3]CB-20'!BW19+'[3]CB-21'!BW19+'[3]CB-22'!BW19+'[3]CB-23'!BW19+'[3]CB-24'!BW19+'[4]LCT-1'!BW19+'[4]LCT-2'!BW19+'[4]LCT-3'!BW19+'[4]LCT-4'!BW19+'[4]LCT-5'!BW19+'[4]LCT-6'!BW19+'[4]LCT-7'!BW19+'[4]LCT-8'!BW19+'[5]TB-1'!BW19+'[5]TB-2'!BW19+'[5]TB-3'!BW19+'[5]TB-4'!BW19+'[5]TB-5'!BW19+'[5]TB-6'!BW19+'[5]TB-7'!BW19+'[5]TB-8'!BW19+'[5]TB-9'!BW19+'[5]TB-10'!BW19+'[6]DSV-1'!BW19+'[6]DSV-2'!BW19+'[6]DSV-3'!BW19+'[7]TUB-1'!BW19+'[7]TUB-2'!BW19+'[8]Barge-1'!BW19+'[8]Barge-2'!BW19+'[8]Barge-3'!BW19+'[8]Barge-4'!BW19</f>
        <v>5879.9211346435159</v>
      </c>
      <c r="T19" s="184">
        <f>'[2]AHTS-1'!CS19+'[2]AHTS-2'!CS19+'[2]AHTS-3'!CS19+'[2]AHTS-4'!CS19+'[2]AHTS-5'!CS19+'[2]AHTS-6'!CS19+'[2]AHTS-7'!CS19+'[2]AHTS-8'!CS19+'[3]CB-1'!CS19+'[3]CB-2'!CS19+'[3]CB-3'!CS19+'[3]CB-4'!CS19+'[3]CB-5'!CS19+'[3]CB-6'!CS19+'[3]CB-7'!CS19+'[3]CB-8'!CS19+'[3]CB-9'!CS19+'[3]CB-10'!CS19+'[3]CB-11'!CS19+'[3]CB-12'!CS19+'[3]CB-13'!CS19+'[3]CB-14'!CS19+'[3]CB-15'!CS19+'[3]CB-16'!CS19+'[3]CB-17'!CS19+'[3]CB-18'!CS19+'[3]CB-19'!CS19+'[3]CB-20'!CS19+'[3]CB-21'!CS19+'[3]CB-22'!CS19+'[3]CB-23'!CS19+'[3]CB-24'!CS19+'[4]LCT-1'!CS19+'[4]LCT-2'!CS19+'[4]LCT-3'!CS19+'[4]LCT-4'!CS19+'[4]LCT-5'!CS19+'[4]LCT-6'!CS19+'[4]LCT-7'!CS19+'[4]LCT-8'!CS19+'[5]TB-1'!CS19+'[5]TB-2'!CS19+'[5]TB-3'!CS19+'[5]TB-4'!CS19+'[5]TB-5'!CS19+'[5]TB-6'!CS19+'[5]TB-7'!CS19+'[5]TB-8'!CS19+'[5]TB-9'!CS19+'[5]TB-10'!CS19+'[6]DSV-1'!CS19+'[6]DSV-2'!CS19+'[6]DSV-3'!CS19+'[7]TUB-1'!CS19+'[7]TUB-2'!CS19+'[8]Barge-1'!CS19+'[8]Barge-2'!CS19+'[8]Barge-3'!CS19+'[8]Barge-4'!CS19</f>
        <v>0</v>
      </c>
      <c r="U19" s="183">
        <f>'[2]AHTS-1'!BB19+'[2]AHTS-2'!BB19+'[2]AHTS-3'!BB19+'[2]AHTS-4'!BB19+'[2]AHTS-5'!BB19+'[2]AHTS-6'!BB19+'[2]AHTS-7'!BB19+'[2]AHTS-8'!BB19+'[3]CB-1'!BB19+'[3]CB-2'!BB19+'[3]CB-3'!BB19+'[3]CB-4'!BB19+'[3]CB-5'!BB19+'[3]CB-6'!BB19+'[3]CB-7'!BB19+'[3]CB-8'!BB19+'[3]CB-9'!BB19+'[3]CB-10'!BB19+'[3]CB-11'!BB19+'[3]CB-12'!BB19+'[3]CB-13'!BB19+'[3]CB-14'!BB19+'[3]CB-15'!BB19+'[3]CB-16'!BB19+'[3]CB-17'!BB19+'[3]CB-18'!BB19+'[3]CB-19'!BB19+'[3]CB-20'!BB19+'[3]CB-21'!BB19+'[3]CB-22'!BB19+'[3]CB-23'!BB19+'[3]CB-24'!BB19+'[4]LCT-1'!BB19+'[4]LCT-2'!BB19+'[4]LCT-3'!BB19+'[4]LCT-4'!BB19+'[4]LCT-5'!BB19+'[4]LCT-6'!BB19+'[4]LCT-7'!BB19+'[4]LCT-8'!BB19+'[5]TB-1'!BB19+'[5]TB-2'!BB19+'[5]TB-3'!BB19+'[5]TB-4'!BB19+'[5]TB-5'!BB19+'[5]TB-6'!BB19+'[5]TB-7'!BB19+'[5]TB-8'!BB19+'[5]TB-9'!BB19+'[5]TB-10'!BB19+'[6]DSV-1'!BB19+'[6]DSV-2'!BB19+'[6]DSV-3'!BB19+'[7]TUB-1'!BB19+'[7]TUB-2'!BB19+'[8]Barge-1'!BB19+'[8]Barge-2'!BB19+'[8]Barge-3'!BB19+'[8]Barge-4'!BB19</f>
        <v>0</v>
      </c>
      <c r="V19" s="180">
        <f>'[2]AHTS-1'!BX19+'[2]AHTS-2'!BX19+'[2]AHTS-3'!BX19+'[2]AHTS-4'!BX19+'[2]AHTS-5'!BX19+'[2]AHTS-6'!BX19+'[2]AHTS-7'!BX19+'[2]AHTS-8'!BX19+'[3]CB-1'!BX19+'[3]CB-2'!BX19+'[3]CB-3'!BX19+'[3]CB-4'!BX19+'[3]CB-5'!BX19+'[3]CB-6'!BX19+'[3]CB-7'!BX19+'[3]CB-8'!BX19+'[3]CB-9'!BX19+'[3]CB-10'!BX19+'[3]CB-11'!BX19+'[3]CB-12'!BX19+'[3]CB-13'!BX19+'[3]CB-14'!BX19+'[3]CB-15'!BX19+'[3]CB-16'!BX19+'[3]CB-17'!BX19+'[3]CB-18'!BX19+'[3]CB-19'!BX19+'[3]CB-20'!BX19+'[3]CB-21'!BX19+'[3]CB-22'!BX19+'[3]CB-23'!BX19+'[3]CB-24'!BX19+'[4]LCT-1'!BX19+'[4]LCT-2'!BX19+'[4]LCT-3'!BX19+'[4]LCT-4'!BX19+'[4]LCT-5'!BX19+'[4]LCT-6'!BX19+'[4]LCT-7'!BX19+'[4]LCT-8'!BX19+'[5]TB-1'!BX19+'[5]TB-2'!BX19+'[5]TB-3'!BX19+'[5]TB-4'!BX19+'[5]TB-5'!BX19+'[5]TB-6'!BX19+'[5]TB-7'!BX19+'[5]TB-8'!BX19+'[5]TB-9'!BX19+'[5]TB-10'!BX19+'[6]DSV-1'!BX19+'[6]DSV-2'!BX19+'[6]DSV-3'!BX19+'[7]TUB-1'!BX19+'[7]TUB-2'!BX19+'[8]Barge-1'!BX19+'[8]Barge-2'!BX19+'[8]Barge-3'!BX19+'[8]Barge-4'!BX19</f>
        <v>0</v>
      </c>
      <c r="W19" s="184">
        <f>'[2]AHTS-1'!CT19+'[2]AHTS-2'!CT19+'[2]AHTS-3'!CT19+'[2]AHTS-4'!CT19+'[2]AHTS-5'!CT19+'[2]AHTS-6'!CT19+'[2]AHTS-7'!CT19+'[2]AHTS-8'!CT19+'[3]CB-1'!CT19+'[3]CB-2'!CT19+'[3]CB-3'!CT19+'[3]CB-4'!CT19+'[3]CB-5'!CT19+'[3]CB-6'!CT19+'[3]CB-7'!CT19+'[3]CB-8'!CT19+'[3]CB-9'!CT19+'[3]CB-10'!CT19+'[3]CB-11'!CT19+'[3]CB-12'!CT19+'[3]CB-13'!CT19+'[3]CB-14'!CT19+'[3]CB-15'!CT19+'[3]CB-16'!CT19+'[3]CB-17'!CT19+'[3]CB-18'!CT19+'[3]CB-19'!CT19+'[3]CB-20'!CT19+'[3]CB-21'!CT19+'[3]CB-22'!CT19+'[3]CB-23'!CT19+'[3]CB-24'!CT19+'[4]LCT-1'!CT19+'[4]LCT-2'!CT19+'[4]LCT-3'!CT19+'[4]LCT-4'!CT19+'[4]LCT-5'!CT19+'[4]LCT-6'!CT19+'[4]LCT-7'!CT19+'[4]LCT-8'!CT19+'[5]TB-1'!CT19+'[5]TB-2'!CT19+'[5]TB-3'!CT19+'[5]TB-4'!CT19+'[5]TB-5'!CT19+'[5]TB-6'!CT19+'[5]TB-7'!CT19+'[5]TB-8'!CT19+'[5]TB-9'!CT19+'[5]TB-10'!CT19+'[6]DSV-1'!CT19+'[6]DSV-2'!CT19+'[6]DSV-3'!CT19+'[7]TUB-1'!CT19+'[7]TUB-2'!CT19+'[8]Barge-1'!CT19+'[8]Barge-2'!CT19+'[8]Barge-3'!CT19+'[8]Barge-4'!CT19</f>
        <v>0</v>
      </c>
      <c r="X19" s="67"/>
      <c r="Y19" s="67"/>
      <c r="Z19" s="68"/>
      <c r="AA19" s="111">
        <f>[1]Control!AZ19</f>
        <v>45994</v>
      </c>
      <c r="AB19" s="66"/>
      <c r="AC19" s="132">
        <f>'[2]AHTS-1'!IC57+'[2]AHTS-2'!IC57+'[2]AHTS-3'!IC57+'[2]AHTS-4'!IC57+'[2]AHTS-5'!IC57+'[2]AHTS-6'!IC57+'[2]AHTS-7'!IC57+'[2]AHTS-8'!IC57+'[3]CB-1'!IC57+'[3]CB-2'!IC57+'[3]CB-3'!IC57+'[3]CB-4'!IC57+'[3]CB-5'!IC57+'[3]CB-6'!IC57+'[3]CB-7'!IC57+'[3]CB-8'!IC57+'[3]CB-9'!IC57+'[3]CB-10'!IC57+'[3]CB-11'!IC57+'[3]CB-12'!IC57+'[3]CB-13'!IC57+'[3]CB-14'!IC57+'[3]CB-15'!IC57+'[3]CB-16'!IC57+'[3]CB-17'!IC57+'[3]CB-18'!IC57+'[3]CB-19'!IC57+'[3]CB-20'!IC57+'[3]CB-21'!IC57+'[3]CB-22'!IC57+'[3]CB-23'!IC57+'[3]CB-24'!IC57+'[4]LCT-1'!IC57+'[4]LCT-2'!IC57+'[4]LCT-3'!IC57+'[4]LCT-4'!IC57+'[4]LCT-5'!IC57+'[4]LCT-6'!IC57+'[4]LCT-7'!IC57+'[4]LCT-8'!IC57+'[5]TB-1'!IC57+'[5]TB-2'!IC57+'[5]TB-3'!IC57+'[5]TB-4'!IC57+'[5]TB-5'!IC57+'[5]TB-6'!IC57+'[5]TB-7'!IC57+'[5]TB-8'!IC57+'[5]TB-9'!IC57+'[5]TB-10'!IC57+'[6]DSV-1'!IC57+'[6]DSV-2'!IC57+'[6]DSV-3'!IC57+'[7]TUB-1'!IC57+'[7]TUB-2'!IC57+'[8]Barge-1'!IC57+'[8]Barge-2'!IC57+'[8]Barge-3'!IC57+'[8]Barge-4'!IC57</f>
        <v>0</v>
      </c>
      <c r="AD19" s="133">
        <f>'[2]AHTS-1'!IC19+'[2]AHTS-2'!IC19+'[2]AHTS-3'!IC19+'[2]AHTS-4'!IC19+'[2]AHTS-5'!IC19+'[2]AHTS-6'!IC19+'[2]AHTS-7'!IC19+'[2]AHTS-8'!IC19+'[3]CB-1'!IC19+'[3]CB-2'!IC19+'[3]CB-3'!IC19+'[3]CB-4'!IC19+'[3]CB-5'!IC19+'[3]CB-6'!IC19+'[3]CB-7'!IC19+'[3]CB-8'!IC19+'[3]CB-9'!IC19+'[3]CB-10'!IC19+'[3]CB-11'!IC19+'[3]CB-12'!IC19+'[3]CB-13'!IC19+'[3]CB-14'!IC19+'[3]CB-15'!IC19+'[3]CB-16'!IC19+'[3]CB-17'!IC19+'[3]CB-18'!IC19+'[3]CB-19'!IC19+'[3]CB-20'!IC19+'[3]CB-21'!IC19+'[3]CB-22'!IC19+'[3]CB-23'!IC19+'[3]CB-24'!IC19+'[4]LCT-1'!IC19+'[4]LCT-2'!IC19+'[4]LCT-3'!IC19+'[4]LCT-4'!IC19+'[4]LCT-5'!IC19+'[4]LCT-6'!IC19+'[4]LCT-7'!IC19+'[4]LCT-8'!IC19+'[5]TB-1'!IC19+'[5]TB-2'!IC19+'[5]TB-3'!IC19+'[5]TB-4'!IC19+'[5]TB-5'!IC19+'[5]TB-6'!IC19+'[5]TB-7'!IC19+'[5]TB-8'!IC19+'[5]TB-9'!IC19+'[5]TB-10'!IC19+'[6]DSV-1'!IC19+'[6]DSV-2'!IC19+'[6]DSV-3'!IC19+'[7]TUB-1'!IC19+'[7]TUB-2'!IC19+'[8]Barge-1'!IC19+'[8]Barge-2'!IC19+'[8]Barge-3'!IC19+'[8]Barge-4'!IC19</f>
        <v>0</v>
      </c>
      <c r="AE19" s="134">
        <f>'[2]AHTS-1'!IC90+'[2]AHTS-2'!IC90+'[2]AHTS-3'!IC90+'[2]AHTS-4'!IC90+'[2]AHTS-5'!IC90+'[2]AHTS-6'!IC90+'[2]AHTS-7'!IC90+'[2]AHTS-8'!IC90+'[3]CB-1'!IC90+'[3]CB-2'!IC90+'[3]CB-3'!IC90+'[3]CB-4'!IC90+'[3]CB-5'!IC90+'[3]CB-6'!IC90+'[3]CB-7'!IC90+'[3]CB-8'!IC90+'[3]CB-9'!IC90+'[3]CB-10'!IC90+'[3]CB-11'!IC90+'[3]CB-12'!IC90+'[3]CB-13'!IC90+'[3]CB-14'!IC90+'[3]CB-15'!IC90+'[3]CB-16'!IC90+'[3]CB-17'!IC90+'[3]CB-18'!IC90+'[3]CB-19'!IC90+'[3]CB-20'!IC90+'[3]CB-21'!IC90+'[3]CB-22'!IC90+'[3]CB-23'!IC90+'[3]CB-24'!IC90+'[4]LCT-1'!IC90+'[4]LCT-2'!IC90+'[4]LCT-3'!IC90+'[4]LCT-4'!IC90+'[4]LCT-5'!IC90+'[4]LCT-6'!IC90+'[4]LCT-7'!IC90+'[4]LCT-8'!IC90+'[5]TB-1'!IC90+'[5]TB-2'!IC90+'[5]TB-3'!IC90+'[5]TB-4'!IC90+'[5]TB-5'!IC90+'[5]TB-6'!IC90+'[5]TB-7'!IC90+'[5]TB-8'!IC90+'[5]TB-9'!IC90+'[5]TB-10'!IC90+'[6]DSV-1'!IC90+'[6]DSV-2'!IC90+'[6]DSV-3'!IC90+'[7]TUB-1'!IC90+'[7]TUB-2'!IC90+'[8]Barge-1'!IC90+'[8]Barge-2'!IC90+'[8]Barge-3'!IC90+'[8]Barge-4'!IC90</f>
        <v>0</v>
      </c>
      <c r="AF19" s="135">
        <f>'[2]AHTS-1'!ID57+'[2]AHTS-2'!ID57+'[2]AHTS-3'!ID57+'[2]AHTS-4'!ID57+'[2]AHTS-5'!ID57+'[2]AHTS-6'!ID57+'[2]AHTS-7'!ID57+'[2]AHTS-8'!ID57+'[3]CB-1'!ID57+'[3]CB-2'!ID57+'[3]CB-3'!ID57+'[3]CB-4'!ID57+'[3]CB-5'!ID57+'[3]CB-6'!ID57+'[3]CB-7'!ID57+'[3]CB-8'!ID57+'[3]CB-9'!ID57+'[3]CB-10'!ID57+'[3]CB-11'!ID57+'[3]CB-12'!ID57+'[3]CB-13'!ID57+'[3]CB-14'!ID57+'[3]CB-15'!ID57+'[3]CB-16'!ID57+'[3]CB-17'!ID57+'[3]CB-18'!ID57+'[3]CB-19'!ID57+'[3]CB-20'!ID57+'[3]CB-21'!ID57+'[3]CB-22'!ID57+'[3]CB-23'!ID57+'[3]CB-24'!ID57+'[4]LCT-1'!ID57+'[4]LCT-2'!ID57+'[4]LCT-3'!ID57+'[4]LCT-4'!ID57+'[4]LCT-5'!ID57+'[4]LCT-6'!ID57+'[4]LCT-7'!ID57+'[4]LCT-8'!ID57+'[5]TB-1'!ID57+'[5]TB-2'!ID57+'[5]TB-3'!ID57+'[5]TB-4'!ID57+'[5]TB-5'!ID57+'[5]TB-6'!ID57+'[5]TB-7'!ID57+'[5]TB-8'!ID57+'[5]TB-9'!ID57+'[5]TB-10'!ID57+'[6]DSV-1'!ID57+'[6]DSV-2'!ID57+'[6]DSV-3'!ID57+'[7]TUB-1'!ID57+'[7]TUB-2'!ID57+'[8]Barge-1'!ID57+'[8]Barge-2'!ID57+'[8]Barge-3'!ID57+'[8]Barge-4'!ID57</f>
        <v>29358008.333333332</v>
      </c>
      <c r="AG19" s="136">
        <f>'[2]AHTS-1'!ID19+'[2]AHTS-2'!ID19+'[2]AHTS-3'!ID19+'[2]AHTS-4'!ID19+'[2]AHTS-5'!ID19+'[2]AHTS-6'!ID19+'[2]AHTS-7'!ID19+'[2]AHTS-8'!ID19+'[3]CB-1'!ID19+'[3]CB-2'!ID19+'[3]CB-3'!ID19+'[3]CB-4'!ID19+'[3]CB-5'!ID19+'[3]CB-6'!ID19+'[3]CB-7'!ID19+'[3]CB-8'!ID19+'[3]CB-9'!ID19+'[3]CB-10'!ID19+'[3]CB-11'!ID19+'[3]CB-12'!ID19+'[3]CB-13'!ID19+'[3]CB-14'!ID19+'[3]CB-15'!ID19+'[3]CB-16'!ID19+'[3]CB-17'!ID19+'[3]CB-18'!ID19+'[3]CB-19'!ID19+'[3]CB-20'!ID19+'[3]CB-21'!ID19+'[3]CB-22'!ID19+'[3]CB-23'!ID19+'[3]CB-24'!ID19+'[4]LCT-1'!ID19+'[4]LCT-2'!ID19+'[4]LCT-3'!ID19+'[4]LCT-4'!ID19+'[4]LCT-5'!ID19+'[4]LCT-6'!ID19+'[4]LCT-7'!ID19+'[4]LCT-8'!ID19+'[5]TB-1'!ID19+'[5]TB-2'!ID19+'[5]TB-3'!ID19+'[5]TB-4'!ID19+'[5]TB-5'!ID19+'[5]TB-6'!ID19+'[5]TB-7'!ID19+'[5]TB-8'!ID19+'[5]TB-9'!ID19+'[5]TB-10'!ID19+'[6]DSV-1'!ID19+'[6]DSV-2'!ID19+'[6]DSV-3'!ID19+'[7]TUB-1'!ID19+'[7]TUB-2'!ID19+'[8]Barge-1'!ID19+'[8]Barge-2'!ID19+'[8]Barge-3'!ID19+'[8]Barge-4'!ID19</f>
        <v>29962500</v>
      </c>
      <c r="AH19" s="136">
        <f>'[2]AHTS-1'!ID90+'[2]AHTS-2'!ID90+'[2]AHTS-3'!ID90+'[2]AHTS-4'!ID90+'[2]AHTS-5'!ID90+'[2]AHTS-6'!ID90+'[2]AHTS-7'!ID90+'[2]AHTS-8'!ID90+'[3]CB-1'!ID90+'[3]CB-2'!ID90+'[3]CB-3'!ID90+'[3]CB-4'!ID90+'[3]CB-5'!ID90+'[3]CB-6'!ID90+'[3]CB-7'!ID90+'[3]CB-8'!ID90+'[3]CB-9'!ID90+'[3]CB-10'!ID90+'[3]CB-11'!ID90+'[3]CB-12'!ID90+'[3]CB-13'!ID90+'[3]CB-14'!ID90+'[3]CB-15'!ID90+'[3]CB-16'!ID90+'[3]CB-17'!ID90+'[3]CB-18'!ID90+'[3]CB-19'!ID90+'[3]CB-20'!ID90+'[3]CB-21'!ID90+'[3]CB-22'!ID90+'[3]CB-23'!ID90+'[3]CB-24'!ID90+'[4]LCT-1'!ID90+'[4]LCT-2'!ID90+'[4]LCT-3'!ID90+'[4]LCT-4'!ID90+'[4]LCT-5'!ID90+'[4]LCT-6'!ID90+'[4]LCT-7'!ID90+'[4]LCT-8'!ID90+'[5]TB-1'!ID90+'[5]TB-2'!ID90+'[5]TB-3'!ID90+'[5]TB-4'!ID90+'[5]TB-5'!ID90+'[5]TB-6'!ID90+'[5]TB-7'!ID90+'[5]TB-8'!ID90+'[5]TB-9'!ID90+'[5]TB-10'!ID90+'[6]DSV-1'!ID90+'[6]DSV-2'!ID90+'[6]DSV-3'!ID90+'[7]TUB-1'!ID90+'[7]TUB-2'!ID90+'[8]Barge-1'!ID90+'[8]Barge-2'!ID90+'[8]Barge-3'!ID90+'[8]Barge-4'!ID90</f>
        <v>0</v>
      </c>
      <c r="AI19" s="135">
        <f>'[2]AHTS-1'!IE57+'[2]AHTS-2'!IE57+'[2]AHTS-3'!IE57+'[2]AHTS-4'!IE57+'[2]AHTS-5'!IE57+'[2]AHTS-6'!IE57+'[2]AHTS-7'!IE57+'[2]AHTS-8'!IE57+'[3]CB-1'!IE57+'[3]CB-2'!IE57+'[3]CB-3'!IE57+'[3]CB-4'!IE57+'[3]CB-5'!IE57+'[3]CB-6'!IE57+'[3]CB-7'!IE57+'[3]CB-8'!IE57+'[3]CB-9'!IE57+'[3]CB-10'!IE57+'[3]CB-11'!IE57+'[3]CB-12'!IE57+'[3]CB-13'!IE57+'[3]CB-14'!IE57+'[3]CB-15'!IE57+'[3]CB-16'!IE57+'[3]CB-17'!IE57+'[3]CB-18'!IE57+'[3]CB-19'!IE57+'[3]CB-20'!IE57+'[3]CB-21'!IE57+'[3]CB-22'!IE57+'[3]CB-23'!IE57+'[3]CB-24'!IE57+'[4]LCT-1'!IE57+'[4]LCT-2'!IE57+'[4]LCT-3'!IE57+'[4]LCT-4'!IE57+'[4]LCT-5'!IE57+'[4]LCT-6'!IE57+'[4]LCT-7'!IE57+'[4]LCT-8'!IE57+'[5]TB-1'!IE57+'[5]TB-2'!IE57+'[5]TB-3'!IE57+'[5]TB-4'!IE57+'[5]TB-5'!IE57+'[5]TB-6'!IE57+'[5]TB-7'!IE57+'[5]TB-8'!IE57+'[5]TB-9'!IE57+'[5]TB-10'!IE57+'[6]DSV-1'!IE57+'[6]DSV-2'!IE57+'[6]DSV-3'!IE57+'[7]TUB-1'!IE57+'[7]TUB-2'!IE57+'[8]Barge-1'!IE57+'[8]Barge-2'!IE57+'[8]Barge-3'!IE57+'[8]Barge-4'!IE57</f>
        <v>34773641.666666664</v>
      </c>
      <c r="AJ19" s="136">
        <f>'[2]AHTS-1'!IE19+'[2]AHTS-2'!IE19+'[2]AHTS-3'!IE19+'[2]AHTS-4'!IE19+'[2]AHTS-5'!IE19+'[2]AHTS-6'!IE19+'[2]AHTS-7'!IE19+'[2]AHTS-8'!IE19+'[3]CB-1'!IE19+'[3]CB-2'!IE19+'[3]CB-3'!IE19+'[3]CB-4'!IE19+'[3]CB-5'!IE19+'[3]CB-6'!IE19+'[3]CB-7'!IE19+'[3]CB-8'!IE19+'[3]CB-9'!IE19+'[3]CB-10'!IE19+'[3]CB-11'!IE19+'[3]CB-12'!IE19+'[3]CB-13'!IE19+'[3]CB-14'!IE19+'[3]CB-15'!IE19+'[3]CB-16'!IE19+'[3]CB-17'!IE19+'[3]CB-18'!IE19+'[3]CB-19'!IE19+'[3]CB-20'!IE19+'[3]CB-21'!IE19+'[3]CB-22'!IE19+'[3]CB-23'!IE19+'[3]CB-24'!IE19+'[4]LCT-1'!IE19+'[4]LCT-2'!IE19+'[4]LCT-3'!IE19+'[4]LCT-4'!IE19+'[4]LCT-5'!IE19+'[4]LCT-6'!IE19+'[4]LCT-7'!IE19+'[4]LCT-8'!IE19+'[5]TB-1'!IE19+'[5]TB-2'!IE19+'[5]TB-3'!IE19+'[5]TB-4'!IE19+'[5]TB-5'!IE19+'[5]TB-6'!IE19+'[5]TB-7'!IE19+'[5]TB-8'!IE19+'[5]TB-9'!IE19+'[5]TB-10'!IE19+'[6]DSV-1'!IE19+'[6]DSV-2'!IE19+'[6]DSV-3'!IE19+'[7]TUB-1'!IE19+'[7]TUB-2'!IE19+'[8]Barge-1'!IE19+'[8]Barge-2'!IE19+'[8]Barge-3'!IE19+'[8]Barge-4'!IE19</f>
        <v>28512500</v>
      </c>
      <c r="AK19" s="136">
        <f>'[2]AHTS-1'!IE90+'[2]AHTS-2'!IE90+'[2]AHTS-3'!IE90+'[2]AHTS-4'!IE90+'[2]AHTS-5'!IE90+'[2]AHTS-6'!IE90+'[2]AHTS-7'!IE90+'[2]AHTS-8'!IE90+'[3]CB-1'!IE90+'[3]CB-2'!IE90+'[3]CB-3'!IE90+'[3]CB-4'!IE90+'[3]CB-5'!IE90+'[3]CB-6'!IE90+'[3]CB-7'!IE90+'[3]CB-8'!IE90+'[3]CB-9'!IE90+'[3]CB-10'!IE90+'[3]CB-11'!IE90+'[3]CB-12'!IE90+'[3]CB-13'!IE90+'[3]CB-14'!IE90+'[3]CB-15'!IE90+'[3]CB-16'!IE90+'[3]CB-17'!IE90+'[3]CB-18'!IE90+'[3]CB-19'!IE90+'[3]CB-20'!IE90+'[3]CB-21'!IE90+'[3]CB-22'!IE90+'[3]CB-23'!IE90+'[3]CB-24'!IE90+'[4]LCT-1'!IE90+'[4]LCT-2'!IE90+'[4]LCT-3'!IE90+'[4]LCT-4'!IE90+'[4]LCT-5'!IE90+'[4]LCT-6'!IE90+'[4]LCT-7'!IE90+'[4]LCT-8'!IE90+'[5]TB-1'!IE90+'[5]TB-2'!IE90+'[5]TB-3'!IE90+'[5]TB-4'!IE90+'[5]TB-5'!IE90+'[5]TB-6'!IE90+'[5]TB-7'!IE90+'[5]TB-8'!IE90+'[5]TB-9'!IE90+'[5]TB-10'!IE90+'[6]DSV-1'!IE90+'[6]DSV-2'!IE90+'[6]DSV-3'!IE90+'[7]TUB-1'!IE90+'[7]TUB-2'!IE90+'[8]Barge-1'!IE90+'[8]Barge-2'!IE90+'[8]Barge-3'!IE90+'[8]Barge-4'!IE90</f>
        <v>0</v>
      </c>
      <c r="AL19" s="137">
        <f>'[2]AHTS-1'!IF57+'[2]AHTS-2'!IF57+'[2]AHTS-3'!IF57+'[2]AHTS-4'!IF57+'[2]AHTS-5'!IF57+'[2]AHTS-6'!IF57+'[2]AHTS-7'!IF57+'[2]AHTS-8'!IF57+'[3]CB-1'!IF57+'[3]CB-2'!IF57+'[3]CB-3'!IF57+'[3]CB-4'!IF57+'[3]CB-5'!IF57+'[3]CB-6'!IF57+'[3]CB-7'!IF57+'[3]CB-8'!IF57+'[3]CB-9'!IF57+'[3]CB-10'!IF57+'[3]CB-11'!IF57+'[3]CB-12'!IF57+'[3]CB-13'!IF57+'[3]CB-14'!IF57+'[3]CB-15'!IF57+'[3]CB-16'!IF57+'[3]CB-17'!IF57+'[3]CB-18'!IF57+'[3]CB-19'!IF57+'[3]CB-20'!IF57+'[3]CB-21'!IF57+'[3]CB-22'!IF57+'[3]CB-23'!IF57+'[3]CB-24'!IF57+'[4]LCT-1'!IF57+'[4]LCT-2'!IF57+'[4]LCT-3'!IF57+'[4]LCT-4'!IF57+'[4]LCT-5'!IF57+'[4]LCT-6'!IF57+'[4]LCT-7'!IF57+'[4]LCT-8'!IF57+'[5]TB-1'!IF57+'[5]TB-2'!IF57+'[5]TB-3'!IF57+'[5]TB-4'!IF57+'[5]TB-5'!IF57+'[5]TB-6'!IF57+'[5]TB-7'!IF57+'[5]TB-8'!IF57+'[5]TB-9'!IF57+'[5]TB-10'!IF57+'[6]DSV-1'!IF57+'[6]DSV-2'!IF57+'[6]DSV-3'!IF57+'[7]TUB-1'!IF57+'[7]TUB-2'!IF57+'[8]Barge-1'!IF57+'[8]Barge-2'!IF57+'[8]Barge-3'!IF57+'[8]Barge-4'!IF57</f>
        <v>42781350</v>
      </c>
      <c r="AM19" s="138">
        <f>'[2]AHTS-1'!IF19+'[2]AHTS-2'!IF19+'[2]AHTS-3'!IF19+'[2]AHTS-4'!IF19+'[2]AHTS-5'!IF19+'[2]AHTS-6'!IF19+'[2]AHTS-7'!IF19+'[2]AHTS-8'!IF19+'[3]CB-1'!IF19+'[3]CB-2'!IF19+'[3]CB-3'!IF19+'[3]CB-4'!IF19+'[3]CB-5'!IF19+'[3]CB-6'!IF19+'[3]CB-7'!IF19+'[3]CB-8'!IF19+'[3]CB-9'!IF19+'[3]CB-10'!IF19+'[3]CB-11'!IF19+'[3]CB-12'!IF19+'[3]CB-13'!IF19+'[3]CB-14'!IF19+'[3]CB-15'!IF19+'[3]CB-16'!IF19+'[3]CB-17'!IF19+'[3]CB-18'!IF19+'[3]CB-19'!IF19+'[3]CB-20'!IF19+'[3]CB-21'!IF19+'[3]CB-22'!IF19+'[3]CB-23'!IF19+'[3]CB-24'!IF19+'[4]LCT-1'!IF19+'[4]LCT-2'!IF19+'[4]LCT-3'!IF19+'[4]LCT-4'!IF19+'[4]LCT-5'!IF19+'[4]LCT-6'!IF19+'[4]LCT-7'!IF19+'[4]LCT-8'!IF19+'[5]TB-1'!IF19+'[5]TB-2'!IF19+'[5]TB-3'!IF19+'[5]TB-4'!IF19+'[5]TB-5'!IF19+'[5]TB-6'!IF19+'[5]TB-7'!IF19+'[5]TB-8'!IF19+'[5]TB-9'!IF19+'[5]TB-10'!IF19+'[6]DSV-1'!IF19+'[6]DSV-2'!IF19+'[6]DSV-3'!IF19+'[7]TUB-1'!IF19+'[7]TUB-2'!IF19+'[8]Barge-1'!IF19+'[8]Barge-2'!IF19+'[8]Barge-3'!IF19+'[8]Barge-4'!IF19</f>
        <v>63200000</v>
      </c>
      <c r="AN19" s="138">
        <f>'[2]AHTS-1'!IF90+'[2]AHTS-2'!IF90+'[2]AHTS-3'!IF90+'[2]AHTS-4'!IF90+'[2]AHTS-5'!IF90+'[2]AHTS-6'!IF90+'[2]AHTS-7'!IF90+'[2]AHTS-8'!IF90+'[3]CB-1'!IF90+'[3]CB-2'!IF90+'[3]CB-3'!IF90+'[3]CB-4'!IF90+'[3]CB-5'!IF90+'[3]CB-6'!IF90+'[3]CB-7'!IF90+'[3]CB-8'!IF90+'[3]CB-9'!IF90+'[3]CB-10'!IF90+'[3]CB-11'!IF90+'[3]CB-12'!IF90+'[3]CB-13'!IF90+'[3]CB-14'!IF90+'[3]CB-15'!IF90+'[3]CB-16'!IF90+'[3]CB-17'!IF90+'[3]CB-18'!IF90+'[3]CB-19'!IF90+'[3]CB-20'!IF90+'[3]CB-21'!IF90+'[3]CB-22'!IF90+'[3]CB-23'!IF90+'[3]CB-24'!IF90+'[4]LCT-1'!IF90+'[4]LCT-2'!IF90+'[4]LCT-3'!IF90+'[4]LCT-4'!IF90+'[4]LCT-5'!IF90+'[4]LCT-6'!IF90+'[4]LCT-7'!IF90+'[4]LCT-8'!IF90+'[5]TB-1'!IF90+'[5]TB-2'!IF90+'[5]TB-3'!IF90+'[5]TB-4'!IF90+'[5]TB-5'!IF90+'[5]TB-6'!IF90+'[5]TB-7'!IF90+'[5]TB-8'!IF90+'[5]TB-9'!IF90+'[5]TB-10'!IF90+'[6]DSV-1'!IF90+'[6]DSV-2'!IF90+'[6]DSV-3'!IF90+'[7]TUB-1'!IF90+'[7]TUB-2'!IF90+'[8]Barge-1'!IF90+'[8]Barge-2'!IF90+'[8]Barge-3'!IF90+'[8]Barge-4'!IF90</f>
        <v>0</v>
      </c>
      <c r="AO19" s="135">
        <f>'[2]AHTS-1'!IG57+'[2]AHTS-2'!IG57+'[2]AHTS-3'!IG57+'[2]AHTS-4'!IG57+'[2]AHTS-5'!IG57+'[2]AHTS-6'!IG57+'[2]AHTS-7'!IG57+'[2]AHTS-8'!IG57+'[3]CB-1'!IG57+'[3]CB-2'!IG57+'[3]CB-3'!IG57+'[3]CB-4'!IG57+'[3]CB-5'!IG57+'[3]CB-6'!IG57+'[3]CB-7'!IG57+'[3]CB-8'!IG57+'[3]CB-9'!IG57+'[3]CB-10'!IG57+'[3]CB-11'!IG57+'[3]CB-12'!IG57+'[3]CB-13'!IG57+'[3]CB-14'!IG57+'[3]CB-15'!IG57+'[3]CB-16'!IG57+'[3]CB-17'!IG57+'[3]CB-18'!IG57+'[3]CB-19'!IG57+'[3]CB-20'!IG57+'[3]CB-21'!IG57+'[3]CB-22'!IG57+'[3]CB-23'!IG57+'[3]CB-24'!IG57+'[4]LCT-1'!IG57+'[4]LCT-2'!IG57+'[4]LCT-3'!IG57+'[4]LCT-4'!IG57+'[4]LCT-5'!IG57+'[4]LCT-6'!IG57+'[4]LCT-7'!IG57+'[4]LCT-8'!IG57+'[5]TB-1'!IG57+'[5]TB-2'!IG57+'[5]TB-3'!IG57+'[5]TB-4'!IG57+'[5]TB-5'!IG57+'[5]TB-6'!IG57+'[5]TB-7'!IG57+'[5]TB-8'!IG57+'[5]TB-9'!IG57+'[5]TB-10'!IG57+'[6]DSV-1'!IG57+'[6]DSV-2'!IG57+'[6]DSV-3'!IG57+'[7]TUB-1'!IG57+'[7]TUB-2'!IG57+'[8]Barge-1'!IG57+'[8]Barge-2'!IG57+'[8]Barge-3'!IG57+'[8]Barge-4'!IG57</f>
        <v>274550</v>
      </c>
      <c r="AP19" s="136">
        <f>'[2]AHTS-1'!IG19+'[2]AHTS-2'!IG19+'[2]AHTS-3'!IG19+'[2]AHTS-4'!IG19+'[2]AHTS-5'!IG19+'[2]AHTS-6'!IG19+'[2]AHTS-7'!IG19+'[2]AHTS-8'!IG19+'[3]CB-1'!IG19+'[3]CB-2'!IG19+'[3]CB-3'!IG19+'[3]CB-4'!IG19+'[3]CB-5'!IG19+'[3]CB-6'!IG19+'[3]CB-7'!IG19+'[3]CB-8'!IG19+'[3]CB-9'!IG19+'[3]CB-10'!IG19+'[3]CB-11'!IG19+'[3]CB-12'!IG19+'[3]CB-13'!IG19+'[3]CB-14'!IG19+'[3]CB-15'!IG19+'[3]CB-16'!IG19+'[3]CB-17'!IG19+'[3]CB-18'!IG19+'[3]CB-19'!IG19+'[3]CB-20'!IG19+'[3]CB-21'!IG19+'[3]CB-22'!IG19+'[3]CB-23'!IG19+'[3]CB-24'!IG19+'[4]LCT-1'!IG19+'[4]LCT-2'!IG19+'[4]LCT-3'!IG19+'[4]LCT-4'!IG19+'[4]LCT-5'!IG19+'[4]LCT-6'!IG19+'[4]LCT-7'!IG19+'[4]LCT-8'!IG19+'[5]TB-1'!IG19+'[5]TB-2'!IG19+'[5]TB-3'!IG19+'[5]TB-4'!IG19+'[5]TB-5'!IG19+'[5]TB-6'!IG19+'[5]TB-7'!IG19+'[5]TB-8'!IG19+'[5]TB-9'!IG19+'[5]TB-10'!IG19+'[6]DSV-1'!IG19+'[6]DSV-2'!IG19+'[6]DSV-3'!IG19+'[7]TUB-1'!IG19+'[7]TUB-2'!IG19+'[8]Barge-1'!IG19+'[8]Barge-2'!IG19+'[8]Barge-3'!IG19+'[8]Barge-4'!IG19</f>
        <v>3250000</v>
      </c>
      <c r="AQ19" s="136">
        <f>'[2]AHTS-1'!IG90+'[2]AHTS-2'!IG90+'[2]AHTS-3'!IG90+'[2]AHTS-4'!IG90+'[2]AHTS-5'!IG90+'[2]AHTS-6'!IG90+'[2]AHTS-7'!IG90+'[2]AHTS-8'!IG90+'[3]CB-1'!IG90+'[3]CB-2'!IG90+'[3]CB-3'!IG90+'[3]CB-4'!IG90+'[3]CB-5'!IG90+'[3]CB-6'!IG90+'[3]CB-7'!IG90+'[3]CB-8'!IG90+'[3]CB-9'!IG90+'[3]CB-10'!IG90+'[3]CB-11'!IG90+'[3]CB-12'!IG90+'[3]CB-13'!IG90+'[3]CB-14'!IG90+'[3]CB-15'!IG90+'[3]CB-16'!IG90+'[3]CB-17'!IG90+'[3]CB-18'!IG90+'[3]CB-19'!IG90+'[3]CB-20'!IG90+'[3]CB-21'!IG90+'[3]CB-22'!IG90+'[3]CB-23'!IG90+'[3]CB-24'!IG90+'[4]LCT-1'!IG90+'[4]LCT-2'!IG90+'[4]LCT-3'!IG90+'[4]LCT-4'!IG90+'[4]LCT-5'!IG90+'[4]LCT-6'!IG90+'[4]LCT-7'!IG90+'[4]LCT-8'!IG90+'[5]TB-1'!IG90+'[5]TB-2'!IG90+'[5]TB-3'!IG90+'[5]TB-4'!IG90+'[5]TB-5'!IG90+'[5]TB-6'!IG90+'[5]TB-7'!IG90+'[5]TB-8'!IG90+'[5]TB-9'!IG90+'[5]TB-10'!IG90+'[6]DSV-1'!IG90+'[6]DSV-2'!IG90+'[6]DSV-3'!IG90+'[7]TUB-1'!IG90+'[7]TUB-2'!IG90+'[8]Barge-1'!IG90+'[8]Barge-2'!IG90+'[8]Barge-3'!IG90+'[8]Barge-4'!IG90</f>
        <v>0</v>
      </c>
      <c r="AR19" s="139">
        <f>'[2]AHTS-1'!IH57+'[2]AHTS-2'!IH57+'[2]AHTS-3'!IH57+'[2]AHTS-4'!IH57+'[2]AHTS-5'!IH57+'[2]AHTS-6'!IH57+'[2]AHTS-7'!IH57+'[2]AHTS-8'!IH57+'[3]CB-1'!IH57+'[3]CB-2'!IH57+'[3]CB-3'!IH57+'[3]CB-4'!IH57+'[3]CB-5'!IH57+'[3]CB-6'!IH57+'[3]CB-7'!IH57+'[3]CB-8'!IH57+'[3]CB-9'!IH57+'[3]CB-10'!IH57+'[3]CB-11'!IH57+'[3]CB-12'!IH57+'[3]CB-13'!IH57+'[3]CB-14'!IH57+'[3]CB-15'!IH57+'[3]CB-16'!IH57+'[3]CB-17'!IH57+'[3]CB-18'!IH57+'[3]CB-19'!IH57+'[3]CB-20'!IH57+'[3]CB-21'!IH57+'[3]CB-22'!IH57+'[3]CB-23'!IH57+'[3]CB-24'!IH57+'[4]LCT-1'!IH57+'[4]LCT-2'!IH57+'[4]LCT-3'!IH57+'[4]LCT-4'!IH57+'[4]LCT-5'!IH57+'[4]LCT-6'!IH57+'[4]LCT-7'!IH57+'[4]LCT-8'!IH57+'[5]TB-1'!IH57+'[5]TB-2'!IH57+'[5]TB-3'!IH57+'[5]TB-4'!IH57+'[5]TB-5'!IH57+'[5]TB-6'!IH57+'[5]TB-7'!IH57+'[5]TB-8'!IH57+'[5]TB-9'!IH57+'[5]TB-10'!IH57+'[6]DSV-1'!IH57+'[6]DSV-2'!IH57+'[6]DSV-3'!IH57+'[7]TUB-1'!IH57+'[7]TUB-2'!IH57+'[8]Barge-1'!IH57+'[8]Barge-2'!IH57+'[8]Barge-3'!IH57+'[8]Barge-4'!IH57</f>
        <v>75431266.666666657</v>
      </c>
      <c r="AS19" s="136">
        <f>'[2]AHTS-1'!IH19+'[2]AHTS-2'!IH19+'[2]AHTS-3'!IH19+'[2]AHTS-4'!IH19+'[2]AHTS-5'!IH19+'[2]AHTS-6'!IH19+'[2]AHTS-7'!IH19+'[2]AHTS-8'!IH19+'[3]CB-1'!IH19+'[3]CB-2'!IH19+'[3]CB-3'!IH19+'[3]CB-4'!IH19+'[3]CB-5'!IH19+'[3]CB-6'!IH19+'[3]CB-7'!IH19+'[3]CB-8'!IH19+'[3]CB-9'!IH19+'[3]CB-10'!IH19+'[3]CB-11'!IH19+'[3]CB-12'!IH19+'[3]CB-13'!IH19+'[3]CB-14'!IH19+'[3]CB-15'!IH19+'[3]CB-16'!IH19+'[3]CB-17'!IH19+'[3]CB-18'!IH19+'[3]CB-19'!IH19+'[3]CB-20'!IH19+'[3]CB-21'!IH19+'[3]CB-22'!IH19+'[3]CB-23'!IH19+'[3]CB-24'!IH19+'[4]LCT-1'!IH19+'[4]LCT-2'!IH19+'[4]LCT-3'!IH19+'[4]LCT-4'!IH19+'[4]LCT-5'!IH19+'[4]LCT-6'!IH19+'[4]LCT-7'!IH19+'[4]LCT-8'!IH19+'[5]TB-1'!IH19+'[5]TB-2'!IH19+'[5]TB-3'!IH19+'[5]TB-4'!IH19+'[5]TB-5'!IH19+'[5]TB-6'!IH19+'[5]TB-7'!IH19+'[5]TB-8'!IH19+'[5]TB-9'!IH19+'[5]TB-10'!IH19+'[6]DSV-1'!IH19+'[6]DSV-2'!IH19+'[6]DSV-3'!IH19+'[7]TUB-1'!IH19+'[7]TUB-2'!IH19+'[8]Barge-1'!IH19+'[8]Barge-2'!IH19+'[8]Barge-3'!IH19+'[8]Barge-4'!IH19</f>
        <v>92450000</v>
      </c>
      <c r="AT19" s="140">
        <f>'[2]AHTS-1'!IH90+'[2]AHTS-2'!IH90+'[2]AHTS-3'!IH90+'[2]AHTS-4'!IH90+'[2]AHTS-5'!IH90+'[2]AHTS-6'!IH90+'[2]AHTS-7'!IH90+'[2]AHTS-8'!IH90+'[3]CB-1'!IH90+'[3]CB-2'!IH90+'[3]CB-3'!IH90+'[3]CB-4'!IH90+'[3]CB-5'!IH90+'[3]CB-6'!IH90+'[3]CB-7'!IH90+'[3]CB-8'!IH90+'[3]CB-9'!IH90+'[3]CB-10'!IH90+'[3]CB-11'!IH90+'[3]CB-12'!IH90+'[3]CB-13'!IH90+'[3]CB-14'!IH90+'[3]CB-15'!IH90+'[3]CB-16'!IH90+'[3]CB-17'!IH90+'[3]CB-18'!IH90+'[3]CB-19'!IH90+'[3]CB-20'!IH90+'[3]CB-21'!IH90+'[3]CB-22'!IH90+'[3]CB-23'!IH90+'[3]CB-24'!IH90+'[4]LCT-1'!IH90+'[4]LCT-2'!IH90+'[4]LCT-3'!IH90+'[4]LCT-4'!IH90+'[4]LCT-5'!IH90+'[4]LCT-6'!IH90+'[4]LCT-7'!IH90+'[4]LCT-8'!IH90+'[5]TB-1'!IH90+'[5]TB-2'!IH90+'[5]TB-3'!IH90+'[5]TB-4'!IH90+'[5]TB-5'!IH90+'[5]TB-6'!IH90+'[5]TB-7'!IH90+'[5]TB-8'!IH90+'[5]TB-9'!IH90+'[5]TB-10'!IH90+'[6]DSV-1'!IH90+'[6]DSV-2'!IH90+'[6]DSV-3'!IH90+'[7]TUB-1'!IH90+'[7]TUB-2'!IH90+'[8]Barge-1'!IH90+'[8]Barge-2'!IH90+'[8]Barge-3'!IH90+'[8]Barge-4'!IH90</f>
        <v>0</v>
      </c>
      <c r="AU19" s="139">
        <f>'[2]AHTS-1'!II57+'[2]AHTS-2'!II57+'[2]AHTS-3'!II57+'[2]AHTS-4'!II57+'[2]AHTS-5'!II57+'[2]AHTS-6'!II57+'[2]AHTS-7'!II57+'[2]AHTS-8'!II57+'[3]CB-1'!II57+'[3]CB-2'!II57+'[3]CB-3'!II57+'[3]CB-4'!II57+'[3]CB-5'!II57+'[3]CB-6'!II57+'[3]CB-7'!II57+'[3]CB-8'!II57+'[3]CB-9'!II57+'[3]CB-10'!II57+'[3]CB-11'!II57+'[3]CB-12'!II57+'[3]CB-13'!II57+'[3]CB-14'!II57+'[3]CB-15'!II57+'[3]CB-16'!II57+'[3]CB-17'!II57+'[3]CB-18'!II57+'[3]CB-19'!II57+'[3]CB-20'!II57+'[3]CB-21'!II57+'[3]CB-22'!II57+'[3]CB-23'!II57+'[3]CB-24'!II57+'[4]LCT-1'!II57+'[4]LCT-2'!II57+'[4]LCT-3'!II57+'[4]LCT-4'!II57+'[4]LCT-5'!II57+'[4]LCT-6'!II57+'[4]LCT-7'!II57+'[4]LCT-8'!II57+'[5]TB-1'!II57+'[5]TB-2'!II57+'[5]TB-3'!II57+'[5]TB-4'!II57+'[5]TB-5'!II57+'[5]TB-6'!II57+'[5]TB-7'!II57+'[5]TB-8'!II57+'[5]TB-9'!II57+'[5]TB-10'!II57+'[6]DSV-1'!II57+'[6]DSV-2'!II57+'[6]DSV-3'!II57+'[7]TUB-1'!II57+'[7]TUB-2'!II57+'[8]Barge-1'!II57+'[8]Barge-2'!II57+'[8]Barge-3'!II57+'[8]Barge-4'!II57</f>
        <v>0</v>
      </c>
      <c r="AV19" s="136">
        <f>'[2]AHTS-1'!II19+'[2]AHTS-2'!II19+'[2]AHTS-3'!II19+'[2]AHTS-4'!II19+'[2]AHTS-5'!II19+'[2]AHTS-6'!II19+'[2]AHTS-7'!II19+'[2]AHTS-8'!II19+'[3]CB-1'!II19+'[3]CB-2'!II19+'[3]CB-3'!II19+'[3]CB-4'!II19+'[3]CB-5'!II19+'[3]CB-6'!II19+'[3]CB-7'!II19+'[3]CB-8'!II19+'[3]CB-9'!II19+'[3]CB-10'!II19+'[3]CB-11'!II19+'[3]CB-12'!II19+'[3]CB-13'!II19+'[3]CB-14'!II19+'[3]CB-15'!II19+'[3]CB-16'!II19+'[3]CB-17'!II19+'[3]CB-18'!II19+'[3]CB-19'!II19+'[3]CB-20'!II19+'[3]CB-21'!II19+'[3]CB-22'!II19+'[3]CB-23'!II19+'[3]CB-24'!II19+'[4]LCT-1'!II19+'[4]LCT-2'!II19+'[4]LCT-3'!II19+'[4]LCT-4'!II19+'[4]LCT-5'!II19+'[4]LCT-6'!II19+'[4]LCT-7'!II19+'[4]LCT-8'!II19+'[5]TB-1'!II19+'[5]TB-2'!II19+'[5]TB-3'!II19+'[5]TB-4'!II19+'[5]TB-5'!II19+'[5]TB-6'!II19+'[5]TB-7'!II19+'[5]TB-8'!II19+'[5]TB-9'!II19+'[5]TB-10'!II19+'[6]DSV-1'!II19+'[6]DSV-2'!II19+'[6]DSV-3'!II19+'[7]TUB-1'!II19+'[7]TUB-2'!II19+'[8]Barge-1'!II19+'[8]Barge-2'!II19+'[8]Barge-3'!II19+'[8]Barge-4'!II19</f>
        <v>0</v>
      </c>
      <c r="AW19" s="140">
        <f>'[2]AHTS-1'!II90+'[2]AHTS-2'!II90+'[2]AHTS-3'!II90+'[2]AHTS-4'!II90+'[2]AHTS-5'!II90+'[2]AHTS-6'!II90+'[2]AHTS-7'!II90+'[2]AHTS-8'!II90+'[3]CB-1'!II90+'[3]CB-2'!II90+'[3]CB-3'!II90+'[3]CB-4'!II90+'[3]CB-5'!II90+'[3]CB-6'!II90+'[3]CB-7'!II90+'[3]CB-8'!II90+'[3]CB-9'!II90+'[3]CB-10'!II90+'[3]CB-11'!II90+'[3]CB-12'!II90+'[3]CB-13'!II90+'[3]CB-14'!II90+'[3]CB-15'!II90+'[3]CB-16'!II90+'[3]CB-17'!II90+'[3]CB-18'!II90+'[3]CB-19'!II90+'[3]CB-20'!II90+'[3]CB-21'!II90+'[3]CB-22'!II90+'[3]CB-23'!II90+'[3]CB-24'!II90+'[4]LCT-1'!II90+'[4]LCT-2'!II90+'[4]LCT-3'!II90+'[4]LCT-4'!II90+'[4]LCT-5'!II90+'[4]LCT-6'!II90+'[4]LCT-7'!II90+'[4]LCT-8'!II90+'[5]TB-1'!II90+'[5]TB-2'!II90+'[5]TB-3'!II90+'[5]TB-4'!II90+'[5]TB-5'!II90+'[5]TB-6'!II90+'[5]TB-7'!II90+'[5]TB-8'!II90+'[5]TB-9'!II90+'[5]TB-10'!II90+'[6]DSV-1'!II90+'[6]DSV-2'!II90+'[6]DSV-3'!II90+'[7]TUB-1'!II90+'[7]TUB-2'!II90+'[8]Barge-1'!II90+'[8]Barge-2'!II90+'[8]Barge-3'!II90+'[8]Barge-4'!II90</f>
        <v>0</v>
      </c>
      <c r="AX19" s="67"/>
      <c r="AY19" s="67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</row>
    <row r="20" spans="1:97" s="69" customFormat="1" ht="14.25" customHeight="1" x14ac:dyDescent="0.25">
      <c r="A20" s="111">
        <f>[1]Control!AZ20</f>
        <v>45995</v>
      </c>
      <c r="B20" s="66"/>
      <c r="C20" s="176">
        <f>'[2]AHTS-1'!AV20+'[2]AHTS-2'!AV20+'[2]AHTS-3'!AV20+'[2]AHTS-4'!AV20+'[2]AHTS-5'!AV20+'[2]AHTS-6'!AV20+'[2]AHTS-7'!AV20+'[2]AHTS-8'!AV20+'[3]CB-1'!AV20+'[3]CB-2'!AV20+'[3]CB-3'!AV20+'[3]CB-4'!AV20+'[3]CB-5'!AV20+'[3]CB-6'!AV20+'[3]CB-7'!AV20+'[3]CB-8'!AV20+'[3]CB-9'!AV20+'[3]CB-10'!AV20+'[3]CB-11'!AV20+'[3]CB-12'!AV20+'[3]CB-13'!AV20+'[3]CB-14'!AV20+'[3]CB-15'!AV20+'[3]CB-16'!AV20+'[3]CB-17'!AV20+'[3]CB-18'!AV20+'[3]CB-19'!AV20+'[3]CB-20'!AV20+'[3]CB-21'!AV20+'[3]CB-22'!AV20+'[3]CB-23'!AV20+'[3]CB-24'!AV20+'[4]LCT-1'!AV20+'[4]LCT-2'!AV20+'[4]LCT-3'!AV20+'[4]LCT-4'!AV20+'[4]LCT-5'!AV20+'[4]LCT-6'!AV20+'[4]LCT-7'!AV20+'[4]LCT-8'!AV20+'[5]TB-1'!AV20+'[5]TB-2'!AV20+'[5]TB-3'!AV20+'[5]TB-4'!AV20+'[5]TB-5'!AV20+'[5]TB-6'!AV20+'[5]TB-7'!AV20+'[5]TB-8'!AV20+'[5]TB-9'!AV20+'[5]TB-10'!AV20+'[6]DSV-1'!AV20+'[6]DSV-2'!AV20+'[6]DSV-3'!AV20+'[7]TUB-1'!AV20+'[7]TUB-2'!AV20+'[8]Barge-1'!AV20+'[8]Barge-2'!AV20+'[8]Barge-3'!AV20+'[8]Barge-4'!AV20</f>
        <v>0</v>
      </c>
      <c r="D20" s="177">
        <f>'[2]AHTS-1'!BR20+'[2]AHTS-2'!BR20+'[2]AHTS-3'!BR20+'[2]AHTS-4'!BR20+'[2]AHTS-5'!BR20+'[2]AHTS-6'!BR20+'[2]AHTS-7'!BR20+'[2]AHTS-8'!BR20+'[3]CB-1'!BR20+'[3]CB-2'!BR20+'[3]CB-3'!BR20+'[3]CB-4'!BR20+'[3]CB-5'!BR20+'[3]CB-6'!BR20+'[3]CB-7'!BR20+'[3]CB-8'!BR20+'[3]CB-9'!BR20+'[3]CB-10'!BR20+'[3]CB-11'!BR20+'[3]CB-12'!BR20+'[3]CB-13'!BR20+'[3]CB-14'!BR20+'[3]CB-15'!BR20+'[3]CB-16'!BR20+'[3]CB-17'!BR20+'[3]CB-18'!BR20+'[3]CB-19'!BR20+'[3]CB-20'!BR20+'[3]CB-21'!BR20+'[3]CB-22'!BR20+'[3]CB-23'!BR20+'[3]CB-24'!BR20+'[4]LCT-1'!BR20+'[4]LCT-2'!BR20+'[4]LCT-3'!BR20+'[4]LCT-4'!BR20+'[4]LCT-5'!BR20+'[4]LCT-6'!BR20+'[4]LCT-7'!BR20+'[4]LCT-8'!BR20+'[5]TB-1'!BR20+'[5]TB-2'!BR20+'[5]TB-3'!BR20+'[5]TB-4'!BR20+'[5]TB-5'!BR20+'[5]TB-6'!BR20+'[5]TB-7'!BR20+'[5]TB-8'!BR20+'[5]TB-9'!BR20+'[5]TB-10'!BR20+'[6]DSV-1'!BR20+'[6]DSV-2'!BR20+'[6]DSV-3'!BR20+'[7]TUB-1'!BR20+'[7]TUB-2'!BR20+'[8]Barge-1'!BR20+'[8]Barge-2'!BR20+'[8]Barge-3'!BR20+'[8]Barge-4'!BR20</f>
        <v>0</v>
      </c>
      <c r="E20" s="178">
        <f>'[2]AHTS-1'!CN20+'[2]AHTS-2'!CN20+'[2]AHTS-3'!CN20+'[2]AHTS-4'!CN20+'[2]AHTS-5'!CN20+'[2]AHTS-6'!CN20+'[2]AHTS-7'!CN20+'[2]AHTS-8'!CN20+'[3]CB-1'!CN20+'[3]CB-2'!CN20+'[3]CB-3'!CN20+'[3]CB-4'!CN20+'[3]CB-5'!CN20+'[3]CB-6'!CN20+'[3]CB-7'!CN20+'[3]CB-8'!CN20+'[3]CB-9'!CN20+'[3]CB-10'!CN20+'[3]CB-11'!CN20+'[3]CB-12'!CN20+'[3]CB-13'!CN20+'[3]CB-14'!CN20+'[3]CB-15'!CN20+'[3]CB-16'!CN20+'[3]CB-17'!CN20+'[3]CB-18'!CN20+'[3]CB-19'!CN20+'[3]CB-20'!CN20+'[3]CB-21'!CN20+'[3]CB-22'!CN20+'[3]CB-23'!CN20+'[3]CB-24'!CN20+'[4]LCT-1'!CN20+'[4]LCT-2'!CN20+'[4]LCT-3'!CN20+'[4]LCT-4'!CN20+'[4]LCT-5'!CN20+'[4]LCT-6'!CN20+'[4]LCT-7'!CN20+'[4]LCT-8'!CN20+'[5]TB-1'!CN20+'[5]TB-2'!CN20+'[5]TB-3'!CN20+'[5]TB-4'!CN20+'[5]TB-5'!CN20+'[5]TB-6'!CN20+'[5]TB-7'!CN20+'[5]TB-8'!CN20+'[5]TB-9'!CN20+'[5]TB-10'!CN20+'[6]DSV-1'!CN20+'[6]DSV-2'!CN20+'[6]DSV-3'!CN20+'[7]TUB-1'!CN20+'[7]TUB-2'!CN20+'[8]Barge-1'!CN20+'[8]Barge-2'!CN20+'[8]Barge-3'!CN20+'[8]Barge-4'!CN20</f>
        <v>0</v>
      </c>
      <c r="F20" s="179">
        <f>'[2]AHTS-1'!AW20+'[2]AHTS-2'!AW20+'[2]AHTS-3'!AW20+'[2]AHTS-4'!AW20+'[2]AHTS-5'!AW20+'[2]AHTS-6'!AW20+'[2]AHTS-7'!AW20+'[2]AHTS-8'!AW20+'[3]CB-1'!AW20+'[3]CB-2'!AW20+'[3]CB-3'!AW20+'[3]CB-4'!AW20+'[3]CB-5'!AW20+'[3]CB-6'!AW20+'[3]CB-7'!AW20+'[3]CB-8'!AW20+'[3]CB-9'!AW20+'[3]CB-10'!AW20+'[3]CB-11'!AW20+'[3]CB-12'!AW20+'[3]CB-13'!AW20+'[3]CB-14'!AW20+'[3]CB-15'!AW20+'[3]CB-16'!AW20+'[3]CB-17'!AW20+'[3]CB-18'!AW20+'[3]CB-19'!AW20+'[3]CB-20'!AW20+'[3]CB-21'!AW20+'[3]CB-22'!AW20+'[3]CB-23'!AW20+'[3]CB-24'!AW20+'[4]LCT-1'!AW20+'[4]LCT-2'!AW20+'[4]LCT-3'!AW20+'[4]LCT-4'!AW20+'[4]LCT-5'!AW20+'[4]LCT-6'!AW20+'[4]LCT-7'!AW20+'[4]LCT-8'!AW20+'[5]TB-1'!AW20+'[5]TB-2'!AW20+'[5]TB-3'!AW20+'[5]TB-4'!AW20+'[5]TB-5'!AW20+'[5]TB-6'!AW20+'[5]TB-7'!AW20+'[5]TB-8'!AW20+'[5]TB-9'!AW20+'[5]TB-10'!AW20+'[6]DSV-1'!AW20+'[6]DSV-2'!AW20+'[6]DSV-3'!AW20+'[7]TUB-1'!AW20+'[7]TUB-2'!AW20+'[8]Barge-1'!AW20+'[8]Barge-2'!AW20+'[8]Barge-3'!AW20+'[8]Barge-4'!AW20</f>
        <v>1912.681704791989</v>
      </c>
      <c r="G20" s="180">
        <f>'[2]AHTS-1'!BS20+'[2]AHTS-2'!BS20+'[2]AHTS-3'!BS20+'[2]AHTS-4'!BS20+'[2]AHTS-5'!BS20+'[2]AHTS-6'!BS20+'[2]AHTS-7'!BS20+'[2]AHTS-8'!BS20+'[3]CB-1'!BS20+'[3]CB-2'!BS20+'[3]CB-3'!BS20+'[3]CB-4'!BS20+'[3]CB-5'!BS20+'[3]CB-6'!BS20+'[3]CB-7'!BS20+'[3]CB-8'!BS20+'[3]CB-9'!BS20+'[3]CB-10'!BS20+'[3]CB-11'!BS20+'[3]CB-12'!BS20+'[3]CB-13'!BS20+'[3]CB-14'!BS20+'[3]CB-15'!BS20+'[3]CB-16'!BS20+'[3]CB-17'!BS20+'[3]CB-18'!BS20+'[3]CB-19'!BS20+'[3]CB-20'!BS20+'[3]CB-21'!BS20+'[3]CB-22'!BS20+'[3]CB-23'!BS20+'[3]CB-24'!BS20+'[4]LCT-1'!BS20+'[4]LCT-2'!BS20+'[4]LCT-3'!BS20+'[4]LCT-4'!BS20+'[4]LCT-5'!BS20+'[4]LCT-6'!BS20+'[4]LCT-7'!BS20+'[4]LCT-8'!BS20+'[5]TB-1'!BS20+'[5]TB-2'!BS20+'[5]TB-3'!BS20+'[5]TB-4'!BS20+'[5]TB-5'!BS20+'[5]TB-6'!BS20+'[5]TB-7'!BS20+'[5]TB-8'!BS20+'[5]TB-9'!BS20+'[5]TB-10'!BS20+'[6]DSV-1'!BS20+'[6]DSV-2'!BS20+'[6]DSV-3'!BS20+'[7]TUB-1'!BS20+'[7]TUB-2'!BS20+'[8]Barge-1'!BS20+'[8]Barge-2'!BS20+'[8]Barge-3'!BS20+'[8]Barge-4'!BS20</f>
        <v>2677.3410502660645</v>
      </c>
      <c r="H20" s="180">
        <f>'[2]AHTS-1'!CO20+'[2]AHTS-2'!CO20+'[2]AHTS-3'!CO20+'[2]AHTS-4'!CO20+'[2]AHTS-5'!CO20+'[2]AHTS-6'!CO20+'[2]AHTS-7'!CO20+'[2]AHTS-8'!CO20+'[3]CB-1'!CO20+'[3]CB-2'!CO20+'[3]CB-3'!CO20+'[3]CB-4'!CO20+'[3]CB-5'!CO20+'[3]CB-6'!CO20+'[3]CB-7'!CO20+'[3]CB-8'!CO20+'[3]CB-9'!CO20+'[3]CB-10'!CO20+'[3]CB-11'!CO20+'[3]CB-12'!CO20+'[3]CB-13'!CO20+'[3]CB-14'!CO20+'[3]CB-15'!CO20+'[3]CB-16'!CO20+'[3]CB-17'!CO20+'[3]CB-18'!CO20+'[3]CB-19'!CO20+'[3]CB-20'!CO20+'[3]CB-21'!CO20+'[3]CB-22'!CO20+'[3]CB-23'!CO20+'[3]CB-24'!CO20+'[4]LCT-1'!CO20+'[4]LCT-2'!CO20+'[4]LCT-3'!CO20+'[4]LCT-4'!CO20+'[4]LCT-5'!CO20+'[4]LCT-6'!CO20+'[4]LCT-7'!CO20+'[4]LCT-8'!CO20+'[5]TB-1'!CO20+'[5]TB-2'!CO20+'[5]TB-3'!CO20+'[5]TB-4'!CO20+'[5]TB-5'!CO20+'[5]TB-6'!CO20+'[5]TB-7'!CO20+'[5]TB-8'!CO20+'[5]TB-9'!CO20+'[5]TB-10'!CO20+'[6]DSV-1'!CO20+'[6]DSV-2'!CO20+'[6]DSV-3'!CO20+'[7]TUB-1'!CO20+'[7]TUB-2'!CO20+'[8]Barge-1'!CO20+'[8]Barge-2'!CO20+'[8]Barge-3'!CO20+'[8]Barge-4'!CO20</f>
        <v>0</v>
      </c>
      <c r="I20" s="179">
        <f>'[2]AHTS-1'!AX20+'[2]AHTS-2'!AX20+'[2]AHTS-3'!AX20+'[2]AHTS-4'!AX20+'[2]AHTS-5'!AX20+'[2]AHTS-6'!AX20+'[2]AHTS-7'!AX20+'[2]AHTS-8'!AX20+'[3]CB-1'!AX20+'[3]CB-2'!AX20+'[3]CB-3'!AX20+'[3]CB-4'!AX20+'[3]CB-5'!AX20+'[3]CB-6'!AX20+'[3]CB-7'!AX20+'[3]CB-8'!AX20+'[3]CB-9'!AX20+'[3]CB-10'!AX20+'[3]CB-11'!AX20+'[3]CB-12'!AX20+'[3]CB-13'!AX20+'[3]CB-14'!AX20+'[3]CB-15'!AX20+'[3]CB-16'!AX20+'[3]CB-17'!AX20+'[3]CB-18'!AX20+'[3]CB-19'!AX20+'[3]CB-20'!AX20+'[3]CB-21'!AX20+'[3]CB-22'!AX20+'[3]CB-23'!AX20+'[3]CB-24'!AX20+'[4]LCT-1'!AX20+'[4]LCT-2'!AX20+'[4]LCT-3'!AX20+'[4]LCT-4'!AX20+'[4]LCT-5'!AX20+'[4]LCT-6'!AX20+'[4]LCT-7'!AX20+'[4]LCT-8'!AX20+'[5]TB-1'!AX20+'[5]TB-2'!AX20+'[5]TB-3'!AX20+'[5]TB-4'!AX20+'[5]TB-5'!AX20+'[5]TB-6'!AX20+'[5]TB-7'!AX20+'[5]TB-8'!AX20+'[5]TB-9'!AX20+'[5]TB-10'!AX20+'[6]DSV-1'!AX20+'[6]DSV-2'!AX20+'[6]DSV-3'!AX20+'[7]TUB-1'!AX20+'[7]TUB-2'!AX20+'[8]Barge-1'!AX20+'[8]Barge-2'!AX20+'[8]Barge-3'!AX20+'[8]Barge-4'!AX20</f>
        <v>4005.9434338937294</v>
      </c>
      <c r="J20" s="180">
        <f>'[2]AHTS-1'!BT20+'[2]AHTS-2'!BT20+'[2]AHTS-3'!BT20+'[2]AHTS-4'!BT20+'[2]AHTS-5'!BT20+'[2]AHTS-6'!BT20+'[2]AHTS-7'!BT20+'[2]AHTS-8'!BT20+'[3]CB-1'!BT20+'[3]CB-2'!BT20+'[3]CB-3'!BT20+'[3]CB-4'!BT20+'[3]CB-5'!BT20+'[3]CB-6'!BT20+'[3]CB-7'!BT20+'[3]CB-8'!BT20+'[3]CB-9'!BT20+'[3]CB-10'!BT20+'[3]CB-11'!BT20+'[3]CB-12'!BT20+'[3]CB-13'!BT20+'[3]CB-14'!BT20+'[3]CB-15'!BT20+'[3]CB-16'!BT20+'[3]CB-17'!BT20+'[3]CB-18'!BT20+'[3]CB-19'!BT20+'[3]CB-20'!BT20+'[3]CB-21'!BT20+'[3]CB-22'!BT20+'[3]CB-23'!BT20+'[3]CB-24'!BT20+'[4]LCT-1'!BT20+'[4]LCT-2'!BT20+'[4]LCT-3'!BT20+'[4]LCT-4'!BT20+'[4]LCT-5'!BT20+'[4]LCT-6'!BT20+'[4]LCT-7'!BT20+'[4]LCT-8'!BT20+'[5]TB-1'!BT20+'[5]TB-2'!BT20+'[5]TB-3'!BT20+'[5]TB-4'!BT20+'[5]TB-5'!BT20+'[5]TB-6'!BT20+'[5]TB-7'!BT20+'[5]TB-8'!BT20+'[5]TB-9'!BT20+'[5]TB-10'!BT20+'[6]DSV-1'!BT20+'[6]DSV-2'!BT20+'[6]DSV-3'!BT20+'[7]TUB-1'!BT20+'[7]TUB-2'!BT20+'[8]Barge-1'!BT20+'[8]Barge-2'!BT20+'[8]Barge-3'!BT20+'[8]Barge-4'!BT20</f>
        <v>2888.549683054549</v>
      </c>
      <c r="K20" s="180">
        <f>'[2]AHTS-1'!CP20+'[2]AHTS-2'!CP20+'[2]AHTS-3'!CP20+'[2]AHTS-4'!CP20+'[2]AHTS-5'!CP20+'[2]AHTS-6'!CP20+'[2]AHTS-7'!CP20+'[2]AHTS-8'!CP20+'[3]CB-1'!CP20+'[3]CB-2'!CP20+'[3]CB-3'!CP20+'[3]CB-4'!CP20+'[3]CB-5'!CP20+'[3]CB-6'!CP20+'[3]CB-7'!CP20+'[3]CB-8'!CP20+'[3]CB-9'!CP20+'[3]CB-10'!CP20+'[3]CB-11'!CP20+'[3]CB-12'!CP20+'[3]CB-13'!CP20+'[3]CB-14'!CP20+'[3]CB-15'!CP20+'[3]CB-16'!CP20+'[3]CB-17'!CP20+'[3]CB-18'!CP20+'[3]CB-19'!CP20+'[3]CB-20'!CP20+'[3]CB-21'!CP20+'[3]CB-22'!CP20+'[3]CB-23'!CP20+'[3]CB-24'!CP20+'[4]LCT-1'!CP20+'[4]LCT-2'!CP20+'[4]LCT-3'!CP20+'[4]LCT-4'!CP20+'[4]LCT-5'!CP20+'[4]LCT-6'!CP20+'[4]LCT-7'!CP20+'[4]LCT-8'!CP20+'[5]TB-1'!CP20+'[5]TB-2'!CP20+'[5]TB-3'!CP20+'[5]TB-4'!CP20+'[5]TB-5'!CP20+'[5]TB-6'!CP20+'[5]TB-7'!CP20+'[5]TB-8'!CP20+'[5]TB-9'!CP20+'[5]TB-10'!CP20+'[6]DSV-1'!CP20+'[6]DSV-2'!CP20+'[6]DSV-3'!CP20+'[7]TUB-1'!CP20+'[7]TUB-2'!CP20+'[8]Barge-1'!CP20+'[8]Barge-2'!CP20+'[8]Barge-3'!CP20+'[8]Barge-4'!CP20</f>
        <v>0</v>
      </c>
      <c r="L20" s="181">
        <f>'[2]AHTS-1'!AY20+'[2]AHTS-2'!AY20+'[2]AHTS-3'!AY20+'[2]AHTS-4'!AY20+'[2]AHTS-5'!AY20+'[2]AHTS-6'!AY20+'[2]AHTS-7'!AY20+'[2]AHTS-8'!AY20+'[3]CB-1'!AY20+'[3]CB-2'!AY20+'[3]CB-3'!AY20+'[3]CB-4'!AY20+'[3]CB-5'!AY20+'[3]CB-6'!AY20+'[3]CB-7'!AY20+'[3]CB-8'!AY20+'[3]CB-9'!AY20+'[3]CB-10'!AY20+'[3]CB-11'!AY20+'[3]CB-12'!AY20+'[3]CB-13'!AY20+'[3]CB-14'!AY20+'[3]CB-15'!AY20+'[3]CB-16'!AY20+'[3]CB-17'!AY20+'[3]CB-18'!AY20+'[3]CB-19'!AY20+'[3]CB-20'!AY20+'[3]CB-21'!AY20+'[3]CB-22'!AY20+'[3]CB-23'!AY20+'[3]CB-24'!AY20+'[4]LCT-1'!AY20+'[4]LCT-2'!AY20+'[4]LCT-3'!AY20+'[4]LCT-4'!AY20+'[4]LCT-5'!AY20+'[4]LCT-6'!AY20+'[4]LCT-7'!AY20+'[4]LCT-8'!AY20+'[5]TB-1'!AY20+'[5]TB-2'!AY20+'[5]TB-3'!AY20+'[5]TB-4'!AY20+'[5]TB-5'!AY20+'[5]TB-6'!AY20+'[5]TB-7'!AY20+'[5]TB-8'!AY20+'[5]TB-9'!AY20+'[5]TB-10'!AY20+'[6]DSV-1'!AY20+'[6]DSV-2'!AY20+'[6]DSV-3'!AY20+'[7]TUB-1'!AY20+'[7]TUB-2'!AY20+'[8]Barge-1'!AY20+'[8]Barge-2'!AY20+'[8]Barge-3'!AY20+'[8]Barge-4'!AY20</f>
        <v>2691.1530878331105</v>
      </c>
      <c r="M20" s="182">
        <f>'[2]AHTS-1'!BU20+'[2]AHTS-2'!BU20+'[2]AHTS-3'!BU20+'[2]AHTS-4'!BU20+'[2]AHTS-5'!BU20+'[2]AHTS-6'!BU20+'[2]AHTS-7'!BU20+'[2]AHTS-8'!BU20+'[3]CB-1'!BU20+'[3]CB-2'!BU20+'[3]CB-3'!BU20+'[3]CB-4'!BU20+'[3]CB-5'!BU20+'[3]CB-6'!BU20+'[3]CB-7'!BU20+'[3]CB-8'!BU20+'[3]CB-9'!BU20+'[3]CB-10'!BU20+'[3]CB-11'!BU20+'[3]CB-12'!BU20+'[3]CB-13'!BU20+'[3]CB-14'!BU20+'[3]CB-15'!BU20+'[3]CB-16'!BU20+'[3]CB-17'!BU20+'[3]CB-18'!BU20+'[3]CB-19'!BU20+'[3]CB-20'!BU20+'[3]CB-21'!BU20+'[3]CB-22'!BU20+'[3]CB-23'!BU20+'[3]CB-24'!BU20+'[4]LCT-1'!BU20+'[4]LCT-2'!BU20+'[4]LCT-3'!BU20+'[4]LCT-4'!BU20+'[4]LCT-5'!BU20+'[4]LCT-6'!BU20+'[4]LCT-7'!BU20+'[4]LCT-8'!BU20+'[5]TB-1'!BU20+'[5]TB-2'!BU20+'[5]TB-3'!BU20+'[5]TB-4'!BU20+'[5]TB-5'!BU20+'[5]TB-6'!BU20+'[5]TB-7'!BU20+'[5]TB-8'!BU20+'[5]TB-9'!BU20+'[5]TB-10'!BU20+'[6]DSV-1'!BU20+'[6]DSV-2'!BU20+'[6]DSV-3'!BU20+'[7]TUB-1'!BU20+'[7]TUB-2'!BU20+'[8]Barge-1'!BU20+'[8]Barge-2'!BU20+'[8]Barge-3'!BU20+'[8]Barge-4'!BU20</f>
        <v>4019.5891369331553</v>
      </c>
      <c r="N20" s="182">
        <f>'[2]AHTS-1'!CQ20+'[2]AHTS-2'!CQ20+'[2]AHTS-3'!CQ20+'[2]AHTS-4'!CQ20+'[2]AHTS-5'!CQ20+'[2]AHTS-6'!CQ20+'[2]AHTS-7'!CQ20+'[2]AHTS-8'!CQ20+'[3]CB-1'!CQ20+'[3]CB-2'!CQ20+'[3]CB-3'!CQ20+'[3]CB-4'!CQ20+'[3]CB-5'!CQ20+'[3]CB-6'!CQ20+'[3]CB-7'!CQ20+'[3]CB-8'!CQ20+'[3]CB-9'!CQ20+'[3]CB-10'!CQ20+'[3]CB-11'!CQ20+'[3]CB-12'!CQ20+'[3]CB-13'!CQ20+'[3]CB-14'!CQ20+'[3]CB-15'!CQ20+'[3]CB-16'!CQ20+'[3]CB-17'!CQ20+'[3]CB-18'!CQ20+'[3]CB-19'!CQ20+'[3]CB-20'!CQ20+'[3]CB-21'!CQ20+'[3]CB-22'!CQ20+'[3]CB-23'!CQ20+'[3]CB-24'!CQ20+'[4]LCT-1'!CQ20+'[4]LCT-2'!CQ20+'[4]LCT-3'!CQ20+'[4]LCT-4'!CQ20+'[4]LCT-5'!CQ20+'[4]LCT-6'!CQ20+'[4]LCT-7'!CQ20+'[4]LCT-8'!CQ20+'[5]TB-1'!CQ20+'[5]TB-2'!CQ20+'[5]TB-3'!CQ20+'[5]TB-4'!CQ20+'[5]TB-5'!CQ20+'[5]TB-6'!CQ20+'[5]TB-7'!CQ20+'[5]TB-8'!CQ20+'[5]TB-9'!CQ20+'[5]TB-10'!CQ20+'[6]DSV-1'!CQ20+'[6]DSV-2'!CQ20+'[6]DSV-3'!CQ20+'[7]TUB-1'!CQ20+'[7]TUB-2'!CQ20+'[8]Barge-1'!CQ20+'[8]Barge-2'!CQ20+'[8]Barge-3'!CQ20+'[8]Barge-4'!CQ20</f>
        <v>0</v>
      </c>
      <c r="O20" s="179">
        <f>'[2]AHTS-1'!AZ20+'[2]AHTS-2'!AZ20+'[2]AHTS-3'!AZ20+'[2]AHTS-4'!AZ20+'[2]AHTS-5'!AZ20+'[2]AHTS-6'!AZ20+'[2]AHTS-7'!AZ20+'[2]AHTS-8'!AZ20+'[3]CB-1'!AZ20+'[3]CB-2'!AZ20+'[3]CB-3'!AZ20+'[3]CB-4'!AZ20+'[3]CB-5'!AZ20+'[3]CB-6'!AZ20+'[3]CB-7'!AZ20+'[3]CB-8'!AZ20+'[3]CB-9'!AZ20+'[3]CB-10'!AZ20+'[3]CB-11'!AZ20+'[3]CB-12'!AZ20+'[3]CB-13'!AZ20+'[3]CB-14'!AZ20+'[3]CB-15'!AZ20+'[3]CB-16'!AZ20+'[3]CB-17'!AZ20+'[3]CB-18'!AZ20+'[3]CB-19'!AZ20+'[3]CB-20'!AZ20+'[3]CB-21'!AZ20+'[3]CB-22'!AZ20+'[3]CB-23'!AZ20+'[3]CB-24'!AZ20+'[4]LCT-1'!AZ20+'[4]LCT-2'!AZ20+'[4]LCT-3'!AZ20+'[4]LCT-4'!AZ20+'[4]LCT-5'!AZ20+'[4]LCT-6'!AZ20+'[4]LCT-7'!AZ20+'[4]LCT-8'!AZ20+'[5]TB-1'!AZ20+'[5]TB-2'!AZ20+'[5]TB-3'!AZ20+'[5]TB-4'!AZ20+'[5]TB-5'!AZ20+'[5]TB-6'!AZ20+'[5]TB-7'!AZ20+'[5]TB-8'!AZ20+'[5]TB-9'!AZ20+'[5]TB-10'!AZ20+'[6]DSV-1'!AZ20+'[6]DSV-2'!AZ20+'[6]DSV-3'!AZ20+'[7]TUB-1'!AZ20+'[7]TUB-2'!AZ20+'[8]Barge-1'!AZ20+'[8]Barge-2'!AZ20+'[8]Barge-3'!AZ20+'[8]Barge-4'!AZ20</f>
        <v>26.192520511352797</v>
      </c>
      <c r="P20" s="180">
        <f>'[2]AHTS-1'!BV20+'[2]AHTS-2'!BV20+'[2]AHTS-3'!BV20+'[2]AHTS-4'!BV20+'[2]AHTS-5'!BV20+'[2]AHTS-6'!BV20+'[2]AHTS-7'!BV20+'[2]AHTS-8'!BV20+'[3]CB-1'!BV20+'[3]CB-2'!BV20+'[3]CB-3'!BV20+'[3]CB-4'!BV20+'[3]CB-5'!BV20+'[3]CB-6'!BV20+'[3]CB-7'!BV20+'[3]CB-8'!BV20+'[3]CB-9'!BV20+'[3]CB-10'!BV20+'[3]CB-11'!BV20+'[3]CB-12'!BV20+'[3]CB-13'!BV20+'[3]CB-14'!BV20+'[3]CB-15'!BV20+'[3]CB-16'!BV20+'[3]CB-17'!BV20+'[3]CB-18'!BV20+'[3]CB-19'!BV20+'[3]CB-20'!BV20+'[3]CB-21'!BV20+'[3]CB-22'!BV20+'[3]CB-23'!BV20+'[3]CB-24'!BV20+'[4]LCT-1'!BV20+'[4]LCT-2'!BV20+'[4]LCT-3'!BV20+'[4]LCT-4'!BV20+'[4]LCT-5'!BV20+'[4]LCT-6'!BV20+'[4]LCT-7'!BV20+'[4]LCT-8'!BV20+'[5]TB-1'!BV20+'[5]TB-2'!BV20+'[5]TB-3'!BV20+'[5]TB-4'!BV20+'[5]TB-5'!BV20+'[5]TB-6'!BV20+'[5]TB-7'!BV20+'[5]TB-8'!BV20+'[5]TB-9'!BV20+'[5]TB-10'!BV20+'[6]DSV-1'!BV20+'[6]DSV-2'!BV20+'[6]DSV-3'!BV20+'[7]TUB-1'!BV20+'[7]TUB-2'!BV20+'[8]Barge-1'!BV20+'[8]Barge-2'!BV20+'[8]Barge-3'!BV20+'[8]Barge-4'!BV20</f>
        <v>206.70355530115117</v>
      </c>
      <c r="Q20" s="180">
        <f>'[2]AHTS-1'!CR20+'[2]AHTS-2'!CR20+'[2]AHTS-3'!CR20+'[2]AHTS-4'!CR20+'[2]AHTS-5'!CR20+'[2]AHTS-6'!CR20+'[2]AHTS-7'!CR20+'[2]AHTS-8'!CR20+'[3]CB-1'!CR20+'[3]CB-2'!CR20+'[3]CB-3'!CR20+'[3]CB-4'!CR20+'[3]CB-5'!CR20+'[3]CB-6'!CR20+'[3]CB-7'!CR20+'[3]CB-8'!CR20+'[3]CB-9'!CR20+'[3]CB-10'!CR20+'[3]CB-11'!CR20+'[3]CB-12'!CR20+'[3]CB-13'!CR20+'[3]CB-14'!CR20+'[3]CB-15'!CR20+'[3]CB-16'!CR20+'[3]CB-17'!CR20+'[3]CB-18'!CR20+'[3]CB-19'!CR20+'[3]CB-20'!CR20+'[3]CB-21'!CR20+'[3]CB-22'!CR20+'[3]CB-23'!CR20+'[3]CB-24'!CR20+'[4]LCT-1'!CR20+'[4]LCT-2'!CR20+'[4]LCT-3'!CR20+'[4]LCT-4'!CR20+'[4]LCT-5'!CR20+'[4]LCT-6'!CR20+'[4]LCT-7'!CR20+'[4]LCT-8'!CR20+'[5]TB-1'!CR20+'[5]TB-2'!CR20+'[5]TB-3'!CR20+'[5]TB-4'!CR20+'[5]TB-5'!CR20+'[5]TB-6'!CR20+'[5]TB-7'!CR20+'[5]TB-8'!CR20+'[5]TB-9'!CR20+'[5]TB-10'!CR20+'[6]DSV-1'!CR20+'[6]DSV-2'!CR20+'[6]DSV-3'!CR20+'[7]TUB-1'!CR20+'[7]TUB-2'!CR20+'[8]Barge-1'!CR20+'[8]Barge-2'!CR20+'[8]Barge-3'!CR20+'[8]Barge-4'!CR20</f>
        <v>0</v>
      </c>
      <c r="R20" s="183">
        <f>'[2]AHTS-1'!BA20+'[2]AHTS-2'!BA20+'[2]AHTS-3'!BA20+'[2]AHTS-4'!BA20+'[2]AHTS-5'!BA20+'[2]AHTS-6'!BA20+'[2]AHTS-7'!BA20+'[2]AHTS-8'!BA20+'[3]CB-1'!BA20+'[3]CB-2'!BA20+'[3]CB-3'!BA20+'[3]CB-4'!BA20+'[3]CB-5'!BA20+'[3]CB-6'!BA20+'[3]CB-7'!BA20+'[3]CB-8'!BA20+'[3]CB-9'!BA20+'[3]CB-10'!BA20+'[3]CB-11'!BA20+'[3]CB-12'!BA20+'[3]CB-13'!BA20+'[3]CB-14'!BA20+'[3]CB-15'!BA20+'[3]CB-16'!BA20+'[3]CB-17'!BA20+'[3]CB-18'!BA20+'[3]CB-19'!BA20+'[3]CB-20'!BA20+'[3]CB-21'!BA20+'[3]CB-22'!BA20+'[3]CB-23'!BA20+'[3]CB-24'!BA20+'[4]LCT-1'!BA20+'[4]LCT-2'!BA20+'[4]LCT-3'!BA20+'[4]LCT-4'!BA20+'[4]LCT-5'!BA20+'[4]LCT-6'!BA20+'[4]LCT-7'!BA20+'[4]LCT-8'!BA20+'[5]TB-1'!BA20+'[5]TB-2'!BA20+'[5]TB-3'!BA20+'[5]TB-4'!BA20+'[5]TB-5'!BA20+'[5]TB-6'!BA20+'[5]TB-7'!BA20+'[5]TB-8'!BA20+'[5]TB-9'!BA20+'[5]TB-10'!BA20+'[6]DSV-1'!BA20+'[6]DSV-2'!BA20+'[6]DSV-3'!BA20+'[7]TUB-1'!BA20+'[7]TUB-2'!BA20+'[8]Barge-1'!BA20+'[8]Barge-2'!BA20+'[8]Barge-3'!BA20+'[8]Barge-4'!BA20</f>
        <v>5099.8378172104567</v>
      </c>
      <c r="S20" s="180">
        <f>'[2]AHTS-1'!BW20+'[2]AHTS-2'!BW20+'[2]AHTS-3'!BW20+'[2]AHTS-4'!BW20+'[2]AHTS-5'!BW20+'[2]AHTS-6'!BW20+'[2]AHTS-7'!BW20+'[2]AHTS-8'!BW20+'[3]CB-1'!BW20+'[3]CB-2'!BW20+'[3]CB-3'!BW20+'[3]CB-4'!BW20+'[3]CB-5'!BW20+'[3]CB-6'!BW20+'[3]CB-7'!BW20+'[3]CB-8'!BW20+'[3]CB-9'!BW20+'[3]CB-10'!BW20+'[3]CB-11'!BW20+'[3]CB-12'!BW20+'[3]CB-13'!BW20+'[3]CB-14'!BW20+'[3]CB-15'!BW20+'[3]CB-16'!BW20+'[3]CB-17'!BW20+'[3]CB-18'!BW20+'[3]CB-19'!BW20+'[3]CB-20'!BW20+'[3]CB-21'!BW20+'[3]CB-22'!BW20+'[3]CB-23'!BW20+'[3]CB-24'!BW20+'[4]LCT-1'!BW20+'[4]LCT-2'!BW20+'[4]LCT-3'!BW20+'[4]LCT-4'!BW20+'[4]LCT-5'!BW20+'[4]LCT-6'!BW20+'[4]LCT-7'!BW20+'[4]LCT-8'!BW20+'[5]TB-1'!BW20+'[5]TB-2'!BW20+'[5]TB-3'!BW20+'[5]TB-4'!BW20+'[5]TB-5'!BW20+'[5]TB-6'!BW20+'[5]TB-7'!BW20+'[5]TB-8'!BW20+'[5]TB-9'!BW20+'[5]TB-10'!BW20+'[6]DSV-1'!BW20+'[6]DSV-2'!BW20+'[6]DSV-3'!BW20+'[7]TUB-1'!BW20+'[7]TUB-2'!BW20+'[8]Barge-1'!BW20+'[8]Barge-2'!BW20+'[8]Barge-3'!BW20+'[8]Barge-4'!BW20</f>
        <v>5293.2010430579403</v>
      </c>
      <c r="T20" s="184">
        <f>'[2]AHTS-1'!CS20+'[2]AHTS-2'!CS20+'[2]AHTS-3'!CS20+'[2]AHTS-4'!CS20+'[2]AHTS-5'!CS20+'[2]AHTS-6'!CS20+'[2]AHTS-7'!CS20+'[2]AHTS-8'!CS20+'[3]CB-1'!CS20+'[3]CB-2'!CS20+'[3]CB-3'!CS20+'[3]CB-4'!CS20+'[3]CB-5'!CS20+'[3]CB-6'!CS20+'[3]CB-7'!CS20+'[3]CB-8'!CS20+'[3]CB-9'!CS20+'[3]CB-10'!CS20+'[3]CB-11'!CS20+'[3]CB-12'!CS20+'[3]CB-13'!CS20+'[3]CB-14'!CS20+'[3]CB-15'!CS20+'[3]CB-16'!CS20+'[3]CB-17'!CS20+'[3]CB-18'!CS20+'[3]CB-19'!CS20+'[3]CB-20'!CS20+'[3]CB-21'!CS20+'[3]CB-22'!CS20+'[3]CB-23'!CS20+'[3]CB-24'!CS20+'[4]LCT-1'!CS20+'[4]LCT-2'!CS20+'[4]LCT-3'!CS20+'[4]LCT-4'!CS20+'[4]LCT-5'!CS20+'[4]LCT-6'!CS20+'[4]LCT-7'!CS20+'[4]LCT-8'!CS20+'[5]TB-1'!CS20+'[5]TB-2'!CS20+'[5]TB-3'!CS20+'[5]TB-4'!CS20+'[5]TB-5'!CS20+'[5]TB-6'!CS20+'[5]TB-7'!CS20+'[5]TB-8'!CS20+'[5]TB-9'!CS20+'[5]TB-10'!CS20+'[6]DSV-1'!CS20+'[6]DSV-2'!CS20+'[6]DSV-3'!CS20+'[7]TUB-1'!CS20+'[7]TUB-2'!CS20+'[8]Barge-1'!CS20+'[8]Barge-2'!CS20+'[8]Barge-3'!CS20+'[8]Barge-4'!CS20</f>
        <v>0</v>
      </c>
      <c r="U20" s="183">
        <f>'[2]AHTS-1'!BB20+'[2]AHTS-2'!BB20+'[2]AHTS-3'!BB20+'[2]AHTS-4'!BB20+'[2]AHTS-5'!BB20+'[2]AHTS-6'!BB20+'[2]AHTS-7'!BB20+'[2]AHTS-8'!BB20+'[3]CB-1'!BB20+'[3]CB-2'!BB20+'[3]CB-3'!BB20+'[3]CB-4'!BB20+'[3]CB-5'!BB20+'[3]CB-6'!BB20+'[3]CB-7'!BB20+'[3]CB-8'!BB20+'[3]CB-9'!BB20+'[3]CB-10'!BB20+'[3]CB-11'!BB20+'[3]CB-12'!BB20+'[3]CB-13'!BB20+'[3]CB-14'!BB20+'[3]CB-15'!BB20+'[3]CB-16'!BB20+'[3]CB-17'!BB20+'[3]CB-18'!BB20+'[3]CB-19'!BB20+'[3]CB-20'!BB20+'[3]CB-21'!BB20+'[3]CB-22'!BB20+'[3]CB-23'!BB20+'[3]CB-24'!BB20+'[4]LCT-1'!BB20+'[4]LCT-2'!BB20+'[4]LCT-3'!BB20+'[4]LCT-4'!BB20+'[4]LCT-5'!BB20+'[4]LCT-6'!BB20+'[4]LCT-7'!BB20+'[4]LCT-8'!BB20+'[5]TB-1'!BB20+'[5]TB-2'!BB20+'[5]TB-3'!BB20+'[5]TB-4'!BB20+'[5]TB-5'!BB20+'[5]TB-6'!BB20+'[5]TB-7'!BB20+'[5]TB-8'!BB20+'[5]TB-9'!BB20+'[5]TB-10'!BB20+'[6]DSV-1'!BB20+'[6]DSV-2'!BB20+'[6]DSV-3'!BB20+'[7]TUB-1'!BB20+'[7]TUB-2'!BB20+'[8]Barge-1'!BB20+'[8]Barge-2'!BB20+'[8]Barge-3'!BB20+'[8]Barge-4'!BB20</f>
        <v>0</v>
      </c>
      <c r="V20" s="180">
        <f>'[2]AHTS-1'!BX20+'[2]AHTS-2'!BX20+'[2]AHTS-3'!BX20+'[2]AHTS-4'!BX20+'[2]AHTS-5'!BX20+'[2]AHTS-6'!BX20+'[2]AHTS-7'!BX20+'[2]AHTS-8'!BX20+'[3]CB-1'!BX20+'[3]CB-2'!BX20+'[3]CB-3'!BX20+'[3]CB-4'!BX20+'[3]CB-5'!BX20+'[3]CB-6'!BX20+'[3]CB-7'!BX20+'[3]CB-8'!BX20+'[3]CB-9'!BX20+'[3]CB-10'!BX20+'[3]CB-11'!BX20+'[3]CB-12'!BX20+'[3]CB-13'!BX20+'[3]CB-14'!BX20+'[3]CB-15'!BX20+'[3]CB-16'!BX20+'[3]CB-17'!BX20+'[3]CB-18'!BX20+'[3]CB-19'!BX20+'[3]CB-20'!BX20+'[3]CB-21'!BX20+'[3]CB-22'!BX20+'[3]CB-23'!BX20+'[3]CB-24'!BX20+'[4]LCT-1'!BX20+'[4]LCT-2'!BX20+'[4]LCT-3'!BX20+'[4]LCT-4'!BX20+'[4]LCT-5'!BX20+'[4]LCT-6'!BX20+'[4]LCT-7'!BX20+'[4]LCT-8'!BX20+'[5]TB-1'!BX20+'[5]TB-2'!BX20+'[5]TB-3'!BX20+'[5]TB-4'!BX20+'[5]TB-5'!BX20+'[5]TB-6'!BX20+'[5]TB-7'!BX20+'[5]TB-8'!BX20+'[5]TB-9'!BX20+'[5]TB-10'!BX20+'[6]DSV-1'!BX20+'[6]DSV-2'!BX20+'[6]DSV-3'!BX20+'[7]TUB-1'!BX20+'[7]TUB-2'!BX20+'[8]Barge-1'!BX20+'[8]Barge-2'!BX20+'[8]Barge-3'!BX20+'[8]Barge-4'!BX20</f>
        <v>0</v>
      </c>
      <c r="W20" s="184">
        <f>'[2]AHTS-1'!CT20+'[2]AHTS-2'!CT20+'[2]AHTS-3'!CT20+'[2]AHTS-4'!CT20+'[2]AHTS-5'!CT20+'[2]AHTS-6'!CT20+'[2]AHTS-7'!CT20+'[2]AHTS-8'!CT20+'[3]CB-1'!CT20+'[3]CB-2'!CT20+'[3]CB-3'!CT20+'[3]CB-4'!CT20+'[3]CB-5'!CT20+'[3]CB-6'!CT20+'[3]CB-7'!CT20+'[3]CB-8'!CT20+'[3]CB-9'!CT20+'[3]CB-10'!CT20+'[3]CB-11'!CT20+'[3]CB-12'!CT20+'[3]CB-13'!CT20+'[3]CB-14'!CT20+'[3]CB-15'!CT20+'[3]CB-16'!CT20+'[3]CB-17'!CT20+'[3]CB-18'!CT20+'[3]CB-19'!CT20+'[3]CB-20'!CT20+'[3]CB-21'!CT20+'[3]CB-22'!CT20+'[3]CB-23'!CT20+'[3]CB-24'!CT20+'[4]LCT-1'!CT20+'[4]LCT-2'!CT20+'[4]LCT-3'!CT20+'[4]LCT-4'!CT20+'[4]LCT-5'!CT20+'[4]LCT-6'!CT20+'[4]LCT-7'!CT20+'[4]LCT-8'!CT20+'[5]TB-1'!CT20+'[5]TB-2'!CT20+'[5]TB-3'!CT20+'[5]TB-4'!CT20+'[5]TB-5'!CT20+'[5]TB-6'!CT20+'[5]TB-7'!CT20+'[5]TB-8'!CT20+'[5]TB-9'!CT20+'[5]TB-10'!CT20+'[6]DSV-1'!CT20+'[6]DSV-2'!CT20+'[6]DSV-3'!CT20+'[7]TUB-1'!CT20+'[7]TUB-2'!CT20+'[8]Barge-1'!CT20+'[8]Barge-2'!CT20+'[8]Barge-3'!CT20+'[8]Barge-4'!CT20</f>
        <v>0</v>
      </c>
      <c r="X20" s="67"/>
      <c r="Y20" s="67"/>
      <c r="Z20" s="68"/>
      <c r="AA20" s="111">
        <f>[1]Control!AZ20</f>
        <v>45995</v>
      </c>
      <c r="AB20" s="66"/>
      <c r="AC20" s="132">
        <f>'[2]AHTS-1'!IC58+'[2]AHTS-2'!IC58+'[2]AHTS-3'!IC58+'[2]AHTS-4'!IC58+'[2]AHTS-5'!IC58+'[2]AHTS-6'!IC58+'[2]AHTS-7'!IC58+'[2]AHTS-8'!IC58+'[3]CB-1'!IC58+'[3]CB-2'!IC58+'[3]CB-3'!IC58+'[3]CB-4'!IC58+'[3]CB-5'!IC58+'[3]CB-6'!IC58+'[3]CB-7'!IC58+'[3]CB-8'!IC58+'[3]CB-9'!IC58+'[3]CB-10'!IC58+'[3]CB-11'!IC58+'[3]CB-12'!IC58+'[3]CB-13'!IC58+'[3]CB-14'!IC58+'[3]CB-15'!IC58+'[3]CB-16'!IC58+'[3]CB-17'!IC58+'[3]CB-18'!IC58+'[3]CB-19'!IC58+'[3]CB-20'!IC58+'[3]CB-21'!IC58+'[3]CB-22'!IC58+'[3]CB-23'!IC58+'[3]CB-24'!IC58+'[4]LCT-1'!IC58+'[4]LCT-2'!IC58+'[4]LCT-3'!IC58+'[4]LCT-4'!IC58+'[4]LCT-5'!IC58+'[4]LCT-6'!IC58+'[4]LCT-7'!IC58+'[4]LCT-8'!IC58+'[5]TB-1'!IC58+'[5]TB-2'!IC58+'[5]TB-3'!IC58+'[5]TB-4'!IC58+'[5]TB-5'!IC58+'[5]TB-6'!IC58+'[5]TB-7'!IC58+'[5]TB-8'!IC58+'[5]TB-9'!IC58+'[5]TB-10'!IC58+'[6]DSV-1'!IC58+'[6]DSV-2'!IC58+'[6]DSV-3'!IC58+'[7]TUB-1'!IC58+'[7]TUB-2'!IC58+'[8]Barge-1'!IC58+'[8]Barge-2'!IC58+'[8]Barge-3'!IC58+'[8]Barge-4'!IC58</f>
        <v>0</v>
      </c>
      <c r="AD20" s="133">
        <f>'[2]AHTS-1'!IC20+'[2]AHTS-2'!IC20+'[2]AHTS-3'!IC20+'[2]AHTS-4'!IC20+'[2]AHTS-5'!IC20+'[2]AHTS-6'!IC20+'[2]AHTS-7'!IC20+'[2]AHTS-8'!IC20+'[3]CB-1'!IC20+'[3]CB-2'!IC20+'[3]CB-3'!IC20+'[3]CB-4'!IC20+'[3]CB-5'!IC20+'[3]CB-6'!IC20+'[3]CB-7'!IC20+'[3]CB-8'!IC20+'[3]CB-9'!IC20+'[3]CB-10'!IC20+'[3]CB-11'!IC20+'[3]CB-12'!IC20+'[3]CB-13'!IC20+'[3]CB-14'!IC20+'[3]CB-15'!IC20+'[3]CB-16'!IC20+'[3]CB-17'!IC20+'[3]CB-18'!IC20+'[3]CB-19'!IC20+'[3]CB-20'!IC20+'[3]CB-21'!IC20+'[3]CB-22'!IC20+'[3]CB-23'!IC20+'[3]CB-24'!IC20+'[4]LCT-1'!IC20+'[4]LCT-2'!IC20+'[4]LCT-3'!IC20+'[4]LCT-4'!IC20+'[4]LCT-5'!IC20+'[4]LCT-6'!IC20+'[4]LCT-7'!IC20+'[4]LCT-8'!IC20+'[5]TB-1'!IC20+'[5]TB-2'!IC20+'[5]TB-3'!IC20+'[5]TB-4'!IC20+'[5]TB-5'!IC20+'[5]TB-6'!IC20+'[5]TB-7'!IC20+'[5]TB-8'!IC20+'[5]TB-9'!IC20+'[5]TB-10'!IC20+'[6]DSV-1'!IC20+'[6]DSV-2'!IC20+'[6]DSV-3'!IC20+'[7]TUB-1'!IC20+'[7]TUB-2'!IC20+'[8]Barge-1'!IC20+'[8]Barge-2'!IC20+'[8]Barge-3'!IC20+'[8]Barge-4'!IC20</f>
        <v>0</v>
      </c>
      <c r="AE20" s="134">
        <f>'[2]AHTS-1'!IC91+'[2]AHTS-2'!IC91+'[2]AHTS-3'!IC91+'[2]AHTS-4'!IC91+'[2]AHTS-5'!IC91+'[2]AHTS-6'!IC91+'[2]AHTS-7'!IC91+'[2]AHTS-8'!IC91+'[3]CB-1'!IC91+'[3]CB-2'!IC91+'[3]CB-3'!IC91+'[3]CB-4'!IC91+'[3]CB-5'!IC91+'[3]CB-6'!IC91+'[3]CB-7'!IC91+'[3]CB-8'!IC91+'[3]CB-9'!IC91+'[3]CB-10'!IC91+'[3]CB-11'!IC91+'[3]CB-12'!IC91+'[3]CB-13'!IC91+'[3]CB-14'!IC91+'[3]CB-15'!IC91+'[3]CB-16'!IC91+'[3]CB-17'!IC91+'[3]CB-18'!IC91+'[3]CB-19'!IC91+'[3]CB-20'!IC91+'[3]CB-21'!IC91+'[3]CB-22'!IC91+'[3]CB-23'!IC91+'[3]CB-24'!IC91+'[4]LCT-1'!IC91+'[4]LCT-2'!IC91+'[4]LCT-3'!IC91+'[4]LCT-4'!IC91+'[4]LCT-5'!IC91+'[4]LCT-6'!IC91+'[4]LCT-7'!IC91+'[4]LCT-8'!IC91+'[5]TB-1'!IC91+'[5]TB-2'!IC91+'[5]TB-3'!IC91+'[5]TB-4'!IC91+'[5]TB-5'!IC91+'[5]TB-6'!IC91+'[5]TB-7'!IC91+'[5]TB-8'!IC91+'[5]TB-9'!IC91+'[5]TB-10'!IC91+'[6]DSV-1'!IC91+'[6]DSV-2'!IC91+'[6]DSV-3'!IC91+'[7]TUB-1'!IC91+'[7]TUB-2'!IC91+'[8]Barge-1'!IC91+'[8]Barge-2'!IC91+'[8]Barge-3'!IC91+'[8]Barge-4'!IC91</f>
        <v>0</v>
      </c>
      <c r="AF20" s="135">
        <f>'[2]AHTS-1'!ID58+'[2]AHTS-2'!ID58+'[2]AHTS-3'!ID58+'[2]AHTS-4'!ID58+'[2]AHTS-5'!ID58+'[2]AHTS-6'!ID58+'[2]AHTS-7'!ID58+'[2]AHTS-8'!ID58+'[3]CB-1'!ID58+'[3]CB-2'!ID58+'[3]CB-3'!ID58+'[3]CB-4'!ID58+'[3]CB-5'!ID58+'[3]CB-6'!ID58+'[3]CB-7'!ID58+'[3]CB-8'!ID58+'[3]CB-9'!ID58+'[3]CB-10'!ID58+'[3]CB-11'!ID58+'[3]CB-12'!ID58+'[3]CB-13'!ID58+'[3]CB-14'!ID58+'[3]CB-15'!ID58+'[3]CB-16'!ID58+'[3]CB-17'!ID58+'[3]CB-18'!ID58+'[3]CB-19'!ID58+'[3]CB-20'!ID58+'[3]CB-21'!ID58+'[3]CB-22'!ID58+'[3]CB-23'!ID58+'[3]CB-24'!ID58+'[4]LCT-1'!ID58+'[4]LCT-2'!ID58+'[4]LCT-3'!ID58+'[4]LCT-4'!ID58+'[4]LCT-5'!ID58+'[4]LCT-6'!ID58+'[4]LCT-7'!ID58+'[4]LCT-8'!ID58+'[5]TB-1'!ID58+'[5]TB-2'!ID58+'[5]TB-3'!ID58+'[5]TB-4'!ID58+'[5]TB-5'!ID58+'[5]TB-6'!ID58+'[5]TB-7'!ID58+'[5]TB-8'!ID58+'[5]TB-9'!ID58+'[5]TB-10'!ID58+'[6]DSV-1'!ID58+'[6]DSV-2'!ID58+'[6]DSV-3'!ID58+'[7]TUB-1'!ID58+'[7]TUB-2'!ID58+'[8]Barge-1'!ID58+'[8]Barge-2'!ID58+'[8]Barge-3'!ID58+'[8]Barge-4'!ID58</f>
        <v>30073094.444444444</v>
      </c>
      <c r="AG20" s="136">
        <f>'[2]AHTS-1'!ID20+'[2]AHTS-2'!ID20+'[2]AHTS-3'!ID20+'[2]AHTS-4'!ID20+'[2]AHTS-5'!ID20+'[2]AHTS-6'!ID20+'[2]AHTS-7'!ID20+'[2]AHTS-8'!ID20+'[3]CB-1'!ID20+'[3]CB-2'!ID20+'[3]CB-3'!ID20+'[3]CB-4'!ID20+'[3]CB-5'!ID20+'[3]CB-6'!ID20+'[3]CB-7'!ID20+'[3]CB-8'!ID20+'[3]CB-9'!ID20+'[3]CB-10'!ID20+'[3]CB-11'!ID20+'[3]CB-12'!ID20+'[3]CB-13'!ID20+'[3]CB-14'!ID20+'[3]CB-15'!ID20+'[3]CB-16'!ID20+'[3]CB-17'!ID20+'[3]CB-18'!ID20+'[3]CB-19'!ID20+'[3]CB-20'!ID20+'[3]CB-21'!ID20+'[3]CB-22'!ID20+'[3]CB-23'!ID20+'[3]CB-24'!ID20+'[4]LCT-1'!ID20+'[4]LCT-2'!ID20+'[4]LCT-3'!ID20+'[4]LCT-4'!ID20+'[4]LCT-5'!ID20+'[4]LCT-6'!ID20+'[4]LCT-7'!ID20+'[4]LCT-8'!ID20+'[5]TB-1'!ID20+'[5]TB-2'!ID20+'[5]TB-3'!ID20+'[5]TB-4'!ID20+'[5]TB-5'!ID20+'[5]TB-6'!ID20+'[5]TB-7'!ID20+'[5]TB-8'!ID20+'[5]TB-9'!ID20+'[5]TB-10'!ID20+'[6]DSV-1'!ID20+'[6]DSV-2'!ID20+'[6]DSV-3'!ID20+'[7]TUB-1'!ID20+'[7]TUB-2'!ID20+'[8]Barge-1'!ID20+'[8]Barge-2'!ID20+'[8]Barge-3'!ID20+'[8]Barge-4'!ID20</f>
        <v>42095833.333333328</v>
      </c>
      <c r="AH20" s="136">
        <f>'[2]AHTS-1'!ID91+'[2]AHTS-2'!ID91+'[2]AHTS-3'!ID91+'[2]AHTS-4'!ID91+'[2]AHTS-5'!ID91+'[2]AHTS-6'!ID91+'[2]AHTS-7'!ID91+'[2]AHTS-8'!ID91+'[3]CB-1'!ID91+'[3]CB-2'!ID91+'[3]CB-3'!ID91+'[3]CB-4'!ID91+'[3]CB-5'!ID91+'[3]CB-6'!ID91+'[3]CB-7'!ID91+'[3]CB-8'!ID91+'[3]CB-9'!ID91+'[3]CB-10'!ID91+'[3]CB-11'!ID91+'[3]CB-12'!ID91+'[3]CB-13'!ID91+'[3]CB-14'!ID91+'[3]CB-15'!ID91+'[3]CB-16'!ID91+'[3]CB-17'!ID91+'[3]CB-18'!ID91+'[3]CB-19'!ID91+'[3]CB-20'!ID91+'[3]CB-21'!ID91+'[3]CB-22'!ID91+'[3]CB-23'!ID91+'[3]CB-24'!ID91+'[4]LCT-1'!ID91+'[4]LCT-2'!ID91+'[4]LCT-3'!ID91+'[4]LCT-4'!ID91+'[4]LCT-5'!ID91+'[4]LCT-6'!ID91+'[4]LCT-7'!ID91+'[4]LCT-8'!ID91+'[5]TB-1'!ID91+'[5]TB-2'!ID91+'[5]TB-3'!ID91+'[5]TB-4'!ID91+'[5]TB-5'!ID91+'[5]TB-6'!ID91+'[5]TB-7'!ID91+'[5]TB-8'!ID91+'[5]TB-9'!ID91+'[5]TB-10'!ID91+'[6]DSV-1'!ID91+'[6]DSV-2'!ID91+'[6]DSV-3'!ID91+'[7]TUB-1'!ID91+'[7]TUB-2'!ID91+'[8]Barge-1'!ID91+'[8]Barge-2'!ID91+'[8]Barge-3'!ID91+'[8]Barge-4'!ID91</f>
        <v>0</v>
      </c>
      <c r="AI20" s="135">
        <f>'[2]AHTS-1'!IE58+'[2]AHTS-2'!IE58+'[2]AHTS-3'!IE58+'[2]AHTS-4'!IE58+'[2]AHTS-5'!IE58+'[2]AHTS-6'!IE58+'[2]AHTS-7'!IE58+'[2]AHTS-8'!IE58+'[3]CB-1'!IE58+'[3]CB-2'!IE58+'[3]CB-3'!IE58+'[3]CB-4'!IE58+'[3]CB-5'!IE58+'[3]CB-6'!IE58+'[3]CB-7'!IE58+'[3]CB-8'!IE58+'[3]CB-9'!IE58+'[3]CB-10'!IE58+'[3]CB-11'!IE58+'[3]CB-12'!IE58+'[3]CB-13'!IE58+'[3]CB-14'!IE58+'[3]CB-15'!IE58+'[3]CB-16'!IE58+'[3]CB-17'!IE58+'[3]CB-18'!IE58+'[3]CB-19'!IE58+'[3]CB-20'!IE58+'[3]CB-21'!IE58+'[3]CB-22'!IE58+'[3]CB-23'!IE58+'[3]CB-24'!IE58+'[4]LCT-1'!IE58+'[4]LCT-2'!IE58+'[4]LCT-3'!IE58+'[4]LCT-4'!IE58+'[4]LCT-5'!IE58+'[4]LCT-6'!IE58+'[4]LCT-7'!IE58+'[4]LCT-8'!IE58+'[5]TB-1'!IE58+'[5]TB-2'!IE58+'[5]TB-3'!IE58+'[5]TB-4'!IE58+'[5]TB-5'!IE58+'[5]TB-6'!IE58+'[5]TB-7'!IE58+'[5]TB-8'!IE58+'[5]TB-9'!IE58+'[5]TB-10'!IE58+'[6]DSV-1'!IE58+'[6]DSV-2'!IE58+'[6]DSV-3'!IE58+'[7]TUB-1'!IE58+'[7]TUB-2'!IE58+'[8]Barge-1'!IE58+'[8]Barge-2'!IE58+'[8]Barge-3'!IE58+'[8]Barge-4'!IE58</f>
        <v>62985448.611111112</v>
      </c>
      <c r="AJ20" s="136">
        <f>'[2]AHTS-1'!IE20+'[2]AHTS-2'!IE20+'[2]AHTS-3'!IE20+'[2]AHTS-4'!IE20+'[2]AHTS-5'!IE20+'[2]AHTS-6'!IE20+'[2]AHTS-7'!IE20+'[2]AHTS-8'!IE20+'[3]CB-1'!IE20+'[3]CB-2'!IE20+'[3]CB-3'!IE20+'[3]CB-4'!IE20+'[3]CB-5'!IE20+'[3]CB-6'!IE20+'[3]CB-7'!IE20+'[3]CB-8'!IE20+'[3]CB-9'!IE20+'[3]CB-10'!IE20+'[3]CB-11'!IE20+'[3]CB-12'!IE20+'[3]CB-13'!IE20+'[3]CB-14'!IE20+'[3]CB-15'!IE20+'[3]CB-16'!IE20+'[3]CB-17'!IE20+'[3]CB-18'!IE20+'[3]CB-19'!IE20+'[3]CB-20'!IE20+'[3]CB-21'!IE20+'[3]CB-22'!IE20+'[3]CB-23'!IE20+'[3]CB-24'!IE20+'[4]LCT-1'!IE20+'[4]LCT-2'!IE20+'[4]LCT-3'!IE20+'[4]LCT-4'!IE20+'[4]LCT-5'!IE20+'[4]LCT-6'!IE20+'[4]LCT-7'!IE20+'[4]LCT-8'!IE20+'[5]TB-1'!IE20+'[5]TB-2'!IE20+'[5]TB-3'!IE20+'[5]TB-4'!IE20+'[5]TB-5'!IE20+'[5]TB-6'!IE20+'[5]TB-7'!IE20+'[5]TB-8'!IE20+'[5]TB-9'!IE20+'[5]TB-10'!IE20+'[6]DSV-1'!IE20+'[6]DSV-2'!IE20+'[6]DSV-3'!IE20+'[7]TUB-1'!IE20+'[7]TUB-2'!IE20+'[8]Barge-1'!IE20+'[8]Barge-2'!IE20+'[8]Barge-3'!IE20+'[8]Barge-4'!IE20</f>
        <v>45416666.666666664</v>
      </c>
      <c r="AK20" s="136">
        <f>'[2]AHTS-1'!IE91+'[2]AHTS-2'!IE91+'[2]AHTS-3'!IE91+'[2]AHTS-4'!IE91+'[2]AHTS-5'!IE91+'[2]AHTS-6'!IE91+'[2]AHTS-7'!IE91+'[2]AHTS-8'!IE91+'[3]CB-1'!IE91+'[3]CB-2'!IE91+'[3]CB-3'!IE91+'[3]CB-4'!IE91+'[3]CB-5'!IE91+'[3]CB-6'!IE91+'[3]CB-7'!IE91+'[3]CB-8'!IE91+'[3]CB-9'!IE91+'[3]CB-10'!IE91+'[3]CB-11'!IE91+'[3]CB-12'!IE91+'[3]CB-13'!IE91+'[3]CB-14'!IE91+'[3]CB-15'!IE91+'[3]CB-16'!IE91+'[3]CB-17'!IE91+'[3]CB-18'!IE91+'[3]CB-19'!IE91+'[3]CB-20'!IE91+'[3]CB-21'!IE91+'[3]CB-22'!IE91+'[3]CB-23'!IE91+'[3]CB-24'!IE91+'[4]LCT-1'!IE91+'[4]LCT-2'!IE91+'[4]LCT-3'!IE91+'[4]LCT-4'!IE91+'[4]LCT-5'!IE91+'[4]LCT-6'!IE91+'[4]LCT-7'!IE91+'[4]LCT-8'!IE91+'[5]TB-1'!IE91+'[5]TB-2'!IE91+'[5]TB-3'!IE91+'[5]TB-4'!IE91+'[5]TB-5'!IE91+'[5]TB-6'!IE91+'[5]TB-7'!IE91+'[5]TB-8'!IE91+'[5]TB-9'!IE91+'[5]TB-10'!IE91+'[6]DSV-1'!IE91+'[6]DSV-2'!IE91+'[6]DSV-3'!IE91+'[7]TUB-1'!IE91+'[7]TUB-2'!IE91+'[8]Barge-1'!IE91+'[8]Barge-2'!IE91+'[8]Barge-3'!IE91+'[8]Barge-4'!IE91</f>
        <v>0</v>
      </c>
      <c r="AL20" s="137">
        <f>'[2]AHTS-1'!IF58+'[2]AHTS-2'!IF58+'[2]AHTS-3'!IF58+'[2]AHTS-4'!IF58+'[2]AHTS-5'!IF58+'[2]AHTS-6'!IF58+'[2]AHTS-7'!IF58+'[2]AHTS-8'!IF58+'[3]CB-1'!IF58+'[3]CB-2'!IF58+'[3]CB-3'!IF58+'[3]CB-4'!IF58+'[3]CB-5'!IF58+'[3]CB-6'!IF58+'[3]CB-7'!IF58+'[3]CB-8'!IF58+'[3]CB-9'!IF58+'[3]CB-10'!IF58+'[3]CB-11'!IF58+'[3]CB-12'!IF58+'[3]CB-13'!IF58+'[3]CB-14'!IF58+'[3]CB-15'!IF58+'[3]CB-16'!IF58+'[3]CB-17'!IF58+'[3]CB-18'!IF58+'[3]CB-19'!IF58+'[3]CB-20'!IF58+'[3]CB-21'!IF58+'[3]CB-22'!IF58+'[3]CB-23'!IF58+'[3]CB-24'!IF58+'[4]LCT-1'!IF58+'[4]LCT-2'!IF58+'[4]LCT-3'!IF58+'[4]LCT-4'!IF58+'[4]LCT-5'!IF58+'[4]LCT-6'!IF58+'[4]LCT-7'!IF58+'[4]LCT-8'!IF58+'[5]TB-1'!IF58+'[5]TB-2'!IF58+'[5]TB-3'!IF58+'[5]TB-4'!IF58+'[5]TB-5'!IF58+'[5]TB-6'!IF58+'[5]TB-7'!IF58+'[5]TB-8'!IF58+'[5]TB-9'!IF58+'[5]TB-10'!IF58+'[6]DSV-1'!IF58+'[6]DSV-2'!IF58+'[6]DSV-3'!IF58+'[7]TUB-1'!IF58+'[7]TUB-2'!IF58+'[8]Barge-1'!IF58+'[8]Barge-2'!IF58+'[8]Barge-3'!IF58+'[8]Barge-4'!IF58</f>
        <v>42313000</v>
      </c>
      <c r="AM20" s="138">
        <f>'[2]AHTS-1'!IF20+'[2]AHTS-2'!IF20+'[2]AHTS-3'!IF20+'[2]AHTS-4'!IF20+'[2]AHTS-5'!IF20+'[2]AHTS-6'!IF20+'[2]AHTS-7'!IF20+'[2]AHTS-8'!IF20+'[3]CB-1'!IF20+'[3]CB-2'!IF20+'[3]CB-3'!IF20+'[3]CB-4'!IF20+'[3]CB-5'!IF20+'[3]CB-6'!IF20+'[3]CB-7'!IF20+'[3]CB-8'!IF20+'[3]CB-9'!IF20+'[3]CB-10'!IF20+'[3]CB-11'!IF20+'[3]CB-12'!IF20+'[3]CB-13'!IF20+'[3]CB-14'!IF20+'[3]CB-15'!IF20+'[3]CB-16'!IF20+'[3]CB-17'!IF20+'[3]CB-18'!IF20+'[3]CB-19'!IF20+'[3]CB-20'!IF20+'[3]CB-21'!IF20+'[3]CB-22'!IF20+'[3]CB-23'!IF20+'[3]CB-24'!IF20+'[4]LCT-1'!IF20+'[4]LCT-2'!IF20+'[4]LCT-3'!IF20+'[4]LCT-4'!IF20+'[4]LCT-5'!IF20+'[4]LCT-6'!IF20+'[4]LCT-7'!IF20+'[4]LCT-8'!IF20+'[5]TB-1'!IF20+'[5]TB-2'!IF20+'[5]TB-3'!IF20+'[5]TB-4'!IF20+'[5]TB-5'!IF20+'[5]TB-6'!IF20+'[5]TB-7'!IF20+'[5]TB-8'!IF20+'[5]TB-9'!IF20+'[5]TB-10'!IF20+'[6]DSV-1'!IF20+'[6]DSV-2'!IF20+'[6]DSV-3'!IF20+'[7]TUB-1'!IF20+'[7]TUB-2'!IF20+'[8]Barge-1'!IF20+'[8]Barge-2'!IF20+'[8]Barge-3'!IF20+'[8]Barge-4'!IF20</f>
        <v>63200000</v>
      </c>
      <c r="AN20" s="138">
        <f>'[2]AHTS-1'!IF91+'[2]AHTS-2'!IF91+'[2]AHTS-3'!IF91+'[2]AHTS-4'!IF91+'[2]AHTS-5'!IF91+'[2]AHTS-6'!IF91+'[2]AHTS-7'!IF91+'[2]AHTS-8'!IF91+'[3]CB-1'!IF91+'[3]CB-2'!IF91+'[3]CB-3'!IF91+'[3]CB-4'!IF91+'[3]CB-5'!IF91+'[3]CB-6'!IF91+'[3]CB-7'!IF91+'[3]CB-8'!IF91+'[3]CB-9'!IF91+'[3]CB-10'!IF91+'[3]CB-11'!IF91+'[3]CB-12'!IF91+'[3]CB-13'!IF91+'[3]CB-14'!IF91+'[3]CB-15'!IF91+'[3]CB-16'!IF91+'[3]CB-17'!IF91+'[3]CB-18'!IF91+'[3]CB-19'!IF91+'[3]CB-20'!IF91+'[3]CB-21'!IF91+'[3]CB-22'!IF91+'[3]CB-23'!IF91+'[3]CB-24'!IF91+'[4]LCT-1'!IF91+'[4]LCT-2'!IF91+'[4]LCT-3'!IF91+'[4]LCT-4'!IF91+'[4]LCT-5'!IF91+'[4]LCT-6'!IF91+'[4]LCT-7'!IF91+'[4]LCT-8'!IF91+'[5]TB-1'!IF91+'[5]TB-2'!IF91+'[5]TB-3'!IF91+'[5]TB-4'!IF91+'[5]TB-5'!IF91+'[5]TB-6'!IF91+'[5]TB-7'!IF91+'[5]TB-8'!IF91+'[5]TB-9'!IF91+'[5]TB-10'!IF91+'[6]DSV-1'!IF91+'[6]DSV-2'!IF91+'[6]DSV-3'!IF91+'[7]TUB-1'!IF91+'[7]TUB-2'!IF91+'[8]Barge-1'!IF91+'[8]Barge-2'!IF91+'[8]Barge-3'!IF91+'[8]Barge-4'!IF91</f>
        <v>0</v>
      </c>
      <c r="AO20" s="135">
        <f>'[2]AHTS-1'!IG58+'[2]AHTS-2'!IG58+'[2]AHTS-3'!IG58+'[2]AHTS-4'!IG58+'[2]AHTS-5'!IG58+'[2]AHTS-6'!IG58+'[2]AHTS-7'!IG58+'[2]AHTS-8'!IG58+'[3]CB-1'!IG58+'[3]CB-2'!IG58+'[3]CB-3'!IG58+'[3]CB-4'!IG58+'[3]CB-5'!IG58+'[3]CB-6'!IG58+'[3]CB-7'!IG58+'[3]CB-8'!IG58+'[3]CB-9'!IG58+'[3]CB-10'!IG58+'[3]CB-11'!IG58+'[3]CB-12'!IG58+'[3]CB-13'!IG58+'[3]CB-14'!IG58+'[3]CB-15'!IG58+'[3]CB-16'!IG58+'[3]CB-17'!IG58+'[3]CB-18'!IG58+'[3]CB-19'!IG58+'[3]CB-20'!IG58+'[3]CB-21'!IG58+'[3]CB-22'!IG58+'[3]CB-23'!IG58+'[3]CB-24'!IG58+'[4]LCT-1'!IG58+'[4]LCT-2'!IG58+'[4]LCT-3'!IG58+'[4]LCT-4'!IG58+'[4]LCT-5'!IG58+'[4]LCT-6'!IG58+'[4]LCT-7'!IG58+'[4]LCT-8'!IG58+'[5]TB-1'!IG58+'[5]TB-2'!IG58+'[5]TB-3'!IG58+'[5]TB-4'!IG58+'[5]TB-5'!IG58+'[5]TB-6'!IG58+'[5]TB-7'!IG58+'[5]TB-8'!IG58+'[5]TB-9'!IG58+'[5]TB-10'!IG58+'[6]DSV-1'!IG58+'[6]DSV-2'!IG58+'[6]DSV-3'!IG58+'[7]TUB-1'!IG58+'[7]TUB-2'!IG58+'[8]Barge-1'!IG58+'[8]Barge-2'!IG58+'[8]Barge-3'!IG58+'[8]Barge-4'!IG58</f>
        <v>411825</v>
      </c>
      <c r="AP20" s="136">
        <f>'[2]AHTS-1'!IG20+'[2]AHTS-2'!IG20+'[2]AHTS-3'!IG20+'[2]AHTS-4'!IG20+'[2]AHTS-5'!IG20+'[2]AHTS-6'!IG20+'[2]AHTS-7'!IG20+'[2]AHTS-8'!IG20+'[3]CB-1'!IG20+'[3]CB-2'!IG20+'[3]CB-3'!IG20+'[3]CB-4'!IG20+'[3]CB-5'!IG20+'[3]CB-6'!IG20+'[3]CB-7'!IG20+'[3]CB-8'!IG20+'[3]CB-9'!IG20+'[3]CB-10'!IG20+'[3]CB-11'!IG20+'[3]CB-12'!IG20+'[3]CB-13'!IG20+'[3]CB-14'!IG20+'[3]CB-15'!IG20+'[3]CB-16'!IG20+'[3]CB-17'!IG20+'[3]CB-18'!IG20+'[3]CB-19'!IG20+'[3]CB-20'!IG20+'[3]CB-21'!IG20+'[3]CB-22'!IG20+'[3]CB-23'!IG20+'[3]CB-24'!IG20+'[4]LCT-1'!IG20+'[4]LCT-2'!IG20+'[4]LCT-3'!IG20+'[4]LCT-4'!IG20+'[4]LCT-5'!IG20+'[4]LCT-6'!IG20+'[4]LCT-7'!IG20+'[4]LCT-8'!IG20+'[5]TB-1'!IG20+'[5]TB-2'!IG20+'[5]TB-3'!IG20+'[5]TB-4'!IG20+'[5]TB-5'!IG20+'[5]TB-6'!IG20+'[5]TB-7'!IG20+'[5]TB-8'!IG20+'[5]TB-9'!IG20+'[5]TB-10'!IG20+'[6]DSV-1'!IG20+'[6]DSV-2'!IG20+'[6]DSV-3'!IG20+'[7]TUB-1'!IG20+'[7]TUB-2'!IG20+'[8]Barge-1'!IG20+'[8]Barge-2'!IG20+'[8]Barge-3'!IG20+'[8]Barge-4'!IG20</f>
        <v>3250000</v>
      </c>
      <c r="AQ20" s="136">
        <f>'[2]AHTS-1'!IG91+'[2]AHTS-2'!IG91+'[2]AHTS-3'!IG91+'[2]AHTS-4'!IG91+'[2]AHTS-5'!IG91+'[2]AHTS-6'!IG91+'[2]AHTS-7'!IG91+'[2]AHTS-8'!IG91+'[3]CB-1'!IG91+'[3]CB-2'!IG91+'[3]CB-3'!IG91+'[3]CB-4'!IG91+'[3]CB-5'!IG91+'[3]CB-6'!IG91+'[3]CB-7'!IG91+'[3]CB-8'!IG91+'[3]CB-9'!IG91+'[3]CB-10'!IG91+'[3]CB-11'!IG91+'[3]CB-12'!IG91+'[3]CB-13'!IG91+'[3]CB-14'!IG91+'[3]CB-15'!IG91+'[3]CB-16'!IG91+'[3]CB-17'!IG91+'[3]CB-18'!IG91+'[3]CB-19'!IG91+'[3]CB-20'!IG91+'[3]CB-21'!IG91+'[3]CB-22'!IG91+'[3]CB-23'!IG91+'[3]CB-24'!IG91+'[4]LCT-1'!IG91+'[4]LCT-2'!IG91+'[4]LCT-3'!IG91+'[4]LCT-4'!IG91+'[4]LCT-5'!IG91+'[4]LCT-6'!IG91+'[4]LCT-7'!IG91+'[4]LCT-8'!IG91+'[5]TB-1'!IG91+'[5]TB-2'!IG91+'[5]TB-3'!IG91+'[5]TB-4'!IG91+'[5]TB-5'!IG91+'[5]TB-6'!IG91+'[5]TB-7'!IG91+'[5]TB-8'!IG91+'[5]TB-9'!IG91+'[5]TB-10'!IG91+'[6]DSV-1'!IG91+'[6]DSV-2'!IG91+'[6]DSV-3'!IG91+'[7]TUB-1'!IG91+'[7]TUB-2'!IG91+'[8]Barge-1'!IG91+'[8]Barge-2'!IG91+'[8]Barge-3'!IG91+'[8]Barge-4'!IG91</f>
        <v>0</v>
      </c>
      <c r="AR20" s="139">
        <f>'[2]AHTS-1'!IH58+'[2]AHTS-2'!IH58+'[2]AHTS-3'!IH58+'[2]AHTS-4'!IH58+'[2]AHTS-5'!IH58+'[2]AHTS-6'!IH58+'[2]AHTS-7'!IH58+'[2]AHTS-8'!IH58+'[3]CB-1'!IH58+'[3]CB-2'!IH58+'[3]CB-3'!IH58+'[3]CB-4'!IH58+'[3]CB-5'!IH58+'[3]CB-6'!IH58+'[3]CB-7'!IH58+'[3]CB-8'!IH58+'[3]CB-9'!IH58+'[3]CB-10'!IH58+'[3]CB-11'!IH58+'[3]CB-12'!IH58+'[3]CB-13'!IH58+'[3]CB-14'!IH58+'[3]CB-15'!IH58+'[3]CB-16'!IH58+'[3]CB-17'!IH58+'[3]CB-18'!IH58+'[3]CB-19'!IH58+'[3]CB-20'!IH58+'[3]CB-21'!IH58+'[3]CB-22'!IH58+'[3]CB-23'!IH58+'[3]CB-24'!IH58+'[4]LCT-1'!IH58+'[4]LCT-2'!IH58+'[4]LCT-3'!IH58+'[4]LCT-4'!IH58+'[4]LCT-5'!IH58+'[4]LCT-6'!IH58+'[4]LCT-7'!IH58+'[4]LCT-8'!IH58+'[5]TB-1'!IH58+'[5]TB-2'!IH58+'[5]TB-3'!IH58+'[5]TB-4'!IH58+'[5]TB-5'!IH58+'[5]TB-6'!IH58+'[5]TB-7'!IH58+'[5]TB-8'!IH58+'[5]TB-9'!IH58+'[5]TB-10'!IH58+'[6]DSV-1'!IH58+'[6]DSV-2'!IH58+'[6]DSV-3'!IH58+'[7]TUB-1'!IH58+'[7]TUB-2'!IH58+'[8]Barge-1'!IH58+'[8]Barge-2'!IH58+'[8]Barge-3'!IH58+'[8]Barge-4'!IH58</f>
        <v>80184750</v>
      </c>
      <c r="AS20" s="136">
        <f>'[2]AHTS-1'!IH20+'[2]AHTS-2'!IH20+'[2]AHTS-3'!IH20+'[2]AHTS-4'!IH20+'[2]AHTS-5'!IH20+'[2]AHTS-6'!IH20+'[2]AHTS-7'!IH20+'[2]AHTS-8'!IH20+'[3]CB-1'!IH20+'[3]CB-2'!IH20+'[3]CB-3'!IH20+'[3]CB-4'!IH20+'[3]CB-5'!IH20+'[3]CB-6'!IH20+'[3]CB-7'!IH20+'[3]CB-8'!IH20+'[3]CB-9'!IH20+'[3]CB-10'!IH20+'[3]CB-11'!IH20+'[3]CB-12'!IH20+'[3]CB-13'!IH20+'[3]CB-14'!IH20+'[3]CB-15'!IH20+'[3]CB-16'!IH20+'[3]CB-17'!IH20+'[3]CB-18'!IH20+'[3]CB-19'!IH20+'[3]CB-20'!IH20+'[3]CB-21'!IH20+'[3]CB-22'!IH20+'[3]CB-23'!IH20+'[3]CB-24'!IH20+'[4]LCT-1'!IH20+'[4]LCT-2'!IH20+'[4]LCT-3'!IH20+'[4]LCT-4'!IH20+'[4]LCT-5'!IH20+'[4]LCT-6'!IH20+'[4]LCT-7'!IH20+'[4]LCT-8'!IH20+'[5]TB-1'!IH20+'[5]TB-2'!IH20+'[5]TB-3'!IH20+'[5]TB-4'!IH20+'[5]TB-5'!IH20+'[5]TB-6'!IH20+'[5]TB-7'!IH20+'[5]TB-8'!IH20+'[5]TB-9'!IH20+'[5]TB-10'!IH20+'[6]DSV-1'!IH20+'[6]DSV-2'!IH20+'[6]DSV-3'!IH20+'[7]TUB-1'!IH20+'[7]TUB-2'!IH20+'[8]Barge-1'!IH20+'[8]Barge-2'!IH20+'[8]Barge-3'!IH20+'[8]Barge-4'!IH20</f>
        <v>83225000</v>
      </c>
      <c r="AT20" s="140">
        <f>'[2]AHTS-1'!IH91+'[2]AHTS-2'!IH91+'[2]AHTS-3'!IH91+'[2]AHTS-4'!IH91+'[2]AHTS-5'!IH91+'[2]AHTS-6'!IH91+'[2]AHTS-7'!IH91+'[2]AHTS-8'!IH91+'[3]CB-1'!IH91+'[3]CB-2'!IH91+'[3]CB-3'!IH91+'[3]CB-4'!IH91+'[3]CB-5'!IH91+'[3]CB-6'!IH91+'[3]CB-7'!IH91+'[3]CB-8'!IH91+'[3]CB-9'!IH91+'[3]CB-10'!IH91+'[3]CB-11'!IH91+'[3]CB-12'!IH91+'[3]CB-13'!IH91+'[3]CB-14'!IH91+'[3]CB-15'!IH91+'[3]CB-16'!IH91+'[3]CB-17'!IH91+'[3]CB-18'!IH91+'[3]CB-19'!IH91+'[3]CB-20'!IH91+'[3]CB-21'!IH91+'[3]CB-22'!IH91+'[3]CB-23'!IH91+'[3]CB-24'!IH91+'[4]LCT-1'!IH91+'[4]LCT-2'!IH91+'[4]LCT-3'!IH91+'[4]LCT-4'!IH91+'[4]LCT-5'!IH91+'[4]LCT-6'!IH91+'[4]LCT-7'!IH91+'[4]LCT-8'!IH91+'[5]TB-1'!IH91+'[5]TB-2'!IH91+'[5]TB-3'!IH91+'[5]TB-4'!IH91+'[5]TB-5'!IH91+'[5]TB-6'!IH91+'[5]TB-7'!IH91+'[5]TB-8'!IH91+'[5]TB-9'!IH91+'[5]TB-10'!IH91+'[6]DSV-1'!IH91+'[6]DSV-2'!IH91+'[6]DSV-3'!IH91+'[7]TUB-1'!IH91+'[7]TUB-2'!IH91+'[8]Barge-1'!IH91+'[8]Barge-2'!IH91+'[8]Barge-3'!IH91+'[8]Barge-4'!IH91</f>
        <v>0</v>
      </c>
      <c r="AU20" s="139">
        <f>'[2]AHTS-1'!II58+'[2]AHTS-2'!II58+'[2]AHTS-3'!II58+'[2]AHTS-4'!II58+'[2]AHTS-5'!II58+'[2]AHTS-6'!II58+'[2]AHTS-7'!II58+'[2]AHTS-8'!II58+'[3]CB-1'!II58+'[3]CB-2'!II58+'[3]CB-3'!II58+'[3]CB-4'!II58+'[3]CB-5'!II58+'[3]CB-6'!II58+'[3]CB-7'!II58+'[3]CB-8'!II58+'[3]CB-9'!II58+'[3]CB-10'!II58+'[3]CB-11'!II58+'[3]CB-12'!II58+'[3]CB-13'!II58+'[3]CB-14'!II58+'[3]CB-15'!II58+'[3]CB-16'!II58+'[3]CB-17'!II58+'[3]CB-18'!II58+'[3]CB-19'!II58+'[3]CB-20'!II58+'[3]CB-21'!II58+'[3]CB-22'!II58+'[3]CB-23'!II58+'[3]CB-24'!II58+'[4]LCT-1'!II58+'[4]LCT-2'!II58+'[4]LCT-3'!II58+'[4]LCT-4'!II58+'[4]LCT-5'!II58+'[4]LCT-6'!II58+'[4]LCT-7'!II58+'[4]LCT-8'!II58+'[5]TB-1'!II58+'[5]TB-2'!II58+'[5]TB-3'!II58+'[5]TB-4'!II58+'[5]TB-5'!II58+'[5]TB-6'!II58+'[5]TB-7'!II58+'[5]TB-8'!II58+'[5]TB-9'!II58+'[5]TB-10'!II58+'[6]DSV-1'!II58+'[6]DSV-2'!II58+'[6]DSV-3'!II58+'[7]TUB-1'!II58+'[7]TUB-2'!II58+'[8]Barge-1'!II58+'[8]Barge-2'!II58+'[8]Barge-3'!II58+'[8]Barge-4'!II58</f>
        <v>0</v>
      </c>
      <c r="AV20" s="136">
        <f>'[2]AHTS-1'!II20+'[2]AHTS-2'!II20+'[2]AHTS-3'!II20+'[2]AHTS-4'!II20+'[2]AHTS-5'!II20+'[2]AHTS-6'!II20+'[2]AHTS-7'!II20+'[2]AHTS-8'!II20+'[3]CB-1'!II20+'[3]CB-2'!II20+'[3]CB-3'!II20+'[3]CB-4'!II20+'[3]CB-5'!II20+'[3]CB-6'!II20+'[3]CB-7'!II20+'[3]CB-8'!II20+'[3]CB-9'!II20+'[3]CB-10'!II20+'[3]CB-11'!II20+'[3]CB-12'!II20+'[3]CB-13'!II20+'[3]CB-14'!II20+'[3]CB-15'!II20+'[3]CB-16'!II20+'[3]CB-17'!II20+'[3]CB-18'!II20+'[3]CB-19'!II20+'[3]CB-20'!II20+'[3]CB-21'!II20+'[3]CB-22'!II20+'[3]CB-23'!II20+'[3]CB-24'!II20+'[4]LCT-1'!II20+'[4]LCT-2'!II20+'[4]LCT-3'!II20+'[4]LCT-4'!II20+'[4]LCT-5'!II20+'[4]LCT-6'!II20+'[4]LCT-7'!II20+'[4]LCT-8'!II20+'[5]TB-1'!II20+'[5]TB-2'!II20+'[5]TB-3'!II20+'[5]TB-4'!II20+'[5]TB-5'!II20+'[5]TB-6'!II20+'[5]TB-7'!II20+'[5]TB-8'!II20+'[5]TB-9'!II20+'[5]TB-10'!II20+'[6]DSV-1'!II20+'[6]DSV-2'!II20+'[6]DSV-3'!II20+'[7]TUB-1'!II20+'[7]TUB-2'!II20+'[8]Barge-1'!II20+'[8]Barge-2'!II20+'[8]Barge-3'!II20+'[8]Barge-4'!II20</f>
        <v>0</v>
      </c>
      <c r="AW20" s="140">
        <f>'[2]AHTS-1'!II91+'[2]AHTS-2'!II91+'[2]AHTS-3'!II91+'[2]AHTS-4'!II91+'[2]AHTS-5'!II91+'[2]AHTS-6'!II91+'[2]AHTS-7'!II91+'[2]AHTS-8'!II91+'[3]CB-1'!II91+'[3]CB-2'!II91+'[3]CB-3'!II91+'[3]CB-4'!II91+'[3]CB-5'!II91+'[3]CB-6'!II91+'[3]CB-7'!II91+'[3]CB-8'!II91+'[3]CB-9'!II91+'[3]CB-10'!II91+'[3]CB-11'!II91+'[3]CB-12'!II91+'[3]CB-13'!II91+'[3]CB-14'!II91+'[3]CB-15'!II91+'[3]CB-16'!II91+'[3]CB-17'!II91+'[3]CB-18'!II91+'[3]CB-19'!II91+'[3]CB-20'!II91+'[3]CB-21'!II91+'[3]CB-22'!II91+'[3]CB-23'!II91+'[3]CB-24'!II91+'[4]LCT-1'!II91+'[4]LCT-2'!II91+'[4]LCT-3'!II91+'[4]LCT-4'!II91+'[4]LCT-5'!II91+'[4]LCT-6'!II91+'[4]LCT-7'!II91+'[4]LCT-8'!II91+'[5]TB-1'!II91+'[5]TB-2'!II91+'[5]TB-3'!II91+'[5]TB-4'!II91+'[5]TB-5'!II91+'[5]TB-6'!II91+'[5]TB-7'!II91+'[5]TB-8'!II91+'[5]TB-9'!II91+'[5]TB-10'!II91+'[6]DSV-1'!II91+'[6]DSV-2'!II91+'[6]DSV-3'!II91+'[7]TUB-1'!II91+'[7]TUB-2'!II91+'[8]Barge-1'!II91+'[8]Barge-2'!II91+'[8]Barge-3'!II91+'[8]Barge-4'!II91</f>
        <v>0</v>
      </c>
      <c r="AX20" s="67"/>
      <c r="AY20" s="67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</row>
    <row r="21" spans="1:97" s="69" customFormat="1" ht="14.25" customHeight="1" x14ac:dyDescent="0.25">
      <c r="A21" s="111">
        <f>[1]Control!AZ21</f>
        <v>45996</v>
      </c>
      <c r="B21" s="66"/>
      <c r="C21" s="176">
        <f>'[2]AHTS-1'!AV21+'[2]AHTS-2'!AV21+'[2]AHTS-3'!AV21+'[2]AHTS-4'!AV21+'[2]AHTS-5'!AV21+'[2]AHTS-6'!AV21+'[2]AHTS-7'!AV21+'[2]AHTS-8'!AV21+'[3]CB-1'!AV21+'[3]CB-2'!AV21+'[3]CB-3'!AV21+'[3]CB-4'!AV21+'[3]CB-5'!AV21+'[3]CB-6'!AV21+'[3]CB-7'!AV21+'[3]CB-8'!AV21+'[3]CB-9'!AV21+'[3]CB-10'!AV21+'[3]CB-11'!AV21+'[3]CB-12'!AV21+'[3]CB-13'!AV21+'[3]CB-14'!AV21+'[3]CB-15'!AV21+'[3]CB-16'!AV21+'[3]CB-17'!AV21+'[3]CB-18'!AV21+'[3]CB-19'!AV21+'[3]CB-20'!AV21+'[3]CB-21'!AV21+'[3]CB-22'!AV21+'[3]CB-23'!AV21+'[3]CB-24'!AV21+'[4]LCT-1'!AV21+'[4]LCT-2'!AV21+'[4]LCT-3'!AV21+'[4]LCT-4'!AV21+'[4]LCT-5'!AV21+'[4]LCT-6'!AV21+'[4]LCT-7'!AV21+'[4]LCT-8'!AV21+'[5]TB-1'!AV21+'[5]TB-2'!AV21+'[5]TB-3'!AV21+'[5]TB-4'!AV21+'[5]TB-5'!AV21+'[5]TB-6'!AV21+'[5]TB-7'!AV21+'[5]TB-8'!AV21+'[5]TB-9'!AV21+'[5]TB-10'!AV21+'[6]DSV-1'!AV21+'[6]DSV-2'!AV21+'[6]DSV-3'!AV21+'[7]TUB-1'!AV21+'[7]TUB-2'!AV21+'[8]Barge-1'!AV21+'[8]Barge-2'!AV21+'[8]Barge-3'!AV21+'[8]Barge-4'!AV21</f>
        <v>0</v>
      </c>
      <c r="D21" s="177">
        <f>'[2]AHTS-1'!BR21+'[2]AHTS-2'!BR21+'[2]AHTS-3'!BR21+'[2]AHTS-4'!BR21+'[2]AHTS-5'!BR21+'[2]AHTS-6'!BR21+'[2]AHTS-7'!BR21+'[2]AHTS-8'!BR21+'[3]CB-1'!BR21+'[3]CB-2'!BR21+'[3]CB-3'!BR21+'[3]CB-4'!BR21+'[3]CB-5'!BR21+'[3]CB-6'!BR21+'[3]CB-7'!BR21+'[3]CB-8'!BR21+'[3]CB-9'!BR21+'[3]CB-10'!BR21+'[3]CB-11'!BR21+'[3]CB-12'!BR21+'[3]CB-13'!BR21+'[3]CB-14'!BR21+'[3]CB-15'!BR21+'[3]CB-16'!BR21+'[3]CB-17'!BR21+'[3]CB-18'!BR21+'[3]CB-19'!BR21+'[3]CB-20'!BR21+'[3]CB-21'!BR21+'[3]CB-22'!BR21+'[3]CB-23'!BR21+'[3]CB-24'!BR21+'[4]LCT-1'!BR21+'[4]LCT-2'!BR21+'[4]LCT-3'!BR21+'[4]LCT-4'!BR21+'[4]LCT-5'!BR21+'[4]LCT-6'!BR21+'[4]LCT-7'!BR21+'[4]LCT-8'!BR21+'[5]TB-1'!BR21+'[5]TB-2'!BR21+'[5]TB-3'!BR21+'[5]TB-4'!BR21+'[5]TB-5'!BR21+'[5]TB-6'!BR21+'[5]TB-7'!BR21+'[5]TB-8'!BR21+'[5]TB-9'!BR21+'[5]TB-10'!BR21+'[6]DSV-1'!BR21+'[6]DSV-2'!BR21+'[6]DSV-3'!BR21+'[7]TUB-1'!BR21+'[7]TUB-2'!BR21+'[8]Barge-1'!BR21+'[8]Barge-2'!BR21+'[8]Barge-3'!BR21+'[8]Barge-4'!BR21</f>
        <v>0</v>
      </c>
      <c r="E21" s="178">
        <f>'[2]AHTS-1'!CN21+'[2]AHTS-2'!CN21+'[2]AHTS-3'!CN21+'[2]AHTS-4'!CN21+'[2]AHTS-5'!CN21+'[2]AHTS-6'!CN21+'[2]AHTS-7'!CN21+'[2]AHTS-8'!CN21+'[3]CB-1'!CN21+'[3]CB-2'!CN21+'[3]CB-3'!CN21+'[3]CB-4'!CN21+'[3]CB-5'!CN21+'[3]CB-6'!CN21+'[3]CB-7'!CN21+'[3]CB-8'!CN21+'[3]CB-9'!CN21+'[3]CB-10'!CN21+'[3]CB-11'!CN21+'[3]CB-12'!CN21+'[3]CB-13'!CN21+'[3]CB-14'!CN21+'[3]CB-15'!CN21+'[3]CB-16'!CN21+'[3]CB-17'!CN21+'[3]CB-18'!CN21+'[3]CB-19'!CN21+'[3]CB-20'!CN21+'[3]CB-21'!CN21+'[3]CB-22'!CN21+'[3]CB-23'!CN21+'[3]CB-24'!CN21+'[4]LCT-1'!CN21+'[4]LCT-2'!CN21+'[4]LCT-3'!CN21+'[4]LCT-4'!CN21+'[4]LCT-5'!CN21+'[4]LCT-6'!CN21+'[4]LCT-7'!CN21+'[4]LCT-8'!CN21+'[5]TB-1'!CN21+'[5]TB-2'!CN21+'[5]TB-3'!CN21+'[5]TB-4'!CN21+'[5]TB-5'!CN21+'[5]TB-6'!CN21+'[5]TB-7'!CN21+'[5]TB-8'!CN21+'[5]TB-9'!CN21+'[5]TB-10'!CN21+'[6]DSV-1'!CN21+'[6]DSV-2'!CN21+'[6]DSV-3'!CN21+'[7]TUB-1'!CN21+'[7]TUB-2'!CN21+'[8]Barge-1'!CN21+'[8]Barge-2'!CN21+'[8]Barge-3'!CN21+'[8]Barge-4'!CN21</f>
        <v>0</v>
      </c>
      <c r="F21" s="179">
        <f>'[2]AHTS-1'!AW21+'[2]AHTS-2'!AW21+'[2]AHTS-3'!AW21+'[2]AHTS-4'!AW21+'[2]AHTS-5'!AW21+'[2]AHTS-6'!AW21+'[2]AHTS-7'!AW21+'[2]AHTS-8'!AW21+'[3]CB-1'!AW21+'[3]CB-2'!AW21+'[3]CB-3'!AW21+'[3]CB-4'!AW21+'[3]CB-5'!AW21+'[3]CB-6'!AW21+'[3]CB-7'!AW21+'[3]CB-8'!AW21+'[3]CB-9'!AW21+'[3]CB-10'!AW21+'[3]CB-11'!AW21+'[3]CB-12'!AW21+'[3]CB-13'!AW21+'[3]CB-14'!AW21+'[3]CB-15'!AW21+'[3]CB-16'!AW21+'[3]CB-17'!AW21+'[3]CB-18'!AW21+'[3]CB-19'!AW21+'[3]CB-20'!AW21+'[3]CB-21'!AW21+'[3]CB-22'!AW21+'[3]CB-23'!AW21+'[3]CB-24'!AW21+'[4]LCT-1'!AW21+'[4]LCT-2'!AW21+'[4]LCT-3'!AW21+'[4]LCT-4'!AW21+'[4]LCT-5'!AW21+'[4]LCT-6'!AW21+'[4]LCT-7'!AW21+'[4]LCT-8'!AW21+'[5]TB-1'!AW21+'[5]TB-2'!AW21+'[5]TB-3'!AW21+'[5]TB-4'!AW21+'[5]TB-5'!AW21+'[5]TB-6'!AW21+'[5]TB-7'!AW21+'[5]TB-8'!AW21+'[5]TB-9'!AW21+'[5]TB-10'!AW21+'[6]DSV-1'!AW21+'[6]DSV-2'!AW21+'[6]DSV-3'!AW21+'[7]TUB-1'!AW21+'[7]TUB-2'!AW21+'[8]Barge-1'!AW21+'[8]Barge-2'!AW21+'[8]Barge-3'!AW21+'[8]Barge-4'!AW21</f>
        <v>2631.6847607559312</v>
      </c>
      <c r="G21" s="180">
        <f>'[2]AHTS-1'!BS21+'[2]AHTS-2'!BS21+'[2]AHTS-3'!BS21+'[2]AHTS-4'!BS21+'[2]AHTS-5'!BS21+'[2]AHTS-6'!BS21+'[2]AHTS-7'!BS21+'[2]AHTS-8'!BS21+'[3]CB-1'!BS21+'[3]CB-2'!BS21+'[3]CB-3'!BS21+'[3]CB-4'!BS21+'[3]CB-5'!BS21+'[3]CB-6'!BS21+'[3]CB-7'!BS21+'[3]CB-8'!BS21+'[3]CB-9'!BS21+'[3]CB-10'!BS21+'[3]CB-11'!BS21+'[3]CB-12'!BS21+'[3]CB-13'!BS21+'[3]CB-14'!BS21+'[3]CB-15'!BS21+'[3]CB-16'!BS21+'[3]CB-17'!BS21+'[3]CB-18'!BS21+'[3]CB-19'!BS21+'[3]CB-20'!BS21+'[3]CB-21'!BS21+'[3]CB-22'!BS21+'[3]CB-23'!BS21+'[3]CB-24'!BS21+'[4]LCT-1'!BS21+'[4]LCT-2'!BS21+'[4]LCT-3'!BS21+'[4]LCT-4'!BS21+'[4]LCT-5'!BS21+'[4]LCT-6'!BS21+'[4]LCT-7'!BS21+'[4]LCT-8'!BS21+'[5]TB-1'!BS21+'[5]TB-2'!BS21+'[5]TB-3'!BS21+'[5]TB-4'!BS21+'[5]TB-5'!BS21+'[5]TB-6'!BS21+'[5]TB-7'!BS21+'[5]TB-8'!BS21+'[5]TB-9'!BS21+'[5]TB-10'!BS21+'[6]DSV-1'!BS21+'[6]DSV-2'!BS21+'[6]DSV-3'!BS21+'[7]TUB-1'!BS21+'[7]TUB-2'!BS21+'[8]Barge-1'!BS21+'[8]Barge-2'!BS21+'[8]Barge-3'!BS21+'[8]Barge-4'!BS21</f>
        <v>2706.1773855628217</v>
      </c>
      <c r="H21" s="180">
        <f>'[2]AHTS-1'!CO21+'[2]AHTS-2'!CO21+'[2]AHTS-3'!CO21+'[2]AHTS-4'!CO21+'[2]AHTS-5'!CO21+'[2]AHTS-6'!CO21+'[2]AHTS-7'!CO21+'[2]AHTS-8'!CO21+'[3]CB-1'!CO21+'[3]CB-2'!CO21+'[3]CB-3'!CO21+'[3]CB-4'!CO21+'[3]CB-5'!CO21+'[3]CB-6'!CO21+'[3]CB-7'!CO21+'[3]CB-8'!CO21+'[3]CB-9'!CO21+'[3]CB-10'!CO21+'[3]CB-11'!CO21+'[3]CB-12'!CO21+'[3]CB-13'!CO21+'[3]CB-14'!CO21+'[3]CB-15'!CO21+'[3]CB-16'!CO21+'[3]CB-17'!CO21+'[3]CB-18'!CO21+'[3]CB-19'!CO21+'[3]CB-20'!CO21+'[3]CB-21'!CO21+'[3]CB-22'!CO21+'[3]CB-23'!CO21+'[3]CB-24'!CO21+'[4]LCT-1'!CO21+'[4]LCT-2'!CO21+'[4]LCT-3'!CO21+'[4]LCT-4'!CO21+'[4]LCT-5'!CO21+'[4]LCT-6'!CO21+'[4]LCT-7'!CO21+'[4]LCT-8'!CO21+'[5]TB-1'!CO21+'[5]TB-2'!CO21+'[5]TB-3'!CO21+'[5]TB-4'!CO21+'[5]TB-5'!CO21+'[5]TB-6'!CO21+'[5]TB-7'!CO21+'[5]TB-8'!CO21+'[5]TB-9'!CO21+'[5]TB-10'!CO21+'[6]DSV-1'!CO21+'[6]DSV-2'!CO21+'[6]DSV-3'!CO21+'[7]TUB-1'!CO21+'[7]TUB-2'!CO21+'[8]Barge-1'!CO21+'[8]Barge-2'!CO21+'[8]Barge-3'!CO21+'[8]Barge-4'!CO21</f>
        <v>0</v>
      </c>
      <c r="I21" s="179">
        <f>'[2]AHTS-1'!AX21+'[2]AHTS-2'!AX21+'[2]AHTS-3'!AX21+'[2]AHTS-4'!AX21+'[2]AHTS-5'!AX21+'[2]AHTS-6'!AX21+'[2]AHTS-7'!AX21+'[2]AHTS-8'!AX21+'[3]CB-1'!AX21+'[3]CB-2'!AX21+'[3]CB-3'!AX21+'[3]CB-4'!AX21+'[3]CB-5'!AX21+'[3]CB-6'!AX21+'[3]CB-7'!AX21+'[3]CB-8'!AX21+'[3]CB-9'!AX21+'[3]CB-10'!AX21+'[3]CB-11'!AX21+'[3]CB-12'!AX21+'[3]CB-13'!AX21+'[3]CB-14'!AX21+'[3]CB-15'!AX21+'[3]CB-16'!AX21+'[3]CB-17'!AX21+'[3]CB-18'!AX21+'[3]CB-19'!AX21+'[3]CB-20'!AX21+'[3]CB-21'!AX21+'[3]CB-22'!AX21+'[3]CB-23'!AX21+'[3]CB-24'!AX21+'[4]LCT-1'!AX21+'[4]LCT-2'!AX21+'[4]LCT-3'!AX21+'[4]LCT-4'!AX21+'[4]LCT-5'!AX21+'[4]LCT-6'!AX21+'[4]LCT-7'!AX21+'[4]LCT-8'!AX21+'[5]TB-1'!AX21+'[5]TB-2'!AX21+'[5]TB-3'!AX21+'[5]TB-4'!AX21+'[5]TB-5'!AX21+'[5]TB-6'!AX21+'[5]TB-7'!AX21+'[5]TB-8'!AX21+'[5]TB-9'!AX21+'[5]TB-10'!AX21+'[6]DSV-1'!AX21+'[6]DSV-2'!AX21+'[6]DSV-3'!AX21+'[7]TUB-1'!AX21+'[7]TUB-2'!AX21+'[8]Barge-1'!AX21+'[8]Barge-2'!AX21+'[8]Barge-3'!AX21+'[8]Barge-4'!AX21</f>
        <v>2303.5786087655811</v>
      </c>
      <c r="J21" s="180">
        <f>'[2]AHTS-1'!BT21+'[2]AHTS-2'!BT21+'[2]AHTS-3'!BT21+'[2]AHTS-4'!BT21+'[2]AHTS-5'!BT21+'[2]AHTS-6'!BT21+'[2]AHTS-7'!BT21+'[2]AHTS-8'!BT21+'[3]CB-1'!BT21+'[3]CB-2'!BT21+'[3]CB-3'!BT21+'[3]CB-4'!BT21+'[3]CB-5'!BT21+'[3]CB-6'!BT21+'[3]CB-7'!BT21+'[3]CB-8'!BT21+'[3]CB-9'!BT21+'[3]CB-10'!BT21+'[3]CB-11'!BT21+'[3]CB-12'!BT21+'[3]CB-13'!BT21+'[3]CB-14'!BT21+'[3]CB-15'!BT21+'[3]CB-16'!BT21+'[3]CB-17'!BT21+'[3]CB-18'!BT21+'[3]CB-19'!BT21+'[3]CB-20'!BT21+'[3]CB-21'!BT21+'[3]CB-22'!BT21+'[3]CB-23'!BT21+'[3]CB-24'!BT21+'[4]LCT-1'!BT21+'[4]LCT-2'!BT21+'[4]LCT-3'!BT21+'[4]LCT-4'!BT21+'[4]LCT-5'!BT21+'[4]LCT-6'!BT21+'[4]LCT-7'!BT21+'[4]LCT-8'!BT21+'[5]TB-1'!BT21+'[5]TB-2'!BT21+'[5]TB-3'!BT21+'[5]TB-4'!BT21+'[5]TB-5'!BT21+'[5]TB-6'!BT21+'[5]TB-7'!BT21+'[5]TB-8'!BT21+'[5]TB-9'!BT21+'[5]TB-10'!BT21+'[6]DSV-1'!BT21+'[6]DSV-2'!BT21+'[6]DSV-3'!BT21+'[7]TUB-1'!BT21+'[7]TUB-2'!BT21+'[8]Barge-1'!BT21+'[8]Barge-2'!BT21+'[8]Barge-3'!BT21+'[8]Barge-4'!BT21</f>
        <v>1981.62021458955</v>
      </c>
      <c r="K21" s="180">
        <f>'[2]AHTS-1'!CP21+'[2]AHTS-2'!CP21+'[2]AHTS-3'!CP21+'[2]AHTS-4'!CP21+'[2]AHTS-5'!CP21+'[2]AHTS-6'!CP21+'[2]AHTS-7'!CP21+'[2]AHTS-8'!CP21+'[3]CB-1'!CP21+'[3]CB-2'!CP21+'[3]CB-3'!CP21+'[3]CB-4'!CP21+'[3]CB-5'!CP21+'[3]CB-6'!CP21+'[3]CB-7'!CP21+'[3]CB-8'!CP21+'[3]CB-9'!CP21+'[3]CB-10'!CP21+'[3]CB-11'!CP21+'[3]CB-12'!CP21+'[3]CB-13'!CP21+'[3]CB-14'!CP21+'[3]CB-15'!CP21+'[3]CB-16'!CP21+'[3]CB-17'!CP21+'[3]CB-18'!CP21+'[3]CB-19'!CP21+'[3]CB-20'!CP21+'[3]CB-21'!CP21+'[3]CB-22'!CP21+'[3]CB-23'!CP21+'[3]CB-24'!CP21+'[4]LCT-1'!CP21+'[4]LCT-2'!CP21+'[4]LCT-3'!CP21+'[4]LCT-4'!CP21+'[4]LCT-5'!CP21+'[4]LCT-6'!CP21+'[4]LCT-7'!CP21+'[4]LCT-8'!CP21+'[5]TB-1'!CP21+'[5]TB-2'!CP21+'[5]TB-3'!CP21+'[5]TB-4'!CP21+'[5]TB-5'!CP21+'[5]TB-6'!CP21+'[5]TB-7'!CP21+'[5]TB-8'!CP21+'[5]TB-9'!CP21+'[5]TB-10'!CP21+'[6]DSV-1'!CP21+'[6]DSV-2'!CP21+'[6]DSV-3'!CP21+'[7]TUB-1'!CP21+'[7]TUB-2'!CP21+'[8]Barge-1'!CP21+'[8]Barge-2'!CP21+'[8]Barge-3'!CP21+'[8]Barge-4'!CP21</f>
        <v>0</v>
      </c>
      <c r="L21" s="181">
        <f>'[2]AHTS-1'!AY21+'[2]AHTS-2'!AY21+'[2]AHTS-3'!AY21+'[2]AHTS-4'!AY21+'[2]AHTS-5'!AY21+'[2]AHTS-6'!AY21+'[2]AHTS-7'!AY21+'[2]AHTS-8'!AY21+'[3]CB-1'!AY21+'[3]CB-2'!AY21+'[3]CB-3'!AY21+'[3]CB-4'!AY21+'[3]CB-5'!AY21+'[3]CB-6'!AY21+'[3]CB-7'!AY21+'[3]CB-8'!AY21+'[3]CB-9'!AY21+'[3]CB-10'!AY21+'[3]CB-11'!AY21+'[3]CB-12'!AY21+'[3]CB-13'!AY21+'[3]CB-14'!AY21+'[3]CB-15'!AY21+'[3]CB-16'!AY21+'[3]CB-17'!AY21+'[3]CB-18'!AY21+'[3]CB-19'!AY21+'[3]CB-20'!AY21+'[3]CB-21'!AY21+'[3]CB-22'!AY21+'[3]CB-23'!AY21+'[3]CB-24'!AY21+'[4]LCT-1'!AY21+'[4]LCT-2'!AY21+'[4]LCT-3'!AY21+'[4]LCT-4'!AY21+'[4]LCT-5'!AY21+'[4]LCT-6'!AY21+'[4]LCT-7'!AY21+'[4]LCT-8'!AY21+'[5]TB-1'!AY21+'[5]TB-2'!AY21+'[5]TB-3'!AY21+'[5]TB-4'!AY21+'[5]TB-5'!AY21+'[5]TB-6'!AY21+'[5]TB-7'!AY21+'[5]TB-8'!AY21+'[5]TB-9'!AY21+'[5]TB-10'!AY21+'[6]DSV-1'!AY21+'[6]DSV-2'!AY21+'[6]DSV-3'!AY21+'[7]TUB-1'!AY21+'[7]TUB-2'!AY21+'[8]Barge-1'!AY21+'[8]Barge-2'!AY21+'[8]Barge-3'!AY21+'[8]Barge-4'!AY21</f>
        <v>2801.2062726176118</v>
      </c>
      <c r="M21" s="182">
        <f>'[2]AHTS-1'!BU21+'[2]AHTS-2'!BU21+'[2]AHTS-3'!BU21+'[2]AHTS-4'!BU21+'[2]AHTS-5'!BU21+'[2]AHTS-6'!BU21+'[2]AHTS-7'!BU21+'[2]AHTS-8'!BU21+'[3]CB-1'!BU21+'[3]CB-2'!BU21+'[3]CB-3'!BU21+'[3]CB-4'!BU21+'[3]CB-5'!BU21+'[3]CB-6'!BU21+'[3]CB-7'!BU21+'[3]CB-8'!BU21+'[3]CB-9'!BU21+'[3]CB-10'!BU21+'[3]CB-11'!BU21+'[3]CB-12'!BU21+'[3]CB-13'!BU21+'[3]CB-14'!BU21+'[3]CB-15'!BU21+'[3]CB-16'!BU21+'[3]CB-17'!BU21+'[3]CB-18'!BU21+'[3]CB-19'!BU21+'[3]CB-20'!BU21+'[3]CB-21'!BU21+'[3]CB-22'!BU21+'[3]CB-23'!BU21+'[3]CB-24'!BU21+'[4]LCT-1'!BU21+'[4]LCT-2'!BU21+'[4]LCT-3'!BU21+'[4]LCT-4'!BU21+'[4]LCT-5'!BU21+'[4]LCT-6'!BU21+'[4]LCT-7'!BU21+'[4]LCT-8'!BU21+'[5]TB-1'!BU21+'[5]TB-2'!BU21+'[5]TB-3'!BU21+'[5]TB-4'!BU21+'[5]TB-5'!BU21+'[5]TB-6'!BU21+'[5]TB-7'!BU21+'[5]TB-8'!BU21+'[5]TB-9'!BU21+'[5]TB-10'!BU21+'[6]DSV-1'!BU21+'[6]DSV-2'!BU21+'[6]DSV-3'!BU21+'[7]TUB-1'!BU21+'[7]TUB-2'!BU21+'[8]Barge-1'!BU21+'[8]Barge-2'!BU21+'[8]Barge-3'!BU21+'[8]Barge-4'!BU21</f>
        <v>4012.4436543711508</v>
      </c>
      <c r="N21" s="182">
        <f>'[2]AHTS-1'!CQ21+'[2]AHTS-2'!CQ21+'[2]AHTS-3'!CQ21+'[2]AHTS-4'!CQ21+'[2]AHTS-5'!CQ21+'[2]AHTS-6'!CQ21+'[2]AHTS-7'!CQ21+'[2]AHTS-8'!CQ21+'[3]CB-1'!CQ21+'[3]CB-2'!CQ21+'[3]CB-3'!CQ21+'[3]CB-4'!CQ21+'[3]CB-5'!CQ21+'[3]CB-6'!CQ21+'[3]CB-7'!CQ21+'[3]CB-8'!CQ21+'[3]CB-9'!CQ21+'[3]CB-10'!CQ21+'[3]CB-11'!CQ21+'[3]CB-12'!CQ21+'[3]CB-13'!CQ21+'[3]CB-14'!CQ21+'[3]CB-15'!CQ21+'[3]CB-16'!CQ21+'[3]CB-17'!CQ21+'[3]CB-18'!CQ21+'[3]CB-19'!CQ21+'[3]CB-20'!CQ21+'[3]CB-21'!CQ21+'[3]CB-22'!CQ21+'[3]CB-23'!CQ21+'[3]CB-24'!CQ21+'[4]LCT-1'!CQ21+'[4]LCT-2'!CQ21+'[4]LCT-3'!CQ21+'[4]LCT-4'!CQ21+'[4]LCT-5'!CQ21+'[4]LCT-6'!CQ21+'[4]LCT-7'!CQ21+'[4]LCT-8'!CQ21+'[5]TB-1'!CQ21+'[5]TB-2'!CQ21+'[5]TB-3'!CQ21+'[5]TB-4'!CQ21+'[5]TB-5'!CQ21+'[5]TB-6'!CQ21+'[5]TB-7'!CQ21+'[5]TB-8'!CQ21+'[5]TB-9'!CQ21+'[5]TB-10'!CQ21+'[6]DSV-1'!CQ21+'[6]DSV-2'!CQ21+'[6]DSV-3'!CQ21+'[7]TUB-1'!CQ21+'[7]TUB-2'!CQ21+'[8]Barge-1'!CQ21+'[8]Barge-2'!CQ21+'[8]Barge-3'!CQ21+'[8]Barge-4'!CQ21</f>
        <v>0</v>
      </c>
      <c r="O21" s="179">
        <f>'[2]AHTS-1'!AZ21+'[2]AHTS-2'!AZ21+'[2]AHTS-3'!AZ21+'[2]AHTS-4'!AZ21+'[2]AHTS-5'!AZ21+'[2]AHTS-6'!AZ21+'[2]AHTS-7'!AZ21+'[2]AHTS-8'!AZ21+'[3]CB-1'!AZ21+'[3]CB-2'!AZ21+'[3]CB-3'!AZ21+'[3]CB-4'!AZ21+'[3]CB-5'!AZ21+'[3]CB-6'!AZ21+'[3]CB-7'!AZ21+'[3]CB-8'!AZ21+'[3]CB-9'!AZ21+'[3]CB-10'!AZ21+'[3]CB-11'!AZ21+'[3]CB-12'!AZ21+'[3]CB-13'!AZ21+'[3]CB-14'!AZ21+'[3]CB-15'!AZ21+'[3]CB-16'!AZ21+'[3]CB-17'!AZ21+'[3]CB-18'!AZ21+'[3]CB-19'!AZ21+'[3]CB-20'!AZ21+'[3]CB-21'!AZ21+'[3]CB-22'!AZ21+'[3]CB-23'!AZ21+'[3]CB-24'!AZ21+'[4]LCT-1'!AZ21+'[4]LCT-2'!AZ21+'[4]LCT-3'!AZ21+'[4]LCT-4'!AZ21+'[4]LCT-5'!AZ21+'[4]LCT-6'!AZ21+'[4]LCT-7'!AZ21+'[4]LCT-8'!AZ21+'[5]TB-1'!AZ21+'[5]TB-2'!AZ21+'[5]TB-3'!AZ21+'[5]TB-4'!AZ21+'[5]TB-5'!AZ21+'[5]TB-6'!AZ21+'[5]TB-7'!AZ21+'[5]TB-8'!AZ21+'[5]TB-9'!AZ21+'[5]TB-10'!AZ21+'[6]DSV-1'!AZ21+'[6]DSV-2'!AZ21+'[6]DSV-3'!AZ21+'[7]TUB-1'!AZ21+'[7]TUB-2'!AZ21+'[8]Barge-1'!AZ21+'[8]Barge-2'!AZ21+'[8]Barge-3'!AZ21+'[8]Barge-4'!AZ21</f>
        <v>14.354644149577808</v>
      </c>
      <c r="P21" s="180">
        <f>'[2]AHTS-1'!BV21+'[2]AHTS-2'!BV21+'[2]AHTS-3'!BV21+'[2]AHTS-4'!BV21+'[2]AHTS-5'!BV21+'[2]AHTS-6'!BV21+'[2]AHTS-7'!BV21+'[2]AHTS-8'!BV21+'[3]CB-1'!BV21+'[3]CB-2'!BV21+'[3]CB-3'!BV21+'[3]CB-4'!BV21+'[3]CB-5'!BV21+'[3]CB-6'!BV21+'[3]CB-7'!BV21+'[3]CB-8'!BV21+'[3]CB-9'!BV21+'[3]CB-10'!BV21+'[3]CB-11'!BV21+'[3]CB-12'!BV21+'[3]CB-13'!BV21+'[3]CB-14'!BV21+'[3]CB-15'!BV21+'[3]CB-16'!BV21+'[3]CB-17'!BV21+'[3]CB-18'!BV21+'[3]CB-19'!BV21+'[3]CB-20'!BV21+'[3]CB-21'!BV21+'[3]CB-22'!BV21+'[3]CB-23'!BV21+'[3]CB-24'!BV21+'[4]LCT-1'!BV21+'[4]LCT-2'!BV21+'[4]LCT-3'!BV21+'[4]LCT-4'!BV21+'[4]LCT-5'!BV21+'[4]LCT-6'!BV21+'[4]LCT-7'!BV21+'[4]LCT-8'!BV21+'[5]TB-1'!BV21+'[5]TB-2'!BV21+'[5]TB-3'!BV21+'[5]TB-4'!BV21+'[5]TB-5'!BV21+'[5]TB-6'!BV21+'[5]TB-7'!BV21+'[5]TB-8'!BV21+'[5]TB-9'!BV21+'[5]TB-10'!BV21+'[6]DSV-1'!BV21+'[6]DSV-2'!BV21+'[6]DSV-3'!BV21+'[7]TUB-1'!BV21+'[7]TUB-2'!BV21+'[8]Barge-1'!BV21+'[8]Barge-2'!BV21+'[8]Barge-3'!BV21+'[8]Barge-4'!BV21</f>
        <v>206.33610564408613</v>
      </c>
      <c r="Q21" s="180">
        <f>'[2]AHTS-1'!CR21+'[2]AHTS-2'!CR21+'[2]AHTS-3'!CR21+'[2]AHTS-4'!CR21+'[2]AHTS-5'!CR21+'[2]AHTS-6'!CR21+'[2]AHTS-7'!CR21+'[2]AHTS-8'!CR21+'[3]CB-1'!CR21+'[3]CB-2'!CR21+'[3]CB-3'!CR21+'[3]CB-4'!CR21+'[3]CB-5'!CR21+'[3]CB-6'!CR21+'[3]CB-7'!CR21+'[3]CB-8'!CR21+'[3]CB-9'!CR21+'[3]CB-10'!CR21+'[3]CB-11'!CR21+'[3]CB-12'!CR21+'[3]CB-13'!CR21+'[3]CB-14'!CR21+'[3]CB-15'!CR21+'[3]CB-16'!CR21+'[3]CB-17'!CR21+'[3]CB-18'!CR21+'[3]CB-19'!CR21+'[3]CB-20'!CR21+'[3]CB-21'!CR21+'[3]CB-22'!CR21+'[3]CB-23'!CR21+'[3]CB-24'!CR21+'[4]LCT-1'!CR21+'[4]LCT-2'!CR21+'[4]LCT-3'!CR21+'[4]LCT-4'!CR21+'[4]LCT-5'!CR21+'[4]LCT-6'!CR21+'[4]LCT-7'!CR21+'[4]LCT-8'!CR21+'[5]TB-1'!CR21+'[5]TB-2'!CR21+'[5]TB-3'!CR21+'[5]TB-4'!CR21+'[5]TB-5'!CR21+'[5]TB-6'!CR21+'[5]TB-7'!CR21+'[5]TB-8'!CR21+'[5]TB-9'!CR21+'[5]TB-10'!CR21+'[6]DSV-1'!CR21+'[6]DSV-2'!CR21+'[6]DSV-3'!CR21+'[7]TUB-1'!CR21+'[7]TUB-2'!CR21+'[8]Barge-1'!CR21+'[8]Barge-2'!CR21+'[8]Barge-3'!CR21+'[8]Barge-4'!CR21</f>
        <v>0</v>
      </c>
      <c r="R21" s="183">
        <f>'[2]AHTS-1'!BA21+'[2]AHTS-2'!BA21+'[2]AHTS-3'!BA21+'[2]AHTS-4'!BA21+'[2]AHTS-5'!BA21+'[2]AHTS-6'!BA21+'[2]AHTS-7'!BA21+'[2]AHTS-8'!BA21+'[3]CB-1'!BA21+'[3]CB-2'!BA21+'[3]CB-3'!BA21+'[3]CB-4'!BA21+'[3]CB-5'!BA21+'[3]CB-6'!BA21+'[3]CB-7'!BA21+'[3]CB-8'!BA21+'[3]CB-9'!BA21+'[3]CB-10'!BA21+'[3]CB-11'!BA21+'[3]CB-12'!BA21+'[3]CB-13'!BA21+'[3]CB-14'!BA21+'[3]CB-15'!BA21+'[3]CB-16'!BA21+'[3]CB-17'!BA21+'[3]CB-18'!BA21+'[3]CB-19'!BA21+'[3]CB-20'!BA21+'[3]CB-21'!BA21+'[3]CB-22'!BA21+'[3]CB-23'!BA21+'[3]CB-24'!BA21+'[4]LCT-1'!BA21+'[4]LCT-2'!BA21+'[4]LCT-3'!BA21+'[4]LCT-4'!BA21+'[4]LCT-5'!BA21+'[4]LCT-6'!BA21+'[4]LCT-7'!BA21+'[4]LCT-8'!BA21+'[5]TB-1'!BA21+'[5]TB-2'!BA21+'[5]TB-3'!BA21+'[5]TB-4'!BA21+'[5]TB-5'!BA21+'[5]TB-6'!BA21+'[5]TB-7'!BA21+'[5]TB-8'!BA21+'[5]TB-9'!BA21+'[5]TB-10'!BA21+'[6]DSV-1'!BA21+'[6]DSV-2'!BA21+'[6]DSV-3'!BA21+'[7]TUB-1'!BA21+'[7]TUB-2'!BA21+'[8]Barge-1'!BA21+'[8]Barge-2'!BA21+'[8]Barge-3'!BA21+'[8]Barge-4'!BA21</f>
        <v>4949.959790912746</v>
      </c>
      <c r="S21" s="180">
        <f>'[2]AHTS-1'!BW21+'[2]AHTS-2'!BW21+'[2]AHTS-3'!BW21+'[2]AHTS-4'!BW21+'[2]AHTS-5'!BW21+'[2]AHTS-6'!BW21+'[2]AHTS-7'!BW21+'[2]AHTS-8'!BW21+'[3]CB-1'!BW21+'[3]CB-2'!BW21+'[3]CB-3'!BW21+'[3]CB-4'!BW21+'[3]CB-5'!BW21+'[3]CB-6'!BW21+'[3]CB-7'!BW21+'[3]CB-8'!BW21+'[3]CB-9'!BW21+'[3]CB-10'!BW21+'[3]CB-11'!BW21+'[3]CB-12'!BW21+'[3]CB-13'!BW21+'[3]CB-14'!BW21+'[3]CB-15'!BW21+'[3]CB-16'!BW21+'[3]CB-17'!BW21+'[3]CB-18'!BW21+'[3]CB-19'!BW21+'[3]CB-20'!BW21+'[3]CB-21'!BW21+'[3]CB-22'!BW21+'[3]CB-23'!BW21+'[3]CB-24'!BW21+'[4]LCT-1'!BW21+'[4]LCT-2'!BW21+'[4]LCT-3'!BW21+'[4]LCT-4'!BW21+'[4]LCT-5'!BW21+'[4]LCT-6'!BW21+'[4]LCT-7'!BW21+'[4]LCT-8'!BW21+'[5]TB-1'!BW21+'[5]TB-2'!BW21+'[5]TB-3'!BW21+'[5]TB-4'!BW21+'[5]TB-5'!BW21+'[5]TB-6'!BW21+'[5]TB-7'!BW21+'[5]TB-8'!BW21+'[5]TB-9'!BW21+'[5]TB-10'!BW21+'[6]DSV-1'!BW21+'[6]DSV-2'!BW21+'[6]DSV-3'!BW21+'[7]TUB-1'!BW21+'[7]TUB-2'!BW21+'[8]Barge-1'!BW21+'[8]Barge-2'!BW21+'[8]Barge-3'!BW21+'[8]Barge-4'!BW21</f>
        <v>5778.9981588470564</v>
      </c>
      <c r="T21" s="184">
        <f>'[2]AHTS-1'!CS21+'[2]AHTS-2'!CS21+'[2]AHTS-3'!CS21+'[2]AHTS-4'!CS21+'[2]AHTS-5'!CS21+'[2]AHTS-6'!CS21+'[2]AHTS-7'!CS21+'[2]AHTS-8'!CS21+'[3]CB-1'!CS21+'[3]CB-2'!CS21+'[3]CB-3'!CS21+'[3]CB-4'!CS21+'[3]CB-5'!CS21+'[3]CB-6'!CS21+'[3]CB-7'!CS21+'[3]CB-8'!CS21+'[3]CB-9'!CS21+'[3]CB-10'!CS21+'[3]CB-11'!CS21+'[3]CB-12'!CS21+'[3]CB-13'!CS21+'[3]CB-14'!CS21+'[3]CB-15'!CS21+'[3]CB-16'!CS21+'[3]CB-17'!CS21+'[3]CB-18'!CS21+'[3]CB-19'!CS21+'[3]CB-20'!CS21+'[3]CB-21'!CS21+'[3]CB-22'!CS21+'[3]CB-23'!CS21+'[3]CB-24'!CS21+'[4]LCT-1'!CS21+'[4]LCT-2'!CS21+'[4]LCT-3'!CS21+'[4]LCT-4'!CS21+'[4]LCT-5'!CS21+'[4]LCT-6'!CS21+'[4]LCT-7'!CS21+'[4]LCT-8'!CS21+'[5]TB-1'!CS21+'[5]TB-2'!CS21+'[5]TB-3'!CS21+'[5]TB-4'!CS21+'[5]TB-5'!CS21+'[5]TB-6'!CS21+'[5]TB-7'!CS21+'[5]TB-8'!CS21+'[5]TB-9'!CS21+'[5]TB-10'!CS21+'[6]DSV-1'!CS21+'[6]DSV-2'!CS21+'[6]DSV-3'!CS21+'[7]TUB-1'!CS21+'[7]TUB-2'!CS21+'[8]Barge-1'!CS21+'[8]Barge-2'!CS21+'[8]Barge-3'!CS21+'[8]Barge-4'!CS21</f>
        <v>0</v>
      </c>
      <c r="U21" s="183">
        <f>'[2]AHTS-1'!BB21+'[2]AHTS-2'!BB21+'[2]AHTS-3'!BB21+'[2]AHTS-4'!BB21+'[2]AHTS-5'!BB21+'[2]AHTS-6'!BB21+'[2]AHTS-7'!BB21+'[2]AHTS-8'!BB21+'[3]CB-1'!BB21+'[3]CB-2'!BB21+'[3]CB-3'!BB21+'[3]CB-4'!BB21+'[3]CB-5'!BB21+'[3]CB-6'!BB21+'[3]CB-7'!BB21+'[3]CB-8'!BB21+'[3]CB-9'!BB21+'[3]CB-10'!BB21+'[3]CB-11'!BB21+'[3]CB-12'!BB21+'[3]CB-13'!BB21+'[3]CB-14'!BB21+'[3]CB-15'!BB21+'[3]CB-16'!BB21+'[3]CB-17'!BB21+'[3]CB-18'!BB21+'[3]CB-19'!BB21+'[3]CB-20'!BB21+'[3]CB-21'!BB21+'[3]CB-22'!BB21+'[3]CB-23'!BB21+'[3]CB-24'!BB21+'[4]LCT-1'!BB21+'[4]LCT-2'!BB21+'[4]LCT-3'!BB21+'[4]LCT-4'!BB21+'[4]LCT-5'!BB21+'[4]LCT-6'!BB21+'[4]LCT-7'!BB21+'[4]LCT-8'!BB21+'[5]TB-1'!BB21+'[5]TB-2'!BB21+'[5]TB-3'!BB21+'[5]TB-4'!BB21+'[5]TB-5'!BB21+'[5]TB-6'!BB21+'[5]TB-7'!BB21+'[5]TB-8'!BB21+'[5]TB-9'!BB21+'[5]TB-10'!BB21+'[6]DSV-1'!BB21+'[6]DSV-2'!BB21+'[6]DSV-3'!BB21+'[7]TUB-1'!BB21+'[7]TUB-2'!BB21+'[8]Barge-1'!BB21+'[8]Barge-2'!BB21+'[8]Barge-3'!BB21+'[8]Barge-4'!BB21</f>
        <v>0</v>
      </c>
      <c r="V21" s="180">
        <f>'[2]AHTS-1'!BX21+'[2]AHTS-2'!BX21+'[2]AHTS-3'!BX21+'[2]AHTS-4'!BX21+'[2]AHTS-5'!BX21+'[2]AHTS-6'!BX21+'[2]AHTS-7'!BX21+'[2]AHTS-8'!BX21+'[3]CB-1'!BX21+'[3]CB-2'!BX21+'[3]CB-3'!BX21+'[3]CB-4'!BX21+'[3]CB-5'!BX21+'[3]CB-6'!BX21+'[3]CB-7'!BX21+'[3]CB-8'!BX21+'[3]CB-9'!BX21+'[3]CB-10'!BX21+'[3]CB-11'!BX21+'[3]CB-12'!BX21+'[3]CB-13'!BX21+'[3]CB-14'!BX21+'[3]CB-15'!BX21+'[3]CB-16'!BX21+'[3]CB-17'!BX21+'[3]CB-18'!BX21+'[3]CB-19'!BX21+'[3]CB-20'!BX21+'[3]CB-21'!BX21+'[3]CB-22'!BX21+'[3]CB-23'!BX21+'[3]CB-24'!BX21+'[4]LCT-1'!BX21+'[4]LCT-2'!BX21+'[4]LCT-3'!BX21+'[4]LCT-4'!BX21+'[4]LCT-5'!BX21+'[4]LCT-6'!BX21+'[4]LCT-7'!BX21+'[4]LCT-8'!BX21+'[5]TB-1'!BX21+'[5]TB-2'!BX21+'[5]TB-3'!BX21+'[5]TB-4'!BX21+'[5]TB-5'!BX21+'[5]TB-6'!BX21+'[5]TB-7'!BX21+'[5]TB-8'!BX21+'[5]TB-9'!BX21+'[5]TB-10'!BX21+'[6]DSV-1'!BX21+'[6]DSV-2'!BX21+'[6]DSV-3'!BX21+'[7]TUB-1'!BX21+'[7]TUB-2'!BX21+'[8]Barge-1'!BX21+'[8]Barge-2'!BX21+'[8]Barge-3'!BX21+'[8]Barge-4'!BX21</f>
        <v>0</v>
      </c>
      <c r="W21" s="184">
        <f>'[2]AHTS-1'!CT21+'[2]AHTS-2'!CT21+'[2]AHTS-3'!CT21+'[2]AHTS-4'!CT21+'[2]AHTS-5'!CT21+'[2]AHTS-6'!CT21+'[2]AHTS-7'!CT21+'[2]AHTS-8'!CT21+'[3]CB-1'!CT21+'[3]CB-2'!CT21+'[3]CB-3'!CT21+'[3]CB-4'!CT21+'[3]CB-5'!CT21+'[3]CB-6'!CT21+'[3]CB-7'!CT21+'[3]CB-8'!CT21+'[3]CB-9'!CT21+'[3]CB-10'!CT21+'[3]CB-11'!CT21+'[3]CB-12'!CT21+'[3]CB-13'!CT21+'[3]CB-14'!CT21+'[3]CB-15'!CT21+'[3]CB-16'!CT21+'[3]CB-17'!CT21+'[3]CB-18'!CT21+'[3]CB-19'!CT21+'[3]CB-20'!CT21+'[3]CB-21'!CT21+'[3]CB-22'!CT21+'[3]CB-23'!CT21+'[3]CB-24'!CT21+'[4]LCT-1'!CT21+'[4]LCT-2'!CT21+'[4]LCT-3'!CT21+'[4]LCT-4'!CT21+'[4]LCT-5'!CT21+'[4]LCT-6'!CT21+'[4]LCT-7'!CT21+'[4]LCT-8'!CT21+'[5]TB-1'!CT21+'[5]TB-2'!CT21+'[5]TB-3'!CT21+'[5]TB-4'!CT21+'[5]TB-5'!CT21+'[5]TB-6'!CT21+'[5]TB-7'!CT21+'[5]TB-8'!CT21+'[5]TB-9'!CT21+'[5]TB-10'!CT21+'[6]DSV-1'!CT21+'[6]DSV-2'!CT21+'[6]DSV-3'!CT21+'[7]TUB-1'!CT21+'[7]TUB-2'!CT21+'[8]Barge-1'!CT21+'[8]Barge-2'!CT21+'[8]Barge-3'!CT21+'[8]Barge-4'!CT21</f>
        <v>0</v>
      </c>
      <c r="X21" s="67"/>
      <c r="Y21" s="67"/>
      <c r="Z21" s="68"/>
      <c r="AA21" s="111">
        <f>[1]Control!AZ21</f>
        <v>45996</v>
      </c>
      <c r="AB21" s="66"/>
      <c r="AC21" s="132">
        <f>'[2]AHTS-1'!IC59+'[2]AHTS-2'!IC59+'[2]AHTS-3'!IC59+'[2]AHTS-4'!IC59+'[2]AHTS-5'!IC59+'[2]AHTS-6'!IC59+'[2]AHTS-7'!IC59+'[2]AHTS-8'!IC59+'[3]CB-1'!IC59+'[3]CB-2'!IC59+'[3]CB-3'!IC59+'[3]CB-4'!IC59+'[3]CB-5'!IC59+'[3]CB-6'!IC59+'[3]CB-7'!IC59+'[3]CB-8'!IC59+'[3]CB-9'!IC59+'[3]CB-10'!IC59+'[3]CB-11'!IC59+'[3]CB-12'!IC59+'[3]CB-13'!IC59+'[3]CB-14'!IC59+'[3]CB-15'!IC59+'[3]CB-16'!IC59+'[3]CB-17'!IC59+'[3]CB-18'!IC59+'[3]CB-19'!IC59+'[3]CB-20'!IC59+'[3]CB-21'!IC59+'[3]CB-22'!IC59+'[3]CB-23'!IC59+'[3]CB-24'!IC59+'[4]LCT-1'!IC59+'[4]LCT-2'!IC59+'[4]LCT-3'!IC59+'[4]LCT-4'!IC59+'[4]LCT-5'!IC59+'[4]LCT-6'!IC59+'[4]LCT-7'!IC59+'[4]LCT-8'!IC59+'[5]TB-1'!IC59+'[5]TB-2'!IC59+'[5]TB-3'!IC59+'[5]TB-4'!IC59+'[5]TB-5'!IC59+'[5]TB-6'!IC59+'[5]TB-7'!IC59+'[5]TB-8'!IC59+'[5]TB-9'!IC59+'[5]TB-10'!IC59+'[6]DSV-1'!IC59+'[6]DSV-2'!IC59+'[6]DSV-3'!IC59+'[7]TUB-1'!IC59+'[7]TUB-2'!IC59+'[8]Barge-1'!IC59+'[8]Barge-2'!IC59+'[8]Barge-3'!IC59+'[8]Barge-4'!IC59</f>
        <v>0</v>
      </c>
      <c r="AD21" s="133">
        <f>'[2]AHTS-1'!IC21+'[2]AHTS-2'!IC21+'[2]AHTS-3'!IC21+'[2]AHTS-4'!IC21+'[2]AHTS-5'!IC21+'[2]AHTS-6'!IC21+'[2]AHTS-7'!IC21+'[2]AHTS-8'!IC21+'[3]CB-1'!IC21+'[3]CB-2'!IC21+'[3]CB-3'!IC21+'[3]CB-4'!IC21+'[3]CB-5'!IC21+'[3]CB-6'!IC21+'[3]CB-7'!IC21+'[3]CB-8'!IC21+'[3]CB-9'!IC21+'[3]CB-10'!IC21+'[3]CB-11'!IC21+'[3]CB-12'!IC21+'[3]CB-13'!IC21+'[3]CB-14'!IC21+'[3]CB-15'!IC21+'[3]CB-16'!IC21+'[3]CB-17'!IC21+'[3]CB-18'!IC21+'[3]CB-19'!IC21+'[3]CB-20'!IC21+'[3]CB-21'!IC21+'[3]CB-22'!IC21+'[3]CB-23'!IC21+'[3]CB-24'!IC21+'[4]LCT-1'!IC21+'[4]LCT-2'!IC21+'[4]LCT-3'!IC21+'[4]LCT-4'!IC21+'[4]LCT-5'!IC21+'[4]LCT-6'!IC21+'[4]LCT-7'!IC21+'[4]LCT-8'!IC21+'[5]TB-1'!IC21+'[5]TB-2'!IC21+'[5]TB-3'!IC21+'[5]TB-4'!IC21+'[5]TB-5'!IC21+'[5]TB-6'!IC21+'[5]TB-7'!IC21+'[5]TB-8'!IC21+'[5]TB-9'!IC21+'[5]TB-10'!IC21+'[6]DSV-1'!IC21+'[6]DSV-2'!IC21+'[6]DSV-3'!IC21+'[7]TUB-1'!IC21+'[7]TUB-2'!IC21+'[8]Barge-1'!IC21+'[8]Barge-2'!IC21+'[8]Barge-3'!IC21+'[8]Barge-4'!IC21</f>
        <v>0</v>
      </c>
      <c r="AE21" s="134">
        <f>'[2]AHTS-1'!IC92+'[2]AHTS-2'!IC92+'[2]AHTS-3'!IC92+'[2]AHTS-4'!IC92+'[2]AHTS-5'!IC92+'[2]AHTS-6'!IC92+'[2]AHTS-7'!IC92+'[2]AHTS-8'!IC92+'[3]CB-1'!IC92+'[3]CB-2'!IC92+'[3]CB-3'!IC92+'[3]CB-4'!IC92+'[3]CB-5'!IC92+'[3]CB-6'!IC92+'[3]CB-7'!IC92+'[3]CB-8'!IC92+'[3]CB-9'!IC92+'[3]CB-10'!IC92+'[3]CB-11'!IC92+'[3]CB-12'!IC92+'[3]CB-13'!IC92+'[3]CB-14'!IC92+'[3]CB-15'!IC92+'[3]CB-16'!IC92+'[3]CB-17'!IC92+'[3]CB-18'!IC92+'[3]CB-19'!IC92+'[3]CB-20'!IC92+'[3]CB-21'!IC92+'[3]CB-22'!IC92+'[3]CB-23'!IC92+'[3]CB-24'!IC92+'[4]LCT-1'!IC92+'[4]LCT-2'!IC92+'[4]LCT-3'!IC92+'[4]LCT-4'!IC92+'[4]LCT-5'!IC92+'[4]LCT-6'!IC92+'[4]LCT-7'!IC92+'[4]LCT-8'!IC92+'[5]TB-1'!IC92+'[5]TB-2'!IC92+'[5]TB-3'!IC92+'[5]TB-4'!IC92+'[5]TB-5'!IC92+'[5]TB-6'!IC92+'[5]TB-7'!IC92+'[5]TB-8'!IC92+'[5]TB-9'!IC92+'[5]TB-10'!IC92+'[6]DSV-1'!IC92+'[6]DSV-2'!IC92+'[6]DSV-3'!IC92+'[7]TUB-1'!IC92+'[7]TUB-2'!IC92+'[8]Barge-1'!IC92+'[8]Barge-2'!IC92+'[8]Barge-3'!IC92+'[8]Barge-4'!IC92</f>
        <v>0</v>
      </c>
      <c r="AF21" s="135">
        <f>'[2]AHTS-1'!ID59+'[2]AHTS-2'!ID59+'[2]AHTS-3'!ID59+'[2]AHTS-4'!ID59+'[2]AHTS-5'!ID59+'[2]AHTS-6'!ID59+'[2]AHTS-7'!ID59+'[2]AHTS-8'!ID59+'[3]CB-1'!ID59+'[3]CB-2'!ID59+'[3]CB-3'!ID59+'[3]CB-4'!ID59+'[3]CB-5'!ID59+'[3]CB-6'!ID59+'[3]CB-7'!ID59+'[3]CB-8'!ID59+'[3]CB-9'!ID59+'[3]CB-10'!ID59+'[3]CB-11'!ID59+'[3]CB-12'!ID59+'[3]CB-13'!ID59+'[3]CB-14'!ID59+'[3]CB-15'!ID59+'[3]CB-16'!ID59+'[3]CB-17'!ID59+'[3]CB-18'!ID59+'[3]CB-19'!ID59+'[3]CB-20'!ID59+'[3]CB-21'!ID59+'[3]CB-22'!ID59+'[3]CB-23'!ID59+'[3]CB-24'!ID59+'[4]LCT-1'!ID59+'[4]LCT-2'!ID59+'[4]LCT-3'!ID59+'[4]LCT-4'!ID59+'[4]LCT-5'!ID59+'[4]LCT-6'!ID59+'[4]LCT-7'!ID59+'[4]LCT-8'!ID59+'[5]TB-1'!ID59+'[5]TB-2'!ID59+'[5]TB-3'!ID59+'[5]TB-4'!ID59+'[5]TB-5'!ID59+'[5]TB-6'!ID59+'[5]TB-7'!ID59+'[5]TB-8'!ID59+'[5]TB-9'!ID59+'[5]TB-10'!ID59+'[6]DSV-1'!ID59+'[6]DSV-2'!ID59+'[6]DSV-3'!ID59+'[7]TUB-1'!ID59+'[7]TUB-2'!ID59+'[8]Barge-1'!ID59+'[8]Barge-2'!ID59+'[8]Barge-3'!ID59+'[8]Barge-4'!ID59</f>
        <v>41451666.666666672</v>
      </c>
      <c r="AG21" s="136">
        <f>'[2]AHTS-1'!ID21+'[2]AHTS-2'!ID21+'[2]AHTS-3'!ID21+'[2]AHTS-4'!ID21+'[2]AHTS-5'!ID21+'[2]AHTS-6'!ID21+'[2]AHTS-7'!ID21+'[2]AHTS-8'!ID21+'[3]CB-1'!ID21+'[3]CB-2'!ID21+'[3]CB-3'!ID21+'[3]CB-4'!ID21+'[3]CB-5'!ID21+'[3]CB-6'!ID21+'[3]CB-7'!ID21+'[3]CB-8'!ID21+'[3]CB-9'!ID21+'[3]CB-10'!ID21+'[3]CB-11'!ID21+'[3]CB-12'!ID21+'[3]CB-13'!ID21+'[3]CB-14'!ID21+'[3]CB-15'!ID21+'[3]CB-16'!ID21+'[3]CB-17'!ID21+'[3]CB-18'!ID21+'[3]CB-19'!ID21+'[3]CB-20'!ID21+'[3]CB-21'!ID21+'[3]CB-22'!ID21+'[3]CB-23'!ID21+'[3]CB-24'!ID21+'[4]LCT-1'!ID21+'[4]LCT-2'!ID21+'[4]LCT-3'!ID21+'[4]LCT-4'!ID21+'[4]LCT-5'!ID21+'[4]LCT-6'!ID21+'[4]LCT-7'!ID21+'[4]LCT-8'!ID21+'[5]TB-1'!ID21+'[5]TB-2'!ID21+'[5]TB-3'!ID21+'[5]TB-4'!ID21+'[5]TB-5'!ID21+'[5]TB-6'!ID21+'[5]TB-7'!ID21+'[5]TB-8'!ID21+'[5]TB-9'!ID21+'[5]TB-10'!ID21+'[6]DSV-1'!ID21+'[6]DSV-2'!ID21+'[6]DSV-3'!ID21+'[7]TUB-1'!ID21+'[7]TUB-2'!ID21+'[8]Barge-1'!ID21+'[8]Barge-2'!ID21+'[8]Barge-3'!ID21+'[8]Barge-4'!ID21</f>
        <v>42625000</v>
      </c>
      <c r="AH21" s="136">
        <f>'[2]AHTS-1'!ID92+'[2]AHTS-2'!ID92+'[2]AHTS-3'!ID92+'[2]AHTS-4'!ID92+'[2]AHTS-5'!ID92+'[2]AHTS-6'!ID92+'[2]AHTS-7'!ID92+'[2]AHTS-8'!ID92+'[3]CB-1'!ID92+'[3]CB-2'!ID92+'[3]CB-3'!ID92+'[3]CB-4'!ID92+'[3]CB-5'!ID92+'[3]CB-6'!ID92+'[3]CB-7'!ID92+'[3]CB-8'!ID92+'[3]CB-9'!ID92+'[3]CB-10'!ID92+'[3]CB-11'!ID92+'[3]CB-12'!ID92+'[3]CB-13'!ID92+'[3]CB-14'!ID92+'[3]CB-15'!ID92+'[3]CB-16'!ID92+'[3]CB-17'!ID92+'[3]CB-18'!ID92+'[3]CB-19'!ID92+'[3]CB-20'!ID92+'[3]CB-21'!ID92+'[3]CB-22'!ID92+'[3]CB-23'!ID92+'[3]CB-24'!ID92+'[4]LCT-1'!ID92+'[4]LCT-2'!ID92+'[4]LCT-3'!ID92+'[4]LCT-4'!ID92+'[4]LCT-5'!ID92+'[4]LCT-6'!ID92+'[4]LCT-7'!ID92+'[4]LCT-8'!ID92+'[5]TB-1'!ID92+'[5]TB-2'!ID92+'[5]TB-3'!ID92+'[5]TB-4'!ID92+'[5]TB-5'!ID92+'[5]TB-6'!ID92+'[5]TB-7'!ID92+'[5]TB-8'!ID92+'[5]TB-9'!ID92+'[5]TB-10'!ID92+'[6]DSV-1'!ID92+'[6]DSV-2'!ID92+'[6]DSV-3'!ID92+'[7]TUB-1'!ID92+'[7]TUB-2'!ID92+'[8]Barge-1'!ID92+'[8]Barge-2'!ID92+'[8]Barge-3'!ID92+'[8]Barge-4'!ID92</f>
        <v>0</v>
      </c>
      <c r="AI21" s="135">
        <f>'[2]AHTS-1'!IE59+'[2]AHTS-2'!IE59+'[2]AHTS-3'!IE59+'[2]AHTS-4'!IE59+'[2]AHTS-5'!IE59+'[2]AHTS-6'!IE59+'[2]AHTS-7'!IE59+'[2]AHTS-8'!IE59+'[3]CB-1'!IE59+'[3]CB-2'!IE59+'[3]CB-3'!IE59+'[3]CB-4'!IE59+'[3]CB-5'!IE59+'[3]CB-6'!IE59+'[3]CB-7'!IE59+'[3]CB-8'!IE59+'[3]CB-9'!IE59+'[3]CB-10'!IE59+'[3]CB-11'!IE59+'[3]CB-12'!IE59+'[3]CB-13'!IE59+'[3]CB-14'!IE59+'[3]CB-15'!IE59+'[3]CB-16'!IE59+'[3]CB-17'!IE59+'[3]CB-18'!IE59+'[3]CB-19'!IE59+'[3]CB-20'!IE59+'[3]CB-21'!IE59+'[3]CB-22'!IE59+'[3]CB-23'!IE59+'[3]CB-24'!IE59+'[4]LCT-1'!IE59+'[4]LCT-2'!IE59+'[4]LCT-3'!IE59+'[4]LCT-4'!IE59+'[4]LCT-5'!IE59+'[4]LCT-6'!IE59+'[4]LCT-7'!IE59+'[4]LCT-8'!IE59+'[5]TB-1'!IE59+'[5]TB-2'!IE59+'[5]TB-3'!IE59+'[5]TB-4'!IE59+'[5]TB-5'!IE59+'[5]TB-6'!IE59+'[5]TB-7'!IE59+'[5]TB-8'!IE59+'[5]TB-9'!IE59+'[5]TB-10'!IE59+'[6]DSV-1'!IE59+'[6]DSV-2'!IE59+'[6]DSV-3'!IE59+'[7]TUB-1'!IE59+'[7]TUB-2'!IE59+'[8]Barge-1'!IE59+'[8]Barge-2'!IE59+'[8]Barge-3'!IE59+'[8]Barge-4'!IE59</f>
        <v>36283666.666666672</v>
      </c>
      <c r="AJ21" s="136">
        <f>'[2]AHTS-1'!IE21+'[2]AHTS-2'!IE21+'[2]AHTS-3'!IE21+'[2]AHTS-4'!IE21+'[2]AHTS-5'!IE21+'[2]AHTS-6'!IE21+'[2]AHTS-7'!IE21+'[2]AHTS-8'!IE21+'[3]CB-1'!IE21+'[3]CB-2'!IE21+'[3]CB-3'!IE21+'[3]CB-4'!IE21+'[3]CB-5'!IE21+'[3]CB-6'!IE21+'[3]CB-7'!IE21+'[3]CB-8'!IE21+'[3]CB-9'!IE21+'[3]CB-10'!IE21+'[3]CB-11'!IE21+'[3]CB-12'!IE21+'[3]CB-13'!IE21+'[3]CB-14'!IE21+'[3]CB-15'!IE21+'[3]CB-16'!IE21+'[3]CB-17'!IE21+'[3]CB-18'!IE21+'[3]CB-19'!IE21+'[3]CB-20'!IE21+'[3]CB-21'!IE21+'[3]CB-22'!IE21+'[3]CB-23'!IE21+'[3]CB-24'!IE21+'[4]LCT-1'!IE21+'[4]LCT-2'!IE21+'[4]LCT-3'!IE21+'[4]LCT-4'!IE21+'[4]LCT-5'!IE21+'[4]LCT-6'!IE21+'[4]LCT-7'!IE21+'[4]LCT-8'!IE21+'[5]TB-1'!IE21+'[5]TB-2'!IE21+'[5]TB-3'!IE21+'[5]TB-4'!IE21+'[5]TB-5'!IE21+'[5]TB-6'!IE21+'[5]TB-7'!IE21+'[5]TB-8'!IE21+'[5]TB-9'!IE21+'[5]TB-10'!IE21+'[6]DSV-1'!IE21+'[6]DSV-2'!IE21+'[6]DSV-3'!IE21+'[7]TUB-1'!IE21+'[7]TUB-2'!IE21+'[8]Barge-1'!IE21+'[8]Barge-2'!IE21+'[8]Barge-3'!IE21+'[8]Barge-4'!IE21</f>
        <v>31212500</v>
      </c>
      <c r="AK21" s="136">
        <f>'[2]AHTS-1'!IE92+'[2]AHTS-2'!IE92+'[2]AHTS-3'!IE92+'[2]AHTS-4'!IE92+'[2]AHTS-5'!IE92+'[2]AHTS-6'!IE92+'[2]AHTS-7'!IE92+'[2]AHTS-8'!IE92+'[3]CB-1'!IE92+'[3]CB-2'!IE92+'[3]CB-3'!IE92+'[3]CB-4'!IE92+'[3]CB-5'!IE92+'[3]CB-6'!IE92+'[3]CB-7'!IE92+'[3]CB-8'!IE92+'[3]CB-9'!IE92+'[3]CB-10'!IE92+'[3]CB-11'!IE92+'[3]CB-12'!IE92+'[3]CB-13'!IE92+'[3]CB-14'!IE92+'[3]CB-15'!IE92+'[3]CB-16'!IE92+'[3]CB-17'!IE92+'[3]CB-18'!IE92+'[3]CB-19'!IE92+'[3]CB-20'!IE92+'[3]CB-21'!IE92+'[3]CB-22'!IE92+'[3]CB-23'!IE92+'[3]CB-24'!IE92+'[4]LCT-1'!IE92+'[4]LCT-2'!IE92+'[4]LCT-3'!IE92+'[4]LCT-4'!IE92+'[4]LCT-5'!IE92+'[4]LCT-6'!IE92+'[4]LCT-7'!IE92+'[4]LCT-8'!IE92+'[5]TB-1'!IE92+'[5]TB-2'!IE92+'[5]TB-3'!IE92+'[5]TB-4'!IE92+'[5]TB-5'!IE92+'[5]TB-6'!IE92+'[5]TB-7'!IE92+'[5]TB-8'!IE92+'[5]TB-9'!IE92+'[5]TB-10'!IE92+'[6]DSV-1'!IE92+'[6]DSV-2'!IE92+'[6]DSV-3'!IE92+'[7]TUB-1'!IE92+'[7]TUB-2'!IE92+'[8]Barge-1'!IE92+'[8]Barge-2'!IE92+'[8]Barge-3'!IE92+'[8]Barge-4'!IE92</f>
        <v>0</v>
      </c>
      <c r="AL21" s="137">
        <f>'[2]AHTS-1'!IF59+'[2]AHTS-2'!IF59+'[2]AHTS-3'!IF59+'[2]AHTS-4'!IF59+'[2]AHTS-5'!IF59+'[2]AHTS-6'!IF59+'[2]AHTS-7'!IF59+'[2]AHTS-8'!IF59+'[3]CB-1'!IF59+'[3]CB-2'!IF59+'[3]CB-3'!IF59+'[3]CB-4'!IF59+'[3]CB-5'!IF59+'[3]CB-6'!IF59+'[3]CB-7'!IF59+'[3]CB-8'!IF59+'[3]CB-9'!IF59+'[3]CB-10'!IF59+'[3]CB-11'!IF59+'[3]CB-12'!IF59+'[3]CB-13'!IF59+'[3]CB-14'!IF59+'[3]CB-15'!IF59+'[3]CB-16'!IF59+'[3]CB-17'!IF59+'[3]CB-18'!IF59+'[3]CB-19'!IF59+'[3]CB-20'!IF59+'[3]CB-21'!IF59+'[3]CB-22'!IF59+'[3]CB-23'!IF59+'[3]CB-24'!IF59+'[4]LCT-1'!IF59+'[4]LCT-2'!IF59+'[4]LCT-3'!IF59+'[4]LCT-4'!IF59+'[4]LCT-5'!IF59+'[4]LCT-6'!IF59+'[4]LCT-7'!IF59+'[4]LCT-8'!IF59+'[5]TB-1'!IF59+'[5]TB-2'!IF59+'[5]TB-3'!IF59+'[5]TB-4'!IF59+'[5]TB-5'!IF59+'[5]TB-6'!IF59+'[5]TB-7'!IF59+'[5]TB-8'!IF59+'[5]TB-9'!IF59+'[5]TB-10'!IF59+'[6]DSV-1'!IF59+'[6]DSV-2'!IF59+'[6]DSV-3'!IF59+'[7]TUB-1'!IF59+'[7]TUB-2'!IF59+'[8]Barge-1'!IF59+'[8]Barge-2'!IF59+'[8]Barge-3'!IF59+'[8]Barge-4'!IF59</f>
        <v>44121800</v>
      </c>
      <c r="AM21" s="138">
        <f>'[2]AHTS-1'!IF21+'[2]AHTS-2'!IF21+'[2]AHTS-3'!IF21+'[2]AHTS-4'!IF21+'[2]AHTS-5'!IF21+'[2]AHTS-6'!IF21+'[2]AHTS-7'!IF21+'[2]AHTS-8'!IF21+'[3]CB-1'!IF21+'[3]CB-2'!IF21+'[3]CB-3'!IF21+'[3]CB-4'!IF21+'[3]CB-5'!IF21+'[3]CB-6'!IF21+'[3]CB-7'!IF21+'[3]CB-8'!IF21+'[3]CB-9'!IF21+'[3]CB-10'!IF21+'[3]CB-11'!IF21+'[3]CB-12'!IF21+'[3]CB-13'!IF21+'[3]CB-14'!IF21+'[3]CB-15'!IF21+'[3]CB-16'!IF21+'[3]CB-17'!IF21+'[3]CB-18'!IF21+'[3]CB-19'!IF21+'[3]CB-20'!IF21+'[3]CB-21'!IF21+'[3]CB-22'!IF21+'[3]CB-23'!IF21+'[3]CB-24'!IF21+'[4]LCT-1'!IF21+'[4]LCT-2'!IF21+'[4]LCT-3'!IF21+'[4]LCT-4'!IF21+'[4]LCT-5'!IF21+'[4]LCT-6'!IF21+'[4]LCT-7'!IF21+'[4]LCT-8'!IF21+'[5]TB-1'!IF21+'[5]TB-2'!IF21+'[5]TB-3'!IF21+'[5]TB-4'!IF21+'[5]TB-5'!IF21+'[5]TB-6'!IF21+'[5]TB-7'!IF21+'[5]TB-8'!IF21+'[5]TB-9'!IF21+'[5]TB-10'!IF21+'[6]DSV-1'!IF21+'[6]DSV-2'!IF21+'[6]DSV-3'!IF21+'[7]TUB-1'!IF21+'[7]TUB-2'!IF21+'[8]Barge-1'!IF21+'[8]Barge-2'!IF21+'[8]Barge-3'!IF21+'[8]Barge-4'!IF21</f>
        <v>63200000</v>
      </c>
      <c r="AN21" s="138">
        <f>'[2]AHTS-1'!IF92+'[2]AHTS-2'!IF92+'[2]AHTS-3'!IF92+'[2]AHTS-4'!IF92+'[2]AHTS-5'!IF92+'[2]AHTS-6'!IF92+'[2]AHTS-7'!IF92+'[2]AHTS-8'!IF92+'[3]CB-1'!IF92+'[3]CB-2'!IF92+'[3]CB-3'!IF92+'[3]CB-4'!IF92+'[3]CB-5'!IF92+'[3]CB-6'!IF92+'[3]CB-7'!IF92+'[3]CB-8'!IF92+'[3]CB-9'!IF92+'[3]CB-10'!IF92+'[3]CB-11'!IF92+'[3]CB-12'!IF92+'[3]CB-13'!IF92+'[3]CB-14'!IF92+'[3]CB-15'!IF92+'[3]CB-16'!IF92+'[3]CB-17'!IF92+'[3]CB-18'!IF92+'[3]CB-19'!IF92+'[3]CB-20'!IF92+'[3]CB-21'!IF92+'[3]CB-22'!IF92+'[3]CB-23'!IF92+'[3]CB-24'!IF92+'[4]LCT-1'!IF92+'[4]LCT-2'!IF92+'[4]LCT-3'!IF92+'[4]LCT-4'!IF92+'[4]LCT-5'!IF92+'[4]LCT-6'!IF92+'[4]LCT-7'!IF92+'[4]LCT-8'!IF92+'[5]TB-1'!IF92+'[5]TB-2'!IF92+'[5]TB-3'!IF92+'[5]TB-4'!IF92+'[5]TB-5'!IF92+'[5]TB-6'!IF92+'[5]TB-7'!IF92+'[5]TB-8'!IF92+'[5]TB-9'!IF92+'[5]TB-10'!IF92+'[6]DSV-1'!IF92+'[6]DSV-2'!IF92+'[6]DSV-3'!IF92+'[7]TUB-1'!IF92+'[7]TUB-2'!IF92+'[8]Barge-1'!IF92+'[8]Barge-2'!IF92+'[8]Barge-3'!IF92+'[8]Barge-4'!IF92</f>
        <v>0</v>
      </c>
      <c r="AO21" s="135">
        <f>'[2]AHTS-1'!IG59+'[2]AHTS-2'!IG59+'[2]AHTS-3'!IG59+'[2]AHTS-4'!IG59+'[2]AHTS-5'!IG59+'[2]AHTS-6'!IG59+'[2]AHTS-7'!IG59+'[2]AHTS-8'!IG59+'[3]CB-1'!IG59+'[3]CB-2'!IG59+'[3]CB-3'!IG59+'[3]CB-4'!IG59+'[3]CB-5'!IG59+'[3]CB-6'!IG59+'[3]CB-7'!IG59+'[3]CB-8'!IG59+'[3]CB-9'!IG59+'[3]CB-10'!IG59+'[3]CB-11'!IG59+'[3]CB-12'!IG59+'[3]CB-13'!IG59+'[3]CB-14'!IG59+'[3]CB-15'!IG59+'[3]CB-16'!IG59+'[3]CB-17'!IG59+'[3]CB-18'!IG59+'[3]CB-19'!IG59+'[3]CB-20'!IG59+'[3]CB-21'!IG59+'[3]CB-22'!IG59+'[3]CB-23'!IG59+'[3]CB-24'!IG59+'[4]LCT-1'!IG59+'[4]LCT-2'!IG59+'[4]LCT-3'!IG59+'[4]LCT-4'!IG59+'[4]LCT-5'!IG59+'[4]LCT-6'!IG59+'[4]LCT-7'!IG59+'[4]LCT-8'!IG59+'[5]TB-1'!IG59+'[5]TB-2'!IG59+'[5]TB-3'!IG59+'[5]TB-4'!IG59+'[5]TB-5'!IG59+'[5]TB-6'!IG59+'[5]TB-7'!IG59+'[5]TB-8'!IG59+'[5]TB-9'!IG59+'[5]TB-10'!IG59+'[6]DSV-1'!IG59+'[6]DSV-2'!IG59+'[6]DSV-3'!IG59+'[7]TUB-1'!IG59+'[7]TUB-2'!IG59+'[8]Barge-1'!IG59+'[8]Barge-2'!IG59+'[8]Barge-3'!IG59+'[8]Barge-4'!IG59</f>
        <v>226100</v>
      </c>
      <c r="AP21" s="136">
        <f>'[2]AHTS-1'!IG21+'[2]AHTS-2'!IG21+'[2]AHTS-3'!IG21+'[2]AHTS-4'!IG21+'[2]AHTS-5'!IG21+'[2]AHTS-6'!IG21+'[2]AHTS-7'!IG21+'[2]AHTS-8'!IG21+'[3]CB-1'!IG21+'[3]CB-2'!IG21+'[3]CB-3'!IG21+'[3]CB-4'!IG21+'[3]CB-5'!IG21+'[3]CB-6'!IG21+'[3]CB-7'!IG21+'[3]CB-8'!IG21+'[3]CB-9'!IG21+'[3]CB-10'!IG21+'[3]CB-11'!IG21+'[3]CB-12'!IG21+'[3]CB-13'!IG21+'[3]CB-14'!IG21+'[3]CB-15'!IG21+'[3]CB-16'!IG21+'[3]CB-17'!IG21+'[3]CB-18'!IG21+'[3]CB-19'!IG21+'[3]CB-20'!IG21+'[3]CB-21'!IG21+'[3]CB-22'!IG21+'[3]CB-23'!IG21+'[3]CB-24'!IG21+'[4]LCT-1'!IG21+'[4]LCT-2'!IG21+'[4]LCT-3'!IG21+'[4]LCT-4'!IG21+'[4]LCT-5'!IG21+'[4]LCT-6'!IG21+'[4]LCT-7'!IG21+'[4]LCT-8'!IG21+'[5]TB-1'!IG21+'[5]TB-2'!IG21+'[5]TB-3'!IG21+'[5]TB-4'!IG21+'[5]TB-5'!IG21+'[5]TB-6'!IG21+'[5]TB-7'!IG21+'[5]TB-8'!IG21+'[5]TB-9'!IG21+'[5]TB-10'!IG21+'[6]DSV-1'!IG21+'[6]DSV-2'!IG21+'[6]DSV-3'!IG21+'[7]TUB-1'!IG21+'[7]TUB-2'!IG21+'[8]Barge-1'!IG21+'[8]Barge-2'!IG21+'[8]Barge-3'!IG21+'[8]Barge-4'!IG21</f>
        <v>3250000</v>
      </c>
      <c r="AQ21" s="136">
        <f>'[2]AHTS-1'!IG92+'[2]AHTS-2'!IG92+'[2]AHTS-3'!IG92+'[2]AHTS-4'!IG92+'[2]AHTS-5'!IG92+'[2]AHTS-6'!IG92+'[2]AHTS-7'!IG92+'[2]AHTS-8'!IG92+'[3]CB-1'!IG92+'[3]CB-2'!IG92+'[3]CB-3'!IG92+'[3]CB-4'!IG92+'[3]CB-5'!IG92+'[3]CB-6'!IG92+'[3]CB-7'!IG92+'[3]CB-8'!IG92+'[3]CB-9'!IG92+'[3]CB-10'!IG92+'[3]CB-11'!IG92+'[3]CB-12'!IG92+'[3]CB-13'!IG92+'[3]CB-14'!IG92+'[3]CB-15'!IG92+'[3]CB-16'!IG92+'[3]CB-17'!IG92+'[3]CB-18'!IG92+'[3]CB-19'!IG92+'[3]CB-20'!IG92+'[3]CB-21'!IG92+'[3]CB-22'!IG92+'[3]CB-23'!IG92+'[3]CB-24'!IG92+'[4]LCT-1'!IG92+'[4]LCT-2'!IG92+'[4]LCT-3'!IG92+'[4]LCT-4'!IG92+'[4]LCT-5'!IG92+'[4]LCT-6'!IG92+'[4]LCT-7'!IG92+'[4]LCT-8'!IG92+'[5]TB-1'!IG92+'[5]TB-2'!IG92+'[5]TB-3'!IG92+'[5]TB-4'!IG92+'[5]TB-5'!IG92+'[5]TB-6'!IG92+'[5]TB-7'!IG92+'[5]TB-8'!IG92+'[5]TB-9'!IG92+'[5]TB-10'!IG92+'[6]DSV-1'!IG92+'[6]DSV-2'!IG92+'[6]DSV-3'!IG92+'[7]TUB-1'!IG92+'[7]TUB-2'!IG92+'[8]Barge-1'!IG92+'[8]Barge-2'!IG92+'[8]Barge-3'!IG92+'[8]Barge-4'!IG92</f>
        <v>0</v>
      </c>
      <c r="AR21" s="139">
        <f>'[2]AHTS-1'!IH59+'[2]AHTS-2'!IH59+'[2]AHTS-3'!IH59+'[2]AHTS-4'!IH59+'[2]AHTS-5'!IH59+'[2]AHTS-6'!IH59+'[2]AHTS-7'!IH59+'[2]AHTS-8'!IH59+'[3]CB-1'!IH59+'[3]CB-2'!IH59+'[3]CB-3'!IH59+'[3]CB-4'!IH59+'[3]CB-5'!IH59+'[3]CB-6'!IH59+'[3]CB-7'!IH59+'[3]CB-8'!IH59+'[3]CB-9'!IH59+'[3]CB-10'!IH59+'[3]CB-11'!IH59+'[3]CB-12'!IH59+'[3]CB-13'!IH59+'[3]CB-14'!IH59+'[3]CB-15'!IH59+'[3]CB-16'!IH59+'[3]CB-17'!IH59+'[3]CB-18'!IH59+'[3]CB-19'!IH59+'[3]CB-20'!IH59+'[3]CB-21'!IH59+'[3]CB-22'!IH59+'[3]CB-23'!IH59+'[3]CB-24'!IH59+'[4]LCT-1'!IH59+'[4]LCT-2'!IH59+'[4]LCT-3'!IH59+'[4]LCT-4'!IH59+'[4]LCT-5'!IH59+'[4]LCT-6'!IH59+'[4]LCT-7'!IH59+'[4]LCT-8'!IH59+'[5]TB-1'!IH59+'[5]TB-2'!IH59+'[5]TB-3'!IH59+'[5]TB-4'!IH59+'[5]TB-5'!IH59+'[5]TB-6'!IH59+'[5]TB-7'!IH59+'[5]TB-8'!IH59+'[5]TB-9'!IH59+'[5]TB-10'!IH59+'[6]DSV-1'!IH59+'[6]DSV-2'!IH59+'[6]DSV-3'!IH59+'[7]TUB-1'!IH59+'[7]TUB-2'!IH59+'[8]Barge-1'!IH59+'[8]Barge-2'!IH59+'[8]Barge-3'!IH59+'[8]Barge-4'!IH59</f>
        <v>77966816.666666672</v>
      </c>
      <c r="AS21" s="136">
        <f>'[2]AHTS-1'!IH21+'[2]AHTS-2'!IH21+'[2]AHTS-3'!IH21+'[2]AHTS-4'!IH21+'[2]AHTS-5'!IH21+'[2]AHTS-6'!IH21+'[2]AHTS-7'!IH21+'[2]AHTS-8'!IH21+'[3]CB-1'!IH21+'[3]CB-2'!IH21+'[3]CB-3'!IH21+'[3]CB-4'!IH21+'[3]CB-5'!IH21+'[3]CB-6'!IH21+'[3]CB-7'!IH21+'[3]CB-8'!IH21+'[3]CB-9'!IH21+'[3]CB-10'!IH21+'[3]CB-11'!IH21+'[3]CB-12'!IH21+'[3]CB-13'!IH21+'[3]CB-14'!IH21+'[3]CB-15'!IH21+'[3]CB-16'!IH21+'[3]CB-17'!IH21+'[3]CB-18'!IH21+'[3]CB-19'!IH21+'[3]CB-20'!IH21+'[3]CB-21'!IH21+'[3]CB-22'!IH21+'[3]CB-23'!IH21+'[3]CB-24'!IH21+'[4]LCT-1'!IH21+'[4]LCT-2'!IH21+'[4]LCT-3'!IH21+'[4]LCT-4'!IH21+'[4]LCT-5'!IH21+'[4]LCT-6'!IH21+'[4]LCT-7'!IH21+'[4]LCT-8'!IH21+'[5]TB-1'!IH21+'[5]TB-2'!IH21+'[5]TB-3'!IH21+'[5]TB-4'!IH21+'[5]TB-5'!IH21+'[5]TB-6'!IH21+'[5]TB-7'!IH21+'[5]TB-8'!IH21+'[5]TB-9'!IH21+'[5]TB-10'!IH21+'[6]DSV-1'!IH21+'[6]DSV-2'!IH21+'[6]DSV-3'!IH21+'[7]TUB-1'!IH21+'[7]TUB-2'!IH21+'[8]Barge-1'!IH21+'[8]Barge-2'!IH21+'[8]Barge-3'!IH21+'[8]Barge-4'!IH21</f>
        <v>91025000</v>
      </c>
      <c r="AT21" s="140">
        <f>'[2]AHTS-1'!IH92+'[2]AHTS-2'!IH92+'[2]AHTS-3'!IH92+'[2]AHTS-4'!IH92+'[2]AHTS-5'!IH92+'[2]AHTS-6'!IH92+'[2]AHTS-7'!IH92+'[2]AHTS-8'!IH92+'[3]CB-1'!IH92+'[3]CB-2'!IH92+'[3]CB-3'!IH92+'[3]CB-4'!IH92+'[3]CB-5'!IH92+'[3]CB-6'!IH92+'[3]CB-7'!IH92+'[3]CB-8'!IH92+'[3]CB-9'!IH92+'[3]CB-10'!IH92+'[3]CB-11'!IH92+'[3]CB-12'!IH92+'[3]CB-13'!IH92+'[3]CB-14'!IH92+'[3]CB-15'!IH92+'[3]CB-16'!IH92+'[3]CB-17'!IH92+'[3]CB-18'!IH92+'[3]CB-19'!IH92+'[3]CB-20'!IH92+'[3]CB-21'!IH92+'[3]CB-22'!IH92+'[3]CB-23'!IH92+'[3]CB-24'!IH92+'[4]LCT-1'!IH92+'[4]LCT-2'!IH92+'[4]LCT-3'!IH92+'[4]LCT-4'!IH92+'[4]LCT-5'!IH92+'[4]LCT-6'!IH92+'[4]LCT-7'!IH92+'[4]LCT-8'!IH92+'[5]TB-1'!IH92+'[5]TB-2'!IH92+'[5]TB-3'!IH92+'[5]TB-4'!IH92+'[5]TB-5'!IH92+'[5]TB-6'!IH92+'[5]TB-7'!IH92+'[5]TB-8'!IH92+'[5]TB-9'!IH92+'[5]TB-10'!IH92+'[6]DSV-1'!IH92+'[6]DSV-2'!IH92+'[6]DSV-3'!IH92+'[7]TUB-1'!IH92+'[7]TUB-2'!IH92+'[8]Barge-1'!IH92+'[8]Barge-2'!IH92+'[8]Barge-3'!IH92+'[8]Barge-4'!IH92</f>
        <v>0</v>
      </c>
      <c r="AU21" s="139">
        <f>'[2]AHTS-1'!II59+'[2]AHTS-2'!II59+'[2]AHTS-3'!II59+'[2]AHTS-4'!II59+'[2]AHTS-5'!II59+'[2]AHTS-6'!II59+'[2]AHTS-7'!II59+'[2]AHTS-8'!II59+'[3]CB-1'!II59+'[3]CB-2'!II59+'[3]CB-3'!II59+'[3]CB-4'!II59+'[3]CB-5'!II59+'[3]CB-6'!II59+'[3]CB-7'!II59+'[3]CB-8'!II59+'[3]CB-9'!II59+'[3]CB-10'!II59+'[3]CB-11'!II59+'[3]CB-12'!II59+'[3]CB-13'!II59+'[3]CB-14'!II59+'[3]CB-15'!II59+'[3]CB-16'!II59+'[3]CB-17'!II59+'[3]CB-18'!II59+'[3]CB-19'!II59+'[3]CB-20'!II59+'[3]CB-21'!II59+'[3]CB-22'!II59+'[3]CB-23'!II59+'[3]CB-24'!II59+'[4]LCT-1'!II59+'[4]LCT-2'!II59+'[4]LCT-3'!II59+'[4]LCT-4'!II59+'[4]LCT-5'!II59+'[4]LCT-6'!II59+'[4]LCT-7'!II59+'[4]LCT-8'!II59+'[5]TB-1'!II59+'[5]TB-2'!II59+'[5]TB-3'!II59+'[5]TB-4'!II59+'[5]TB-5'!II59+'[5]TB-6'!II59+'[5]TB-7'!II59+'[5]TB-8'!II59+'[5]TB-9'!II59+'[5]TB-10'!II59+'[6]DSV-1'!II59+'[6]DSV-2'!II59+'[6]DSV-3'!II59+'[7]TUB-1'!II59+'[7]TUB-2'!II59+'[8]Barge-1'!II59+'[8]Barge-2'!II59+'[8]Barge-3'!II59+'[8]Barge-4'!II59</f>
        <v>0</v>
      </c>
      <c r="AV21" s="136">
        <f>'[2]AHTS-1'!II21+'[2]AHTS-2'!II21+'[2]AHTS-3'!II21+'[2]AHTS-4'!II21+'[2]AHTS-5'!II21+'[2]AHTS-6'!II21+'[2]AHTS-7'!II21+'[2]AHTS-8'!II21+'[3]CB-1'!II21+'[3]CB-2'!II21+'[3]CB-3'!II21+'[3]CB-4'!II21+'[3]CB-5'!II21+'[3]CB-6'!II21+'[3]CB-7'!II21+'[3]CB-8'!II21+'[3]CB-9'!II21+'[3]CB-10'!II21+'[3]CB-11'!II21+'[3]CB-12'!II21+'[3]CB-13'!II21+'[3]CB-14'!II21+'[3]CB-15'!II21+'[3]CB-16'!II21+'[3]CB-17'!II21+'[3]CB-18'!II21+'[3]CB-19'!II21+'[3]CB-20'!II21+'[3]CB-21'!II21+'[3]CB-22'!II21+'[3]CB-23'!II21+'[3]CB-24'!II21+'[4]LCT-1'!II21+'[4]LCT-2'!II21+'[4]LCT-3'!II21+'[4]LCT-4'!II21+'[4]LCT-5'!II21+'[4]LCT-6'!II21+'[4]LCT-7'!II21+'[4]LCT-8'!II21+'[5]TB-1'!II21+'[5]TB-2'!II21+'[5]TB-3'!II21+'[5]TB-4'!II21+'[5]TB-5'!II21+'[5]TB-6'!II21+'[5]TB-7'!II21+'[5]TB-8'!II21+'[5]TB-9'!II21+'[5]TB-10'!II21+'[6]DSV-1'!II21+'[6]DSV-2'!II21+'[6]DSV-3'!II21+'[7]TUB-1'!II21+'[7]TUB-2'!II21+'[8]Barge-1'!II21+'[8]Barge-2'!II21+'[8]Barge-3'!II21+'[8]Barge-4'!II21</f>
        <v>0</v>
      </c>
      <c r="AW21" s="140">
        <f>'[2]AHTS-1'!II92+'[2]AHTS-2'!II92+'[2]AHTS-3'!II92+'[2]AHTS-4'!II92+'[2]AHTS-5'!II92+'[2]AHTS-6'!II92+'[2]AHTS-7'!II92+'[2]AHTS-8'!II92+'[3]CB-1'!II92+'[3]CB-2'!II92+'[3]CB-3'!II92+'[3]CB-4'!II92+'[3]CB-5'!II92+'[3]CB-6'!II92+'[3]CB-7'!II92+'[3]CB-8'!II92+'[3]CB-9'!II92+'[3]CB-10'!II92+'[3]CB-11'!II92+'[3]CB-12'!II92+'[3]CB-13'!II92+'[3]CB-14'!II92+'[3]CB-15'!II92+'[3]CB-16'!II92+'[3]CB-17'!II92+'[3]CB-18'!II92+'[3]CB-19'!II92+'[3]CB-20'!II92+'[3]CB-21'!II92+'[3]CB-22'!II92+'[3]CB-23'!II92+'[3]CB-24'!II92+'[4]LCT-1'!II92+'[4]LCT-2'!II92+'[4]LCT-3'!II92+'[4]LCT-4'!II92+'[4]LCT-5'!II92+'[4]LCT-6'!II92+'[4]LCT-7'!II92+'[4]LCT-8'!II92+'[5]TB-1'!II92+'[5]TB-2'!II92+'[5]TB-3'!II92+'[5]TB-4'!II92+'[5]TB-5'!II92+'[5]TB-6'!II92+'[5]TB-7'!II92+'[5]TB-8'!II92+'[5]TB-9'!II92+'[5]TB-10'!II92+'[6]DSV-1'!II92+'[6]DSV-2'!II92+'[6]DSV-3'!II92+'[7]TUB-1'!II92+'[7]TUB-2'!II92+'[8]Barge-1'!II92+'[8]Barge-2'!II92+'[8]Barge-3'!II92+'[8]Barge-4'!II92</f>
        <v>0</v>
      </c>
      <c r="AX21" s="67"/>
      <c r="AY21" s="67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</row>
    <row r="22" spans="1:97" s="69" customFormat="1" ht="14.25" customHeight="1" x14ac:dyDescent="0.25">
      <c r="A22" s="111">
        <f>[1]Control!AZ22</f>
        <v>45997</v>
      </c>
      <c r="B22" s="66"/>
      <c r="C22" s="176">
        <f>'[2]AHTS-1'!AV22+'[2]AHTS-2'!AV22+'[2]AHTS-3'!AV22+'[2]AHTS-4'!AV22+'[2]AHTS-5'!AV22+'[2]AHTS-6'!AV22+'[2]AHTS-7'!AV22+'[2]AHTS-8'!AV22+'[3]CB-1'!AV22+'[3]CB-2'!AV22+'[3]CB-3'!AV22+'[3]CB-4'!AV22+'[3]CB-5'!AV22+'[3]CB-6'!AV22+'[3]CB-7'!AV22+'[3]CB-8'!AV22+'[3]CB-9'!AV22+'[3]CB-10'!AV22+'[3]CB-11'!AV22+'[3]CB-12'!AV22+'[3]CB-13'!AV22+'[3]CB-14'!AV22+'[3]CB-15'!AV22+'[3]CB-16'!AV22+'[3]CB-17'!AV22+'[3]CB-18'!AV22+'[3]CB-19'!AV22+'[3]CB-20'!AV22+'[3]CB-21'!AV22+'[3]CB-22'!AV22+'[3]CB-23'!AV22+'[3]CB-24'!AV22+'[4]LCT-1'!AV22+'[4]LCT-2'!AV22+'[4]LCT-3'!AV22+'[4]LCT-4'!AV22+'[4]LCT-5'!AV22+'[4]LCT-6'!AV22+'[4]LCT-7'!AV22+'[4]LCT-8'!AV22+'[5]TB-1'!AV22+'[5]TB-2'!AV22+'[5]TB-3'!AV22+'[5]TB-4'!AV22+'[5]TB-5'!AV22+'[5]TB-6'!AV22+'[5]TB-7'!AV22+'[5]TB-8'!AV22+'[5]TB-9'!AV22+'[5]TB-10'!AV22+'[6]DSV-1'!AV22+'[6]DSV-2'!AV22+'[6]DSV-3'!AV22+'[7]TUB-1'!AV22+'[7]TUB-2'!AV22+'[8]Barge-1'!AV22+'[8]Barge-2'!AV22+'[8]Barge-3'!AV22+'[8]Barge-4'!AV22</f>
        <v>0</v>
      </c>
      <c r="D22" s="177">
        <f>'[2]AHTS-1'!BR22+'[2]AHTS-2'!BR22+'[2]AHTS-3'!BR22+'[2]AHTS-4'!BR22+'[2]AHTS-5'!BR22+'[2]AHTS-6'!BR22+'[2]AHTS-7'!BR22+'[2]AHTS-8'!BR22+'[3]CB-1'!BR22+'[3]CB-2'!BR22+'[3]CB-3'!BR22+'[3]CB-4'!BR22+'[3]CB-5'!BR22+'[3]CB-6'!BR22+'[3]CB-7'!BR22+'[3]CB-8'!BR22+'[3]CB-9'!BR22+'[3]CB-10'!BR22+'[3]CB-11'!BR22+'[3]CB-12'!BR22+'[3]CB-13'!BR22+'[3]CB-14'!BR22+'[3]CB-15'!BR22+'[3]CB-16'!BR22+'[3]CB-17'!BR22+'[3]CB-18'!BR22+'[3]CB-19'!BR22+'[3]CB-20'!BR22+'[3]CB-21'!BR22+'[3]CB-22'!BR22+'[3]CB-23'!BR22+'[3]CB-24'!BR22+'[4]LCT-1'!BR22+'[4]LCT-2'!BR22+'[4]LCT-3'!BR22+'[4]LCT-4'!BR22+'[4]LCT-5'!BR22+'[4]LCT-6'!BR22+'[4]LCT-7'!BR22+'[4]LCT-8'!BR22+'[5]TB-1'!BR22+'[5]TB-2'!BR22+'[5]TB-3'!BR22+'[5]TB-4'!BR22+'[5]TB-5'!BR22+'[5]TB-6'!BR22+'[5]TB-7'!BR22+'[5]TB-8'!BR22+'[5]TB-9'!BR22+'[5]TB-10'!BR22+'[6]DSV-1'!BR22+'[6]DSV-2'!BR22+'[6]DSV-3'!BR22+'[7]TUB-1'!BR22+'[7]TUB-2'!BR22+'[8]Barge-1'!BR22+'[8]Barge-2'!BR22+'[8]Barge-3'!BR22+'[8]Barge-4'!BR22</f>
        <v>0</v>
      </c>
      <c r="E22" s="178">
        <f>'[2]AHTS-1'!CN22+'[2]AHTS-2'!CN22+'[2]AHTS-3'!CN22+'[2]AHTS-4'!CN22+'[2]AHTS-5'!CN22+'[2]AHTS-6'!CN22+'[2]AHTS-7'!CN22+'[2]AHTS-8'!CN22+'[3]CB-1'!CN22+'[3]CB-2'!CN22+'[3]CB-3'!CN22+'[3]CB-4'!CN22+'[3]CB-5'!CN22+'[3]CB-6'!CN22+'[3]CB-7'!CN22+'[3]CB-8'!CN22+'[3]CB-9'!CN22+'[3]CB-10'!CN22+'[3]CB-11'!CN22+'[3]CB-12'!CN22+'[3]CB-13'!CN22+'[3]CB-14'!CN22+'[3]CB-15'!CN22+'[3]CB-16'!CN22+'[3]CB-17'!CN22+'[3]CB-18'!CN22+'[3]CB-19'!CN22+'[3]CB-20'!CN22+'[3]CB-21'!CN22+'[3]CB-22'!CN22+'[3]CB-23'!CN22+'[3]CB-24'!CN22+'[4]LCT-1'!CN22+'[4]LCT-2'!CN22+'[4]LCT-3'!CN22+'[4]LCT-4'!CN22+'[4]LCT-5'!CN22+'[4]LCT-6'!CN22+'[4]LCT-7'!CN22+'[4]LCT-8'!CN22+'[5]TB-1'!CN22+'[5]TB-2'!CN22+'[5]TB-3'!CN22+'[5]TB-4'!CN22+'[5]TB-5'!CN22+'[5]TB-6'!CN22+'[5]TB-7'!CN22+'[5]TB-8'!CN22+'[5]TB-9'!CN22+'[5]TB-10'!CN22+'[6]DSV-1'!CN22+'[6]DSV-2'!CN22+'[6]DSV-3'!CN22+'[7]TUB-1'!CN22+'[7]TUB-2'!CN22+'[8]Barge-1'!CN22+'[8]Barge-2'!CN22+'[8]Barge-3'!CN22+'[8]Barge-4'!CN22</f>
        <v>0</v>
      </c>
      <c r="F22" s="179">
        <f>'[2]AHTS-1'!AW22+'[2]AHTS-2'!AW22+'[2]AHTS-3'!AW22+'[2]AHTS-4'!AW22+'[2]AHTS-5'!AW22+'[2]AHTS-6'!AW22+'[2]AHTS-7'!AW22+'[2]AHTS-8'!AW22+'[3]CB-1'!AW22+'[3]CB-2'!AW22+'[3]CB-3'!AW22+'[3]CB-4'!AW22+'[3]CB-5'!AW22+'[3]CB-6'!AW22+'[3]CB-7'!AW22+'[3]CB-8'!AW22+'[3]CB-9'!AW22+'[3]CB-10'!AW22+'[3]CB-11'!AW22+'[3]CB-12'!AW22+'[3]CB-13'!AW22+'[3]CB-14'!AW22+'[3]CB-15'!AW22+'[3]CB-16'!AW22+'[3]CB-17'!AW22+'[3]CB-18'!AW22+'[3]CB-19'!AW22+'[3]CB-20'!AW22+'[3]CB-21'!AW22+'[3]CB-22'!AW22+'[3]CB-23'!AW22+'[3]CB-24'!AW22+'[4]LCT-1'!AW22+'[4]LCT-2'!AW22+'[4]LCT-3'!AW22+'[4]LCT-4'!AW22+'[4]LCT-5'!AW22+'[4]LCT-6'!AW22+'[4]LCT-7'!AW22+'[4]LCT-8'!AW22+'[5]TB-1'!AW22+'[5]TB-2'!AW22+'[5]TB-3'!AW22+'[5]TB-4'!AW22+'[5]TB-5'!AW22+'[5]TB-6'!AW22+'[5]TB-7'!AW22+'[5]TB-8'!AW22+'[5]TB-9'!AW22+'[5]TB-10'!AW22+'[6]DSV-1'!AW22+'[6]DSV-2'!AW22+'[6]DSV-3'!AW22+'[7]TUB-1'!AW22+'[7]TUB-2'!AW22+'[8]Barge-1'!AW22+'[8]Barge-2'!AW22+'[8]Barge-3'!AW22+'[8]Barge-4'!AW22</f>
        <v>2125.5391348471394</v>
      </c>
      <c r="G22" s="180">
        <f>'[2]AHTS-1'!BS22+'[2]AHTS-2'!BS22+'[2]AHTS-3'!BS22+'[2]AHTS-4'!BS22+'[2]AHTS-5'!BS22+'[2]AHTS-6'!BS22+'[2]AHTS-7'!BS22+'[2]AHTS-8'!BS22+'[3]CB-1'!BS22+'[3]CB-2'!BS22+'[3]CB-3'!BS22+'[3]CB-4'!BS22+'[3]CB-5'!BS22+'[3]CB-6'!BS22+'[3]CB-7'!BS22+'[3]CB-8'!BS22+'[3]CB-9'!BS22+'[3]CB-10'!BS22+'[3]CB-11'!BS22+'[3]CB-12'!BS22+'[3]CB-13'!BS22+'[3]CB-14'!BS22+'[3]CB-15'!BS22+'[3]CB-16'!BS22+'[3]CB-17'!BS22+'[3]CB-18'!BS22+'[3]CB-19'!BS22+'[3]CB-20'!BS22+'[3]CB-21'!BS22+'[3]CB-22'!BS22+'[3]CB-23'!BS22+'[3]CB-24'!BS22+'[4]LCT-1'!BS22+'[4]LCT-2'!BS22+'[4]LCT-3'!BS22+'[4]LCT-4'!BS22+'[4]LCT-5'!BS22+'[4]LCT-6'!BS22+'[4]LCT-7'!BS22+'[4]LCT-8'!BS22+'[5]TB-1'!BS22+'[5]TB-2'!BS22+'[5]TB-3'!BS22+'[5]TB-4'!BS22+'[5]TB-5'!BS22+'[5]TB-6'!BS22+'[5]TB-7'!BS22+'[5]TB-8'!BS22+'[5]TB-9'!BS22+'[5]TB-10'!BS22+'[6]DSV-1'!BS22+'[6]DSV-2'!BS22+'[6]DSV-3'!BS22+'[7]TUB-1'!BS22+'[7]TUB-2'!BS22+'[8]Barge-1'!BS22+'[8]Barge-2'!BS22+'[8]Barge-3'!BS22+'[8]Barge-4'!BS22</f>
        <v>2027.5698761046979</v>
      </c>
      <c r="H22" s="180">
        <f>'[2]AHTS-1'!CO22+'[2]AHTS-2'!CO22+'[2]AHTS-3'!CO22+'[2]AHTS-4'!CO22+'[2]AHTS-5'!CO22+'[2]AHTS-6'!CO22+'[2]AHTS-7'!CO22+'[2]AHTS-8'!CO22+'[3]CB-1'!CO22+'[3]CB-2'!CO22+'[3]CB-3'!CO22+'[3]CB-4'!CO22+'[3]CB-5'!CO22+'[3]CB-6'!CO22+'[3]CB-7'!CO22+'[3]CB-8'!CO22+'[3]CB-9'!CO22+'[3]CB-10'!CO22+'[3]CB-11'!CO22+'[3]CB-12'!CO22+'[3]CB-13'!CO22+'[3]CB-14'!CO22+'[3]CB-15'!CO22+'[3]CB-16'!CO22+'[3]CB-17'!CO22+'[3]CB-18'!CO22+'[3]CB-19'!CO22+'[3]CB-20'!CO22+'[3]CB-21'!CO22+'[3]CB-22'!CO22+'[3]CB-23'!CO22+'[3]CB-24'!CO22+'[4]LCT-1'!CO22+'[4]LCT-2'!CO22+'[4]LCT-3'!CO22+'[4]LCT-4'!CO22+'[4]LCT-5'!CO22+'[4]LCT-6'!CO22+'[4]LCT-7'!CO22+'[4]LCT-8'!CO22+'[5]TB-1'!CO22+'[5]TB-2'!CO22+'[5]TB-3'!CO22+'[5]TB-4'!CO22+'[5]TB-5'!CO22+'[5]TB-6'!CO22+'[5]TB-7'!CO22+'[5]TB-8'!CO22+'[5]TB-9'!CO22+'[5]TB-10'!CO22+'[6]DSV-1'!CO22+'[6]DSV-2'!CO22+'[6]DSV-3'!CO22+'[7]TUB-1'!CO22+'[7]TUB-2'!CO22+'[8]Barge-1'!CO22+'[8]Barge-2'!CO22+'[8]Barge-3'!CO22+'[8]Barge-4'!CO22</f>
        <v>0</v>
      </c>
      <c r="I22" s="179">
        <f>'[2]AHTS-1'!AX22+'[2]AHTS-2'!AX22+'[2]AHTS-3'!AX22+'[2]AHTS-4'!AX22+'[2]AHTS-5'!AX22+'[2]AHTS-6'!AX22+'[2]AHTS-7'!AX22+'[2]AHTS-8'!AX22+'[3]CB-1'!AX22+'[3]CB-2'!AX22+'[3]CB-3'!AX22+'[3]CB-4'!AX22+'[3]CB-5'!AX22+'[3]CB-6'!AX22+'[3]CB-7'!AX22+'[3]CB-8'!AX22+'[3]CB-9'!AX22+'[3]CB-10'!AX22+'[3]CB-11'!AX22+'[3]CB-12'!AX22+'[3]CB-13'!AX22+'[3]CB-14'!AX22+'[3]CB-15'!AX22+'[3]CB-16'!AX22+'[3]CB-17'!AX22+'[3]CB-18'!AX22+'[3]CB-19'!AX22+'[3]CB-20'!AX22+'[3]CB-21'!AX22+'[3]CB-22'!AX22+'[3]CB-23'!AX22+'[3]CB-24'!AX22+'[4]LCT-1'!AX22+'[4]LCT-2'!AX22+'[4]LCT-3'!AX22+'[4]LCT-4'!AX22+'[4]LCT-5'!AX22+'[4]LCT-6'!AX22+'[4]LCT-7'!AX22+'[4]LCT-8'!AX22+'[5]TB-1'!AX22+'[5]TB-2'!AX22+'[5]TB-3'!AX22+'[5]TB-4'!AX22+'[5]TB-5'!AX22+'[5]TB-6'!AX22+'[5]TB-7'!AX22+'[5]TB-8'!AX22+'[5]TB-9'!AX22+'[5]TB-10'!AX22+'[6]DSV-1'!AX22+'[6]DSV-2'!AX22+'[6]DSV-3'!AX22+'[7]TUB-1'!AX22+'[7]TUB-2'!AX22+'[8]Barge-1'!AX22+'[8]Barge-2'!AX22+'[8]Barge-3'!AX22+'[8]Barge-4'!AX22</f>
        <v>2760.1278066725863</v>
      </c>
      <c r="J22" s="180">
        <f>'[2]AHTS-1'!BT22+'[2]AHTS-2'!BT22+'[2]AHTS-3'!BT22+'[2]AHTS-4'!BT22+'[2]AHTS-5'!BT22+'[2]AHTS-6'!BT22+'[2]AHTS-7'!BT22+'[2]AHTS-8'!BT22+'[3]CB-1'!BT22+'[3]CB-2'!BT22+'[3]CB-3'!BT22+'[3]CB-4'!BT22+'[3]CB-5'!BT22+'[3]CB-6'!BT22+'[3]CB-7'!BT22+'[3]CB-8'!BT22+'[3]CB-9'!BT22+'[3]CB-10'!BT22+'[3]CB-11'!BT22+'[3]CB-12'!BT22+'[3]CB-13'!BT22+'[3]CB-14'!BT22+'[3]CB-15'!BT22+'[3]CB-16'!BT22+'[3]CB-17'!BT22+'[3]CB-18'!BT22+'[3]CB-19'!BT22+'[3]CB-20'!BT22+'[3]CB-21'!BT22+'[3]CB-22'!BT22+'[3]CB-23'!BT22+'[3]CB-24'!BT22+'[4]LCT-1'!BT22+'[4]LCT-2'!BT22+'[4]LCT-3'!BT22+'[4]LCT-4'!BT22+'[4]LCT-5'!BT22+'[4]LCT-6'!BT22+'[4]LCT-7'!BT22+'[4]LCT-8'!BT22+'[5]TB-1'!BT22+'[5]TB-2'!BT22+'[5]TB-3'!BT22+'[5]TB-4'!BT22+'[5]TB-5'!BT22+'[5]TB-6'!BT22+'[5]TB-7'!BT22+'[5]TB-8'!BT22+'[5]TB-9'!BT22+'[5]TB-10'!BT22+'[6]DSV-1'!BT22+'[6]DSV-2'!BT22+'[6]DSV-3'!BT22+'[7]TUB-1'!BT22+'[7]TUB-2'!BT22+'[8]Barge-1'!BT22+'[8]Barge-2'!BT22+'[8]Barge-3'!BT22+'[8]Barge-4'!BT22</f>
        <v>2712.0597065415031</v>
      </c>
      <c r="K22" s="180">
        <f>'[2]AHTS-1'!CP22+'[2]AHTS-2'!CP22+'[2]AHTS-3'!CP22+'[2]AHTS-4'!CP22+'[2]AHTS-5'!CP22+'[2]AHTS-6'!CP22+'[2]AHTS-7'!CP22+'[2]AHTS-8'!CP22+'[3]CB-1'!CP22+'[3]CB-2'!CP22+'[3]CB-3'!CP22+'[3]CB-4'!CP22+'[3]CB-5'!CP22+'[3]CB-6'!CP22+'[3]CB-7'!CP22+'[3]CB-8'!CP22+'[3]CB-9'!CP22+'[3]CB-10'!CP22+'[3]CB-11'!CP22+'[3]CB-12'!CP22+'[3]CB-13'!CP22+'[3]CB-14'!CP22+'[3]CB-15'!CP22+'[3]CB-16'!CP22+'[3]CB-17'!CP22+'[3]CB-18'!CP22+'[3]CB-19'!CP22+'[3]CB-20'!CP22+'[3]CB-21'!CP22+'[3]CB-22'!CP22+'[3]CB-23'!CP22+'[3]CB-24'!CP22+'[4]LCT-1'!CP22+'[4]LCT-2'!CP22+'[4]LCT-3'!CP22+'[4]LCT-4'!CP22+'[4]LCT-5'!CP22+'[4]LCT-6'!CP22+'[4]LCT-7'!CP22+'[4]LCT-8'!CP22+'[5]TB-1'!CP22+'[5]TB-2'!CP22+'[5]TB-3'!CP22+'[5]TB-4'!CP22+'[5]TB-5'!CP22+'[5]TB-6'!CP22+'[5]TB-7'!CP22+'[5]TB-8'!CP22+'[5]TB-9'!CP22+'[5]TB-10'!CP22+'[6]DSV-1'!CP22+'[6]DSV-2'!CP22+'[6]DSV-3'!CP22+'[7]TUB-1'!CP22+'[7]TUB-2'!CP22+'[8]Barge-1'!CP22+'[8]Barge-2'!CP22+'[8]Barge-3'!CP22+'[8]Barge-4'!CP22</f>
        <v>0</v>
      </c>
      <c r="L22" s="181">
        <f>'[2]AHTS-1'!AY22+'[2]AHTS-2'!AY22+'[2]AHTS-3'!AY22+'[2]AHTS-4'!AY22+'[2]AHTS-5'!AY22+'[2]AHTS-6'!AY22+'[2]AHTS-7'!AY22+'[2]AHTS-8'!AY22+'[3]CB-1'!AY22+'[3]CB-2'!AY22+'[3]CB-3'!AY22+'[3]CB-4'!AY22+'[3]CB-5'!AY22+'[3]CB-6'!AY22+'[3]CB-7'!AY22+'[3]CB-8'!AY22+'[3]CB-9'!AY22+'[3]CB-10'!AY22+'[3]CB-11'!AY22+'[3]CB-12'!AY22+'[3]CB-13'!AY22+'[3]CB-14'!AY22+'[3]CB-15'!AY22+'[3]CB-16'!AY22+'[3]CB-17'!AY22+'[3]CB-18'!AY22+'[3]CB-19'!AY22+'[3]CB-20'!AY22+'[3]CB-21'!AY22+'[3]CB-22'!AY22+'[3]CB-23'!AY22+'[3]CB-24'!AY22+'[4]LCT-1'!AY22+'[4]LCT-2'!AY22+'[4]LCT-3'!AY22+'[4]LCT-4'!AY22+'[4]LCT-5'!AY22+'[4]LCT-6'!AY22+'[4]LCT-7'!AY22+'[4]LCT-8'!AY22+'[5]TB-1'!AY22+'[5]TB-2'!AY22+'[5]TB-3'!AY22+'[5]TB-4'!AY22+'[5]TB-5'!AY22+'[5]TB-6'!AY22+'[5]TB-7'!AY22+'[5]TB-8'!AY22+'[5]TB-9'!AY22+'[5]TB-10'!AY22+'[6]DSV-1'!AY22+'[6]DSV-2'!AY22+'[6]DSV-3'!AY22+'[7]TUB-1'!AY22+'[7]TUB-2'!AY22+'[8]Barge-1'!AY22+'[8]Barge-2'!AY22+'[8]Barge-3'!AY22+'[8]Barge-4'!AY22</f>
        <v>2724.7875174425976</v>
      </c>
      <c r="M22" s="182">
        <f>'[2]AHTS-1'!BU22+'[2]AHTS-2'!BU22+'[2]AHTS-3'!BU22+'[2]AHTS-4'!BU22+'[2]AHTS-5'!BU22+'[2]AHTS-6'!BU22+'[2]AHTS-7'!BU22+'[2]AHTS-8'!BU22+'[3]CB-1'!BU22+'[3]CB-2'!BU22+'[3]CB-3'!BU22+'[3]CB-4'!BU22+'[3]CB-5'!BU22+'[3]CB-6'!BU22+'[3]CB-7'!BU22+'[3]CB-8'!BU22+'[3]CB-9'!BU22+'[3]CB-10'!BU22+'[3]CB-11'!BU22+'[3]CB-12'!BU22+'[3]CB-13'!BU22+'[3]CB-14'!BU22+'[3]CB-15'!BU22+'[3]CB-16'!BU22+'[3]CB-17'!BU22+'[3]CB-18'!BU22+'[3]CB-19'!BU22+'[3]CB-20'!BU22+'[3]CB-21'!BU22+'[3]CB-22'!BU22+'[3]CB-23'!BU22+'[3]CB-24'!BU22+'[4]LCT-1'!BU22+'[4]LCT-2'!BU22+'[4]LCT-3'!BU22+'[4]LCT-4'!BU22+'[4]LCT-5'!BU22+'[4]LCT-6'!BU22+'[4]LCT-7'!BU22+'[4]LCT-8'!BU22+'[5]TB-1'!BU22+'[5]TB-2'!BU22+'[5]TB-3'!BU22+'[5]TB-4'!BU22+'[5]TB-5'!BU22+'[5]TB-6'!BU22+'[5]TB-7'!BU22+'[5]TB-8'!BU22+'[5]TB-9'!BU22+'[5]TB-10'!BU22+'[6]DSV-1'!BU22+'[6]DSV-2'!BU22+'[6]DSV-3'!BU22+'[7]TUB-1'!BU22+'[7]TUB-2'!BU22+'[8]Barge-1'!BU22+'[8]Barge-2'!BU22+'[8]Barge-3'!BU22+'[8]Barge-4'!BU22</f>
        <v>4008.6261575542308</v>
      </c>
      <c r="N22" s="182">
        <f>'[2]AHTS-1'!CQ22+'[2]AHTS-2'!CQ22+'[2]AHTS-3'!CQ22+'[2]AHTS-4'!CQ22+'[2]AHTS-5'!CQ22+'[2]AHTS-6'!CQ22+'[2]AHTS-7'!CQ22+'[2]AHTS-8'!CQ22+'[3]CB-1'!CQ22+'[3]CB-2'!CQ22+'[3]CB-3'!CQ22+'[3]CB-4'!CQ22+'[3]CB-5'!CQ22+'[3]CB-6'!CQ22+'[3]CB-7'!CQ22+'[3]CB-8'!CQ22+'[3]CB-9'!CQ22+'[3]CB-10'!CQ22+'[3]CB-11'!CQ22+'[3]CB-12'!CQ22+'[3]CB-13'!CQ22+'[3]CB-14'!CQ22+'[3]CB-15'!CQ22+'[3]CB-16'!CQ22+'[3]CB-17'!CQ22+'[3]CB-18'!CQ22+'[3]CB-19'!CQ22+'[3]CB-20'!CQ22+'[3]CB-21'!CQ22+'[3]CB-22'!CQ22+'[3]CB-23'!CQ22+'[3]CB-24'!CQ22+'[4]LCT-1'!CQ22+'[4]LCT-2'!CQ22+'[4]LCT-3'!CQ22+'[4]LCT-4'!CQ22+'[4]LCT-5'!CQ22+'[4]LCT-6'!CQ22+'[4]LCT-7'!CQ22+'[4]LCT-8'!CQ22+'[5]TB-1'!CQ22+'[5]TB-2'!CQ22+'[5]TB-3'!CQ22+'[5]TB-4'!CQ22+'[5]TB-5'!CQ22+'[5]TB-6'!CQ22+'[5]TB-7'!CQ22+'[5]TB-8'!CQ22+'[5]TB-9'!CQ22+'[5]TB-10'!CQ22+'[6]DSV-1'!CQ22+'[6]DSV-2'!CQ22+'[6]DSV-3'!CQ22+'[7]TUB-1'!CQ22+'[7]TUB-2'!CQ22+'[8]Barge-1'!CQ22+'[8]Barge-2'!CQ22+'[8]Barge-3'!CQ22+'[8]Barge-4'!CQ22</f>
        <v>0</v>
      </c>
      <c r="O22" s="179">
        <f>'[2]AHTS-1'!AZ22+'[2]AHTS-2'!AZ22+'[2]AHTS-3'!AZ22+'[2]AHTS-4'!AZ22+'[2]AHTS-5'!AZ22+'[2]AHTS-6'!AZ22+'[2]AHTS-7'!AZ22+'[2]AHTS-8'!AZ22+'[3]CB-1'!AZ22+'[3]CB-2'!AZ22+'[3]CB-3'!AZ22+'[3]CB-4'!AZ22+'[3]CB-5'!AZ22+'[3]CB-6'!AZ22+'[3]CB-7'!AZ22+'[3]CB-8'!AZ22+'[3]CB-9'!AZ22+'[3]CB-10'!AZ22+'[3]CB-11'!AZ22+'[3]CB-12'!AZ22+'[3]CB-13'!AZ22+'[3]CB-14'!AZ22+'[3]CB-15'!AZ22+'[3]CB-16'!AZ22+'[3]CB-17'!AZ22+'[3]CB-18'!AZ22+'[3]CB-19'!AZ22+'[3]CB-20'!AZ22+'[3]CB-21'!AZ22+'[3]CB-22'!AZ22+'[3]CB-23'!AZ22+'[3]CB-24'!AZ22+'[4]LCT-1'!AZ22+'[4]LCT-2'!AZ22+'[4]LCT-3'!AZ22+'[4]LCT-4'!AZ22+'[4]LCT-5'!AZ22+'[4]LCT-6'!AZ22+'[4]LCT-7'!AZ22+'[4]LCT-8'!AZ22+'[5]TB-1'!AZ22+'[5]TB-2'!AZ22+'[5]TB-3'!AZ22+'[5]TB-4'!AZ22+'[5]TB-5'!AZ22+'[5]TB-6'!AZ22+'[5]TB-7'!AZ22+'[5]TB-8'!AZ22+'[5]TB-9'!AZ22+'[5]TB-10'!AZ22+'[6]DSV-1'!AZ22+'[6]DSV-2'!AZ22+'[6]DSV-3'!AZ22+'[7]TUB-1'!AZ22+'[7]TUB-2'!AZ22+'[8]Barge-1'!AZ22+'[8]Barge-2'!AZ22+'[8]Barge-3'!AZ22+'[8]Barge-4'!AZ22</f>
        <v>26.974713518542007</v>
      </c>
      <c r="P22" s="180">
        <f>'[2]AHTS-1'!BV22+'[2]AHTS-2'!BV22+'[2]AHTS-3'!BV22+'[2]AHTS-4'!BV22+'[2]AHTS-5'!BV22+'[2]AHTS-6'!BV22+'[2]AHTS-7'!BV22+'[2]AHTS-8'!BV22+'[3]CB-1'!BV22+'[3]CB-2'!BV22+'[3]CB-3'!BV22+'[3]CB-4'!BV22+'[3]CB-5'!BV22+'[3]CB-6'!BV22+'[3]CB-7'!BV22+'[3]CB-8'!BV22+'[3]CB-9'!BV22+'[3]CB-10'!BV22+'[3]CB-11'!BV22+'[3]CB-12'!BV22+'[3]CB-13'!BV22+'[3]CB-14'!BV22+'[3]CB-15'!BV22+'[3]CB-16'!BV22+'[3]CB-17'!BV22+'[3]CB-18'!BV22+'[3]CB-19'!BV22+'[3]CB-20'!BV22+'[3]CB-21'!BV22+'[3]CB-22'!BV22+'[3]CB-23'!BV22+'[3]CB-24'!BV22+'[4]LCT-1'!BV22+'[4]LCT-2'!BV22+'[4]LCT-3'!BV22+'[4]LCT-4'!BV22+'[4]LCT-5'!BV22+'[4]LCT-6'!BV22+'[4]LCT-7'!BV22+'[4]LCT-8'!BV22+'[5]TB-1'!BV22+'[5]TB-2'!BV22+'[5]TB-3'!BV22+'[5]TB-4'!BV22+'[5]TB-5'!BV22+'[5]TB-6'!BV22+'[5]TB-7'!BV22+'[5]TB-8'!BV22+'[5]TB-9'!BV22+'[5]TB-10'!BV22+'[6]DSV-1'!BV22+'[6]DSV-2'!BV22+'[6]DSV-3'!BV22+'[7]TUB-1'!BV22+'[7]TUB-2'!BV22+'[8]Barge-1'!BV22+'[8]Barge-2'!BV22+'[8]Barge-3'!BV22+'[8]Barge-4'!BV22</f>
        <v>274.85305932597572</v>
      </c>
      <c r="Q22" s="180">
        <f>'[2]AHTS-1'!CR22+'[2]AHTS-2'!CR22+'[2]AHTS-3'!CR22+'[2]AHTS-4'!CR22+'[2]AHTS-5'!CR22+'[2]AHTS-6'!CR22+'[2]AHTS-7'!CR22+'[2]AHTS-8'!CR22+'[3]CB-1'!CR22+'[3]CB-2'!CR22+'[3]CB-3'!CR22+'[3]CB-4'!CR22+'[3]CB-5'!CR22+'[3]CB-6'!CR22+'[3]CB-7'!CR22+'[3]CB-8'!CR22+'[3]CB-9'!CR22+'[3]CB-10'!CR22+'[3]CB-11'!CR22+'[3]CB-12'!CR22+'[3]CB-13'!CR22+'[3]CB-14'!CR22+'[3]CB-15'!CR22+'[3]CB-16'!CR22+'[3]CB-17'!CR22+'[3]CB-18'!CR22+'[3]CB-19'!CR22+'[3]CB-20'!CR22+'[3]CB-21'!CR22+'[3]CB-22'!CR22+'[3]CB-23'!CR22+'[3]CB-24'!CR22+'[4]LCT-1'!CR22+'[4]LCT-2'!CR22+'[4]LCT-3'!CR22+'[4]LCT-4'!CR22+'[4]LCT-5'!CR22+'[4]LCT-6'!CR22+'[4]LCT-7'!CR22+'[4]LCT-8'!CR22+'[5]TB-1'!CR22+'[5]TB-2'!CR22+'[5]TB-3'!CR22+'[5]TB-4'!CR22+'[5]TB-5'!CR22+'[5]TB-6'!CR22+'[5]TB-7'!CR22+'[5]TB-8'!CR22+'[5]TB-9'!CR22+'[5]TB-10'!CR22+'[6]DSV-1'!CR22+'[6]DSV-2'!CR22+'[6]DSV-3'!CR22+'[7]TUB-1'!CR22+'[7]TUB-2'!CR22+'[8]Barge-1'!CR22+'[8]Barge-2'!CR22+'[8]Barge-3'!CR22+'[8]Barge-4'!CR22</f>
        <v>0</v>
      </c>
      <c r="R22" s="183">
        <f>'[2]AHTS-1'!BA22+'[2]AHTS-2'!BA22+'[2]AHTS-3'!BA22+'[2]AHTS-4'!BA22+'[2]AHTS-5'!BA22+'[2]AHTS-6'!BA22+'[2]AHTS-7'!BA22+'[2]AHTS-8'!BA22+'[3]CB-1'!BA22+'[3]CB-2'!BA22+'[3]CB-3'!BA22+'[3]CB-4'!BA22+'[3]CB-5'!BA22+'[3]CB-6'!BA22+'[3]CB-7'!BA22+'[3]CB-8'!BA22+'[3]CB-9'!BA22+'[3]CB-10'!BA22+'[3]CB-11'!BA22+'[3]CB-12'!BA22+'[3]CB-13'!BA22+'[3]CB-14'!BA22+'[3]CB-15'!BA22+'[3]CB-16'!BA22+'[3]CB-17'!BA22+'[3]CB-18'!BA22+'[3]CB-19'!BA22+'[3]CB-20'!BA22+'[3]CB-21'!BA22+'[3]CB-22'!BA22+'[3]CB-23'!BA22+'[3]CB-24'!BA22+'[4]LCT-1'!BA22+'[4]LCT-2'!BA22+'[4]LCT-3'!BA22+'[4]LCT-4'!BA22+'[4]LCT-5'!BA22+'[4]LCT-6'!BA22+'[4]LCT-7'!BA22+'[4]LCT-8'!BA22+'[5]TB-1'!BA22+'[5]TB-2'!BA22+'[5]TB-3'!BA22+'[5]TB-4'!BA22+'[5]TB-5'!BA22+'[5]TB-6'!BA22+'[5]TB-7'!BA22+'[5]TB-8'!BA22+'[5]TB-9'!BA22+'[5]TB-10'!BA22+'[6]DSV-1'!BA22+'[6]DSV-2'!BA22+'[6]DSV-3'!BA22+'[7]TUB-1'!BA22+'[7]TUB-2'!BA22+'[8]Barge-1'!BA22+'[8]Barge-2'!BA22+'[8]Barge-3'!BA22+'[8]Barge-4'!BA22</f>
        <v>4848.6193919404614</v>
      </c>
      <c r="S22" s="180">
        <f>'[2]AHTS-1'!BW22+'[2]AHTS-2'!BW22+'[2]AHTS-3'!BW22+'[2]AHTS-4'!BW22+'[2]AHTS-5'!BW22+'[2]AHTS-6'!BW22+'[2]AHTS-7'!BW22+'[2]AHTS-8'!BW22+'[3]CB-1'!BW22+'[3]CB-2'!BW22+'[3]CB-3'!BW22+'[3]CB-4'!BW22+'[3]CB-5'!BW22+'[3]CB-6'!BW22+'[3]CB-7'!BW22+'[3]CB-8'!BW22+'[3]CB-9'!BW22+'[3]CB-10'!BW22+'[3]CB-11'!BW22+'[3]CB-12'!BW22+'[3]CB-13'!BW22+'[3]CB-14'!BW22+'[3]CB-15'!BW22+'[3]CB-16'!BW22+'[3]CB-17'!BW22+'[3]CB-18'!BW22+'[3]CB-19'!BW22+'[3]CB-20'!BW22+'[3]CB-21'!BW22+'[3]CB-22'!BW22+'[3]CB-23'!BW22+'[3]CB-24'!BW22+'[4]LCT-1'!BW22+'[4]LCT-2'!BW22+'[4]LCT-3'!BW22+'[4]LCT-4'!BW22+'[4]LCT-5'!BW22+'[4]LCT-6'!BW22+'[4]LCT-7'!BW22+'[4]LCT-8'!BW22+'[5]TB-1'!BW22+'[5]TB-2'!BW22+'[5]TB-3'!BW22+'[5]TB-4'!BW22+'[5]TB-5'!BW22+'[5]TB-6'!BW22+'[5]TB-7'!BW22+'[5]TB-8'!BW22+'[5]TB-9'!BW22+'[5]TB-10'!BW22+'[6]DSV-1'!BW22+'[6]DSV-2'!BW22+'[6]DSV-3'!BW22+'[7]TUB-1'!BW22+'[7]TUB-2'!BW22+'[8]Barge-1'!BW22+'[8]Barge-2'!BW22+'[8]Barge-3'!BW22+'[8]Barge-4'!BW22</f>
        <v>5863.8843080045663</v>
      </c>
      <c r="T22" s="184">
        <f>'[2]AHTS-1'!CS22+'[2]AHTS-2'!CS22+'[2]AHTS-3'!CS22+'[2]AHTS-4'!CS22+'[2]AHTS-5'!CS22+'[2]AHTS-6'!CS22+'[2]AHTS-7'!CS22+'[2]AHTS-8'!CS22+'[3]CB-1'!CS22+'[3]CB-2'!CS22+'[3]CB-3'!CS22+'[3]CB-4'!CS22+'[3]CB-5'!CS22+'[3]CB-6'!CS22+'[3]CB-7'!CS22+'[3]CB-8'!CS22+'[3]CB-9'!CS22+'[3]CB-10'!CS22+'[3]CB-11'!CS22+'[3]CB-12'!CS22+'[3]CB-13'!CS22+'[3]CB-14'!CS22+'[3]CB-15'!CS22+'[3]CB-16'!CS22+'[3]CB-17'!CS22+'[3]CB-18'!CS22+'[3]CB-19'!CS22+'[3]CB-20'!CS22+'[3]CB-21'!CS22+'[3]CB-22'!CS22+'[3]CB-23'!CS22+'[3]CB-24'!CS22+'[4]LCT-1'!CS22+'[4]LCT-2'!CS22+'[4]LCT-3'!CS22+'[4]LCT-4'!CS22+'[4]LCT-5'!CS22+'[4]LCT-6'!CS22+'[4]LCT-7'!CS22+'[4]LCT-8'!CS22+'[5]TB-1'!CS22+'[5]TB-2'!CS22+'[5]TB-3'!CS22+'[5]TB-4'!CS22+'[5]TB-5'!CS22+'[5]TB-6'!CS22+'[5]TB-7'!CS22+'[5]TB-8'!CS22+'[5]TB-9'!CS22+'[5]TB-10'!CS22+'[6]DSV-1'!CS22+'[6]DSV-2'!CS22+'[6]DSV-3'!CS22+'[7]TUB-1'!CS22+'[7]TUB-2'!CS22+'[8]Barge-1'!CS22+'[8]Barge-2'!CS22+'[8]Barge-3'!CS22+'[8]Barge-4'!CS22</f>
        <v>0</v>
      </c>
      <c r="U22" s="183">
        <f>'[2]AHTS-1'!BB22+'[2]AHTS-2'!BB22+'[2]AHTS-3'!BB22+'[2]AHTS-4'!BB22+'[2]AHTS-5'!BB22+'[2]AHTS-6'!BB22+'[2]AHTS-7'!BB22+'[2]AHTS-8'!BB22+'[3]CB-1'!BB22+'[3]CB-2'!BB22+'[3]CB-3'!BB22+'[3]CB-4'!BB22+'[3]CB-5'!BB22+'[3]CB-6'!BB22+'[3]CB-7'!BB22+'[3]CB-8'!BB22+'[3]CB-9'!BB22+'[3]CB-10'!BB22+'[3]CB-11'!BB22+'[3]CB-12'!BB22+'[3]CB-13'!BB22+'[3]CB-14'!BB22+'[3]CB-15'!BB22+'[3]CB-16'!BB22+'[3]CB-17'!BB22+'[3]CB-18'!BB22+'[3]CB-19'!BB22+'[3]CB-20'!BB22+'[3]CB-21'!BB22+'[3]CB-22'!BB22+'[3]CB-23'!BB22+'[3]CB-24'!BB22+'[4]LCT-1'!BB22+'[4]LCT-2'!BB22+'[4]LCT-3'!BB22+'[4]LCT-4'!BB22+'[4]LCT-5'!BB22+'[4]LCT-6'!BB22+'[4]LCT-7'!BB22+'[4]LCT-8'!BB22+'[5]TB-1'!BB22+'[5]TB-2'!BB22+'[5]TB-3'!BB22+'[5]TB-4'!BB22+'[5]TB-5'!BB22+'[5]TB-6'!BB22+'[5]TB-7'!BB22+'[5]TB-8'!BB22+'[5]TB-9'!BB22+'[5]TB-10'!BB22+'[6]DSV-1'!BB22+'[6]DSV-2'!BB22+'[6]DSV-3'!BB22+'[7]TUB-1'!BB22+'[7]TUB-2'!BB22+'[8]Barge-1'!BB22+'[8]Barge-2'!BB22+'[8]Barge-3'!BB22+'[8]Barge-4'!BB22</f>
        <v>0</v>
      </c>
      <c r="V22" s="180">
        <f>'[2]AHTS-1'!BX22+'[2]AHTS-2'!BX22+'[2]AHTS-3'!BX22+'[2]AHTS-4'!BX22+'[2]AHTS-5'!BX22+'[2]AHTS-6'!BX22+'[2]AHTS-7'!BX22+'[2]AHTS-8'!BX22+'[3]CB-1'!BX22+'[3]CB-2'!BX22+'[3]CB-3'!BX22+'[3]CB-4'!BX22+'[3]CB-5'!BX22+'[3]CB-6'!BX22+'[3]CB-7'!BX22+'[3]CB-8'!BX22+'[3]CB-9'!BX22+'[3]CB-10'!BX22+'[3]CB-11'!BX22+'[3]CB-12'!BX22+'[3]CB-13'!BX22+'[3]CB-14'!BX22+'[3]CB-15'!BX22+'[3]CB-16'!BX22+'[3]CB-17'!BX22+'[3]CB-18'!BX22+'[3]CB-19'!BX22+'[3]CB-20'!BX22+'[3]CB-21'!BX22+'[3]CB-22'!BX22+'[3]CB-23'!BX22+'[3]CB-24'!BX22+'[4]LCT-1'!BX22+'[4]LCT-2'!BX22+'[4]LCT-3'!BX22+'[4]LCT-4'!BX22+'[4]LCT-5'!BX22+'[4]LCT-6'!BX22+'[4]LCT-7'!BX22+'[4]LCT-8'!BX22+'[5]TB-1'!BX22+'[5]TB-2'!BX22+'[5]TB-3'!BX22+'[5]TB-4'!BX22+'[5]TB-5'!BX22+'[5]TB-6'!BX22+'[5]TB-7'!BX22+'[5]TB-8'!BX22+'[5]TB-9'!BX22+'[5]TB-10'!BX22+'[6]DSV-1'!BX22+'[6]DSV-2'!BX22+'[6]DSV-3'!BX22+'[7]TUB-1'!BX22+'[7]TUB-2'!BX22+'[8]Barge-1'!BX22+'[8]Barge-2'!BX22+'[8]Barge-3'!BX22+'[8]Barge-4'!BX22</f>
        <v>0</v>
      </c>
      <c r="W22" s="184">
        <f>'[2]AHTS-1'!CT22+'[2]AHTS-2'!CT22+'[2]AHTS-3'!CT22+'[2]AHTS-4'!CT22+'[2]AHTS-5'!CT22+'[2]AHTS-6'!CT22+'[2]AHTS-7'!CT22+'[2]AHTS-8'!CT22+'[3]CB-1'!CT22+'[3]CB-2'!CT22+'[3]CB-3'!CT22+'[3]CB-4'!CT22+'[3]CB-5'!CT22+'[3]CB-6'!CT22+'[3]CB-7'!CT22+'[3]CB-8'!CT22+'[3]CB-9'!CT22+'[3]CB-10'!CT22+'[3]CB-11'!CT22+'[3]CB-12'!CT22+'[3]CB-13'!CT22+'[3]CB-14'!CT22+'[3]CB-15'!CT22+'[3]CB-16'!CT22+'[3]CB-17'!CT22+'[3]CB-18'!CT22+'[3]CB-19'!CT22+'[3]CB-20'!CT22+'[3]CB-21'!CT22+'[3]CB-22'!CT22+'[3]CB-23'!CT22+'[3]CB-24'!CT22+'[4]LCT-1'!CT22+'[4]LCT-2'!CT22+'[4]LCT-3'!CT22+'[4]LCT-4'!CT22+'[4]LCT-5'!CT22+'[4]LCT-6'!CT22+'[4]LCT-7'!CT22+'[4]LCT-8'!CT22+'[5]TB-1'!CT22+'[5]TB-2'!CT22+'[5]TB-3'!CT22+'[5]TB-4'!CT22+'[5]TB-5'!CT22+'[5]TB-6'!CT22+'[5]TB-7'!CT22+'[5]TB-8'!CT22+'[5]TB-9'!CT22+'[5]TB-10'!CT22+'[6]DSV-1'!CT22+'[6]DSV-2'!CT22+'[6]DSV-3'!CT22+'[7]TUB-1'!CT22+'[7]TUB-2'!CT22+'[8]Barge-1'!CT22+'[8]Barge-2'!CT22+'[8]Barge-3'!CT22+'[8]Barge-4'!CT22</f>
        <v>0</v>
      </c>
      <c r="X22" s="67"/>
      <c r="Y22" s="67"/>
      <c r="Z22" s="68"/>
      <c r="AA22" s="111">
        <f>[1]Control!AZ22</f>
        <v>45997</v>
      </c>
      <c r="AB22" s="66"/>
      <c r="AC22" s="132">
        <f>'[2]AHTS-1'!IC60+'[2]AHTS-2'!IC60+'[2]AHTS-3'!IC60+'[2]AHTS-4'!IC60+'[2]AHTS-5'!IC60+'[2]AHTS-6'!IC60+'[2]AHTS-7'!IC60+'[2]AHTS-8'!IC60+'[3]CB-1'!IC60+'[3]CB-2'!IC60+'[3]CB-3'!IC60+'[3]CB-4'!IC60+'[3]CB-5'!IC60+'[3]CB-6'!IC60+'[3]CB-7'!IC60+'[3]CB-8'!IC60+'[3]CB-9'!IC60+'[3]CB-10'!IC60+'[3]CB-11'!IC60+'[3]CB-12'!IC60+'[3]CB-13'!IC60+'[3]CB-14'!IC60+'[3]CB-15'!IC60+'[3]CB-16'!IC60+'[3]CB-17'!IC60+'[3]CB-18'!IC60+'[3]CB-19'!IC60+'[3]CB-20'!IC60+'[3]CB-21'!IC60+'[3]CB-22'!IC60+'[3]CB-23'!IC60+'[3]CB-24'!IC60+'[4]LCT-1'!IC60+'[4]LCT-2'!IC60+'[4]LCT-3'!IC60+'[4]LCT-4'!IC60+'[4]LCT-5'!IC60+'[4]LCT-6'!IC60+'[4]LCT-7'!IC60+'[4]LCT-8'!IC60+'[5]TB-1'!IC60+'[5]TB-2'!IC60+'[5]TB-3'!IC60+'[5]TB-4'!IC60+'[5]TB-5'!IC60+'[5]TB-6'!IC60+'[5]TB-7'!IC60+'[5]TB-8'!IC60+'[5]TB-9'!IC60+'[5]TB-10'!IC60+'[6]DSV-1'!IC60+'[6]DSV-2'!IC60+'[6]DSV-3'!IC60+'[7]TUB-1'!IC60+'[7]TUB-2'!IC60+'[8]Barge-1'!IC60+'[8]Barge-2'!IC60+'[8]Barge-3'!IC60+'[8]Barge-4'!IC60</f>
        <v>0</v>
      </c>
      <c r="AD22" s="133">
        <f>'[2]AHTS-1'!IC22+'[2]AHTS-2'!IC22+'[2]AHTS-3'!IC22+'[2]AHTS-4'!IC22+'[2]AHTS-5'!IC22+'[2]AHTS-6'!IC22+'[2]AHTS-7'!IC22+'[2]AHTS-8'!IC22+'[3]CB-1'!IC22+'[3]CB-2'!IC22+'[3]CB-3'!IC22+'[3]CB-4'!IC22+'[3]CB-5'!IC22+'[3]CB-6'!IC22+'[3]CB-7'!IC22+'[3]CB-8'!IC22+'[3]CB-9'!IC22+'[3]CB-10'!IC22+'[3]CB-11'!IC22+'[3]CB-12'!IC22+'[3]CB-13'!IC22+'[3]CB-14'!IC22+'[3]CB-15'!IC22+'[3]CB-16'!IC22+'[3]CB-17'!IC22+'[3]CB-18'!IC22+'[3]CB-19'!IC22+'[3]CB-20'!IC22+'[3]CB-21'!IC22+'[3]CB-22'!IC22+'[3]CB-23'!IC22+'[3]CB-24'!IC22+'[4]LCT-1'!IC22+'[4]LCT-2'!IC22+'[4]LCT-3'!IC22+'[4]LCT-4'!IC22+'[4]LCT-5'!IC22+'[4]LCT-6'!IC22+'[4]LCT-7'!IC22+'[4]LCT-8'!IC22+'[5]TB-1'!IC22+'[5]TB-2'!IC22+'[5]TB-3'!IC22+'[5]TB-4'!IC22+'[5]TB-5'!IC22+'[5]TB-6'!IC22+'[5]TB-7'!IC22+'[5]TB-8'!IC22+'[5]TB-9'!IC22+'[5]TB-10'!IC22+'[6]DSV-1'!IC22+'[6]DSV-2'!IC22+'[6]DSV-3'!IC22+'[7]TUB-1'!IC22+'[7]TUB-2'!IC22+'[8]Barge-1'!IC22+'[8]Barge-2'!IC22+'[8]Barge-3'!IC22+'[8]Barge-4'!IC22</f>
        <v>0</v>
      </c>
      <c r="AE22" s="134">
        <f>'[2]AHTS-1'!IC93+'[2]AHTS-2'!IC93+'[2]AHTS-3'!IC93+'[2]AHTS-4'!IC93+'[2]AHTS-5'!IC93+'[2]AHTS-6'!IC93+'[2]AHTS-7'!IC93+'[2]AHTS-8'!IC93+'[3]CB-1'!IC93+'[3]CB-2'!IC93+'[3]CB-3'!IC93+'[3]CB-4'!IC93+'[3]CB-5'!IC93+'[3]CB-6'!IC93+'[3]CB-7'!IC93+'[3]CB-8'!IC93+'[3]CB-9'!IC93+'[3]CB-10'!IC93+'[3]CB-11'!IC93+'[3]CB-12'!IC93+'[3]CB-13'!IC93+'[3]CB-14'!IC93+'[3]CB-15'!IC93+'[3]CB-16'!IC93+'[3]CB-17'!IC93+'[3]CB-18'!IC93+'[3]CB-19'!IC93+'[3]CB-20'!IC93+'[3]CB-21'!IC93+'[3]CB-22'!IC93+'[3]CB-23'!IC93+'[3]CB-24'!IC93+'[4]LCT-1'!IC93+'[4]LCT-2'!IC93+'[4]LCT-3'!IC93+'[4]LCT-4'!IC93+'[4]LCT-5'!IC93+'[4]LCT-6'!IC93+'[4]LCT-7'!IC93+'[4]LCT-8'!IC93+'[5]TB-1'!IC93+'[5]TB-2'!IC93+'[5]TB-3'!IC93+'[5]TB-4'!IC93+'[5]TB-5'!IC93+'[5]TB-6'!IC93+'[5]TB-7'!IC93+'[5]TB-8'!IC93+'[5]TB-9'!IC93+'[5]TB-10'!IC93+'[6]DSV-1'!IC93+'[6]DSV-2'!IC93+'[6]DSV-3'!IC93+'[7]TUB-1'!IC93+'[7]TUB-2'!IC93+'[8]Barge-1'!IC93+'[8]Barge-2'!IC93+'[8]Barge-3'!IC93+'[8]Barge-4'!IC93</f>
        <v>0</v>
      </c>
      <c r="AF22" s="135">
        <f>'[2]AHTS-1'!ID60+'[2]AHTS-2'!ID60+'[2]AHTS-3'!ID60+'[2]AHTS-4'!ID60+'[2]AHTS-5'!ID60+'[2]AHTS-6'!ID60+'[2]AHTS-7'!ID60+'[2]AHTS-8'!ID60+'[3]CB-1'!ID60+'[3]CB-2'!ID60+'[3]CB-3'!ID60+'[3]CB-4'!ID60+'[3]CB-5'!ID60+'[3]CB-6'!ID60+'[3]CB-7'!ID60+'[3]CB-8'!ID60+'[3]CB-9'!ID60+'[3]CB-10'!ID60+'[3]CB-11'!ID60+'[3]CB-12'!ID60+'[3]CB-13'!ID60+'[3]CB-14'!ID60+'[3]CB-15'!ID60+'[3]CB-16'!ID60+'[3]CB-17'!ID60+'[3]CB-18'!ID60+'[3]CB-19'!ID60+'[3]CB-20'!ID60+'[3]CB-21'!ID60+'[3]CB-22'!ID60+'[3]CB-23'!ID60+'[3]CB-24'!ID60+'[4]LCT-1'!ID60+'[4]LCT-2'!ID60+'[4]LCT-3'!ID60+'[4]LCT-4'!ID60+'[4]LCT-5'!ID60+'[4]LCT-6'!ID60+'[4]LCT-7'!ID60+'[4]LCT-8'!ID60+'[5]TB-1'!ID60+'[5]TB-2'!ID60+'[5]TB-3'!ID60+'[5]TB-4'!ID60+'[5]TB-5'!ID60+'[5]TB-6'!ID60+'[5]TB-7'!ID60+'[5]TB-8'!ID60+'[5]TB-9'!ID60+'[5]TB-10'!ID60+'[6]DSV-1'!ID60+'[6]DSV-2'!ID60+'[6]DSV-3'!ID60+'[7]TUB-1'!ID60+'[7]TUB-2'!ID60+'[8]Barge-1'!ID60+'[8]Barge-2'!ID60+'[8]Barge-3'!ID60+'[8]Barge-4'!ID60</f>
        <v>33511250</v>
      </c>
      <c r="AG22" s="136">
        <f>'[2]AHTS-1'!ID22+'[2]AHTS-2'!ID22+'[2]AHTS-3'!ID22+'[2]AHTS-4'!ID22+'[2]AHTS-5'!ID22+'[2]AHTS-6'!ID22+'[2]AHTS-7'!ID22+'[2]AHTS-8'!ID22+'[3]CB-1'!ID22+'[3]CB-2'!ID22+'[3]CB-3'!ID22+'[3]CB-4'!ID22+'[3]CB-5'!ID22+'[3]CB-6'!ID22+'[3]CB-7'!ID22+'[3]CB-8'!ID22+'[3]CB-9'!ID22+'[3]CB-10'!ID22+'[3]CB-11'!ID22+'[3]CB-12'!ID22+'[3]CB-13'!ID22+'[3]CB-14'!ID22+'[3]CB-15'!ID22+'[3]CB-16'!ID22+'[3]CB-17'!ID22+'[3]CB-18'!ID22+'[3]CB-19'!ID22+'[3]CB-20'!ID22+'[3]CB-21'!ID22+'[3]CB-22'!ID22+'[3]CB-23'!ID22+'[3]CB-24'!ID22+'[4]LCT-1'!ID22+'[4]LCT-2'!ID22+'[4]LCT-3'!ID22+'[4]LCT-4'!ID22+'[4]LCT-5'!ID22+'[4]LCT-6'!ID22+'[4]LCT-7'!ID22+'[4]LCT-8'!ID22+'[5]TB-1'!ID22+'[5]TB-2'!ID22+'[5]TB-3'!ID22+'[5]TB-4'!ID22+'[5]TB-5'!ID22+'[5]TB-6'!ID22+'[5]TB-7'!ID22+'[5]TB-8'!ID22+'[5]TB-9'!ID22+'[5]TB-10'!ID22+'[6]DSV-1'!ID22+'[6]DSV-2'!ID22+'[6]DSV-3'!ID22+'[7]TUB-1'!ID22+'[7]TUB-2'!ID22+'[8]Barge-1'!ID22+'[8]Barge-2'!ID22+'[8]Barge-3'!ID22+'[8]Barge-4'!ID22</f>
        <v>31966666.666666668</v>
      </c>
      <c r="AH22" s="136">
        <f>'[2]AHTS-1'!ID93+'[2]AHTS-2'!ID93+'[2]AHTS-3'!ID93+'[2]AHTS-4'!ID93+'[2]AHTS-5'!ID93+'[2]AHTS-6'!ID93+'[2]AHTS-7'!ID93+'[2]AHTS-8'!ID93+'[3]CB-1'!ID93+'[3]CB-2'!ID93+'[3]CB-3'!ID93+'[3]CB-4'!ID93+'[3]CB-5'!ID93+'[3]CB-6'!ID93+'[3]CB-7'!ID93+'[3]CB-8'!ID93+'[3]CB-9'!ID93+'[3]CB-10'!ID93+'[3]CB-11'!ID93+'[3]CB-12'!ID93+'[3]CB-13'!ID93+'[3]CB-14'!ID93+'[3]CB-15'!ID93+'[3]CB-16'!ID93+'[3]CB-17'!ID93+'[3]CB-18'!ID93+'[3]CB-19'!ID93+'[3]CB-20'!ID93+'[3]CB-21'!ID93+'[3]CB-22'!ID93+'[3]CB-23'!ID93+'[3]CB-24'!ID93+'[4]LCT-1'!ID93+'[4]LCT-2'!ID93+'[4]LCT-3'!ID93+'[4]LCT-4'!ID93+'[4]LCT-5'!ID93+'[4]LCT-6'!ID93+'[4]LCT-7'!ID93+'[4]LCT-8'!ID93+'[5]TB-1'!ID93+'[5]TB-2'!ID93+'[5]TB-3'!ID93+'[5]TB-4'!ID93+'[5]TB-5'!ID93+'[5]TB-6'!ID93+'[5]TB-7'!ID93+'[5]TB-8'!ID93+'[5]TB-9'!ID93+'[5]TB-10'!ID93+'[6]DSV-1'!ID93+'[6]DSV-2'!ID93+'[6]DSV-3'!ID93+'[7]TUB-1'!ID93+'[7]TUB-2'!ID93+'[8]Barge-1'!ID93+'[8]Barge-2'!ID93+'[8]Barge-3'!ID93+'[8]Barge-4'!ID93</f>
        <v>0</v>
      </c>
      <c r="AI22" s="135">
        <f>'[2]AHTS-1'!IE60+'[2]AHTS-2'!IE60+'[2]AHTS-3'!IE60+'[2]AHTS-4'!IE60+'[2]AHTS-5'!IE60+'[2]AHTS-6'!IE60+'[2]AHTS-7'!IE60+'[2]AHTS-8'!IE60+'[3]CB-1'!IE60+'[3]CB-2'!IE60+'[3]CB-3'!IE60+'[3]CB-4'!IE60+'[3]CB-5'!IE60+'[3]CB-6'!IE60+'[3]CB-7'!IE60+'[3]CB-8'!IE60+'[3]CB-9'!IE60+'[3]CB-10'!IE60+'[3]CB-11'!IE60+'[3]CB-12'!IE60+'[3]CB-13'!IE60+'[3]CB-14'!IE60+'[3]CB-15'!IE60+'[3]CB-16'!IE60+'[3]CB-17'!IE60+'[3]CB-18'!IE60+'[3]CB-19'!IE60+'[3]CB-20'!IE60+'[3]CB-21'!IE60+'[3]CB-22'!IE60+'[3]CB-23'!IE60+'[3]CB-24'!IE60+'[4]LCT-1'!IE60+'[4]LCT-2'!IE60+'[4]LCT-3'!IE60+'[4]LCT-4'!IE60+'[4]LCT-5'!IE60+'[4]LCT-6'!IE60+'[4]LCT-7'!IE60+'[4]LCT-8'!IE60+'[5]TB-1'!IE60+'[5]TB-2'!IE60+'[5]TB-3'!IE60+'[5]TB-4'!IE60+'[5]TB-5'!IE60+'[5]TB-6'!IE60+'[5]TB-7'!IE60+'[5]TB-8'!IE60+'[5]TB-9'!IE60+'[5]TB-10'!IE60+'[6]DSV-1'!IE60+'[6]DSV-2'!IE60+'[6]DSV-3'!IE60+'[7]TUB-1'!IE60+'[7]TUB-2'!IE60+'[8]Barge-1'!IE60+'[8]Barge-2'!IE60+'[8]Barge-3'!IE60+'[8]Barge-4'!IE60</f>
        <v>43516174.999999993</v>
      </c>
      <c r="AJ22" s="136">
        <f>'[2]AHTS-1'!IE22+'[2]AHTS-2'!IE22+'[2]AHTS-3'!IE22+'[2]AHTS-4'!IE22+'[2]AHTS-5'!IE22+'[2]AHTS-6'!IE22+'[2]AHTS-7'!IE22+'[2]AHTS-8'!IE22+'[3]CB-1'!IE22+'[3]CB-2'!IE22+'[3]CB-3'!IE22+'[3]CB-4'!IE22+'[3]CB-5'!IE22+'[3]CB-6'!IE22+'[3]CB-7'!IE22+'[3]CB-8'!IE22+'[3]CB-9'!IE22+'[3]CB-10'!IE22+'[3]CB-11'!IE22+'[3]CB-12'!IE22+'[3]CB-13'!IE22+'[3]CB-14'!IE22+'[3]CB-15'!IE22+'[3]CB-16'!IE22+'[3]CB-17'!IE22+'[3]CB-18'!IE22+'[3]CB-19'!IE22+'[3]CB-20'!IE22+'[3]CB-21'!IE22+'[3]CB-22'!IE22+'[3]CB-23'!IE22+'[3]CB-24'!IE22+'[4]LCT-1'!IE22+'[4]LCT-2'!IE22+'[4]LCT-3'!IE22+'[4]LCT-4'!IE22+'[4]LCT-5'!IE22+'[4]LCT-6'!IE22+'[4]LCT-7'!IE22+'[4]LCT-8'!IE22+'[5]TB-1'!IE22+'[5]TB-2'!IE22+'[5]TB-3'!IE22+'[5]TB-4'!IE22+'[5]TB-5'!IE22+'[5]TB-6'!IE22+'[5]TB-7'!IE22+'[5]TB-8'!IE22+'[5]TB-9'!IE22+'[5]TB-10'!IE22+'[6]DSV-1'!IE22+'[6]DSV-2'!IE22+'[6]DSV-3'!IE22+'[7]TUB-1'!IE22+'[7]TUB-2'!IE22+'[8]Barge-1'!IE22+'[8]Barge-2'!IE22+'[8]Barge-3'!IE22+'[8]Barge-4'!IE22</f>
        <v>42758333.333333336</v>
      </c>
      <c r="AK22" s="136">
        <f>'[2]AHTS-1'!IE93+'[2]AHTS-2'!IE93+'[2]AHTS-3'!IE93+'[2]AHTS-4'!IE93+'[2]AHTS-5'!IE93+'[2]AHTS-6'!IE93+'[2]AHTS-7'!IE93+'[2]AHTS-8'!IE93+'[3]CB-1'!IE93+'[3]CB-2'!IE93+'[3]CB-3'!IE93+'[3]CB-4'!IE93+'[3]CB-5'!IE93+'[3]CB-6'!IE93+'[3]CB-7'!IE93+'[3]CB-8'!IE93+'[3]CB-9'!IE93+'[3]CB-10'!IE93+'[3]CB-11'!IE93+'[3]CB-12'!IE93+'[3]CB-13'!IE93+'[3]CB-14'!IE93+'[3]CB-15'!IE93+'[3]CB-16'!IE93+'[3]CB-17'!IE93+'[3]CB-18'!IE93+'[3]CB-19'!IE93+'[3]CB-20'!IE93+'[3]CB-21'!IE93+'[3]CB-22'!IE93+'[3]CB-23'!IE93+'[3]CB-24'!IE93+'[4]LCT-1'!IE93+'[4]LCT-2'!IE93+'[4]LCT-3'!IE93+'[4]LCT-4'!IE93+'[4]LCT-5'!IE93+'[4]LCT-6'!IE93+'[4]LCT-7'!IE93+'[4]LCT-8'!IE93+'[5]TB-1'!IE93+'[5]TB-2'!IE93+'[5]TB-3'!IE93+'[5]TB-4'!IE93+'[5]TB-5'!IE93+'[5]TB-6'!IE93+'[5]TB-7'!IE93+'[5]TB-8'!IE93+'[5]TB-9'!IE93+'[5]TB-10'!IE93+'[6]DSV-1'!IE93+'[6]DSV-2'!IE93+'[6]DSV-3'!IE93+'[7]TUB-1'!IE93+'[7]TUB-2'!IE93+'[8]Barge-1'!IE93+'[8]Barge-2'!IE93+'[8]Barge-3'!IE93+'[8]Barge-4'!IE93</f>
        <v>0</v>
      </c>
      <c r="AL22" s="137">
        <f>'[2]AHTS-1'!IF60+'[2]AHTS-2'!IF60+'[2]AHTS-3'!IF60+'[2]AHTS-4'!IF60+'[2]AHTS-5'!IF60+'[2]AHTS-6'!IF60+'[2]AHTS-7'!IF60+'[2]AHTS-8'!IF60+'[3]CB-1'!IF60+'[3]CB-2'!IF60+'[3]CB-3'!IF60+'[3]CB-4'!IF60+'[3]CB-5'!IF60+'[3]CB-6'!IF60+'[3]CB-7'!IF60+'[3]CB-8'!IF60+'[3]CB-9'!IF60+'[3]CB-10'!IF60+'[3]CB-11'!IF60+'[3]CB-12'!IF60+'[3]CB-13'!IF60+'[3]CB-14'!IF60+'[3]CB-15'!IF60+'[3]CB-16'!IF60+'[3]CB-17'!IF60+'[3]CB-18'!IF60+'[3]CB-19'!IF60+'[3]CB-20'!IF60+'[3]CB-21'!IF60+'[3]CB-22'!IF60+'[3]CB-23'!IF60+'[3]CB-24'!IF60+'[4]LCT-1'!IF60+'[4]LCT-2'!IF60+'[4]LCT-3'!IF60+'[4]LCT-4'!IF60+'[4]LCT-5'!IF60+'[4]LCT-6'!IF60+'[4]LCT-7'!IF60+'[4]LCT-8'!IF60+'[5]TB-1'!IF60+'[5]TB-2'!IF60+'[5]TB-3'!IF60+'[5]TB-4'!IF60+'[5]TB-5'!IF60+'[5]TB-6'!IF60+'[5]TB-7'!IF60+'[5]TB-8'!IF60+'[5]TB-9'!IF60+'[5]TB-10'!IF60+'[6]DSV-1'!IF60+'[6]DSV-2'!IF60+'[6]DSV-3'!IF60+'[7]TUB-1'!IF60+'[7]TUB-2'!IF60+'[8]Barge-1'!IF60+'[8]Barge-2'!IF60+'[8]Barge-3'!IF60+'[8]Barge-4'!IF60</f>
        <v>42959000</v>
      </c>
      <c r="AM22" s="138">
        <f>'[2]AHTS-1'!IF22+'[2]AHTS-2'!IF22+'[2]AHTS-3'!IF22+'[2]AHTS-4'!IF22+'[2]AHTS-5'!IF22+'[2]AHTS-6'!IF22+'[2]AHTS-7'!IF22+'[2]AHTS-8'!IF22+'[3]CB-1'!IF22+'[3]CB-2'!IF22+'[3]CB-3'!IF22+'[3]CB-4'!IF22+'[3]CB-5'!IF22+'[3]CB-6'!IF22+'[3]CB-7'!IF22+'[3]CB-8'!IF22+'[3]CB-9'!IF22+'[3]CB-10'!IF22+'[3]CB-11'!IF22+'[3]CB-12'!IF22+'[3]CB-13'!IF22+'[3]CB-14'!IF22+'[3]CB-15'!IF22+'[3]CB-16'!IF22+'[3]CB-17'!IF22+'[3]CB-18'!IF22+'[3]CB-19'!IF22+'[3]CB-20'!IF22+'[3]CB-21'!IF22+'[3]CB-22'!IF22+'[3]CB-23'!IF22+'[3]CB-24'!IF22+'[4]LCT-1'!IF22+'[4]LCT-2'!IF22+'[4]LCT-3'!IF22+'[4]LCT-4'!IF22+'[4]LCT-5'!IF22+'[4]LCT-6'!IF22+'[4]LCT-7'!IF22+'[4]LCT-8'!IF22+'[5]TB-1'!IF22+'[5]TB-2'!IF22+'[5]TB-3'!IF22+'[5]TB-4'!IF22+'[5]TB-5'!IF22+'[5]TB-6'!IF22+'[5]TB-7'!IF22+'[5]TB-8'!IF22+'[5]TB-9'!IF22+'[5]TB-10'!IF22+'[6]DSV-1'!IF22+'[6]DSV-2'!IF22+'[6]DSV-3'!IF22+'[7]TUB-1'!IF22+'[7]TUB-2'!IF22+'[8]Barge-1'!IF22+'[8]Barge-2'!IF22+'[8]Barge-3'!IF22+'[8]Barge-4'!IF22</f>
        <v>63200000</v>
      </c>
      <c r="AN22" s="138">
        <f>'[2]AHTS-1'!IF93+'[2]AHTS-2'!IF93+'[2]AHTS-3'!IF93+'[2]AHTS-4'!IF93+'[2]AHTS-5'!IF93+'[2]AHTS-6'!IF93+'[2]AHTS-7'!IF93+'[2]AHTS-8'!IF93+'[3]CB-1'!IF93+'[3]CB-2'!IF93+'[3]CB-3'!IF93+'[3]CB-4'!IF93+'[3]CB-5'!IF93+'[3]CB-6'!IF93+'[3]CB-7'!IF93+'[3]CB-8'!IF93+'[3]CB-9'!IF93+'[3]CB-10'!IF93+'[3]CB-11'!IF93+'[3]CB-12'!IF93+'[3]CB-13'!IF93+'[3]CB-14'!IF93+'[3]CB-15'!IF93+'[3]CB-16'!IF93+'[3]CB-17'!IF93+'[3]CB-18'!IF93+'[3]CB-19'!IF93+'[3]CB-20'!IF93+'[3]CB-21'!IF93+'[3]CB-22'!IF93+'[3]CB-23'!IF93+'[3]CB-24'!IF93+'[4]LCT-1'!IF93+'[4]LCT-2'!IF93+'[4]LCT-3'!IF93+'[4]LCT-4'!IF93+'[4]LCT-5'!IF93+'[4]LCT-6'!IF93+'[4]LCT-7'!IF93+'[4]LCT-8'!IF93+'[5]TB-1'!IF93+'[5]TB-2'!IF93+'[5]TB-3'!IF93+'[5]TB-4'!IF93+'[5]TB-5'!IF93+'[5]TB-6'!IF93+'[5]TB-7'!IF93+'[5]TB-8'!IF93+'[5]TB-9'!IF93+'[5]TB-10'!IF93+'[6]DSV-1'!IF93+'[6]DSV-2'!IF93+'[6]DSV-3'!IF93+'[7]TUB-1'!IF93+'[7]TUB-2'!IF93+'[8]Barge-1'!IF93+'[8]Barge-2'!IF93+'[8]Barge-3'!IF93+'[8]Barge-4'!IF93</f>
        <v>0</v>
      </c>
      <c r="AO22" s="135">
        <f>'[2]AHTS-1'!IG60+'[2]AHTS-2'!IG60+'[2]AHTS-3'!IG60+'[2]AHTS-4'!IG60+'[2]AHTS-5'!IG60+'[2]AHTS-6'!IG60+'[2]AHTS-7'!IG60+'[2]AHTS-8'!IG60+'[3]CB-1'!IG60+'[3]CB-2'!IG60+'[3]CB-3'!IG60+'[3]CB-4'!IG60+'[3]CB-5'!IG60+'[3]CB-6'!IG60+'[3]CB-7'!IG60+'[3]CB-8'!IG60+'[3]CB-9'!IG60+'[3]CB-10'!IG60+'[3]CB-11'!IG60+'[3]CB-12'!IG60+'[3]CB-13'!IG60+'[3]CB-14'!IG60+'[3]CB-15'!IG60+'[3]CB-16'!IG60+'[3]CB-17'!IG60+'[3]CB-18'!IG60+'[3]CB-19'!IG60+'[3]CB-20'!IG60+'[3]CB-21'!IG60+'[3]CB-22'!IG60+'[3]CB-23'!IG60+'[3]CB-24'!IG60+'[4]LCT-1'!IG60+'[4]LCT-2'!IG60+'[4]LCT-3'!IG60+'[4]LCT-4'!IG60+'[4]LCT-5'!IG60+'[4]LCT-6'!IG60+'[4]LCT-7'!IG60+'[4]LCT-8'!IG60+'[5]TB-1'!IG60+'[5]TB-2'!IG60+'[5]TB-3'!IG60+'[5]TB-4'!IG60+'[5]TB-5'!IG60+'[5]TB-6'!IG60+'[5]TB-7'!IG60+'[5]TB-8'!IG60+'[5]TB-9'!IG60+'[5]TB-10'!IG60+'[6]DSV-1'!IG60+'[6]DSV-2'!IG60+'[6]DSV-3'!IG60+'[7]TUB-1'!IG60+'[7]TUB-2'!IG60+'[8]Barge-1'!IG60+'[8]Barge-2'!IG60+'[8]Barge-3'!IG60+'[8]Barge-4'!IG60</f>
        <v>425283.33333333331</v>
      </c>
      <c r="AP22" s="136">
        <f>'[2]AHTS-1'!IG22+'[2]AHTS-2'!IG22+'[2]AHTS-3'!IG22+'[2]AHTS-4'!IG22+'[2]AHTS-5'!IG22+'[2]AHTS-6'!IG22+'[2]AHTS-7'!IG22+'[2]AHTS-8'!IG22+'[3]CB-1'!IG22+'[3]CB-2'!IG22+'[3]CB-3'!IG22+'[3]CB-4'!IG22+'[3]CB-5'!IG22+'[3]CB-6'!IG22+'[3]CB-7'!IG22+'[3]CB-8'!IG22+'[3]CB-9'!IG22+'[3]CB-10'!IG22+'[3]CB-11'!IG22+'[3]CB-12'!IG22+'[3]CB-13'!IG22+'[3]CB-14'!IG22+'[3]CB-15'!IG22+'[3]CB-16'!IG22+'[3]CB-17'!IG22+'[3]CB-18'!IG22+'[3]CB-19'!IG22+'[3]CB-20'!IG22+'[3]CB-21'!IG22+'[3]CB-22'!IG22+'[3]CB-23'!IG22+'[3]CB-24'!IG22+'[4]LCT-1'!IG22+'[4]LCT-2'!IG22+'[4]LCT-3'!IG22+'[4]LCT-4'!IG22+'[4]LCT-5'!IG22+'[4]LCT-6'!IG22+'[4]LCT-7'!IG22+'[4]LCT-8'!IG22+'[5]TB-1'!IG22+'[5]TB-2'!IG22+'[5]TB-3'!IG22+'[5]TB-4'!IG22+'[5]TB-5'!IG22+'[5]TB-6'!IG22+'[5]TB-7'!IG22+'[5]TB-8'!IG22+'[5]TB-9'!IG22+'[5]TB-10'!IG22+'[6]DSV-1'!IG22+'[6]DSV-2'!IG22+'[6]DSV-3'!IG22+'[7]TUB-1'!IG22+'[7]TUB-2'!IG22+'[8]Barge-1'!IG22+'[8]Barge-2'!IG22+'[8]Barge-3'!IG22+'[8]Barge-4'!IG22</f>
        <v>4333333.333333333</v>
      </c>
      <c r="AQ22" s="136">
        <f>'[2]AHTS-1'!IG93+'[2]AHTS-2'!IG93+'[2]AHTS-3'!IG93+'[2]AHTS-4'!IG93+'[2]AHTS-5'!IG93+'[2]AHTS-6'!IG93+'[2]AHTS-7'!IG93+'[2]AHTS-8'!IG93+'[3]CB-1'!IG93+'[3]CB-2'!IG93+'[3]CB-3'!IG93+'[3]CB-4'!IG93+'[3]CB-5'!IG93+'[3]CB-6'!IG93+'[3]CB-7'!IG93+'[3]CB-8'!IG93+'[3]CB-9'!IG93+'[3]CB-10'!IG93+'[3]CB-11'!IG93+'[3]CB-12'!IG93+'[3]CB-13'!IG93+'[3]CB-14'!IG93+'[3]CB-15'!IG93+'[3]CB-16'!IG93+'[3]CB-17'!IG93+'[3]CB-18'!IG93+'[3]CB-19'!IG93+'[3]CB-20'!IG93+'[3]CB-21'!IG93+'[3]CB-22'!IG93+'[3]CB-23'!IG93+'[3]CB-24'!IG93+'[4]LCT-1'!IG93+'[4]LCT-2'!IG93+'[4]LCT-3'!IG93+'[4]LCT-4'!IG93+'[4]LCT-5'!IG93+'[4]LCT-6'!IG93+'[4]LCT-7'!IG93+'[4]LCT-8'!IG93+'[5]TB-1'!IG93+'[5]TB-2'!IG93+'[5]TB-3'!IG93+'[5]TB-4'!IG93+'[5]TB-5'!IG93+'[5]TB-6'!IG93+'[5]TB-7'!IG93+'[5]TB-8'!IG93+'[5]TB-9'!IG93+'[5]TB-10'!IG93+'[6]DSV-1'!IG93+'[6]DSV-2'!IG93+'[6]DSV-3'!IG93+'[7]TUB-1'!IG93+'[7]TUB-2'!IG93+'[8]Barge-1'!IG93+'[8]Barge-2'!IG93+'[8]Barge-3'!IG93+'[8]Barge-4'!IG93</f>
        <v>0</v>
      </c>
      <c r="AR22" s="139">
        <f>'[2]AHTS-1'!IH60+'[2]AHTS-2'!IH60+'[2]AHTS-3'!IH60+'[2]AHTS-4'!IH60+'[2]AHTS-5'!IH60+'[2]AHTS-6'!IH60+'[2]AHTS-7'!IH60+'[2]AHTS-8'!IH60+'[3]CB-1'!IH60+'[3]CB-2'!IH60+'[3]CB-3'!IH60+'[3]CB-4'!IH60+'[3]CB-5'!IH60+'[3]CB-6'!IH60+'[3]CB-7'!IH60+'[3]CB-8'!IH60+'[3]CB-9'!IH60+'[3]CB-10'!IH60+'[3]CB-11'!IH60+'[3]CB-12'!IH60+'[3]CB-13'!IH60+'[3]CB-14'!IH60+'[3]CB-15'!IH60+'[3]CB-16'!IH60+'[3]CB-17'!IH60+'[3]CB-18'!IH60+'[3]CB-19'!IH60+'[3]CB-20'!IH60+'[3]CB-21'!IH60+'[3]CB-22'!IH60+'[3]CB-23'!IH60+'[3]CB-24'!IH60+'[4]LCT-1'!IH60+'[4]LCT-2'!IH60+'[4]LCT-3'!IH60+'[4]LCT-4'!IH60+'[4]LCT-5'!IH60+'[4]LCT-6'!IH60+'[4]LCT-7'!IH60+'[4]LCT-8'!IH60+'[5]TB-1'!IH60+'[5]TB-2'!IH60+'[5]TB-3'!IH60+'[5]TB-4'!IH60+'[5]TB-5'!IH60+'[5]TB-6'!IH60+'[5]TB-7'!IH60+'[5]TB-8'!IH60+'[5]TB-9'!IH60+'[5]TB-10'!IH60+'[6]DSV-1'!IH60+'[6]DSV-2'!IH60+'[6]DSV-3'!IH60+'[7]TUB-1'!IH60+'[7]TUB-2'!IH60+'[8]Barge-1'!IH60+'[8]Barge-2'!IH60+'[8]Barge-3'!IH60+'[8]Barge-4'!IH60</f>
        <v>76443333.333333328</v>
      </c>
      <c r="AS22" s="136">
        <f>'[2]AHTS-1'!IH22+'[2]AHTS-2'!IH22+'[2]AHTS-3'!IH22+'[2]AHTS-4'!IH22+'[2]AHTS-5'!IH22+'[2]AHTS-6'!IH22+'[2]AHTS-7'!IH22+'[2]AHTS-8'!IH22+'[3]CB-1'!IH22+'[3]CB-2'!IH22+'[3]CB-3'!IH22+'[3]CB-4'!IH22+'[3]CB-5'!IH22+'[3]CB-6'!IH22+'[3]CB-7'!IH22+'[3]CB-8'!IH22+'[3]CB-9'!IH22+'[3]CB-10'!IH22+'[3]CB-11'!IH22+'[3]CB-12'!IH22+'[3]CB-13'!IH22+'[3]CB-14'!IH22+'[3]CB-15'!IH22+'[3]CB-16'!IH22+'[3]CB-17'!IH22+'[3]CB-18'!IH22+'[3]CB-19'!IH22+'[3]CB-20'!IH22+'[3]CB-21'!IH22+'[3]CB-22'!IH22+'[3]CB-23'!IH22+'[3]CB-24'!IH22+'[4]LCT-1'!IH22+'[4]LCT-2'!IH22+'[4]LCT-3'!IH22+'[4]LCT-4'!IH22+'[4]LCT-5'!IH22+'[4]LCT-6'!IH22+'[4]LCT-7'!IH22+'[4]LCT-8'!IH22+'[5]TB-1'!IH22+'[5]TB-2'!IH22+'[5]TB-3'!IH22+'[5]TB-4'!IH22+'[5]TB-5'!IH22+'[5]TB-6'!IH22+'[5]TB-7'!IH22+'[5]TB-8'!IH22+'[5]TB-9'!IH22+'[5]TB-10'!IH22+'[6]DSV-1'!IH22+'[6]DSV-2'!IH22+'[6]DSV-3'!IH22+'[7]TUB-1'!IH22+'[7]TUB-2'!IH22+'[8]Barge-1'!IH22+'[8]Barge-2'!IH22+'[8]Barge-3'!IH22+'[8]Barge-4'!IH22</f>
        <v>92450000</v>
      </c>
      <c r="AT22" s="140">
        <f>'[2]AHTS-1'!IH93+'[2]AHTS-2'!IH93+'[2]AHTS-3'!IH93+'[2]AHTS-4'!IH93+'[2]AHTS-5'!IH93+'[2]AHTS-6'!IH93+'[2]AHTS-7'!IH93+'[2]AHTS-8'!IH93+'[3]CB-1'!IH93+'[3]CB-2'!IH93+'[3]CB-3'!IH93+'[3]CB-4'!IH93+'[3]CB-5'!IH93+'[3]CB-6'!IH93+'[3]CB-7'!IH93+'[3]CB-8'!IH93+'[3]CB-9'!IH93+'[3]CB-10'!IH93+'[3]CB-11'!IH93+'[3]CB-12'!IH93+'[3]CB-13'!IH93+'[3]CB-14'!IH93+'[3]CB-15'!IH93+'[3]CB-16'!IH93+'[3]CB-17'!IH93+'[3]CB-18'!IH93+'[3]CB-19'!IH93+'[3]CB-20'!IH93+'[3]CB-21'!IH93+'[3]CB-22'!IH93+'[3]CB-23'!IH93+'[3]CB-24'!IH93+'[4]LCT-1'!IH93+'[4]LCT-2'!IH93+'[4]LCT-3'!IH93+'[4]LCT-4'!IH93+'[4]LCT-5'!IH93+'[4]LCT-6'!IH93+'[4]LCT-7'!IH93+'[4]LCT-8'!IH93+'[5]TB-1'!IH93+'[5]TB-2'!IH93+'[5]TB-3'!IH93+'[5]TB-4'!IH93+'[5]TB-5'!IH93+'[5]TB-6'!IH93+'[5]TB-7'!IH93+'[5]TB-8'!IH93+'[5]TB-9'!IH93+'[5]TB-10'!IH93+'[6]DSV-1'!IH93+'[6]DSV-2'!IH93+'[6]DSV-3'!IH93+'[7]TUB-1'!IH93+'[7]TUB-2'!IH93+'[8]Barge-1'!IH93+'[8]Barge-2'!IH93+'[8]Barge-3'!IH93+'[8]Barge-4'!IH93</f>
        <v>0</v>
      </c>
      <c r="AU22" s="139">
        <f>'[2]AHTS-1'!II60+'[2]AHTS-2'!II60+'[2]AHTS-3'!II60+'[2]AHTS-4'!II60+'[2]AHTS-5'!II60+'[2]AHTS-6'!II60+'[2]AHTS-7'!II60+'[2]AHTS-8'!II60+'[3]CB-1'!II60+'[3]CB-2'!II60+'[3]CB-3'!II60+'[3]CB-4'!II60+'[3]CB-5'!II60+'[3]CB-6'!II60+'[3]CB-7'!II60+'[3]CB-8'!II60+'[3]CB-9'!II60+'[3]CB-10'!II60+'[3]CB-11'!II60+'[3]CB-12'!II60+'[3]CB-13'!II60+'[3]CB-14'!II60+'[3]CB-15'!II60+'[3]CB-16'!II60+'[3]CB-17'!II60+'[3]CB-18'!II60+'[3]CB-19'!II60+'[3]CB-20'!II60+'[3]CB-21'!II60+'[3]CB-22'!II60+'[3]CB-23'!II60+'[3]CB-24'!II60+'[4]LCT-1'!II60+'[4]LCT-2'!II60+'[4]LCT-3'!II60+'[4]LCT-4'!II60+'[4]LCT-5'!II60+'[4]LCT-6'!II60+'[4]LCT-7'!II60+'[4]LCT-8'!II60+'[5]TB-1'!II60+'[5]TB-2'!II60+'[5]TB-3'!II60+'[5]TB-4'!II60+'[5]TB-5'!II60+'[5]TB-6'!II60+'[5]TB-7'!II60+'[5]TB-8'!II60+'[5]TB-9'!II60+'[5]TB-10'!II60+'[6]DSV-1'!II60+'[6]DSV-2'!II60+'[6]DSV-3'!II60+'[7]TUB-1'!II60+'[7]TUB-2'!II60+'[8]Barge-1'!II60+'[8]Barge-2'!II60+'[8]Barge-3'!II60+'[8]Barge-4'!II60</f>
        <v>0</v>
      </c>
      <c r="AV22" s="136">
        <f>'[2]AHTS-1'!II22+'[2]AHTS-2'!II22+'[2]AHTS-3'!II22+'[2]AHTS-4'!II22+'[2]AHTS-5'!II22+'[2]AHTS-6'!II22+'[2]AHTS-7'!II22+'[2]AHTS-8'!II22+'[3]CB-1'!II22+'[3]CB-2'!II22+'[3]CB-3'!II22+'[3]CB-4'!II22+'[3]CB-5'!II22+'[3]CB-6'!II22+'[3]CB-7'!II22+'[3]CB-8'!II22+'[3]CB-9'!II22+'[3]CB-10'!II22+'[3]CB-11'!II22+'[3]CB-12'!II22+'[3]CB-13'!II22+'[3]CB-14'!II22+'[3]CB-15'!II22+'[3]CB-16'!II22+'[3]CB-17'!II22+'[3]CB-18'!II22+'[3]CB-19'!II22+'[3]CB-20'!II22+'[3]CB-21'!II22+'[3]CB-22'!II22+'[3]CB-23'!II22+'[3]CB-24'!II22+'[4]LCT-1'!II22+'[4]LCT-2'!II22+'[4]LCT-3'!II22+'[4]LCT-4'!II22+'[4]LCT-5'!II22+'[4]LCT-6'!II22+'[4]LCT-7'!II22+'[4]LCT-8'!II22+'[5]TB-1'!II22+'[5]TB-2'!II22+'[5]TB-3'!II22+'[5]TB-4'!II22+'[5]TB-5'!II22+'[5]TB-6'!II22+'[5]TB-7'!II22+'[5]TB-8'!II22+'[5]TB-9'!II22+'[5]TB-10'!II22+'[6]DSV-1'!II22+'[6]DSV-2'!II22+'[6]DSV-3'!II22+'[7]TUB-1'!II22+'[7]TUB-2'!II22+'[8]Barge-1'!II22+'[8]Barge-2'!II22+'[8]Barge-3'!II22+'[8]Barge-4'!II22</f>
        <v>0</v>
      </c>
      <c r="AW22" s="140">
        <f>'[2]AHTS-1'!II93+'[2]AHTS-2'!II93+'[2]AHTS-3'!II93+'[2]AHTS-4'!II93+'[2]AHTS-5'!II93+'[2]AHTS-6'!II93+'[2]AHTS-7'!II93+'[2]AHTS-8'!II93+'[3]CB-1'!II93+'[3]CB-2'!II93+'[3]CB-3'!II93+'[3]CB-4'!II93+'[3]CB-5'!II93+'[3]CB-6'!II93+'[3]CB-7'!II93+'[3]CB-8'!II93+'[3]CB-9'!II93+'[3]CB-10'!II93+'[3]CB-11'!II93+'[3]CB-12'!II93+'[3]CB-13'!II93+'[3]CB-14'!II93+'[3]CB-15'!II93+'[3]CB-16'!II93+'[3]CB-17'!II93+'[3]CB-18'!II93+'[3]CB-19'!II93+'[3]CB-20'!II93+'[3]CB-21'!II93+'[3]CB-22'!II93+'[3]CB-23'!II93+'[3]CB-24'!II93+'[4]LCT-1'!II93+'[4]LCT-2'!II93+'[4]LCT-3'!II93+'[4]LCT-4'!II93+'[4]LCT-5'!II93+'[4]LCT-6'!II93+'[4]LCT-7'!II93+'[4]LCT-8'!II93+'[5]TB-1'!II93+'[5]TB-2'!II93+'[5]TB-3'!II93+'[5]TB-4'!II93+'[5]TB-5'!II93+'[5]TB-6'!II93+'[5]TB-7'!II93+'[5]TB-8'!II93+'[5]TB-9'!II93+'[5]TB-10'!II93+'[6]DSV-1'!II93+'[6]DSV-2'!II93+'[6]DSV-3'!II93+'[7]TUB-1'!II93+'[7]TUB-2'!II93+'[8]Barge-1'!II93+'[8]Barge-2'!II93+'[8]Barge-3'!II93+'[8]Barge-4'!II93</f>
        <v>0</v>
      </c>
      <c r="AX22" s="67"/>
      <c r="AY22" s="67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</row>
    <row r="23" spans="1:97" s="69" customFormat="1" ht="14.25" customHeight="1" x14ac:dyDescent="0.25">
      <c r="A23" s="111">
        <f>[1]Control!AZ23</f>
        <v>45998</v>
      </c>
      <c r="B23" s="66"/>
      <c r="C23" s="176">
        <f>'[2]AHTS-1'!AV23+'[2]AHTS-2'!AV23+'[2]AHTS-3'!AV23+'[2]AHTS-4'!AV23+'[2]AHTS-5'!AV23+'[2]AHTS-6'!AV23+'[2]AHTS-7'!AV23+'[2]AHTS-8'!AV23+'[3]CB-1'!AV23+'[3]CB-2'!AV23+'[3]CB-3'!AV23+'[3]CB-4'!AV23+'[3]CB-5'!AV23+'[3]CB-6'!AV23+'[3]CB-7'!AV23+'[3]CB-8'!AV23+'[3]CB-9'!AV23+'[3]CB-10'!AV23+'[3]CB-11'!AV23+'[3]CB-12'!AV23+'[3]CB-13'!AV23+'[3]CB-14'!AV23+'[3]CB-15'!AV23+'[3]CB-16'!AV23+'[3]CB-17'!AV23+'[3]CB-18'!AV23+'[3]CB-19'!AV23+'[3]CB-20'!AV23+'[3]CB-21'!AV23+'[3]CB-22'!AV23+'[3]CB-23'!AV23+'[3]CB-24'!AV23+'[4]LCT-1'!AV23+'[4]LCT-2'!AV23+'[4]LCT-3'!AV23+'[4]LCT-4'!AV23+'[4]LCT-5'!AV23+'[4]LCT-6'!AV23+'[4]LCT-7'!AV23+'[4]LCT-8'!AV23+'[5]TB-1'!AV23+'[5]TB-2'!AV23+'[5]TB-3'!AV23+'[5]TB-4'!AV23+'[5]TB-5'!AV23+'[5]TB-6'!AV23+'[5]TB-7'!AV23+'[5]TB-8'!AV23+'[5]TB-9'!AV23+'[5]TB-10'!AV23+'[6]DSV-1'!AV23+'[6]DSV-2'!AV23+'[6]DSV-3'!AV23+'[7]TUB-1'!AV23+'[7]TUB-2'!AV23+'[8]Barge-1'!AV23+'[8]Barge-2'!AV23+'[8]Barge-3'!AV23+'[8]Barge-4'!AV23</f>
        <v>0</v>
      </c>
      <c r="D23" s="177">
        <f>'[2]AHTS-1'!BR23+'[2]AHTS-2'!BR23+'[2]AHTS-3'!BR23+'[2]AHTS-4'!BR23+'[2]AHTS-5'!BR23+'[2]AHTS-6'!BR23+'[2]AHTS-7'!BR23+'[2]AHTS-8'!BR23+'[3]CB-1'!BR23+'[3]CB-2'!BR23+'[3]CB-3'!BR23+'[3]CB-4'!BR23+'[3]CB-5'!BR23+'[3]CB-6'!BR23+'[3]CB-7'!BR23+'[3]CB-8'!BR23+'[3]CB-9'!BR23+'[3]CB-10'!BR23+'[3]CB-11'!BR23+'[3]CB-12'!BR23+'[3]CB-13'!BR23+'[3]CB-14'!BR23+'[3]CB-15'!BR23+'[3]CB-16'!BR23+'[3]CB-17'!BR23+'[3]CB-18'!BR23+'[3]CB-19'!BR23+'[3]CB-20'!BR23+'[3]CB-21'!BR23+'[3]CB-22'!BR23+'[3]CB-23'!BR23+'[3]CB-24'!BR23+'[4]LCT-1'!BR23+'[4]LCT-2'!BR23+'[4]LCT-3'!BR23+'[4]LCT-4'!BR23+'[4]LCT-5'!BR23+'[4]LCT-6'!BR23+'[4]LCT-7'!BR23+'[4]LCT-8'!BR23+'[5]TB-1'!BR23+'[5]TB-2'!BR23+'[5]TB-3'!BR23+'[5]TB-4'!BR23+'[5]TB-5'!BR23+'[5]TB-6'!BR23+'[5]TB-7'!BR23+'[5]TB-8'!BR23+'[5]TB-9'!BR23+'[5]TB-10'!BR23+'[6]DSV-1'!BR23+'[6]DSV-2'!BR23+'[6]DSV-3'!BR23+'[7]TUB-1'!BR23+'[7]TUB-2'!BR23+'[8]Barge-1'!BR23+'[8]Barge-2'!BR23+'[8]Barge-3'!BR23+'[8]Barge-4'!BR23</f>
        <v>0</v>
      </c>
      <c r="E23" s="178">
        <f>'[2]AHTS-1'!CN23+'[2]AHTS-2'!CN23+'[2]AHTS-3'!CN23+'[2]AHTS-4'!CN23+'[2]AHTS-5'!CN23+'[2]AHTS-6'!CN23+'[2]AHTS-7'!CN23+'[2]AHTS-8'!CN23+'[3]CB-1'!CN23+'[3]CB-2'!CN23+'[3]CB-3'!CN23+'[3]CB-4'!CN23+'[3]CB-5'!CN23+'[3]CB-6'!CN23+'[3]CB-7'!CN23+'[3]CB-8'!CN23+'[3]CB-9'!CN23+'[3]CB-10'!CN23+'[3]CB-11'!CN23+'[3]CB-12'!CN23+'[3]CB-13'!CN23+'[3]CB-14'!CN23+'[3]CB-15'!CN23+'[3]CB-16'!CN23+'[3]CB-17'!CN23+'[3]CB-18'!CN23+'[3]CB-19'!CN23+'[3]CB-20'!CN23+'[3]CB-21'!CN23+'[3]CB-22'!CN23+'[3]CB-23'!CN23+'[3]CB-24'!CN23+'[4]LCT-1'!CN23+'[4]LCT-2'!CN23+'[4]LCT-3'!CN23+'[4]LCT-4'!CN23+'[4]LCT-5'!CN23+'[4]LCT-6'!CN23+'[4]LCT-7'!CN23+'[4]LCT-8'!CN23+'[5]TB-1'!CN23+'[5]TB-2'!CN23+'[5]TB-3'!CN23+'[5]TB-4'!CN23+'[5]TB-5'!CN23+'[5]TB-6'!CN23+'[5]TB-7'!CN23+'[5]TB-8'!CN23+'[5]TB-9'!CN23+'[5]TB-10'!CN23+'[6]DSV-1'!CN23+'[6]DSV-2'!CN23+'[6]DSV-3'!CN23+'[7]TUB-1'!CN23+'[7]TUB-2'!CN23+'[8]Barge-1'!CN23+'[8]Barge-2'!CN23+'[8]Barge-3'!CN23+'[8]Barge-4'!CN23</f>
        <v>0</v>
      </c>
      <c r="F23" s="179">
        <f>'[2]AHTS-1'!AW23+'[2]AHTS-2'!AW23+'[2]AHTS-3'!AW23+'[2]AHTS-4'!AW23+'[2]AHTS-5'!AW23+'[2]AHTS-6'!AW23+'[2]AHTS-7'!AW23+'[2]AHTS-8'!AW23+'[3]CB-1'!AW23+'[3]CB-2'!AW23+'[3]CB-3'!AW23+'[3]CB-4'!AW23+'[3]CB-5'!AW23+'[3]CB-6'!AW23+'[3]CB-7'!AW23+'[3]CB-8'!AW23+'[3]CB-9'!AW23+'[3]CB-10'!AW23+'[3]CB-11'!AW23+'[3]CB-12'!AW23+'[3]CB-13'!AW23+'[3]CB-14'!AW23+'[3]CB-15'!AW23+'[3]CB-16'!AW23+'[3]CB-17'!AW23+'[3]CB-18'!AW23+'[3]CB-19'!AW23+'[3]CB-20'!AW23+'[3]CB-21'!AW23+'[3]CB-22'!AW23+'[3]CB-23'!AW23+'[3]CB-24'!AW23+'[4]LCT-1'!AW23+'[4]LCT-2'!AW23+'[4]LCT-3'!AW23+'[4]LCT-4'!AW23+'[4]LCT-5'!AW23+'[4]LCT-6'!AW23+'[4]LCT-7'!AW23+'[4]LCT-8'!AW23+'[5]TB-1'!AW23+'[5]TB-2'!AW23+'[5]TB-3'!AW23+'[5]TB-4'!AW23+'[5]TB-5'!AW23+'[5]TB-6'!AW23+'[5]TB-7'!AW23+'[5]TB-8'!AW23+'[5]TB-9'!AW23+'[5]TB-10'!AW23+'[6]DSV-1'!AW23+'[6]DSV-2'!AW23+'[6]DSV-3'!AW23+'[7]TUB-1'!AW23+'[7]TUB-2'!AW23+'[8]Barge-1'!AW23+'[8]Barge-2'!AW23+'[8]Barge-3'!AW23+'[8]Barge-4'!AW23</f>
        <v>2492.8503787878781</v>
      </c>
      <c r="G23" s="180">
        <f>'[2]AHTS-1'!BS23+'[2]AHTS-2'!BS23+'[2]AHTS-3'!BS23+'[2]AHTS-4'!BS23+'[2]AHTS-5'!BS23+'[2]AHTS-6'!BS23+'[2]AHTS-7'!BS23+'[2]AHTS-8'!BS23+'[3]CB-1'!BS23+'[3]CB-2'!BS23+'[3]CB-3'!BS23+'[3]CB-4'!BS23+'[3]CB-5'!BS23+'[3]CB-6'!BS23+'[3]CB-7'!BS23+'[3]CB-8'!BS23+'[3]CB-9'!BS23+'[3]CB-10'!BS23+'[3]CB-11'!BS23+'[3]CB-12'!BS23+'[3]CB-13'!BS23+'[3]CB-14'!BS23+'[3]CB-15'!BS23+'[3]CB-16'!BS23+'[3]CB-17'!BS23+'[3]CB-18'!BS23+'[3]CB-19'!BS23+'[3]CB-20'!BS23+'[3]CB-21'!BS23+'[3]CB-22'!BS23+'[3]CB-23'!BS23+'[3]CB-24'!BS23+'[4]LCT-1'!BS23+'[4]LCT-2'!BS23+'[4]LCT-3'!BS23+'[4]LCT-4'!BS23+'[4]LCT-5'!BS23+'[4]LCT-6'!BS23+'[4]LCT-7'!BS23+'[4]LCT-8'!BS23+'[5]TB-1'!BS23+'[5]TB-2'!BS23+'[5]TB-3'!BS23+'[5]TB-4'!BS23+'[5]TB-5'!BS23+'[5]TB-6'!BS23+'[5]TB-7'!BS23+'[5]TB-8'!BS23+'[5]TB-9'!BS23+'[5]TB-10'!BS23+'[6]DSV-1'!BS23+'[6]DSV-2'!BS23+'[6]DSV-3'!BS23+'[7]TUB-1'!BS23+'[7]TUB-2'!BS23+'[8]Barge-1'!BS23+'[8]Barge-2'!BS23+'[8]Barge-3'!BS23+'[8]Barge-4'!BS23</f>
        <v>2127.5252525252527</v>
      </c>
      <c r="H23" s="180">
        <f>'[2]AHTS-1'!CO23+'[2]AHTS-2'!CO23+'[2]AHTS-3'!CO23+'[2]AHTS-4'!CO23+'[2]AHTS-5'!CO23+'[2]AHTS-6'!CO23+'[2]AHTS-7'!CO23+'[2]AHTS-8'!CO23+'[3]CB-1'!CO23+'[3]CB-2'!CO23+'[3]CB-3'!CO23+'[3]CB-4'!CO23+'[3]CB-5'!CO23+'[3]CB-6'!CO23+'[3]CB-7'!CO23+'[3]CB-8'!CO23+'[3]CB-9'!CO23+'[3]CB-10'!CO23+'[3]CB-11'!CO23+'[3]CB-12'!CO23+'[3]CB-13'!CO23+'[3]CB-14'!CO23+'[3]CB-15'!CO23+'[3]CB-16'!CO23+'[3]CB-17'!CO23+'[3]CB-18'!CO23+'[3]CB-19'!CO23+'[3]CB-20'!CO23+'[3]CB-21'!CO23+'[3]CB-22'!CO23+'[3]CB-23'!CO23+'[3]CB-24'!CO23+'[4]LCT-1'!CO23+'[4]LCT-2'!CO23+'[4]LCT-3'!CO23+'[4]LCT-4'!CO23+'[4]LCT-5'!CO23+'[4]LCT-6'!CO23+'[4]LCT-7'!CO23+'[4]LCT-8'!CO23+'[5]TB-1'!CO23+'[5]TB-2'!CO23+'[5]TB-3'!CO23+'[5]TB-4'!CO23+'[5]TB-5'!CO23+'[5]TB-6'!CO23+'[5]TB-7'!CO23+'[5]TB-8'!CO23+'[5]TB-9'!CO23+'[5]TB-10'!CO23+'[6]DSV-1'!CO23+'[6]DSV-2'!CO23+'[6]DSV-3'!CO23+'[7]TUB-1'!CO23+'[7]TUB-2'!CO23+'[8]Barge-1'!CO23+'[8]Barge-2'!CO23+'[8]Barge-3'!CO23+'[8]Barge-4'!CO23</f>
        <v>0</v>
      </c>
      <c r="I23" s="179">
        <f>'[2]AHTS-1'!AX23+'[2]AHTS-2'!AX23+'[2]AHTS-3'!AX23+'[2]AHTS-4'!AX23+'[2]AHTS-5'!AX23+'[2]AHTS-6'!AX23+'[2]AHTS-7'!AX23+'[2]AHTS-8'!AX23+'[3]CB-1'!AX23+'[3]CB-2'!AX23+'[3]CB-3'!AX23+'[3]CB-4'!AX23+'[3]CB-5'!AX23+'[3]CB-6'!AX23+'[3]CB-7'!AX23+'[3]CB-8'!AX23+'[3]CB-9'!AX23+'[3]CB-10'!AX23+'[3]CB-11'!AX23+'[3]CB-12'!AX23+'[3]CB-13'!AX23+'[3]CB-14'!AX23+'[3]CB-15'!AX23+'[3]CB-16'!AX23+'[3]CB-17'!AX23+'[3]CB-18'!AX23+'[3]CB-19'!AX23+'[3]CB-20'!AX23+'[3]CB-21'!AX23+'[3]CB-22'!AX23+'[3]CB-23'!AX23+'[3]CB-24'!AX23+'[4]LCT-1'!AX23+'[4]LCT-2'!AX23+'[4]LCT-3'!AX23+'[4]LCT-4'!AX23+'[4]LCT-5'!AX23+'[4]LCT-6'!AX23+'[4]LCT-7'!AX23+'[4]LCT-8'!AX23+'[5]TB-1'!AX23+'[5]TB-2'!AX23+'[5]TB-3'!AX23+'[5]TB-4'!AX23+'[5]TB-5'!AX23+'[5]TB-6'!AX23+'[5]TB-7'!AX23+'[5]TB-8'!AX23+'[5]TB-9'!AX23+'[5]TB-10'!AX23+'[6]DSV-1'!AX23+'[6]DSV-2'!AX23+'[6]DSV-3'!AX23+'[7]TUB-1'!AX23+'[7]TUB-2'!AX23+'[8]Barge-1'!AX23+'[8]Barge-2'!AX23+'[8]Barge-3'!AX23+'[8]Barge-4'!AX23</f>
        <v>2449.0088383838383</v>
      </c>
      <c r="J23" s="180">
        <f>'[2]AHTS-1'!BT23+'[2]AHTS-2'!BT23+'[2]AHTS-3'!BT23+'[2]AHTS-4'!BT23+'[2]AHTS-5'!BT23+'[2]AHTS-6'!BT23+'[2]AHTS-7'!BT23+'[2]AHTS-8'!BT23+'[3]CB-1'!BT23+'[3]CB-2'!BT23+'[3]CB-3'!BT23+'[3]CB-4'!BT23+'[3]CB-5'!BT23+'[3]CB-6'!BT23+'[3]CB-7'!BT23+'[3]CB-8'!BT23+'[3]CB-9'!BT23+'[3]CB-10'!BT23+'[3]CB-11'!BT23+'[3]CB-12'!BT23+'[3]CB-13'!BT23+'[3]CB-14'!BT23+'[3]CB-15'!BT23+'[3]CB-16'!BT23+'[3]CB-17'!BT23+'[3]CB-18'!BT23+'[3]CB-19'!BT23+'[3]CB-20'!BT23+'[3]CB-21'!BT23+'[3]CB-22'!BT23+'[3]CB-23'!BT23+'[3]CB-24'!BT23+'[4]LCT-1'!BT23+'[4]LCT-2'!BT23+'[4]LCT-3'!BT23+'[4]LCT-4'!BT23+'[4]LCT-5'!BT23+'[4]LCT-6'!BT23+'[4]LCT-7'!BT23+'[4]LCT-8'!BT23+'[5]TB-1'!BT23+'[5]TB-2'!BT23+'[5]TB-3'!BT23+'[5]TB-4'!BT23+'[5]TB-5'!BT23+'[5]TB-6'!BT23+'[5]TB-7'!BT23+'[5]TB-8'!BT23+'[5]TB-9'!BT23+'[5]TB-10'!BT23+'[6]DSV-1'!BT23+'[6]DSV-2'!BT23+'[6]DSV-3'!BT23+'[7]TUB-1'!BT23+'[7]TUB-2'!BT23+'[8]Barge-1'!BT23+'[8]Barge-2'!BT23+'[8]Barge-3'!BT23+'[8]Barge-4'!BT23</f>
        <v>2149.621212121212</v>
      </c>
      <c r="K23" s="180">
        <f>'[2]AHTS-1'!CP23+'[2]AHTS-2'!CP23+'[2]AHTS-3'!CP23+'[2]AHTS-4'!CP23+'[2]AHTS-5'!CP23+'[2]AHTS-6'!CP23+'[2]AHTS-7'!CP23+'[2]AHTS-8'!CP23+'[3]CB-1'!CP23+'[3]CB-2'!CP23+'[3]CB-3'!CP23+'[3]CB-4'!CP23+'[3]CB-5'!CP23+'[3]CB-6'!CP23+'[3]CB-7'!CP23+'[3]CB-8'!CP23+'[3]CB-9'!CP23+'[3]CB-10'!CP23+'[3]CB-11'!CP23+'[3]CB-12'!CP23+'[3]CB-13'!CP23+'[3]CB-14'!CP23+'[3]CB-15'!CP23+'[3]CB-16'!CP23+'[3]CB-17'!CP23+'[3]CB-18'!CP23+'[3]CB-19'!CP23+'[3]CB-20'!CP23+'[3]CB-21'!CP23+'[3]CB-22'!CP23+'[3]CB-23'!CP23+'[3]CB-24'!CP23+'[4]LCT-1'!CP23+'[4]LCT-2'!CP23+'[4]LCT-3'!CP23+'[4]LCT-4'!CP23+'[4]LCT-5'!CP23+'[4]LCT-6'!CP23+'[4]LCT-7'!CP23+'[4]LCT-8'!CP23+'[5]TB-1'!CP23+'[5]TB-2'!CP23+'[5]TB-3'!CP23+'[5]TB-4'!CP23+'[5]TB-5'!CP23+'[5]TB-6'!CP23+'[5]TB-7'!CP23+'[5]TB-8'!CP23+'[5]TB-9'!CP23+'[5]TB-10'!CP23+'[6]DSV-1'!CP23+'[6]DSV-2'!CP23+'[6]DSV-3'!CP23+'[7]TUB-1'!CP23+'[7]TUB-2'!CP23+'[8]Barge-1'!CP23+'[8]Barge-2'!CP23+'[8]Barge-3'!CP23+'[8]Barge-4'!CP23</f>
        <v>0</v>
      </c>
      <c r="L23" s="181">
        <f>'[2]AHTS-1'!AY23+'[2]AHTS-2'!AY23+'[2]AHTS-3'!AY23+'[2]AHTS-4'!AY23+'[2]AHTS-5'!AY23+'[2]AHTS-6'!AY23+'[2]AHTS-7'!AY23+'[2]AHTS-8'!AY23+'[3]CB-1'!AY23+'[3]CB-2'!AY23+'[3]CB-3'!AY23+'[3]CB-4'!AY23+'[3]CB-5'!AY23+'[3]CB-6'!AY23+'[3]CB-7'!AY23+'[3]CB-8'!AY23+'[3]CB-9'!AY23+'[3]CB-10'!AY23+'[3]CB-11'!AY23+'[3]CB-12'!AY23+'[3]CB-13'!AY23+'[3]CB-14'!AY23+'[3]CB-15'!AY23+'[3]CB-16'!AY23+'[3]CB-17'!AY23+'[3]CB-18'!AY23+'[3]CB-19'!AY23+'[3]CB-20'!AY23+'[3]CB-21'!AY23+'[3]CB-22'!AY23+'[3]CB-23'!AY23+'[3]CB-24'!AY23+'[4]LCT-1'!AY23+'[4]LCT-2'!AY23+'[4]LCT-3'!AY23+'[4]LCT-4'!AY23+'[4]LCT-5'!AY23+'[4]LCT-6'!AY23+'[4]LCT-7'!AY23+'[4]LCT-8'!AY23+'[5]TB-1'!AY23+'[5]TB-2'!AY23+'[5]TB-3'!AY23+'[5]TB-4'!AY23+'[5]TB-5'!AY23+'[5]TB-6'!AY23+'[5]TB-7'!AY23+'[5]TB-8'!AY23+'[5]TB-9'!AY23+'[5]TB-10'!AY23+'[6]DSV-1'!AY23+'[6]DSV-2'!AY23+'[6]DSV-3'!AY23+'[7]TUB-1'!AY23+'[7]TUB-2'!AY23+'[8]Barge-1'!AY23+'[8]Barge-2'!AY23+'[8]Barge-3'!AY23+'[8]Barge-4'!AY23</f>
        <v>2772.2127525252522</v>
      </c>
      <c r="M23" s="182">
        <f>'[2]AHTS-1'!BU23+'[2]AHTS-2'!BU23+'[2]AHTS-3'!BU23+'[2]AHTS-4'!BU23+'[2]AHTS-5'!BU23+'[2]AHTS-6'!BU23+'[2]AHTS-7'!BU23+'[2]AHTS-8'!BU23+'[3]CB-1'!BU23+'[3]CB-2'!BU23+'[3]CB-3'!BU23+'[3]CB-4'!BU23+'[3]CB-5'!BU23+'[3]CB-6'!BU23+'[3]CB-7'!BU23+'[3]CB-8'!BU23+'[3]CB-9'!BU23+'[3]CB-10'!BU23+'[3]CB-11'!BU23+'[3]CB-12'!BU23+'[3]CB-13'!BU23+'[3]CB-14'!BU23+'[3]CB-15'!BU23+'[3]CB-16'!BU23+'[3]CB-17'!BU23+'[3]CB-18'!BU23+'[3]CB-19'!BU23+'[3]CB-20'!BU23+'[3]CB-21'!BU23+'[3]CB-22'!BU23+'[3]CB-23'!BU23+'[3]CB-24'!BU23+'[4]LCT-1'!BU23+'[4]LCT-2'!BU23+'[4]LCT-3'!BU23+'[4]LCT-4'!BU23+'[4]LCT-5'!BU23+'[4]LCT-6'!BU23+'[4]LCT-7'!BU23+'[4]LCT-8'!BU23+'[5]TB-1'!BU23+'[5]TB-2'!BU23+'[5]TB-3'!BU23+'[5]TB-4'!BU23+'[5]TB-5'!BU23+'[5]TB-6'!BU23+'[5]TB-7'!BU23+'[5]TB-8'!BU23+'[5]TB-9'!BU23+'[5]TB-10'!BU23+'[6]DSV-1'!BU23+'[6]DSV-2'!BU23+'[6]DSV-3'!BU23+'[7]TUB-1'!BU23+'[7]TUB-2'!BU23+'[8]Barge-1'!BU23+'[8]Barge-2'!BU23+'[8]Barge-3'!BU23+'[8]Barge-4'!BU23</f>
        <v>3989.8989898989894</v>
      </c>
      <c r="N23" s="182">
        <f>'[2]AHTS-1'!CQ23+'[2]AHTS-2'!CQ23+'[2]AHTS-3'!CQ23+'[2]AHTS-4'!CQ23+'[2]AHTS-5'!CQ23+'[2]AHTS-6'!CQ23+'[2]AHTS-7'!CQ23+'[2]AHTS-8'!CQ23+'[3]CB-1'!CQ23+'[3]CB-2'!CQ23+'[3]CB-3'!CQ23+'[3]CB-4'!CQ23+'[3]CB-5'!CQ23+'[3]CB-6'!CQ23+'[3]CB-7'!CQ23+'[3]CB-8'!CQ23+'[3]CB-9'!CQ23+'[3]CB-10'!CQ23+'[3]CB-11'!CQ23+'[3]CB-12'!CQ23+'[3]CB-13'!CQ23+'[3]CB-14'!CQ23+'[3]CB-15'!CQ23+'[3]CB-16'!CQ23+'[3]CB-17'!CQ23+'[3]CB-18'!CQ23+'[3]CB-19'!CQ23+'[3]CB-20'!CQ23+'[3]CB-21'!CQ23+'[3]CB-22'!CQ23+'[3]CB-23'!CQ23+'[3]CB-24'!CQ23+'[4]LCT-1'!CQ23+'[4]LCT-2'!CQ23+'[4]LCT-3'!CQ23+'[4]LCT-4'!CQ23+'[4]LCT-5'!CQ23+'[4]LCT-6'!CQ23+'[4]LCT-7'!CQ23+'[4]LCT-8'!CQ23+'[5]TB-1'!CQ23+'[5]TB-2'!CQ23+'[5]TB-3'!CQ23+'[5]TB-4'!CQ23+'[5]TB-5'!CQ23+'[5]TB-6'!CQ23+'[5]TB-7'!CQ23+'[5]TB-8'!CQ23+'[5]TB-9'!CQ23+'[5]TB-10'!CQ23+'[6]DSV-1'!CQ23+'[6]DSV-2'!CQ23+'[6]DSV-3'!CQ23+'[7]TUB-1'!CQ23+'[7]TUB-2'!CQ23+'[8]Barge-1'!CQ23+'[8]Barge-2'!CQ23+'[8]Barge-3'!CQ23+'[8]Barge-4'!CQ23</f>
        <v>0</v>
      </c>
      <c r="O23" s="179">
        <f>'[2]AHTS-1'!AZ23+'[2]AHTS-2'!AZ23+'[2]AHTS-3'!AZ23+'[2]AHTS-4'!AZ23+'[2]AHTS-5'!AZ23+'[2]AHTS-6'!AZ23+'[2]AHTS-7'!AZ23+'[2]AHTS-8'!AZ23+'[3]CB-1'!AZ23+'[3]CB-2'!AZ23+'[3]CB-3'!AZ23+'[3]CB-4'!AZ23+'[3]CB-5'!AZ23+'[3]CB-6'!AZ23+'[3]CB-7'!AZ23+'[3]CB-8'!AZ23+'[3]CB-9'!AZ23+'[3]CB-10'!AZ23+'[3]CB-11'!AZ23+'[3]CB-12'!AZ23+'[3]CB-13'!AZ23+'[3]CB-14'!AZ23+'[3]CB-15'!AZ23+'[3]CB-16'!AZ23+'[3]CB-17'!AZ23+'[3]CB-18'!AZ23+'[3]CB-19'!AZ23+'[3]CB-20'!AZ23+'[3]CB-21'!AZ23+'[3]CB-22'!AZ23+'[3]CB-23'!AZ23+'[3]CB-24'!AZ23+'[4]LCT-1'!AZ23+'[4]LCT-2'!AZ23+'[4]LCT-3'!AZ23+'[4]LCT-4'!AZ23+'[4]LCT-5'!AZ23+'[4]LCT-6'!AZ23+'[4]LCT-7'!AZ23+'[4]LCT-8'!AZ23+'[5]TB-1'!AZ23+'[5]TB-2'!AZ23+'[5]TB-3'!AZ23+'[5]TB-4'!AZ23+'[5]TB-5'!AZ23+'[5]TB-6'!AZ23+'[5]TB-7'!AZ23+'[5]TB-8'!AZ23+'[5]TB-9'!AZ23+'[5]TB-10'!AZ23+'[6]DSV-1'!AZ23+'[6]DSV-2'!AZ23+'[6]DSV-3'!AZ23+'[7]TUB-1'!AZ23+'[7]TUB-2'!AZ23+'[8]Barge-1'!AZ23+'[8]Barge-2'!AZ23+'[8]Barge-3'!AZ23+'[8]Barge-4'!AZ23</f>
        <v>103.9962121212121</v>
      </c>
      <c r="P23" s="180">
        <f>'[2]AHTS-1'!BV23+'[2]AHTS-2'!BV23+'[2]AHTS-3'!BV23+'[2]AHTS-4'!BV23+'[2]AHTS-5'!BV23+'[2]AHTS-6'!BV23+'[2]AHTS-7'!BV23+'[2]AHTS-8'!BV23+'[3]CB-1'!BV23+'[3]CB-2'!BV23+'[3]CB-3'!BV23+'[3]CB-4'!BV23+'[3]CB-5'!BV23+'[3]CB-6'!BV23+'[3]CB-7'!BV23+'[3]CB-8'!BV23+'[3]CB-9'!BV23+'[3]CB-10'!BV23+'[3]CB-11'!BV23+'[3]CB-12'!BV23+'[3]CB-13'!BV23+'[3]CB-14'!BV23+'[3]CB-15'!BV23+'[3]CB-16'!BV23+'[3]CB-17'!BV23+'[3]CB-18'!BV23+'[3]CB-19'!BV23+'[3]CB-20'!BV23+'[3]CB-21'!BV23+'[3]CB-22'!BV23+'[3]CB-23'!BV23+'[3]CB-24'!BV23+'[4]LCT-1'!BV23+'[4]LCT-2'!BV23+'[4]LCT-3'!BV23+'[4]LCT-4'!BV23+'[4]LCT-5'!BV23+'[4]LCT-6'!BV23+'[4]LCT-7'!BV23+'[4]LCT-8'!BV23+'[5]TB-1'!BV23+'[5]TB-2'!BV23+'[5]TB-3'!BV23+'[5]TB-4'!BV23+'[5]TB-5'!BV23+'[5]TB-6'!BV23+'[5]TB-7'!BV23+'[5]TB-8'!BV23+'[5]TB-9'!BV23+'[5]TB-10'!BV23+'[6]DSV-1'!BV23+'[6]DSV-2'!BV23+'[6]DSV-3'!BV23+'[7]TUB-1'!BV23+'[7]TUB-2'!BV23+'[8]Barge-1'!BV23+'[8]Barge-2'!BV23+'[8]Barge-3'!BV23+'[8]Barge-4'!BV23</f>
        <v>820.70707070707067</v>
      </c>
      <c r="Q23" s="180">
        <f>'[2]AHTS-1'!CR23+'[2]AHTS-2'!CR23+'[2]AHTS-3'!CR23+'[2]AHTS-4'!CR23+'[2]AHTS-5'!CR23+'[2]AHTS-6'!CR23+'[2]AHTS-7'!CR23+'[2]AHTS-8'!CR23+'[3]CB-1'!CR23+'[3]CB-2'!CR23+'[3]CB-3'!CR23+'[3]CB-4'!CR23+'[3]CB-5'!CR23+'[3]CB-6'!CR23+'[3]CB-7'!CR23+'[3]CB-8'!CR23+'[3]CB-9'!CR23+'[3]CB-10'!CR23+'[3]CB-11'!CR23+'[3]CB-12'!CR23+'[3]CB-13'!CR23+'[3]CB-14'!CR23+'[3]CB-15'!CR23+'[3]CB-16'!CR23+'[3]CB-17'!CR23+'[3]CB-18'!CR23+'[3]CB-19'!CR23+'[3]CB-20'!CR23+'[3]CB-21'!CR23+'[3]CB-22'!CR23+'[3]CB-23'!CR23+'[3]CB-24'!CR23+'[4]LCT-1'!CR23+'[4]LCT-2'!CR23+'[4]LCT-3'!CR23+'[4]LCT-4'!CR23+'[4]LCT-5'!CR23+'[4]LCT-6'!CR23+'[4]LCT-7'!CR23+'[4]LCT-8'!CR23+'[5]TB-1'!CR23+'[5]TB-2'!CR23+'[5]TB-3'!CR23+'[5]TB-4'!CR23+'[5]TB-5'!CR23+'[5]TB-6'!CR23+'[5]TB-7'!CR23+'[5]TB-8'!CR23+'[5]TB-9'!CR23+'[5]TB-10'!CR23+'[6]DSV-1'!CR23+'[6]DSV-2'!CR23+'[6]DSV-3'!CR23+'[7]TUB-1'!CR23+'[7]TUB-2'!CR23+'[8]Barge-1'!CR23+'[8]Barge-2'!CR23+'[8]Barge-3'!CR23+'[8]Barge-4'!CR23</f>
        <v>0</v>
      </c>
      <c r="R23" s="183">
        <f>'[2]AHTS-1'!BA23+'[2]AHTS-2'!BA23+'[2]AHTS-3'!BA23+'[2]AHTS-4'!BA23+'[2]AHTS-5'!BA23+'[2]AHTS-6'!BA23+'[2]AHTS-7'!BA23+'[2]AHTS-8'!BA23+'[3]CB-1'!BA23+'[3]CB-2'!BA23+'[3]CB-3'!BA23+'[3]CB-4'!BA23+'[3]CB-5'!BA23+'[3]CB-6'!BA23+'[3]CB-7'!BA23+'[3]CB-8'!BA23+'[3]CB-9'!BA23+'[3]CB-10'!BA23+'[3]CB-11'!BA23+'[3]CB-12'!BA23+'[3]CB-13'!BA23+'[3]CB-14'!BA23+'[3]CB-15'!BA23+'[3]CB-16'!BA23+'[3]CB-17'!BA23+'[3]CB-18'!BA23+'[3]CB-19'!BA23+'[3]CB-20'!BA23+'[3]CB-21'!BA23+'[3]CB-22'!BA23+'[3]CB-23'!BA23+'[3]CB-24'!BA23+'[4]LCT-1'!BA23+'[4]LCT-2'!BA23+'[4]LCT-3'!BA23+'[4]LCT-4'!BA23+'[4]LCT-5'!BA23+'[4]LCT-6'!BA23+'[4]LCT-7'!BA23+'[4]LCT-8'!BA23+'[5]TB-1'!BA23+'[5]TB-2'!BA23+'[5]TB-3'!BA23+'[5]TB-4'!BA23+'[5]TB-5'!BA23+'[5]TB-6'!BA23+'[5]TB-7'!BA23+'[5]TB-8'!BA23+'[5]TB-9'!BA23+'[5]TB-10'!BA23+'[6]DSV-1'!BA23+'[6]DSV-2'!BA23+'[6]DSV-3'!BA23+'[7]TUB-1'!BA23+'[7]TUB-2'!BA23+'[8]Barge-1'!BA23+'[8]Barge-2'!BA23+'[8]Barge-3'!BA23+'[8]Barge-4'!BA23</f>
        <v>3752.0202020202019</v>
      </c>
      <c r="S23" s="180">
        <f>'[2]AHTS-1'!BW23+'[2]AHTS-2'!BW23+'[2]AHTS-3'!BW23+'[2]AHTS-4'!BW23+'[2]AHTS-5'!BW23+'[2]AHTS-6'!BW23+'[2]AHTS-7'!BW23+'[2]AHTS-8'!BW23+'[3]CB-1'!BW23+'[3]CB-2'!BW23+'[3]CB-3'!BW23+'[3]CB-4'!BW23+'[3]CB-5'!BW23+'[3]CB-6'!BW23+'[3]CB-7'!BW23+'[3]CB-8'!BW23+'[3]CB-9'!BW23+'[3]CB-10'!BW23+'[3]CB-11'!BW23+'[3]CB-12'!BW23+'[3]CB-13'!BW23+'[3]CB-14'!BW23+'[3]CB-15'!BW23+'[3]CB-16'!BW23+'[3]CB-17'!BW23+'[3]CB-18'!BW23+'[3]CB-19'!BW23+'[3]CB-20'!BW23+'[3]CB-21'!BW23+'[3]CB-22'!BW23+'[3]CB-23'!BW23+'[3]CB-24'!BW23+'[4]LCT-1'!BW23+'[4]LCT-2'!BW23+'[4]LCT-3'!BW23+'[4]LCT-4'!BW23+'[4]LCT-5'!BW23+'[4]LCT-6'!BW23+'[4]LCT-7'!BW23+'[4]LCT-8'!BW23+'[5]TB-1'!BW23+'[5]TB-2'!BW23+'[5]TB-3'!BW23+'[5]TB-4'!BW23+'[5]TB-5'!BW23+'[5]TB-6'!BW23+'[5]TB-7'!BW23+'[5]TB-8'!BW23+'[5]TB-9'!BW23+'[5]TB-10'!BW23+'[6]DSV-1'!BW23+'[6]DSV-2'!BW23+'[6]DSV-3'!BW23+'[7]TUB-1'!BW23+'[7]TUB-2'!BW23+'[8]Barge-1'!BW23+'[8]Barge-2'!BW23+'[8]Barge-3'!BW23+'[8]Barge-4'!BW23</f>
        <v>5170.454545454545</v>
      </c>
      <c r="T23" s="184">
        <f>'[2]AHTS-1'!CS23+'[2]AHTS-2'!CS23+'[2]AHTS-3'!CS23+'[2]AHTS-4'!CS23+'[2]AHTS-5'!CS23+'[2]AHTS-6'!CS23+'[2]AHTS-7'!CS23+'[2]AHTS-8'!CS23+'[3]CB-1'!CS23+'[3]CB-2'!CS23+'[3]CB-3'!CS23+'[3]CB-4'!CS23+'[3]CB-5'!CS23+'[3]CB-6'!CS23+'[3]CB-7'!CS23+'[3]CB-8'!CS23+'[3]CB-9'!CS23+'[3]CB-10'!CS23+'[3]CB-11'!CS23+'[3]CB-12'!CS23+'[3]CB-13'!CS23+'[3]CB-14'!CS23+'[3]CB-15'!CS23+'[3]CB-16'!CS23+'[3]CB-17'!CS23+'[3]CB-18'!CS23+'[3]CB-19'!CS23+'[3]CB-20'!CS23+'[3]CB-21'!CS23+'[3]CB-22'!CS23+'[3]CB-23'!CS23+'[3]CB-24'!CS23+'[4]LCT-1'!CS23+'[4]LCT-2'!CS23+'[4]LCT-3'!CS23+'[4]LCT-4'!CS23+'[4]LCT-5'!CS23+'[4]LCT-6'!CS23+'[4]LCT-7'!CS23+'[4]LCT-8'!CS23+'[5]TB-1'!CS23+'[5]TB-2'!CS23+'[5]TB-3'!CS23+'[5]TB-4'!CS23+'[5]TB-5'!CS23+'[5]TB-6'!CS23+'[5]TB-7'!CS23+'[5]TB-8'!CS23+'[5]TB-9'!CS23+'[5]TB-10'!CS23+'[6]DSV-1'!CS23+'[6]DSV-2'!CS23+'[6]DSV-3'!CS23+'[7]TUB-1'!CS23+'[7]TUB-2'!CS23+'[8]Barge-1'!CS23+'[8]Barge-2'!CS23+'[8]Barge-3'!CS23+'[8]Barge-4'!CS23</f>
        <v>0</v>
      </c>
      <c r="U23" s="183">
        <f>'[2]AHTS-1'!BB23+'[2]AHTS-2'!BB23+'[2]AHTS-3'!BB23+'[2]AHTS-4'!BB23+'[2]AHTS-5'!BB23+'[2]AHTS-6'!BB23+'[2]AHTS-7'!BB23+'[2]AHTS-8'!BB23+'[3]CB-1'!BB23+'[3]CB-2'!BB23+'[3]CB-3'!BB23+'[3]CB-4'!BB23+'[3]CB-5'!BB23+'[3]CB-6'!BB23+'[3]CB-7'!BB23+'[3]CB-8'!BB23+'[3]CB-9'!BB23+'[3]CB-10'!BB23+'[3]CB-11'!BB23+'[3]CB-12'!BB23+'[3]CB-13'!BB23+'[3]CB-14'!BB23+'[3]CB-15'!BB23+'[3]CB-16'!BB23+'[3]CB-17'!BB23+'[3]CB-18'!BB23+'[3]CB-19'!BB23+'[3]CB-20'!BB23+'[3]CB-21'!BB23+'[3]CB-22'!BB23+'[3]CB-23'!BB23+'[3]CB-24'!BB23+'[4]LCT-1'!BB23+'[4]LCT-2'!BB23+'[4]LCT-3'!BB23+'[4]LCT-4'!BB23+'[4]LCT-5'!BB23+'[4]LCT-6'!BB23+'[4]LCT-7'!BB23+'[4]LCT-8'!BB23+'[5]TB-1'!BB23+'[5]TB-2'!BB23+'[5]TB-3'!BB23+'[5]TB-4'!BB23+'[5]TB-5'!BB23+'[5]TB-6'!BB23+'[5]TB-7'!BB23+'[5]TB-8'!BB23+'[5]TB-9'!BB23+'[5]TB-10'!BB23+'[6]DSV-1'!BB23+'[6]DSV-2'!BB23+'[6]DSV-3'!BB23+'[7]TUB-1'!BB23+'[7]TUB-2'!BB23+'[8]Barge-1'!BB23+'[8]Barge-2'!BB23+'[8]Barge-3'!BB23+'[8]Barge-4'!BB23</f>
        <v>0</v>
      </c>
      <c r="V23" s="180">
        <f>'[2]AHTS-1'!BX23+'[2]AHTS-2'!BX23+'[2]AHTS-3'!BX23+'[2]AHTS-4'!BX23+'[2]AHTS-5'!BX23+'[2]AHTS-6'!BX23+'[2]AHTS-7'!BX23+'[2]AHTS-8'!BX23+'[3]CB-1'!BX23+'[3]CB-2'!BX23+'[3]CB-3'!BX23+'[3]CB-4'!BX23+'[3]CB-5'!BX23+'[3]CB-6'!BX23+'[3]CB-7'!BX23+'[3]CB-8'!BX23+'[3]CB-9'!BX23+'[3]CB-10'!BX23+'[3]CB-11'!BX23+'[3]CB-12'!BX23+'[3]CB-13'!BX23+'[3]CB-14'!BX23+'[3]CB-15'!BX23+'[3]CB-16'!BX23+'[3]CB-17'!BX23+'[3]CB-18'!BX23+'[3]CB-19'!BX23+'[3]CB-20'!BX23+'[3]CB-21'!BX23+'[3]CB-22'!BX23+'[3]CB-23'!BX23+'[3]CB-24'!BX23+'[4]LCT-1'!BX23+'[4]LCT-2'!BX23+'[4]LCT-3'!BX23+'[4]LCT-4'!BX23+'[4]LCT-5'!BX23+'[4]LCT-6'!BX23+'[4]LCT-7'!BX23+'[4]LCT-8'!BX23+'[5]TB-1'!BX23+'[5]TB-2'!BX23+'[5]TB-3'!BX23+'[5]TB-4'!BX23+'[5]TB-5'!BX23+'[5]TB-6'!BX23+'[5]TB-7'!BX23+'[5]TB-8'!BX23+'[5]TB-9'!BX23+'[5]TB-10'!BX23+'[6]DSV-1'!BX23+'[6]DSV-2'!BX23+'[6]DSV-3'!BX23+'[7]TUB-1'!BX23+'[7]TUB-2'!BX23+'[8]Barge-1'!BX23+'[8]Barge-2'!BX23+'[8]Barge-3'!BX23+'[8]Barge-4'!BX23</f>
        <v>0</v>
      </c>
      <c r="W23" s="184">
        <f>'[2]AHTS-1'!CT23+'[2]AHTS-2'!CT23+'[2]AHTS-3'!CT23+'[2]AHTS-4'!CT23+'[2]AHTS-5'!CT23+'[2]AHTS-6'!CT23+'[2]AHTS-7'!CT23+'[2]AHTS-8'!CT23+'[3]CB-1'!CT23+'[3]CB-2'!CT23+'[3]CB-3'!CT23+'[3]CB-4'!CT23+'[3]CB-5'!CT23+'[3]CB-6'!CT23+'[3]CB-7'!CT23+'[3]CB-8'!CT23+'[3]CB-9'!CT23+'[3]CB-10'!CT23+'[3]CB-11'!CT23+'[3]CB-12'!CT23+'[3]CB-13'!CT23+'[3]CB-14'!CT23+'[3]CB-15'!CT23+'[3]CB-16'!CT23+'[3]CB-17'!CT23+'[3]CB-18'!CT23+'[3]CB-19'!CT23+'[3]CB-20'!CT23+'[3]CB-21'!CT23+'[3]CB-22'!CT23+'[3]CB-23'!CT23+'[3]CB-24'!CT23+'[4]LCT-1'!CT23+'[4]LCT-2'!CT23+'[4]LCT-3'!CT23+'[4]LCT-4'!CT23+'[4]LCT-5'!CT23+'[4]LCT-6'!CT23+'[4]LCT-7'!CT23+'[4]LCT-8'!CT23+'[5]TB-1'!CT23+'[5]TB-2'!CT23+'[5]TB-3'!CT23+'[5]TB-4'!CT23+'[5]TB-5'!CT23+'[5]TB-6'!CT23+'[5]TB-7'!CT23+'[5]TB-8'!CT23+'[5]TB-9'!CT23+'[5]TB-10'!CT23+'[6]DSV-1'!CT23+'[6]DSV-2'!CT23+'[6]DSV-3'!CT23+'[7]TUB-1'!CT23+'[7]TUB-2'!CT23+'[8]Barge-1'!CT23+'[8]Barge-2'!CT23+'[8]Barge-3'!CT23+'[8]Barge-4'!CT23</f>
        <v>0</v>
      </c>
      <c r="X23" s="67"/>
      <c r="Y23" s="67"/>
      <c r="Z23" s="68"/>
      <c r="AA23" s="111">
        <f>[1]Control!AZ23</f>
        <v>45998</v>
      </c>
      <c r="AB23" s="66"/>
      <c r="AC23" s="132">
        <f>'[2]AHTS-1'!IC61+'[2]AHTS-2'!IC61+'[2]AHTS-3'!IC61+'[2]AHTS-4'!IC61+'[2]AHTS-5'!IC61+'[2]AHTS-6'!IC61+'[2]AHTS-7'!IC61+'[2]AHTS-8'!IC61+'[3]CB-1'!IC61+'[3]CB-2'!IC61+'[3]CB-3'!IC61+'[3]CB-4'!IC61+'[3]CB-5'!IC61+'[3]CB-6'!IC61+'[3]CB-7'!IC61+'[3]CB-8'!IC61+'[3]CB-9'!IC61+'[3]CB-10'!IC61+'[3]CB-11'!IC61+'[3]CB-12'!IC61+'[3]CB-13'!IC61+'[3]CB-14'!IC61+'[3]CB-15'!IC61+'[3]CB-16'!IC61+'[3]CB-17'!IC61+'[3]CB-18'!IC61+'[3]CB-19'!IC61+'[3]CB-20'!IC61+'[3]CB-21'!IC61+'[3]CB-22'!IC61+'[3]CB-23'!IC61+'[3]CB-24'!IC61+'[4]LCT-1'!IC61+'[4]LCT-2'!IC61+'[4]LCT-3'!IC61+'[4]LCT-4'!IC61+'[4]LCT-5'!IC61+'[4]LCT-6'!IC61+'[4]LCT-7'!IC61+'[4]LCT-8'!IC61+'[5]TB-1'!IC61+'[5]TB-2'!IC61+'[5]TB-3'!IC61+'[5]TB-4'!IC61+'[5]TB-5'!IC61+'[5]TB-6'!IC61+'[5]TB-7'!IC61+'[5]TB-8'!IC61+'[5]TB-9'!IC61+'[5]TB-10'!IC61+'[6]DSV-1'!IC61+'[6]DSV-2'!IC61+'[6]DSV-3'!IC61+'[7]TUB-1'!IC61+'[7]TUB-2'!IC61+'[8]Barge-1'!IC61+'[8]Barge-2'!IC61+'[8]Barge-3'!IC61+'[8]Barge-4'!IC61</f>
        <v>0</v>
      </c>
      <c r="AD23" s="133">
        <f>'[2]AHTS-1'!IC23+'[2]AHTS-2'!IC23+'[2]AHTS-3'!IC23+'[2]AHTS-4'!IC23+'[2]AHTS-5'!IC23+'[2]AHTS-6'!IC23+'[2]AHTS-7'!IC23+'[2]AHTS-8'!IC23+'[3]CB-1'!IC23+'[3]CB-2'!IC23+'[3]CB-3'!IC23+'[3]CB-4'!IC23+'[3]CB-5'!IC23+'[3]CB-6'!IC23+'[3]CB-7'!IC23+'[3]CB-8'!IC23+'[3]CB-9'!IC23+'[3]CB-10'!IC23+'[3]CB-11'!IC23+'[3]CB-12'!IC23+'[3]CB-13'!IC23+'[3]CB-14'!IC23+'[3]CB-15'!IC23+'[3]CB-16'!IC23+'[3]CB-17'!IC23+'[3]CB-18'!IC23+'[3]CB-19'!IC23+'[3]CB-20'!IC23+'[3]CB-21'!IC23+'[3]CB-22'!IC23+'[3]CB-23'!IC23+'[3]CB-24'!IC23+'[4]LCT-1'!IC23+'[4]LCT-2'!IC23+'[4]LCT-3'!IC23+'[4]LCT-4'!IC23+'[4]LCT-5'!IC23+'[4]LCT-6'!IC23+'[4]LCT-7'!IC23+'[4]LCT-8'!IC23+'[5]TB-1'!IC23+'[5]TB-2'!IC23+'[5]TB-3'!IC23+'[5]TB-4'!IC23+'[5]TB-5'!IC23+'[5]TB-6'!IC23+'[5]TB-7'!IC23+'[5]TB-8'!IC23+'[5]TB-9'!IC23+'[5]TB-10'!IC23+'[6]DSV-1'!IC23+'[6]DSV-2'!IC23+'[6]DSV-3'!IC23+'[7]TUB-1'!IC23+'[7]TUB-2'!IC23+'[8]Barge-1'!IC23+'[8]Barge-2'!IC23+'[8]Barge-3'!IC23+'[8]Barge-4'!IC23</f>
        <v>0</v>
      </c>
      <c r="AE23" s="134">
        <f>'[2]AHTS-1'!IC94+'[2]AHTS-2'!IC94+'[2]AHTS-3'!IC94+'[2]AHTS-4'!IC94+'[2]AHTS-5'!IC94+'[2]AHTS-6'!IC94+'[2]AHTS-7'!IC94+'[2]AHTS-8'!IC94+'[3]CB-1'!IC94+'[3]CB-2'!IC94+'[3]CB-3'!IC94+'[3]CB-4'!IC94+'[3]CB-5'!IC94+'[3]CB-6'!IC94+'[3]CB-7'!IC94+'[3]CB-8'!IC94+'[3]CB-9'!IC94+'[3]CB-10'!IC94+'[3]CB-11'!IC94+'[3]CB-12'!IC94+'[3]CB-13'!IC94+'[3]CB-14'!IC94+'[3]CB-15'!IC94+'[3]CB-16'!IC94+'[3]CB-17'!IC94+'[3]CB-18'!IC94+'[3]CB-19'!IC94+'[3]CB-20'!IC94+'[3]CB-21'!IC94+'[3]CB-22'!IC94+'[3]CB-23'!IC94+'[3]CB-24'!IC94+'[4]LCT-1'!IC94+'[4]LCT-2'!IC94+'[4]LCT-3'!IC94+'[4]LCT-4'!IC94+'[4]LCT-5'!IC94+'[4]LCT-6'!IC94+'[4]LCT-7'!IC94+'[4]LCT-8'!IC94+'[5]TB-1'!IC94+'[5]TB-2'!IC94+'[5]TB-3'!IC94+'[5]TB-4'!IC94+'[5]TB-5'!IC94+'[5]TB-6'!IC94+'[5]TB-7'!IC94+'[5]TB-8'!IC94+'[5]TB-9'!IC94+'[5]TB-10'!IC94+'[6]DSV-1'!IC94+'[6]DSV-2'!IC94+'[6]DSV-3'!IC94+'[7]TUB-1'!IC94+'[7]TUB-2'!IC94+'[8]Barge-1'!IC94+'[8]Barge-2'!IC94+'[8]Barge-3'!IC94+'[8]Barge-4'!IC94</f>
        <v>0</v>
      </c>
      <c r="AF23" s="135">
        <f>'[2]AHTS-1'!ID61+'[2]AHTS-2'!ID61+'[2]AHTS-3'!ID61+'[2]AHTS-4'!ID61+'[2]AHTS-5'!ID61+'[2]AHTS-6'!ID61+'[2]AHTS-7'!ID61+'[2]AHTS-8'!ID61+'[3]CB-1'!ID61+'[3]CB-2'!ID61+'[3]CB-3'!ID61+'[3]CB-4'!ID61+'[3]CB-5'!ID61+'[3]CB-6'!ID61+'[3]CB-7'!ID61+'[3]CB-8'!ID61+'[3]CB-9'!ID61+'[3]CB-10'!ID61+'[3]CB-11'!ID61+'[3]CB-12'!ID61+'[3]CB-13'!ID61+'[3]CB-14'!ID61+'[3]CB-15'!ID61+'[3]CB-16'!ID61+'[3]CB-17'!ID61+'[3]CB-18'!ID61+'[3]CB-19'!ID61+'[3]CB-20'!ID61+'[3]CB-21'!ID61+'[3]CB-22'!ID61+'[3]CB-23'!ID61+'[3]CB-24'!ID61+'[4]LCT-1'!ID61+'[4]LCT-2'!ID61+'[4]LCT-3'!ID61+'[4]LCT-4'!ID61+'[4]LCT-5'!ID61+'[4]LCT-6'!ID61+'[4]LCT-7'!ID61+'[4]LCT-8'!ID61+'[5]TB-1'!ID61+'[5]TB-2'!ID61+'[5]TB-3'!ID61+'[5]TB-4'!ID61+'[5]TB-5'!ID61+'[5]TB-6'!ID61+'[5]TB-7'!ID61+'[5]TB-8'!ID61+'[5]TB-9'!ID61+'[5]TB-10'!ID61+'[6]DSV-1'!ID61+'[6]DSV-2'!ID61+'[6]DSV-3'!ID61+'[7]TUB-1'!ID61+'[7]TUB-2'!ID61+'[8]Barge-1'!ID61+'[8]Barge-2'!ID61+'[8]Barge-3'!ID61+'[8]Barge-4'!ID61</f>
        <v>39486750</v>
      </c>
      <c r="AG23" s="136">
        <f>'[2]AHTS-1'!ID23+'[2]AHTS-2'!ID23+'[2]AHTS-3'!ID23+'[2]AHTS-4'!ID23+'[2]AHTS-5'!ID23+'[2]AHTS-6'!ID23+'[2]AHTS-7'!ID23+'[2]AHTS-8'!ID23+'[3]CB-1'!ID23+'[3]CB-2'!ID23+'[3]CB-3'!ID23+'[3]CB-4'!ID23+'[3]CB-5'!ID23+'[3]CB-6'!ID23+'[3]CB-7'!ID23+'[3]CB-8'!ID23+'[3]CB-9'!ID23+'[3]CB-10'!ID23+'[3]CB-11'!ID23+'[3]CB-12'!ID23+'[3]CB-13'!ID23+'[3]CB-14'!ID23+'[3]CB-15'!ID23+'[3]CB-16'!ID23+'[3]CB-17'!ID23+'[3]CB-18'!ID23+'[3]CB-19'!ID23+'[3]CB-20'!ID23+'[3]CB-21'!ID23+'[3]CB-22'!ID23+'[3]CB-23'!ID23+'[3]CB-24'!ID23+'[4]LCT-1'!ID23+'[4]LCT-2'!ID23+'[4]LCT-3'!ID23+'[4]LCT-4'!ID23+'[4]LCT-5'!ID23+'[4]LCT-6'!ID23+'[4]LCT-7'!ID23+'[4]LCT-8'!ID23+'[5]TB-1'!ID23+'[5]TB-2'!ID23+'[5]TB-3'!ID23+'[5]TB-4'!ID23+'[5]TB-5'!ID23+'[5]TB-6'!ID23+'[5]TB-7'!ID23+'[5]TB-8'!ID23+'[5]TB-9'!ID23+'[5]TB-10'!ID23+'[6]DSV-1'!ID23+'[6]DSV-2'!ID23+'[6]DSV-3'!ID23+'[7]TUB-1'!ID23+'[7]TUB-2'!ID23+'[8]Barge-1'!ID23+'[8]Barge-2'!ID23+'[8]Barge-3'!ID23+'[8]Barge-4'!ID23</f>
        <v>33700000</v>
      </c>
      <c r="AH23" s="136">
        <f>'[2]AHTS-1'!ID94+'[2]AHTS-2'!ID94+'[2]AHTS-3'!ID94+'[2]AHTS-4'!ID94+'[2]AHTS-5'!ID94+'[2]AHTS-6'!ID94+'[2]AHTS-7'!ID94+'[2]AHTS-8'!ID94+'[3]CB-1'!ID94+'[3]CB-2'!ID94+'[3]CB-3'!ID94+'[3]CB-4'!ID94+'[3]CB-5'!ID94+'[3]CB-6'!ID94+'[3]CB-7'!ID94+'[3]CB-8'!ID94+'[3]CB-9'!ID94+'[3]CB-10'!ID94+'[3]CB-11'!ID94+'[3]CB-12'!ID94+'[3]CB-13'!ID94+'[3]CB-14'!ID94+'[3]CB-15'!ID94+'[3]CB-16'!ID94+'[3]CB-17'!ID94+'[3]CB-18'!ID94+'[3]CB-19'!ID94+'[3]CB-20'!ID94+'[3]CB-21'!ID94+'[3]CB-22'!ID94+'[3]CB-23'!ID94+'[3]CB-24'!ID94+'[4]LCT-1'!ID94+'[4]LCT-2'!ID94+'[4]LCT-3'!ID94+'[4]LCT-4'!ID94+'[4]LCT-5'!ID94+'[4]LCT-6'!ID94+'[4]LCT-7'!ID94+'[4]LCT-8'!ID94+'[5]TB-1'!ID94+'[5]TB-2'!ID94+'[5]TB-3'!ID94+'[5]TB-4'!ID94+'[5]TB-5'!ID94+'[5]TB-6'!ID94+'[5]TB-7'!ID94+'[5]TB-8'!ID94+'[5]TB-9'!ID94+'[5]TB-10'!ID94+'[6]DSV-1'!ID94+'[6]DSV-2'!ID94+'[6]DSV-3'!ID94+'[7]TUB-1'!ID94+'[7]TUB-2'!ID94+'[8]Barge-1'!ID94+'[8]Barge-2'!ID94+'[8]Barge-3'!ID94+'[8]Barge-4'!ID94</f>
        <v>0</v>
      </c>
      <c r="AI23" s="135">
        <f>'[2]AHTS-1'!IE61+'[2]AHTS-2'!IE61+'[2]AHTS-3'!IE61+'[2]AHTS-4'!IE61+'[2]AHTS-5'!IE61+'[2]AHTS-6'!IE61+'[2]AHTS-7'!IE61+'[2]AHTS-8'!IE61+'[3]CB-1'!IE61+'[3]CB-2'!IE61+'[3]CB-3'!IE61+'[3]CB-4'!IE61+'[3]CB-5'!IE61+'[3]CB-6'!IE61+'[3]CB-7'!IE61+'[3]CB-8'!IE61+'[3]CB-9'!IE61+'[3]CB-10'!IE61+'[3]CB-11'!IE61+'[3]CB-12'!IE61+'[3]CB-13'!IE61+'[3]CB-14'!IE61+'[3]CB-15'!IE61+'[3]CB-16'!IE61+'[3]CB-17'!IE61+'[3]CB-18'!IE61+'[3]CB-19'!IE61+'[3]CB-20'!IE61+'[3]CB-21'!IE61+'[3]CB-22'!IE61+'[3]CB-23'!IE61+'[3]CB-24'!IE61+'[4]LCT-1'!IE61+'[4]LCT-2'!IE61+'[4]LCT-3'!IE61+'[4]LCT-4'!IE61+'[4]LCT-5'!IE61+'[4]LCT-6'!IE61+'[4]LCT-7'!IE61+'[4]LCT-8'!IE61+'[5]TB-1'!IE61+'[5]TB-2'!IE61+'[5]TB-3'!IE61+'[5]TB-4'!IE61+'[5]TB-5'!IE61+'[5]TB-6'!IE61+'[5]TB-7'!IE61+'[5]TB-8'!IE61+'[5]TB-9'!IE61+'[5]TB-10'!IE61+'[6]DSV-1'!IE61+'[6]DSV-2'!IE61+'[6]DSV-3'!IE61+'[7]TUB-1'!IE61+'[7]TUB-2'!IE61+'[8]Barge-1'!IE61+'[8]Barge-2'!IE61+'[8]Barge-3'!IE61+'[8]Barge-4'!IE61</f>
        <v>38792300</v>
      </c>
      <c r="AJ23" s="136">
        <f>'[2]AHTS-1'!IE23+'[2]AHTS-2'!IE23+'[2]AHTS-3'!IE23+'[2]AHTS-4'!IE23+'[2]AHTS-5'!IE23+'[2]AHTS-6'!IE23+'[2]AHTS-7'!IE23+'[2]AHTS-8'!IE23+'[3]CB-1'!IE23+'[3]CB-2'!IE23+'[3]CB-3'!IE23+'[3]CB-4'!IE23+'[3]CB-5'!IE23+'[3]CB-6'!IE23+'[3]CB-7'!IE23+'[3]CB-8'!IE23+'[3]CB-9'!IE23+'[3]CB-10'!IE23+'[3]CB-11'!IE23+'[3]CB-12'!IE23+'[3]CB-13'!IE23+'[3]CB-14'!IE23+'[3]CB-15'!IE23+'[3]CB-16'!IE23+'[3]CB-17'!IE23+'[3]CB-18'!IE23+'[3]CB-19'!IE23+'[3]CB-20'!IE23+'[3]CB-21'!IE23+'[3]CB-22'!IE23+'[3]CB-23'!IE23+'[3]CB-24'!IE23+'[4]LCT-1'!IE23+'[4]LCT-2'!IE23+'[4]LCT-3'!IE23+'[4]LCT-4'!IE23+'[4]LCT-5'!IE23+'[4]LCT-6'!IE23+'[4]LCT-7'!IE23+'[4]LCT-8'!IE23+'[5]TB-1'!IE23+'[5]TB-2'!IE23+'[5]TB-3'!IE23+'[5]TB-4'!IE23+'[5]TB-5'!IE23+'[5]TB-6'!IE23+'[5]TB-7'!IE23+'[5]TB-8'!IE23+'[5]TB-9'!IE23+'[5]TB-10'!IE23+'[6]DSV-1'!IE23+'[6]DSV-2'!IE23+'[6]DSV-3'!IE23+'[7]TUB-1'!IE23+'[7]TUB-2'!IE23+'[8]Barge-1'!IE23+'[8]Barge-2'!IE23+'[8]Barge-3'!IE23+'[8]Barge-4'!IE23</f>
        <v>34050000</v>
      </c>
      <c r="AK23" s="136">
        <f>'[2]AHTS-1'!IE94+'[2]AHTS-2'!IE94+'[2]AHTS-3'!IE94+'[2]AHTS-4'!IE94+'[2]AHTS-5'!IE94+'[2]AHTS-6'!IE94+'[2]AHTS-7'!IE94+'[2]AHTS-8'!IE94+'[3]CB-1'!IE94+'[3]CB-2'!IE94+'[3]CB-3'!IE94+'[3]CB-4'!IE94+'[3]CB-5'!IE94+'[3]CB-6'!IE94+'[3]CB-7'!IE94+'[3]CB-8'!IE94+'[3]CB-9'!IE94+'[3]CB-10'!IE94+'[3]CB-11'!IE94+'[3]CB-12'!IE94+'[3]CB-13'!IE94+'[3]CB-14'!IE94+'[3]CB-15'!IE94+'[3]CB-16'!IE94+'[3]CB-17'!IE94+'[3]CB-18'!IE94+'[3]CB-19'!IE94+'[3]CB-20'!IE94+'[3]CB-21'!IE94+'[3]CB-22'!IE94+'[3]CB-23'!IE94+'[3]CB-24'!IE94+'[4]LCT-1'!IE94+'[4]LCT-2'!IE94+'[4]LCT-3'!IE94+'[4]LCT-4'!IE94+'[4]LCT-5'!IE94+'[4]LCT-6'!IE94+'[4]LCT-7'!IE94+'[4]LCT-8'!IE94+'[5]TB-1'!IE94+'[5]TB-2'!IE94+'[5]TB-3'!IE94+'[5]TB-4'!IE94+'[5]TB-5'!IE94+'[5]TB-6'!IE94+'[5]TB-7'!IE94+'[5]TB-8'!IE94+'[5]TB-9'!IE94+'[5]TB-10'!IE94+'[6]DSV-1'!IE94+'[6]DSV-2'!IE94+'[6]DSV-3'!IE94+'[7]TUB-1'!IE94+'[7]TUB-2'!IE94+'[8]Barge-1'!IE94+'[8]Barge-2'!IE94+'[8]Barge-3'!IE94+'[8]Barge-4'!IE94</f>
        <v>0</v>
      </c>
      <c r="AL23" s="137">
        <f>'[2]AHTS-1'!IF61+'[2]AHTS-2'!IF61+'[2]AHTS-3'!IF61+'[2]AHTS-4'!IF61+'[2]AHTS-5'!IF61+'[2]AHTS-6'!IF61+'[2]AHTS-7'!IF61+'[2]AHTS-8'!IF61+'[3]CB-1'!IF61+'[3]CB-2'!IF61+'[3]CB-3'!IF61+'[3]CB-4'!IF61+'[3]CB-5'!IF61+'[3]CB-6'!IF61+'[3]CB-7'!IF61+'[3]CB-8'!IF61+'[3]CB-9'!IF61+'[3]CB-10'!IF61+'[3]CB-11'!IF61+'[3]CB-12'!IF61+'[3]CB-13'!IF61+'[3]CB-14'!IF61+'[3]CB-15'!IF61+'[3]CB-16'!IF61+'[3]CB-17'!IF61+'[3]CB-18'!IF61+'[3]CB-19'!IF61+'[3]CB-20'!IF61+'[3]CB-21'!IF61+'[3]CB-22'!IF61+'[3]CB-23'!IF61+'[3]CB-24'!IF61+'[4]LCT-1'!IF61+'[4]LCT-2'!IF61+'[4]LCT-3'!IF61+'[4]LCT-4'!IF61+'[4]LCT-5'!IF61+'[4]LCT-6'!IF61+'[4]LCT-7'!IF61+'[4]LCT-8'!IF61+'[5]TB-1'!IF61+'[5]TB-2'!IF61+'[5]TB-3'!IF61+'[5]TB-4'!IF61+'[5]TB-5'!IF61+'[5]TB-6'!IF61+'[5]TB-7'!IF61+'[5]TB-8'!IF61+'[5]TB-9'!IF61+'[5]TB-10'!IF61+'[6]DSV-1'!IF61+'[6]DSV-2'!IF61+'[6]DSV-3'!IF61+'[7]TUB-1'!IF61+'[7]TUB-2'!IF61+'[8]Barge-1'!IF61+'[8]Barge-2'!IF61+'[8]Barge-3'!IF61+'[8]Barge-4'!IF61</f>
        <v>43911850</v>
      </c>
      <c r="AM23" s="138">
        <f>'[2]AHTS-1'!IF23+'[2]AHTS-2'!IF23+'[2]AHTS-3'!IF23+'[2]AHTS-4'!IF23+'[2]AHTS-5'!IF23+'[2]AHTS-6'!IF23+'[2]AHTS-7'!IF23+'[2]AHTS-8'!IF23+'[3]CB-1'!IF23+'[3]CB-2'!IF23+'[3]CB-3'!IF23+'[3]CB-4'!IF23+'[3]CB-5'!IF23+'[3]CB-6'!IF23+'[3]CB-7'!IF23+'[3]CB-8'!IF23+'[3]CB-9'!IF23+'[3]CB-10'!IF23+'[3]CB-11'!IF23+'[3]CB-12'!IF23+'[3]CB-13'!IF23+'[3]CB-14'!IF23+'[3]CB-15'!IF23+'[3]CB-16'!IF23+'[3]CB-17'!IF23+'[3]CB-18'!IF23+'[3]CB-19'!IF23+'[3]CB-20'!IF23+'[3]CB-21'!IF23+'[3]CB-22'!IF23+'[3]CB-23'!IF23+'[3]CB-24'!IF23+'[4]LCT-1'!IF23+'[4]LCT-2'!IF23+'[4]LCT-3'!IF23+'[4]LCT-4'!IF23+'[4]LCT-5'!IF23+'[4]LCT-6'!IF23+'[4]LCT-7'!IF23+'[4]LCT-8'!IF23+'[5]TB-1'!IF23+'[5]TB-2'!IF23+'[5]TB-3'!IF23+'[5]TB-4'!IF23+'[5]TB-5'!IF23+'[5]TB-6'!IF23+'[5]TB-7'!IF23+'[5]TB-8'!IF23+'[5]TB-9'!IF23+'[5]TB-10'!IF23+'[6]DSV-1'!IF23+'[6]DSV-2'!IF23+'[6]DSV-3'!IF23+'[7]TUB-1'!IF23+'[7]TUB-2'!IF23+'[8]Barge-1'!IF23+'[8]Barge-2'!IF23+'[8]Barge-3'!IF23+'[8]Barge-4'!IF23</f>
        <v>63200000</v>
      </c>
      <c r="AN23" s="138">
        <f>'[2]AHTS-1'!IF94+'[2]AHTS-2'!IF94+'[2]AHTS-3'!IF94+'[2]AHTS-4'!IF94+'[2]AHTS-5'!IF94+'[2]AHTS-6'!IF94+'[2]AHTS-7'!IF94+'[2]AHTS-8'!IF94+'[3]CB-1'!IF94+'[3]CB-2'!IF94+'[3]CB-3'!IF94+'[3]CB-4'!IF94+'[3]CB-5'!IF94+'[3]CB-6'!IF94+'[3]CB-7'!IF94+'[3]CB-8'!IF94+'[3]CB-9'!IF94+'[3]CB-10'!IF94+'[3]CB-11'!IF94+'[3]CB-12'!IF94+'[3]CB-13'!IF94+'[3]CB-14'!IF94+'[3]CB-15'!IF94+'[3]CB-16'!IF94+'[3]CB-17'!IF94+'[3]CB-18'!IF94+'[3]CB-19'!IF94+'[3]CB-20'!IF94+'[3]CB-21'!IF94+'[3]CB-22'!IF94+'[3]CB-23'!IF94+'[3]CB-24'!IF94+'[4]LCT-1'!IF94+'[4]LCT-2'!IF94+'[4]LCT-3'!IF94+'[4]LCT-4'!IF94+'[4]LCT-5'!IF94+'[4]LCT-6'!IF94+'[4]LCT-7'!IF94+'[4]LCT-8'!IF94+'[5]TB-1'!IF94+'[5]TB-2'!IF94+'[5]TB-3'!IF94+'[5]TB-4'!IF94+'[5]TB-5'!IF94+'[5]TB-6'!IF94+'[5]TB-7'!IF94+'[5]TB-8'!IF94+'[5]TB-9'!IF94+'[5]TB-10'!IF94+'[6]DSV-1'!IF94+'[6]DSV-2'!IF94+'[6]DSV-3'!IF94+'[7]TUB-1'!IF94+'[7]TUB-2'!IF94+'[8]Barge-1'!IF94+'[8]Barge-2'!IF94+'[8]Barge-3'!IF94+'[8]Barge-4'!IF94</f>
        <v>0</v>
      </c>
      <c r="AO23" s="135">
        <f>'[2]AHTS-1'!IG61+'[2]AHTS-2'!IG61+'[2]AHTS-3'!IG61+'[2]AHTS-4'!IG61+'[2]AHTS-5'!IG61+'[2]AHTS-6'!IG61+'[2]AHTS-7'!IG61+'[2]AHTS-8'!IG61+'[3]CB-1'!IG61+'[3]CB-2'!IG61+'[3]CB-3'!IG61+'[3]CB-4'!IG61+'[3]CB-5'!IG61+'[3]CB-6'!IG61+'[3]CB-7'!IG61+'[3]CB-8'!IG61+'[3]CB-9'!IG61+'[3]CB-10'!IG61+'[3]CB-11'!IG61+'[3]CB-12'!IG61+'[3]CB-13'!IG61+'[3]CB-14'!IG61+'[3]CB-15'!IG61+'[3]CB-16'!IG61+'[3]CB-17'!IG61+'[3]CB-18'!IG61+'[3]CB-19'!IG61+'[3]CB-20'!IG61+'[3]CB-21'!IG61+'[3]CB-22'!IG61+'[3]CB-23'!IG61+'[3]CB-24'!IG61+'[4]LCT-1'!IG61+'[4]LCT-2'!IG61+'[4]LCT-3'!IG61+'[4]LCT-4'!IG61+'[4]LCT-5'!IG61+'[4]LCT-6'!IG61+'[4]LCT-7'!IG61+'[4]LCT-8'!IG61+'[5]TB-1'!IG61+'[5]TB-2'!IG61+'[5]TB-3'!IG61+'[5]TB-4'!IG61+'[5]TB-5'!IG61+'[5]TB-6'!IG61+'[5]TB-7'!IG61+'[5]TB-8'!IG61+'[5]TB-9'!IG61+'[5]TB-10'!IG61+'[6]DSV-1'!IG61+'[6]DSV-2'!IG61+'[6]DSV-3'!IG61+'[7]TUB-1'!IG61+'[7]TUB-2'!IG61+'[8]Barge-1'!IG61+'[8]Barge-2'!IG61+'[8]Barge-3'!IG61+'[8]Barge-4'!IG61</f>
        <v>1647300</v>
      </c>
      <c r="AP23" s="136">
        <f>'[2]AHTS-1'!IG23+'[2]AHTS-2'!IG23+'[2]AHTS-3'!IG23+'[2]AHTS-4'!IG23+'[2]AHTS-5'!IG23+'[2]AHTS-6'!IG23+'[2]AHTS-7'!IG23+'[2]AHTS-8'!IG23+'[3]CB-1'!IG23+'[3]CB-2'!IG23+'[3]CB-3'!IG23+'[3]CB-4'!IG23+'[3]CB-5'!IG23+'[3]CB-6'!IG23+'[3]CB-7'!IG23+'[3]CB-8'!IG23+'[3]CB-9'!IG23+'[3]CB-10'!IG23+'[3]CB-11'!IG23+'[3]CB-12'!IG23+'[3]CB-13'!IG23+'[3]CB-14'!IG23+'[3]CB-15'!IG23+'[3]CB-16'!IG23+'[3]CB-17'!IG23+'[3]CB-18'!IG23+'[3]CB-19'!IG23+'[3]CB-20'!IG23+'[3]CB-21'!IG23+'[3]CB-22'!IG23+'[3]CB-23'!IG23+'[3]CB-24'!IG23+'[4]LCT-1'!IG23+'[4]LCT-2'!IG23+'[4]LCT-3'!IG23+'[4]LCT-4'!IG23+'[4]LCT-5'!IG23+'[4]LCT-6'!IG23+'[4]LCT-7'!IG23+'[4]LCT-8'!IG23+'[5]TB-1'!IG23+'[5]TB-2'!IG23+'[5]TB-3'!IG23+'[5]TB-4'!IG23+'[5]TB-5'!IG23+'[5]TB-6'!IG23+'[5]TB-7'!IG23+'[5]TB-8'!IG23+'[5]TB-9'!IG23+'[5]TB-10'!IG23+'[6]DSV-1'!IG23+'[6]DSV-2'!IG23+'[6]DSV-3'!IG23+'[7]TUB-1'!IG23+'[7]TUB-2'!IG23+'[8]Barge-1'!IG23+'[8]Barge-2'!IG23+'[8]Barge-3'!IG23+'[8]Barge-4'!IG23</f>
        <v>13000000</v>
      </c>
      <c r="AQ23" s="136">
        <f>'[2]AHTS-1'!IG94+'[2]AHTS-2'!IG94+'[2]AHTS-3'!IG94+'[2]AHTS-4'!IG94+'[2]AHTS-5'!IG94+'[2]AHTS-6'!IG94+'[2]AHTS-7'!IG94+'[2]AHTS-8'!IG94+'[3]CB-1'!IG94+'[3]CB-2'!IG94+'[3]CB-3'!IG94+'[3]CB-4'!IG94+'[3]CB-5'!IG94+'[3]CB-6'!IG94+'[3]CB-7'!IG94+'[3]CB-8'!IG94+'[3]CB-9'!IG94+'[3]CB-10'!IG94+'[3]CB-11'!IG94+'[3]CB-12'!IG94+'[3]CB-13'!IG94+'[3]CB-14'!IG94+'[3]CB-15'!IG94+'[3]CB-16'!IG94+'[3]CB-17'!IG94+'[3]CB-18'!IG94+'[3]CB-19'!IG94+'[3]CB-20'!IG94+'[3]CB-21'!IG94+'[3]CB-22'!IG94+'[3]CB-23'!IG94+'[3]CB-24'!IG94+'[4]LCT-1'!IG94+'[4]LCT-2'!IG94+'[4]LCT-3'!IG94+'[4]LCT-4'!IG94+'[4]LCT-5'!IG94+'[4]LCT-6'!IG94+'[4]LCT-7'!IG94+'[4]LCT-8'!IG94+'[5]TB-1'!IG94+'[5]TB-2'!IG94+'[5]TB-3'!IG94+'[5]TB-4'!IG94+'[5]TB-5'!IG94+'[5]TB-6'!IG94+'[5]TB-7'!IG94+'[5]TB-8'!IG94+'[5]TB-9'!IG94+'[5]TB-10'!IG94+'[6]DSV-1'!IG94+'[6]DSV-2'!IG94+'[6]DSV-3'!IG94+'[7]TUB-1'!IG94+'[7]TUB-2'!IG94+'[8]Barge-1'!IG94+'[8]Barge-2'!IG94+'[8]Barge-3'!IG94+'[8]Barge-4'!IG94</f>
        <v>0</v>
      </c>
      <c r="AR23" s="139">
        <f>'[2]AHTS-1'!IH61+'[2]AHTS-2'!IH61+'[2]AHTS-3'!IH61+'[2]AHTS-4'!IH61+'[2]AHTS-5'!IH61+'[2]AHTS-6'!IH61+'[2]AHTS-7'!IH61+'[2]AHTS-8'!IH61+'[3]CB-1'!IH61+'[3]CB-2'!IH61+'[3]CB-3'!IH61+'[3]CB-4'!IH61+'[3]CB-5'!IH61+'[3]CB-6'!IH61+'[3]CB-7'!IH61+'[3]CB-8'!IH61+'[3]CB-9'!IH61+'[3]CB-10'!IH61+'[3]CB-11'!IH61+'[3]CB-12'!IH61+'[3]CB-13'!IH61+'[3]CB-14'!IH61+'[3]CB-15'!IH61+'[3]CB-16'!IH61+'[3]CB-17'!IH61+'[3]CB-18'!IH61+'[3]CB-19'!IH61+'[3]CB-20'!IH61+'[3]CB-21'!IH61+'[3]CB-22'!IH61+'[3]CB-23'!IH61+'[3]CB-24'!IH61+'[4]LCT-1'!IH61+'[4]LCT-2'!IH61+'[4]LCT-3'!IH61+'[4]LCT-4'!IH61+'[4]LCT-5'!IH61+'[4]LCT-6'!IH61+'[4]LCT-7'!IH61+'[4]LCT-8'!IH61+'[5]TB-1'!IH61+'[5]TB-2'!IH61+'[5]TB-3'!IH61+'[5]TB-4'!IH61+'[5]TB-5'!IH61+'[5]TB-6'!IH61+'[5]TB-7'!IH61+'[5]TB-8'!IH61+'[5]TB-9'!IH61+'[5]TB-10'!IH61+'[6]DSV-1'!IH61+'[6]DSV-2'!IH61+'[6]DSV-3'!IH61+'[7]TUB-1'!IH61+'[7]TUB-2'!IH61+'[8]Barge-1'!IH61+'[8]Barge-2'!IH61+'[8]Barge-3'!IH61+'[8]Barge-4'!IH61</f>
        <v>59432000</v>
      </c>
      <c r="AS23" s="136">
        <f>'[2]AHTS-1'!IH23+'[2]AHTS-2'!IH23+'[2]AHTS-3'!IH23+'[2]AHTS-4'!IH23+'[2]AHTS-5'!IH23+'[2]AHTS-6'!IH23+'[2]AHTS-7'!IH23+'[2]AHTS-8'!IH23+'[3]CB-1'!IH23+'[3]CB-2'!IH23+'[3]CB-3'!IH23+'[3]CB-4'!IH23+'[3]CB-5'!IH23+'[3]CB-6'!IH23+'[3]CB-7'!IH23+'[3]CB-8'!IH23+'[3]CB-9'!IH23+'[3]CB-10'!IH23+'[3]CB-11'!IH23+'[3]CB-12'!IH23+'[3]CB-13'!IH23+'[3]CB-14'!IH23+'[3]CB-15'!IH23+'[3]CB-16'!IH23+'[3]CB-17'!IH23+'[3]CB-18'!IH23+'[3]CB-19'!IH23+'[3]CB-20'!IH23+'[3]CB-21'!IH23+'[3]CB-22'!IH23+'[3]CB-23'!IH23+'[3]CB-24'!IH23+'[4]LCT-1'!IH23+'[4]LCT-2'!IH23+'[4]LCT-3'!IH23+'[4]LCT-4'!IH23+'[4]LCT-5'!IH23+'[4]LCT-6'!IH23+'[4]LCT-7'!IH23+'[4]LCT-8'!IH23+'[5]TB-1'!IH23+'[5]TB-2'!IH23+'[5]TB-3'!IH23+'[5]TB-4'!IH23+'[5]TB-5'!IH23+'[5]TB-6'!IH23+'[5]TB-7'!IH23+'[5]TB-8'!IH23+'[5]TB-9'!IH23+'[5]TB-10'!IH23+'[6]DSV-1'!IH23+'[6]DSV-2'!IH23+'[6]DSV-3'!IH23+'[7]TUB-1'!IH23+'[7]TUB-2'!IH23+'[8]Barge-1'!IH23+'[8]Barge-2'!IH23+'[8]Barge-3'!IH23+'[8]Barge-4'!IH23</f>
        <v>81900000</v>
      </c>
      <c r="AT23" s="140">
        <f>'[2]AHTS-1'!IH94+'[2]AHTS-2'!IH94+'[2]AHTS-3'!IH94+'[2]AHTS-4'!IH94+'[2]AHTS-5'!IH94+'[2]AHTS-6'!IH94+'[2]AHTS-7'!IH94+'[2]AHTS-8'!IH94+'[3]CB-1'!IH94+'[3]CB-2'!IH94+'[3]CB-3'!IH94+'[3]CB-4'!IH94+'[3]CB-5'!IH94+'[3]CB-6'!IH94+'[3]CB-7'!IH94+'[3]CB-8'!IH94+'[3]CB-9'!IH94+'[3]CB-10'!IH94+'[3]CB-11'!IH94+'[3]CB-12'!IH94+'[3]CB-13'!IH94+'[3]CB-14'!IH94+'[3]CB-15'!IH94+'[3]CB-16'!IH94+'[3]CB-17'!IH94+'[3]CB-18'!IH94+'[3]CB-19'!IH94+'[3]CB-20'!IH94+'[3]CB-21'!IH94+'[3]CB-22'!IH94+'[3]CB-23'!IH94+'[3]CB-24'!IH94+'[4]LCT-1'!IH94+'[4]LCT-2'!IH94+'[4]LCT-3'!IH94+'[4]LCT-4'!IH94+'[4]LCT-5'!IH94+'[4]LCT-6'!IH94+'[4]LCT-7'!IH94+'[4]LCT-8'!IH94+'[5]TB-1'!IH94+'[5]TB-2'!IH94+'[5]TB-3'!IH94+'[5]TB-4'!IH94+'[5]TB-5'!IH94+'[5]TB-6'!IH94+'[5]TB-7'!IH94+'[5]TB-8'!IH94+'[5]TB-9'!IH94+'[5]TB-10'!IH94+'[6]DSV-1'!IH94+'[6]DSV-2'!IH94+'[6]DSV-3'!IH94+'[7]TUB-1'!IH94+'[7]TUB-2'!IH94+'[8]Barge-1'!IH94+'[8]Barge-2'!IH94+'[8]Barge-3'!IH94+'[8]Barge-4'!IH94</f>
        <v>0</v>
      </c>
      <c r="AU23" s="139">
        <f>'[2]AHTS-1'!II61+'[2]AHTS-2'!II61+'[2]AHTS-3'!II61+'[2]AHTS-4'!II61+'[2]AHTS-5'!II61+'[2]AHTS-6'!II61+'[2]AHTS-7'!II61+'[2]AHTS-8'!II61+'[3]CB-1'!II61+'[3]CB-2'!II61+'[3]CB-3'!II61+'[3]CB-4'!II61+'[3]CB-5'!II61+'[3]CB-6'!II61+'[3]CB-7'!II61+'[3]CB-8'!II61+'[3]CB-9'!II61+'[3]CB-10'!II61+'[3]CB-11'!II61+'[3]CB-12'!II61+'[3]CB-13'!II61+'[3]CB-14'!II61+'[3]CB-15'!II61+'[3]CB-16'!II61+'[3]CB-17'!II61+'[3]CB-18'!II61+'[3]CB-19'!II61+'[3]CB-20'!II61+'[3]CB-21'!II61+'[3]CB-22'!II61+'[3]CB-23'!II61+'[3]CB-24'!II61+'[4]LCT-1'!II61+'[4]LCT-2'!II61+'[4]LCT-3'!II61+'[4]LCT-4'!II61+'[4]LCT-5'!II61+'[4]LCT-6'!II61+'[4]LCT-7'!II61+'[4]LCT-8'!II61+'[5]TB-1'!II61+'[5]TB-2'!II61+'[5]TB-3'!II61+'[5]TB-4'!II61+'[5]TB-5'!II61+'[5]TB-6'!II61+'[5]TB-7'!II61+'[5]TB-8'!II61+'[5]TB-9'!II61+'[5]TB-10'!II61+'[6]DSV-1'!II61+'[6]DSV-2'!II61+'[6]DSV-3'!II61+'[7]TUB-1'!II61+'[7]TUB-2'!II61+'[8]Barge-1'!II61+'[8]Barge-2'!II61+'[8]Barge-3'!II61+'[8]Barge-4'!II61</f>
        <v>0</v>
      </c>
      <c r="AV23" s="136">
        <f>'[2]AHTS-1'!II23+'[2]AHTS-2'!II23+'[2]AHTS-3'!II23+'[2]AHTS-4'!II23+'[2]AHTS-5'!II23+'[2]AHTS-6'!II23+'[2]AHTS-7'!II23+'[2]AHTS-8'!II23+'[3]CB-1'!II23+'[3]CB-2'!II23+'[3]CB-3'!II23+'[3]CB-4'!II23+'[3]CB-5'!II23+'[3]CB-6'!II23+'[3]CB-7'!II23+'[3]CB-8'!II23+'[3]CB-9'!II23+'[3]CB-10'!II23+'[3]CB-11'!II23+'[3]CB-12'!II23+'[3]CB-13'!II23+'[3]CB-14'!II23+'[3]CB-15'!II23+'[3]CB-16'!II23+'[3]CB-17'!II23+'[3]CB-18'!II23+'[3]CB-19'!II23+'[3]CB-20'!II23+'[3]CB-21'!II23+'[3]CB-22'!II23+'[3]CB-23'!II23+'[3]CB-24'!II23+'[4]LCT-1'!II23+'[4]LCT-2'!II23+'[4]LCT-3'!II23+'[4]LCT-4'!II23+'[4]LCT-5'!II23+'[4]LCT-6'!II23+'[4]LCT-7'!II23+'[4]LCT-8'!II23+'[5]TB-1'!II23+'[5]TB-2'!II23+'[5]TB-3'!II23+'[5]TB-4'!II23+'[5]TB-5'!II23+'[5]TB-6'!II23+'[5]TB-7'!II23+'[5]TB-8'!II23+'[5]TB-9'!II23+'[5]TB-10'!II23+'[6]DSV-1'!II23+'[6]DSV-2'!II23+'[6]DSV-3'!II23+'[7]TUB-1'!II23+'[7]TUB-2'!II23+'[8]Barge-1'!II23+'[8]Barge-2'!II23+'[8]Barge-3'!II23+'[8]Barge-4'!II23</f>
        <v>0</v>
      </c>
      <c r="AW23" s="140">
        <f>'[2]AHTS-1'!II94+'[2]AHTS-2'!II94+'[2]AHTS-3'!II94+'[2]AHTS-4'!II94+'[2]AHTS-5'!II94+'[2]AHTS-6'!II94+'[2]AHTS-7'!II94+'[2]AHTS-8'!II94+'[3]CB-1'!II94+'[3]CB-2'!II94+'[3]CB-3'!II94+'[3]CB-4'!II94+'[3]CB-5'!II94+'[3]CB-6'!II94+'[3]CB-7'!II94+'[3]CB-8'!II94+'[3]CB-9'!II94+'[3]CB-10'!II94+'[3]CB-11'!II94+'[3]CB-12'!II94+'[3]CB-13'!II94+'[3]CB-14'!II94+'[3]CB-15'!II94+'[3]CB-16'!II94+'[3]CB-17'!II94+'[3]CB-18'!II94+'[3]CB-19'!II94+'[3]CB-20'!II94+'[3]CB-21'!II94+'[3]CB-22'!II94+'[3]CB-23'!II94+'[3]CB-24'!II94+'[4]LCT-1'!II94+'[4]LCT-2'!II94+'[4]LCT-3'!II94+'[4]LCT-4'!II94+'[4]LCT-5'!II94+'[4]LCT-6'!II94+'[4]LCT-7'!II94+'[4]LCT-8'!II94+'[5]TB-1'!II94+'[5]TB-2'!II94+'[5]TB-3'!II94+'[5]TB-4'!II94+'[5]TB-5'!II94+'[5]TB-6'!II94+'[5]TB-7'!II94+'[5]TB-8'!II94+'[5]TB-9'!II94+'[5]TB-10'!II94+'[6]DSV-1'!II94+'[6]DSV-2'!II94+'[6]DSV-3'!II94+'[7]TUB-1'!II94+'[7]TUB-2'!II94+'[8]Barge-1'!II94+'[8]Barge-2'!II94+'[8]Barge-3'!II94+'[8]Barge-4'!II94</f>
        <v>0</v>
      </c>
      <c r="AX23" s="67"/>
      <c r="AY23" s="67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</row>
    <row r="24" spans="1:97" s="69" customFormat="1" ht="14.25" customHeight="1" x14ac:dyDescent="0.25">
      <c r="A24" s="111">
        <f>[1]Control!AZ24</f>
        <v>45999</v>
      </c>
      <c r="B24" s="66"/>
      <c r="C24" s="176">
        <f>'[2]AHTS-1'!AV24+'[2]AHTS-2'!AV24+'[2]AHTS-3'!AV24+'[2]AHTS-4'!AV24+'[2]AHTS-5'!AV24+'[2]AHTS-6'!AV24+'[2]AHTS-7'!AV24+'[2]AHTS-8'!AV24+'[3]CB-1'!AV24+'[3]CB-2'!AV24+'[3]CB-3'!AV24+'[3]CB-4'!AV24+'[3]CB-5'!AV24+'[3]CB-6'!AV24+'[3]CB-7'!AV24+'[3]CB-8'!AV24+'[3]CB-9'!AV24+'[3]CB-10'!AV24+'[3]CB-11'!AV24+'[3]CB-12'!AV24+'[3]CB-13'!AV24+'[3]CB-14'!AV24+'[3]CB-15'!AV24+'[3]CB-16'!AV24+'[3]CB-17'!AV24+'[3]CB-18'!AV24+'[3]CB-19'!AV24+'[3]CB-20'!AV24+'[3]CB-21'!AV24+'[3]CB-22'!AV24+'[3]CB-23'!AV24+'[3]CB-24'!AV24+'[4]LCT-1'!AV24+'[4]LCT-2'!AV24+'[4]LCT-3'!AV24+'[4]LCT-4'!AV24+'[4]LCT-5'!AV24+'[4]LCT-6'!AV24+'[4]LCT-7'!AV24+'[4]LCT-8'!AV24+'[5]TB-1'!AV24+'[5]TB-2'!AV24+'[5]TB-3'!AV24+'[5]TB-4'!AV24+'[5]TB-5'!AV24+'[5]TB-6'!AV24+'[5]TB-7'!AV24+'[5]TB-8'!AV24+'[5]TB-9'!AV24+'[5]TB-10'!AV24+'[6]DSV-1'!AV24+'[6]DSV-2'!AV24+'[6]DSV-3'!AV24+'[7]TUB-1'!AV24+'[7]TUB-2'!AV24+'[8]Barge-1'!AV24+'[8]Barge-2'!AV24+'[8]Barge-3'!AV24+'[8]Barge-4'!AV24</f>
        <v>0</v>
      </c>
      <c r="D24" s="177">
        <f>'[2]AHTS-1'!BR24+'[2]AHTS-2'!BR24+'[2]AHTS-3'!BR24+'[2]AHTS-4'!BR24+'[2]AHTS-5'!BR24+'[2]AHTS-6'!BR24+'[2]AHTS-7'!BR24+'[2]AHTS-8'!BR24+'[3]CB-1'!BR24+'[3]CB-2'!BR24+'[3]CB-3'!BR24+'[3]CB-4'!BR24+'[3]CB-5'!BR24+'[3]CB-6'!BR24+'[3]CB-7'!BR24+'[3]CB-8'!BR24+'[3]CB-9'!BR24+'[3]CB-10'!BR24+'[3]CB-11'!BR24+'[3]CB-12'!BR24+'[3]CB-13'!BR24+'[3]CB-14'!BR24+'[3]CB-15'!BR24+'[3]CB-16'!BR24+'[3]CB-17'!BR24+'[3]CB-18'!BR24+'[3]CB-19'!BR24+'[3]CB-20'!BR24+'[3]CB-21'!BR24+'[3]CB-22'!BR24+'[3]CB-23'!BR24+'[3]CB-24'!BR24+'[4]LCT-1'!BR24+'[4]LCT-2'!BR24+'[4]LCT-3'!BR24+'[4]LCT-4'!BR24+'[4]LCT-5'!BR24+'[4]LCT-6'!BR24+'[4]LCT-7'!BR24+'[4]LCT-8'!BR24+'[5]TB-1'!BR24+'[5]TB-2'!BR24+'[5]TB-3'!BR24+'[5]TB-4'!BR24+'[5]TB-5'!BR24+'[5]TB-6'!BR24+'[5]TB-7'!BR24+'[5]TB-8'!BR24+'[5]TB-9'!BR24+'[5]TB-10'!BR24+'[6]DSV-1'!BR24+'[6]DSV-2'!BR24+'[6]DSV-3'!BR24+'[7]TUB-1'!BR24+'[7]TUB-2'!BR24+'[8]Barge-1'!BR24+'[8]Barge-2'!BR24+'[8]Barge-3'!BR24+'[8]Barge-4'!BR24</f>
        <v>0</v>
      </c>
      <c r="E24" s="178">
        <f>'[2]AHTS-1'!CN24+'[2]AHTS-2'!CN24+'[2]AHTS-3'!CN24+'[2]AHTS-4'!CN24+'[2]AHTS-5'!CN24+'[2]AHTS-6'!CN24+'[2]AHTS-7'!CN24+'[2]AHTS-8'!CN24+'[3]CB-1'!CN24+'[3]CB-2'!CN24+'[3]CB-3'!CN24+'[3]CB-4'!CN24+'[3]CB-5'!CN24+'[3]CB-6'!CN24+'[3]CB-7'!CN24+'[3]CB-8'!CN24+'[3]CB-9'!CN24+'[3]CB-10'!CN24+'[3]CB-11'!CN24+'[3]CB-12'!CN24+'[3]CB-13'!CN24+'[3]CB-14'!CN24+'[3]CB-15'!CN24+'[3]CB-16'!CN24+'[3]CB-17'!CN24+'[3]CB-18'!CN24+'[3]CB-19'!CN24+'[3]CB-20'!CN24+'[3]CB-21'!CN24+'[3]CB-22'!CN24+'[3]CB-23'!CN24+'[3]CB-24'!CN24+'[4]LCT-1'!CN24+'[4]LCT-2'!CN24+'[4]LCT-3'!CN24+'[4]LCT-4'!CN24+'[4]LCT-5'!CN24+'[4]LCT-6'!CN24+'[4]LCT-7'!CN24+'[4]LCT-8'!CN24+'[5]TB-1'!CN24+'[5]TB-2'!CN24+'[5]TB-3'!CN24+'[5]TB-4'!CN24+'[5]TB-5'!CN24+'[5]TB-6'!CN24+'[5]TB-7'!CN24+'[5]TB-8'!CN24+'[5]TB-9'!CN24+'[5]TB-10'!CN24+'[6]DSV-1'!CN24+'[6]DSV-2'!CN24+'[6]DSV-3'!CN24+'[7]TUB-1'!CN24+'[7]TUB-2'!CN24+'[8]Barge-1'!CN24+'[8]Barge-2'!CN24+'[8]Barge-3'!CN24+'[8]Barge-4'!CN24</f>
        <v>0</v>
      </c>
      <c r="F24" s="179">
        <f>'[2]AHTS-1'!AW24+'[2]AHTS-2'!AW24+'[2]AHTS-3'!AW24+'[2]AHTS-4'!AW24+'[2]AHTS-5'!AW24+'[2]AHTS-6'!AW24+'[2]AHTS-7'!AW24+'[2]AHTS-8'!AW24+'[3]CB-1'!AW24+'[3]CB-2'!AW24+'[3]CB-3'!AW24+'[3]CB-4'!AW24+'[3]CB-5'!AW24+'[3]CB-6'!AW24+'[3]CB-7'!AW24+'[3]CB-8'!AW24+'[3]CB-9'!AW24+'[3]CB-10'!AW24+'[3]CB-11'!AW24+'[3]CB-12'!AW24+'[3]CB-13'!AW24+'[3]CB-14'!AW24+'[3]CB-15'!AW24+'[3]CB-16'!AW24+'[3]CB-17'!AW24+'[3]CB-18'!AW24+'[3]CB-19'!AW24+'[3]CB-20'!AW24+'[3]CB-21'!AW24+'[3]CB-22'!AW24+'[3]CB-23'!AW24+'[3]CB-24'!AW24+'[4]LCT-1'!AW24+'[4]LCT-2'!AW24+'[4]LCT-3'!AW24+'[4]LCT-4'!AW24+'[4]LCT-5'!AW24+'[4]LCT-6'!AW24+'[4]LCT-7'!AW24+'[4]LCT-8'!AW24+'[5]TB-1'!AW24+'[5]TB-2'!AW24+'[5]TB-3'!AW24+'[5]TB-4'!AW24+'[5]TB-5'!AW24+'[5]TB-6'!AW24+'[5]TB-7'!AW24+'[5]TB-8'!AW24+'[5]TB-9'!AW24+'[5]TB-10'!AW24+'[6]DSV-1'!AW24+'[6]DSV-2'!AW24+'[6]DSV-3'!AW24+'[7]TUB-1'!AW24+'[7]TUB-2'!AW24+'[8]Barge-1'!AW24+'[8]Barge-2'!AW24+'[8]Barge-3'!AW24+'[8]Barge-4'!AW24</f>
        <v>1645.7799517980593</v>
      </c>
      <c r="G24" s="180">
        <f>'[2]AHTS-1'!BS24+'[2]AHTS-2'!BS24+'[2]AHTS-3'!BS24+'[2]AHTS-4'!BS24+'[2]AHTS-5'!BS24+'[2]AHTS-6'!BS24+'[2]AHTS-7'!BS24+'[2]AHTS-8'!BS24+'[3]CB-1'!BS24+'[3]CB-2'!BS24+'[3]CB-3'!BS24+'[3]CB-4'!BS24+'[3]CB-5'!BS24+'[3]CB-6'!BS24+'[3]CB-7'!BS24+'[3]CB-8'!BS24+'[3]CB-9'!BS24+'[3]CB-10'!BS24+'[3]CB-11'!BS24+'[3]CB-12'!BS24+'[3]CB-13'!BS24+'[3]CB-14'!BS24+'[3]CB-15'!BS24+'[3]CB-16'!BS24+'[3]CB-17'!BS24+'[3]CB-18'!BS24+'[3]CB-19'!BS24+'[3]CB-20'!BS24+'[3]CB-21'!BS24+'[3]CB-22'!BS24+'[3]CB-23'!BS24+'[3]CB-24'!BS24+'[4]LCT-1'!BS24+'[4]LCT-2'!BS24+'[4]LCT-3'!BS24+'[4]LCT-4'!BS24+'[4]LCT-5'!BS24+'[4]LCT-6'!BS24+'[4]LCT-7'!BS24+'[4]LCT-8'!BS24+'[5]TB-1'!BS24+'[5]TB-2'!BS24+'[5]TB-3'!BS24+'[5]TB-4'!BS24+'[5]TB-5'!BS24+'[5]TB-6'!BS24+'[5]TB-7'!BS24+'[5]TB-8'!BS24+'[5]TB-9'!BS24+'[5]TB-10'!BS24+'[6]DSV-1'!BS24+'[6]DSV-2'!BS24+'[6]DSV-3'!BS24+'[7]TUB-1'!BS24+'[7]TUB-2'!BS24+'[8]Barge-1'!BS24+'[8]Barge-2'!BS24+'[8]Barge-3'!BS24+'[8]Barge-4'!BS24</f>
        <v>1848.7981226612546</v>
      </c>
      <c r="H24" s="180">
        <f>'[2]AHTS-1'!CO24+'[2]AHTS-2'!CO24+'[2]AHTS-3'!CO24+'[2]AHTS-4'!CO24+'[2]AHTS-5'!CO24+'[2]AHTS-6'!CO24+'[2]AHTS-7'!CO24+'[2]AHTS-8'!CO24+'[3]CB-1'!CO24+'[3]CB-2'!CO24+'[3]CB-3'!CO24+'[3]CB-4'!CO24+'[3]CB-5'!CO24+'[3]CB-6'!CO24+'[3]CB-7'!CO24+'[3]CB-8'!CO24+'[3]CB-9'!CO24+'[3]CB-10'!CO24+'[3]CB-11'!CO24+'[3]CB-12'!CO24+'[3]CB-13'!CO24+'[3]CB-14'!CO24+'[3]CB-15'!CO24+'[3]CB-16'!CO24+'[3]CB-17'!CO24+'[3]CB-18'!CO24+'[3]CB-19'!CO24+'[3]CB-20'!CO24+'[3]CB-21'!CO24+'[3]CB-22'!CO24+'[3]CB-23'!CO24+'[3]CB-24'!CO24+'[4]LCT-1'!CO24+'[4]LCT-2'!CO24+'[4]LCT-3'!CO24+'[4]LCT-4'!CO24+'[4]LCT-5'!CO24+'[4]LCT-6'!CO24+'[4]LCT-7'!CO24+'[4]LCT-8'!CO24+'[5]TB-1'!CO24+'[5]TB-2'!CO24+'[5]TB-3'!CO24+'[5]TB-4'!CO24+'[5]TB-5'!CO24+'[5]TB-6'!CO24+'[5]TB-7'!CO24+'[5]TB-8'!CO24+'[5]TB-9'!CO24+'[5]TB-10'!CO24+'[6]DSV-1'!CO24+'[6]DSV-2'!CO24+'[6]DSV-3'!CO24+'[7]TUB-1'!CO24+'[7]TUB-2'!CO24+'[8]Barge-1'!CO24+'[8]Barge-2'!CO24+'[8]Barge-3'!CO24+'[8]Barge-4'!CO24</f>
        <v>0</v>
      </c>
      <c r="I24" s="179">
        <f>'[2]AHTS-1'!AX24+'[2]AHTS-2'!AX24+'[2]AHTS-3'!AX24+'[2]AHTS-4'!AX24+'[2]AHTS-5'!AX24+'[2]AHTS-6'!AX24+'[2]AHTS-7'!AX24+'[2]AHTS-8'!AX24+'[3]CB-1'!AX24+'[3]CB-2'!AX24+'[3]CB-3'!AX24+'[3]CB-4'!AX24+'[3]CB-5'!AX24+'[3]CB-6'!AX24+'[3]CB-7'!AX24+'[3]CB-8'!AX24+'[3]CB-9'!AX24+'[3]CB-10'!AX24+'[3]CB-11'!AX24+'[3]CB-12'!AX24+'[3]CB-13'!AX24+'[3]CB-14'!AX24+'[3]CB-15'!AX24+'[3]CB-16'!AX24+'[3]CB-17'!AX24+'[3]CB-18'!AX24+'[3]CB-19'!AX24+'[3]CB-20'!AX24+'[3]CB-21'!AX24+'[3]CB-22'!AX24+'[3]CB-23'!AX24+'[3]CB-24'!AX24+'[4]LCT-1'!AX24+'[4]LCT-2'!AX24+'[4]LCT-3'!AX24+'[4]LCT-4'!AX24+'[4]LCT-5'!AX24+'[4]LCT-6'!AX24+'[4]LCT-7'!AX24+'[4]LCT-8'!AX24+'[5]TB-1'!AX24+'[5]TB-2'!AX24+'[5]TB-3'!AX24+'[5]TB-4'!AX24+'[5]TB-5'!AX24+'[5]TB-6'!AX24+'[5]TB-7'!AX24+'[5]TB-8'!AX24+'[5]TB-9'!AX24+'[5]TB-10'!AX24+'[6]DSV-1'!AX24+'[6]DSV-2'!AX24+'[6]DSV-3'!AX24+'[7]TUB-1'!AX24+'[7]TUB-2'!AX24+'[8]Barge-1'!AX24+'[8]Barge-2'!AX24+'[8]Barge-3'!AX24+'[8]Barge-4'!AX24</f>
        <v>2603.7483351303354</v>
      </c>
      <c r="J24" s="180">
        <f>'[2]AHTS-1'!BT24+'[2]AHTS-2'!BT24+'[2]AHTS-3'!BT24+'[2]AHTS-4'!BT24+'[2]AHTS-5'!BT24+'[2]AHTS-6'!BT24+'[2]AHTS-7'!BT24+'[2]AHTS-8'!BT24+'[3]CB-1'!BT24+'[3]CB-2'!BT24+'[3]CB-3'!BT24+'[3]CB-4'!BT24+'[3]CB-5'!BT24+'[3]CB-6'!BT24+'[3]CB-7'!BT24+'[3]CB-8'!BT24+'[3]CB-9'!BT24+'[3]CB-10'!BT24+'[3]CB-11'!BT24+'[3]CB-12'!BT24+'[3]CB-13'!BT24+'[3]CB-14'!BT24+'[3]CB-15'!BT24+'[3]CB-16'!BT24+'[3]CB-17'!BT24+'[3]CB-18'!BT24+'[3]CB-19'!BT24+'[3]CB-20'!BT24+'[3]CB-21'!BT24+'[3]CB-22'!BT24+'[3]CB-23'!BT24+'[3]CB-24'!BT24+'[4]LCT-1'!BT24+'[4]LCT-2'!BT24+'[4]LCT-3'!BT24+'[4]LCT-4'!BT24+'[4]LCT-5'!BT24+'[4]LCT-6'!BT24+'[4]LCT-7'!BT24+'[4]LCT-8'!BT24+'[5]TB-1'!BT24+'[5]TB-2'!BT24+'[5]TB-3'!BT24+'[5]TB-4'!BT24+'[5]TB-5'!BT24+'[5]TB-6'!BT24+'[5]TB-7'!BT24+'[5]TB-8'!BT24+'[5]TB-9'!BT24+'[5]TB-10'!BT24+'[6]DSV-1'!BT24+'[6]DSV-2'!BT24+'[6]DSV-3'!BT24+'[7]TUB-1'!BT24+'[7]TUB-2'!BT24+'[8]Barge-1'!BT24+'[8]Barge-2'!BT24+'[8]Barge-3'!BT24+'[8]Barge-4'!BT24</f>
        <v>2159.5737933658907</v>
      </c>
      <c r="K24" s="180">
        <f>'[2]AHTS-1'!CP24+'[2]AHTS-2'!CP24+'[2]AHTS-3'!CP24+'[2]AHTS-4'!CP24+'[2]AHTS-5'!CP24+'[2]AHTS-6'!CP24+'[2]AHTS-7'!CP24+'[2]AHTS-8'!CP24+'[3]CB-1'!CP24+'[3]CB-2'!CP24+'[3]CB-3'!CP24+'[3]CB-4'!CP24+'[3]CB-5'!CP24+'[3]CB-6'!CP24+'[3]CB-7'!CP24+'[3]CB-8'!CP24+'[3]CB-9'!CP24+'[3]CB-10'!CP24+'[3]CB-11'!CP24+'[3]CB-12'!CP24+'[3]CB-13'!CP24+'[3]CB-14'!CP24+'[3]CB-15'!CP24+'[3]CB-16'!CP24+'[3]CB-17'!CP24+'[3]CB-18'!CP24+'[3]CB-19'!CP24+'[3]CB-20'!CP24+'[3]CB-21'!CP24+'[3]CB-22'!CP24+'[3]CB-23'!CP24+'[3]CB-24'!CP24+'[4]LCT-1'!CP24+'[4]LCT-2'!CP24+'[4]LCT-3'!CP24+'[4]LCT-4'!CP24+'[4]LCT-5'!CP24+'[4]LCT-6'!CP24+'[4]LCT-7'!CP24+'[4]LCT-8'!CP24+'[5]TB-1'!CP24+'[5]TB-2'!CP24+'[5]TB-3'!CP24+'[5]TB-4'!CP24+'[5]TB-5'!CP24+'[5]TB-6'!CP24+'[5]TB-7'!CP24+'[5]TB-8'!CP24+'[5]TB-9'!CP24+'[5]TB-10'!CP24+'[6]DSV-1'!CP24+'[6]DSV-2'!CP24+'[6]DSV-3'!CP24+'[7]TUB-1'!CP24+'[7]TUB-2'!CP24+'[8]Barge-1'!CP24+'[8]Barge-2'!CP24+'[8]Barge-3'!CP24+'[8]Barge-4'!CP24</f>
        <v>0</v>
      </c>
      <c r="L24" s="181">
        <f>'[2]AHTS-1'!AY24+'[2]AHTS-2'!AY24+'[2]AHTS-3'!AY24+'[2]AHTS-4'!AY24+'[2]AHTS-5'!AY24+'[2]AHTS-6'!AY24+'[2]AHTS-7'!AY24+'[2]AHTS-8'!AY24+'[3]CB-1'!AY24+'[3]CB-2'!AY24+'[3]CB-3'!AY24+'[3]CB-4'!AY24+'[3]CB-5'!AY24+'[3]CB-6'!AY24+'[3]CB-7'!AY24+'[3]CB-8'!AY24+'[3]CB-9'!AY24+'[3]CB-10'!AY24+'[3]CB-11'!AY24+'[3]CB-12'!AY24+'[3]CB-13'!AY24+'[3]CB-14'!AY24+'[3]CB-15'!AY24+'[3]CB-16'!AY24+'[3]CB-17'!AY24+'[3]CB-18'!AY24+'[3]CB-19'!AY24+'[3]CB-20'!AY24+'[3]CB-21'!AY24+'[3]CB-22'!AY24+'[3]CB-23'!AY24+'[3]CB-24'!AY24+'[4]LCT-1'!AY24+'[4]LCT-2'!AY24+'[4]LCT-3'!AY24+'[4]LCT-4'!AY24+'[4]LCT-5'!AY24+'[4]LCT-6'!AY24+'[4]LCT-7'!AY24+'[4]LCT-8'!AY24+'[5]TB-1'!AY24+'[5]TB-2'!AY24+'[5]TB-3'!AY24+'[5]TB-4'!AY24+'[5]TB-5'!AY24+'[5]TB-6'!AY24+'[5]TB-7'!AY24+'[5]TB-8'!AY24+'[5]TB-9'!AY24+'[5]TB-10'!AY24+'[6]DSV-1'!AY24+'[6]DSV-2'!AY24+'[6]DSV-3'!AY24+'[7]TUB-1'!AY24+'[7]TUB-2'!AY24+'[8]Barge-1'!AY24+'[8]Barge-2'!AY24+'[8]Barge-3'!AY24+'[8]Barge-4'!AY24</f>
        <v>2837.2867381239303</v>
      </c>
      <c r="M24" s="182">
        <f>'[2]AHTS-1'!BU24+'[2]AHTS-2'!BU24+'[2]AHTS-3'!BU24+'[2]AHTS-4'!BU24+'[2]AHTS-5'!BU24+'[2]AHTS-6'!BU24+'[2]AHTS-7'!BU24+'[2]AHTS-8'!BU24+'[3]CB-1'!BU24+'[3]CB-2'!BU24+'[3]CB-3'!BU24+'[3]CB-4'!BU24+'[3]CB-5'!BU24+'[3]CB-6'!BU24+'[3]CB-7'!BU24+'[3]CB-8'!BU24+'[3]CB-9'!BU24+'[3]CB-10'!BU24+'[3]CB-11'!BU24+'[3]CB-12'!BU24+'[3]CB-13'!BU24+'[3]CB-14'!BU24+'[3]CB-15'!BU24+'[3]CB-16'!BU24+'[3]CB-17'!BU24+'[3]CB-18'!BU24+'[3]CB-19'!BU24+'[3]CB-20'!BU24+'[3]CB-21'!BU24+'[3]CB-22'!BU24+'[3]CB-23'!BU24+'[3]CB-24'!BU24+'[4]LCT-1'!BU24+'[4]LCT-2'!BU24+'[4]LCT-3'!BU24+'[4]LCT-4'!BU24+'[4]LCT-5'!BU24+'[4]LCT-6'!BU24+'[4]LCT-7'!BU24+'[4]LCT-8'!BU24+'[5]TB-1'!BU24+'[5]TB-2'!BU24+'[5]TB-3'!BU24+'[5]TB-4'!BU24+'[5]TB-5'!BU24+'[5]TB-6'!BU24+'[5]TB-7'!BU24+'[5]TB-8'!BU24+'[5]TB-9'!BU24+'[5]TB-10'!BU24+'[6]DSV-1'!BU24+'[6]DSV-2'!BU24+'[6]DSV-3'!BU24+'[7]TUB-1'!BU24+'[7]TUB-2'!BU24+'[8]Barge-1'!BU24+'[8]Barge-2'!BU24+'[8]Barge-3'!BU24+'[8]Barge-4'!BU24</f>
        <v>4420.6253567577851</v>
      </c>
      <c r="N24" s="182">
        <f>'[2]AHTS-1'!CQ24+'[2]AHTS-2'!CQ24+'[2]AHTS-3'!CQ24+'[2]AHTS-4'!CQ24+'[2]AHTS-5'!CQ24+'[2]AHTS-6'!CQ24+'[2]AHTS-7'!CQ24+'[2]AHTS-8'!CQ24+'[3]CB-1'!CQ24+'[3]CB-2'!CQ24+'[3]CB-3'!CQ24+'[3]CB-4'!CQ24+'[3]CB-5'!CQ24+'[3]CB-6'!CQ24+'[3]CB-7'!CQ24+'[3]CB-8'!CQ24+'[3]CB-9'!CQ24+'[3]CB-10'!CQ24+'[3]CB-11'!CQ24+'[3]CB-12'!CQ24+'[3]CB-13'!CQ24+'[3]CB-14'!CQ24+'[3]CB-15'!CQ24+'[3]CB-16'!CQ24+'[3]CB-17'!CQ24+'[3]CB-18'!CQ24+'[3]CB-19'!CQ24+'[3]CB-20'!CQ24+'[3]CB-21'!CQ24+'[3]CB-22'!CQ24+'[3]CB-23'!CQ24+'[3]CB-24'!CQ24+'[4]LCT-1'!CQ24+'[4]LCT-2'!CQ24+'[4]LCT-3'!CQ24+'[4]LCT-4'!CQ24+'[4]LCT-5'!CQ24+'[4]LCT-6'!CQ24+'[4]LCT-7'!CQ24+'[4]LCT-8'!CQ24+'[5]TB-1'!CQ24+'[5]TB-2'!CQ24+'[5]TB-3'!CQ24+'[5]TB-4'!CQ24+'[5]TB-5'!CQ24+'[5]TB-6'!CQ24+'[5]TB-7'!CQ24+'[5]TB-8'!CQ24+'[5]TB-9'!CQ24+'[5]TB-10'!CQ24+'[6]DSV-1'!CQ24+'[6]DSV-2'!CQ24+'[6]DSV-3'!CQ24+'[7]TUB-1'!CQ24+'[7]TUB-2'!CQ24+'[8]Barge-1'!CQ24+'[8]Barge-2'!CQ24+'[8]Barge-3'!CQ24+'[8]Barge-4'!CQ24</f>
        <v>0</v>
      </c>
      <c r="O24" s="179">
        <f>'[2]AHTS-1'!AZ24+'[2]AHTS-2'!AZ24+'[2]AHTS-3'!AZ24+'[2]AHTS-4'!AZ24+'[2]AHTS-5'!AZ24+'[2]AHTS-6'!AZ24+'[2]AHTS-7'!AZ24+'[2]AHTS-8'!AZ24+'[3]CB-1'!AZ24+'[3]CB-2'!AZ24+'[3]CB-3'!AZ24+'[3]CB-4'!AZ24+'[3]CB-5'!AZ24+'[3]CB-6'!AZ24+'[3]CB-7'!AZ24+'[3]CB-8'!AZ24+'[3]CB-9'!AZ24+'[3]CB-10'!AZ24+'[3]CB-11'!AZ24+'[3]CB-12'!AZ24+'[3]CB-13'!AZ24+'[3]CB-14'!AZ24+'[3]CB-15'!AZ24+'[3]CB-16'!AZ24+'[3]CB-17'!AZ24+'[3]CB-18'!AZ24+'[3]CB-19'!AZ24+'[3]CB-20'!AZ24+'[3]CB-21'!AZ24+'[3]CB-22'!AZ24+'[3]CB-23'!AZ24+'[3]CB-24'!AZ24+'[4]LCT-1'!AZ24+'[4]LCT-2'!AZ24+'[4]LCT-3'!AZ24+'[4]LCT-4'!AZ24+'[4]LCT-5'!AZ24+'[4]LCT-6'!AZ24+'[4]LCT-7'!AZ24+'[4]LCT-8'!AZ24+'[5]TB-1'!AZ24+'[5]TB-2'!AZ24+'[5]TB-3'!AZ24+'[5]TB-4'!AZ24+'[5]TB-5'!AZ24+'[5]TB-6'!AZ24+'[5]TB-7'!AZ24+'[5]TB-8'!AZ24+'[5]TB-9'!AZ24+'[5]TB-10'!AZ24+'[6]DSV-1'!AZ24+'[6]DSV-2'!AZ24+'[6]DSV-3'!AZ24+'[7]TUB-1'!AZ24+'[7]TUB-2'!AZ24+'[8]Barge-1'!AZ24+'[8]Barge-2'!AZ24+'[8]Barge-3'!AZ24+'[8]Barge-4'!AZ24</f>
        <v>87.064755501997851</v>
      </c>
      <c r="P24" s="180">
        <f>'[2]AHTS-1'!BV24+'[2]AHTS-2'!BV24+'[2]AHTS-3'!BV24+'[2]AHTS-4'!BV24+'[2]AHTS-5'!BV24+'[2]AHTS-6'!BV24+'[2]AHTS-7'!BV24+'[2]AHTS-8'!BV24+'[3]CB-1'!BV24+'[3]CB-2'!BV24+'[3]CB-3'!BV24+'[3]CB-4'!BV24+'[3]CB-5'!BV24+'[3]CB-6'!BV24+'[3]CB-7'!BV24+'[3]CB-8'!BV24+'[3]CB-9'!BV24+'[3]CB-10'!BV24+'[3]CB-11'!BV24+'[3]CB-12'!BV24+'[3]CB-13'!BV24+'[3]CB-14'!BV24+'[3]CB-15'!BV24+'[3]CB-16'!BV24+'[3]CB-17'!BV24+'[3]CB-18'!BV24+'[3]CB-19'!BV24+'[3]CB-20'!BV24+'[3]CB-21'!BV24+'[3]CB-22'!BV24+'[3]CB-23'!BV24+'[3]CB-24'!BV24+'[4]LCT-1'!BV24+'[4]LCT-2'!BV24+'[4]LCT-3'!BV24+'[4]LCT-4'!BV24+'[4]LCT-5'!BV24+'[4]LCT-6'!BV24+'[4]LCT-7'!BV24+'[4]LCT-8'!BV24+'[5]TB-1'!BV24+'[5]TB-2'!BV24+'[5]TB-3'!BV24+'[5]TB-4'!BV24+'[5]TB-5'!BV24+'[5]TB-6'!BV24+'[5]TB-7'!BV24+'[5]TB-8'!BV24+'[5]TB-9'!BV24+'[5]TB-10'!BV24+'[6]DSV-1'!BV24+'[6]DSV-2'!BV24+'[6]DSV-3'!BV24+'[7]TUB-1'!BV24+'[7]TUB-2'!BV24+'[8]Barge-1'!BV24+'[8]Barge-2'!BV24+'[8]Barge-3'!BV24+'[8]Barge-4'!BV24</f>
        <v>412.25344073063997</v>
      </c>
      <c r="Q24" s="180">
        <f>'[2]AHTS-1'!CR24+'[2]AHTS-2'!CR24+'[2]AHTS-3'!CR24+'[2]AHTS-4'!CR24+'[2]AHTS-5'!CR24+'[2]AHTS-6'!CR24+'[2]AHTS-7'!CR24+'[2]AHTS-8'!CR24+'[3]CB-1'!CR24+'[3]CB-2'!CR24+'[3]CB-3'!CR24+'[3]CB-4'!CR24+'[3]CB-5'!CR24+'[3]CB-6'!CR24+'[3]CB-7'!CR24+'[3]CB-8'!CR24+'[3]CB-9'!CR24+'[3]CB-10'!CR24+'[3]CB-11'!CR24+'[3]CB-12'!CR24+'[3]CB-13'!CR24+'[3]CB-14'!CR24+'[3]CB-15'!CR24+'[3]CB-16'!CR24+'[3]CB-17'!CR24+'[3]CB-18'!CR24+'[3]CB-19'!CR24+'[3]CB-20'!CR24+'[3]CB-21'!CR24+'[3]CB-22'!CR24+'[3]CB-23'!CR24+'[3]CB-24'!CR24+'[4]LCT-1'!CR24+'[4]LCT-2'!CR24+'[4]LCT-3'!CR24+'[4]LCT-4'!CR24+'[4]LCT-5'!CR24+'[4]LCT-6'!CR24+'[4]LCT-7'!CR24+'[4]LCT-8'!CR24+'[5]TB-1'!CR24+'[5]TB-2'!CR24+'[5]TB-3'!CR24+'[5]TB-4'!CR24+'[5]TB-5'!CR24+'[5]TB-6'!CR24+'[5]TB-7'!CR24+'[5]TB-8'!CR24+'[5]TB-9'!CR24+'[5]TB-10'!CR24+'[6]DSV-1'!CR24+'[6]DSV-2'!CR24+'[6]DSV-3'!CR24+'[7]TUB-1'!CR24+'[7]TUB-2'!CR24+'[8]Barge-1'!CR24+'[8]Barge-2'!CR24+'[8]Barge-3'!CR24+'[8]Barge-4'!CR24</f>
        <v>0</v>
      </c>
      <c r="R24" s="183">
        <f>'[2]AHTS-1'!BA24+'[2]AHTS-2'!BA24+'[2]AHTS-3'!BA24+'[2]AHTS-4'!BA24+'[2]AHTS-5'!BA24+'[2]AHTS-6'!BA24+'[2]AHTS-7'!BA24+'[2]AHTS-8'!BA24+'[3]CB-1'!BA24+'[3]CB-2'!BA24+'[3]CB-3'!BA24+'[3]CB-4'!BA24+'[3]CB-5'!BA24+'[3]CB-6'!BA24+'[3]CB-7'!BA24+'[3]CB-8'!BA24+'[3]CB-9'!BA24+'[3]CB-10'!BA24+'[3]CB-11'!BA24+'[3]CB-12'!BA24+'[3]CB-13'!BA24+'[3]CB-14'!BA24+'[3]CB-15'!BA24+'[3]CB-16'!BA24+'[3]CB-17'!BA24+'[3]CB-18'!BA24+'[3]CB-19'!BA24+'[3]CB-20'!BA24+'[3]CB-21'!BA24+'[3]CB-22'!BA24+'[3]CB-23'!BA24+'[3]CB-24'!BA24+'[4]LCT-1'!BA24+'[4]LCT-2'!BA24+'[4]LCT-3'!BA24+'[4]LCT-4'!BA24+'[4]LCT-5'!BA24+'[4]LCT-6'!BA24+'[4]LCT-7'!BA24+'[4]LCT-8'!BA24+'[5]TB-1'!BA24+'[5]TB-2'!BA24+'[5]TB-3'!BA24+'[5]TB-4'!BA24+'[5]TB-5'!BA24+'[5]TB-6'!BA24+'[5]TB-7'!BA24+'[5]TB-8'!BA24+'[5]TB-9'!BA24+'[5]TB-10'!BA24+'[6]DSV-1'!BA24+'[6]DSV-2'!BA24+'[6]DSV-3'!BA24+'[7]TUB-1'!BA24+'[7]TUB-2'!BA24+'[8]Barge-1'!BA24+'[8]Barge-2'!BA24+'[8]Barge-3'!BA24+'[8]Barge-4'!BA24</f>
        <v>4876.3091689393459</v>
      </c>
      <c r="S24" s="180">
        <f>'[2]AHTS-1'!BW24+'[2]AHTS-2'!BW24+'[2]AHTS-3'!BW24+'[2]AHTS-4'!BW24+'[2]AHTS-5'!BW24+'[2]AHTS-6'!BW24+'[2]AHTS-7'!BW24+'[2]AHTS-8'!BW24+'[3]CB-1'!BW24+'[3]CB-2'!BW24+'[3]CB-3'!BW24+'[3]CB-4'!BW24+'[3]CB-5'!BW24+'[3]CB-6'!BW24+'[3]CB-7'!BW24+'[3]CB-8'!BW24+'[3]CB-9'!BW24+'[3]CB-10'!BW24+'[3]CB-11'!BW24+'[3]CB-12'!BW24+'[3]CB-13'!BW24+'[3]CB-14'!BW24+'[3]CB-15'!BW24+'[3]CB-16'!BW24+'[3]CB-17'!BW24+'[3]CB-18'!BW24+'[3]CB-19'!BW24+'[3]CB-20'!BW24+'[3]CB-21'!BW24+'[3]CB-22'!BW24+'[3]CB-23'!BW24+'[3]CB-24'!BW24+'[4]LCT-1'!BW24+'[4]LCT-2'!BW24+'[4]LCT-3'!BW24+'[4]LCT-4'!BW24+'[4]LCT-5'!BW24+'[4]LCT-6'!BW24+'[4]LCT-7'!BW24+'[4]LCT-8'!BW24+'[5]TB-1'!BW24+'[5]TB-2'!BW24+'[5]TB-3'!BW24+'[5]TB-4'!BW24+'[5]TB-5'!BW24+'[5]TB-6'!BW24+'[5]TB-7'!BW24+'[5]TB-8'!BW24+'[5]TB-9'!BW24+'[5]TB-10'!BW24+'[6]DSV-1'!BW24+'[6]DSV-2'!BW24+'[6]DSV-3'!BW24+'[7]TUB-1'!BW24+'[7]TUB-2'!BW24+'[8]Barge-1'!BW24+'[8]Barge-2'!BW24+'[8]Barge-3'!BW24+'[8]Barge-4'!BW24</f>
        <v>5463.9436798376355</v>
      </c>
      <c r="T24" s="184">
        <f>'[2]AHTS-1'!CS24+'[2]AHTS-2'!CS24+'[2]AHTS-3'!CS24+'[2]AHTS-4'!CS24+'[2]AHTS-5'!CS24+'[2]AHTS-6'!CS24+'[2]AHTS-7'!CS24+'[2]AHTS-8'!CS24+'[3]CB-1'!CS24+'[3]CB-2'!CS24+'[3]CB-3'!CS24+'[3]CB-4'!CS24+'[3]CB-5'!CS24+'[3]CB-6'!CS24+'[3]CB-7'!CS24+'[3]CB-8'!CS24+'[3]CB-9'!CS24+'[3]CB-10'!CS24+'[3]CB-11'!CS24+'[3]CB-12'!CS24+'[3]CB-13'!CS24+'[3]CB-14'!CS24+'[3]CB-15'!CS24+'[3]CB-16'!CS24+'[3]CB-17'!CS24+'[3]CB-18'!CS24+'[3]CB-19'!CS24+'[3]CB-20'!CS24+'[3]CB-21'!CS24+'[3]CB-22'!CS24+'[3]CB-23'!CS24+'[3]CB-24'!CS24+'[4]LCT-1'!CS24+'[4]LCT-2'!CS24+'[4]LCT-3'!CS24+'[4]LCT-4'!CS24+'[4]LCT-5'!CS24+'[4]LCT-6'!CS24+'[4]LCT-7'!CS24+'[4]LCT-8'!CS24+'[5]TB-1'!CS24+'[5]TB-2'!CS24+'[5]TB-3'!CS24+'[5]TB-4'!CS24+'[5]TB-5'!CS24+'[5]TB-6'!CS24+'[5]TB-7'!CS24+'[5]TB-8'!CS24+'[5]TB-9'!CS24+'[5]TB-10'!CS24+'[6]DSV-1'!CS24+'[6]DSV-2'!CS24+'[6]DSV-3'!CS24+'[7]TUB-1'!CS24+'[7]TUB-2'!CS24+'[8]Barge-1'!CS24+'[8]Barge-2'!CS24+'[8]Barge-3'!CS24+'[8]Barge-4'!CS24</f>
        <v>0</v>
      </c>
      <c r="U24" s="183">
        <f>'[2]AHTS-1'!BB24+'[2]AHTS-2'!BB24+'[2]AHTS-3'!BB24+'[2]AHTS-4'!BB24+'[2]AHTS-5'!BB24+'[2]AHTS-6'!BB24+'[2]AHTS-7'!BB24+'[2]AHTS-8'!BB24+'[3]CB-1'!BB24+'[3]CB-2'!BB24+'[3]CB-3'!BB24+'[3]CB-4'!BB24+'[3]CB-5'!BB24+'[3]CB-6'!BB24+'[3]CB-7'!BB24+'[3]CB-8'!BB24+'[3]CB-9'!BB24+'[3]CB-10'!BB24+'[3]CB-11'!BB24+'[3]CB-12'!BB24+'[3]CB-13'!BB24+'[3]CB-14'!BB24+'[3]CB-15'!BB24+'[3]CB-16'!BB24+'[3]CB-17'!BB24+'[3]CB-18'!BB24+'[3]CB-19'!BB24+'[3]CB-20'!BB24+'[3]CB-21'!BB24+'[3]CB-22'!BB24+'[3]CB-23'!BB24+'[3]CB-24'!BB24+'[4]LCT-1'!BB24+'[4]LCT-2'!BB24+'[4]LCT-3'!BB24+'[4]LCT-4'!BB24+'[4]LCT-5'!BB24+'[4]LCT-6'!BB24+'[4]LCT-7'!BB24+'[4]LCT-8'!BB24+'[5]TB-1'!BB24+'[5]TB-2'!BB24+'[5]TB-3'!BB24+'[5]TB-4'!BB24+'[5]TB-5'!BB24+'[5]TB-6'!BB24+'[5]TB-7'!BB24+'[5]TB-8'!BB24+'[5]TB-9'!BB24+'[5]TB-10'!BB24+'[6]DSV-1'!BB24+'[6]DSV-2'!BB24+'[6]DSV-3'!BB24+'[7]TUB-1'!BB24+'[7]TUB-2'!BB24+'[8]Barge-1'!BB24+'[8]Barge-2'!BB24+'[8]Barge-3'!BB24+'[8]Barge-4'!BB24</f>
        <v>0</v>
      </c>
      <c r="V24" s="180">
        <f>'[2]AHTS-1'!BX24+'[2]AHTS-2'!BX24+'[2]AHTS-3'!BX24+'[2]AHTS-4'!BX24+'[2]AHTS-5'!BX24+'[2]AHTS-6'!BX24+'[2]AHTS-7'!BX24+'[2]AHTS-8'!BX24+'[3]CB-1'!BX24+'[3]CB-2'!BX24+'[3]CB-3'!BX24+'[3]CB-4'!BX24+'[3]CB-5'!BX24+'[3]CB-6'!BX24+'[3]CB-7'!BX24+'[3]CB-8'!BX24+'[3]CB-9'!BX24+'[3]CB-10'!BX24+'[3]CB-11'!BX24+'[3]CB-12'!BX24+'[3]CB-13'!BX24+'[3]CB-14'!BX24+'[3]CB-15'!BX24+'[3]CB-16'!BX24+'[3]CB-17'!BX24+'[3]CB-18'!BX24+'[3]CB-19'!BX24+'[3]CB-20'!BX24+'[3]CB-21'!BX24+'[3]CB-22'!BX24+'[3]CB-23'!BX24+'[3]CB-24'!BX24+'[4]LCT-1'!BX24+'[4]LCT-2'!BX24+'[4]LCT-3'!BX24+'[4]LCT-4'!BX24+'[4]LCT-5'!BX24+'[4]LCT-6'!BX24+'[4]LCT-7'!BX24+'[4]LCT-8'!BX24+'[5]TB-1'!BX24+'[5]TB-2'!BX24+'[5]TB-3'!BX24+'[5]TB-4'!BX24+'[5]TB-5'!BX24+'[5]TB-6'!BX24+'[5]TB-7'!BX24+'[5]TB-8'!BX24+'[5]TB-9'!BX24+'[5]TB-10'!BX24+'[6]DSV-1'!BX24+'[6]DSV-2'!BX24+'[6]DSV-3'!BX24+'[7]TUB-1'!BX24+'[7]TUB-2'!BX24+'[8]Barge-1'!BX24+'[8]Barge-2'!BX24+'[8]Barge-3'!BX24+'[8]Barge-4'!BX24</f>
        <v>0</v>
      </c>
      <c r="W24" s="184">
        <f>'[2]AHTS-1'!CT24+'[2]AHTS-2'!CT24+'[2]AHTS-3'!CT24+'[2]AHTS-4'!CT24+'[2]AHTS-5'!CT24+'[2]AHTS-6'!CT24+'[2]AHTS-7'!CT24+'[2]AHTS-8'!CT24+'[3]CB-1'!CT24+'[3]CB-2'!CT24+'[3]CB-3'!CT24+'[3]CB-4'!CT24+'[3]CB-5'!CT24+'[3]CB-6'!CT24+'[3]CB-7'!CT24+'[3]CB-8'!CT24+'[3]CB-9'!CT24+'[3]CB-10'!CT24+'[3]CB-11'!CT24+'[3]CB-12'!CT24+'[3]CB-13'!CT24+'[3]CB-14'!CT24+'[3]CB-15'!CT24+'[3]CB-16'!CT24+'[3]CB-17'!CT24+'[3]CB-18'!CT24+'[3]CB-19'!CT24+'[3]CB-20'!CT24+'[3]CB-21'!CT24+'[3]CB-22'!CT24+'[3]CB-23'!CT24+'[3]CB-24'!CT24+'[4]LCT-1'!CT24+'[4]LCT-2'!CT24+'[4]LCT-3'!CT24+'[4]LCT-4'!CT24+'[4]LCT-5'!CT24+'[4]LCT-6'!CT24+'[4]LCT-7'!CT24+'[4]LCT-8'!CT24+'[5]TB-1'!CT24+'[5]TB-2'!CT24+'[5]TB-3'!CT24+'[5]TB-4'!CT24+'[5]TB-5'!CT24+'[5]TB-6'!CT24+'[5]TB-7'!CT24+'[5]TB-8'!CT24+'[5]TB-9'!CT24+'[5]TB-10'!CT24+'[6]DSV-1'!CT24+'[6]DSV-2'!CT24+'[6]DSV-3'!CT24+'[7]TUB-1'!CT24+'[7]TUB-2'!CT24+'[8]Barge-1'!CT24+'[8]Barge-2'!CT24+'[8]Barge-3'!CT24+'[8]Barge-4'!CT24</f>
        <v>0</v>
      </c>
      <c r="X24" s="67"/>
      <c r="Y24" s="67"/>
      <c r="Z24" s="68"/>
      <c r="AA24" s="111">
        <f>[1]Control!AZ24</f>
        <v>45999</v>
      </c>
      <c r="AB24" s="66"/>
      <c r="AC24" s="132">
        <f>'[2]AHTS-1'!IC62+'[2]AHTS-2'!IC62+'[2]AHTS-3'!IC62+'[2]AHTS-4'!IC62+'[2]AHTS-5'!IC62+'[2]AHTS-6'!IC62+'[2]AHTS-7'!IC62+'[2]AHTS-8'!IC62+'[3]CB-1'!IC62+'[3]CB-2'!IC62+'[3]CB-3'!IC62+'[3]CB-4'!IC62+'[3]CB-5'!IC62+'[3]CB-6'!IC62+'[3]CB-7'!IC62+'[3]CB-8'!IC62+'[3]CB-9'!IC62+'[3]CB-10'!IC62+'[3]CB-11'!IC62+'[3]CB-12'!IC62+'[3]CB-13'!IC62+'[3]CB-14'!IC62+'[3]CB-15'!IC62+'[3]CB-16'!IC62+'[3]CB-17'!IC62+'[3]CB-18'!IC62+'[3]CB-19'!IC62+'[3]CB-20'!IC62+'[3]CB-21'!IC62+'[3]CB-22'!IC62+'[3]CB-23'!IC62+'[3]CB-24'!IC62+'[4]LCT-1'!IC62+'[4]LCT-2'!IC62+'[4]LCT-3'!IC62+'[4]LCT-4'!IC62+'[4]LCT-5'!IC62+'[4]LCT-6'!IC62+'[4]LCT-7'!IC62+'[4]LCT-8'!IC62+'[5]TB-1'!IC62+'[5]TB-2'!IC62+'[5]TB-3'!IC62+'[5]TB-4'!IC62+'[5]TB-5'!IC62+'[5]TB-6'!IC62+'[5]TB-7'!IC62+'[5]TB-8'!IC62+'[5]TB-9'!IC62+'[5]TB-10'!IC62+'[6]DSV-1'!IC62+'[6]DSV-2'!IC62+'[6]DSV-3'!IC62+'[7]TUB-1'!IC62+'[7]TUB-2'!IC62+'[8]Barge-1'!IC62+'[8]Barge-2'!IC62+'[8]Barge-3'!IC62+'[8]Barge-4'!IC62</f>
        <v>0</v>
      </c>
      <c r="AD24" s="133">
        <f>'[2]AHTS-1'!IC24+'[2]AHTS-2'!IC24+'[2]AHTS-3'!IC24+'[2]AHTS-4'!IC24+'[2]AHTS-5'!IC24+'[2]AHTS-6'!IC24+'[2]AHTS-7'!IC24+'[2]AHTS-8'!IC24+'[3]CB-1'!IC24+'[3]CB-2'!IC24+'[3]CB-3'!IC24+'[3]CB-4'!IC24+'[3]CB-5'!IC24+'[3]CB-6'!IC24+'[3]CB-7'!IC24+'[3]CB-8'!IC24+'[3]CB-9'!IC24+'[3]CB-10'!IC24+'[3]CB-11'!IC24+'[3]CB-12'!IC24+'[3]CB-13'!IC24+'[3]CB-14'!IC24+'[3]CB-15'!IC24+'[3]CB-16'!IC24+'[3]CB-17'!IC24+'[3]CB-18'!IC24+'[3]CB-19'!IC24+'[3]CB-20'!IC24+'[3]CB-21'!IC24+'[3]CB-22'!IC24+'[3]CB-23'!IC24+'[3]CB-24'!IC24+'[4]LCT-1'!IC24+'[4]LCT-2'!IC24+'[4]LCT-3'!IC24+'[4]LCT-4'!IC24+'[4]LCT-5'!IC24+'[4]LCT-6'!IC24+'[4]LCT-7'!IC24+'[4]LCT-8'!IC24+'[5]TB-1'!IC24+'[5]TB-2'!IC24+'[5]TB-3'!IC24+'[5]TB-4'!IC24+'[5]TB-5'!IC24+'[5]TB-6'!IC24+'[5]TB-7'!IC24+'[5]TB-8'!IC24+'[5]TB-9'!IC24+'[5]TB-10'!IC24+'[6]DSV-1'!IC24+'[6]DSV-2'!IC24+'[6]DSV-3'!IC24+'[7]TUB-1'!IC24+'[7]TUB-2'!IC24+'[8]Barge-1'!IC24+'[8]Barge-2'!IC24+'[8]Barge-3'!IC24+'[8]Barge-4'!IC24</f>
        <v>0</v>
      </c>
      <c r="AE24" s="134">
        <f>'[2]AHTS-1'!IC95+'[2]AHTS-2'!IC95+'[2]AHTS-3'!IC95+'[2]AHTS-4'!IC95+'[2]AHTS-5'!IC95+'[2]AHTS-6'!IC95+'[2]AHTS-7'!IC95+'[2]AHTS-8'!IC95+'[3]CB-1'!IC95+'[3]CB-2'!IC95+'[3]CB-3'!IC95+'[3]CB-4'!IC95+'[3]CB-5'!IC95+'[3]CB-6'!IC95+'[3]CB-7'!IC95+'[3]CB-8'!IC95+'[3]CB-9'!IC95+'[3]CB-10'!IC95+'[3]CB-11'!IC95+'[3]CB-12'!IC95+'[3]CB-13'!IC95+'[3]CB-14'!IC95+'[3]CB-15'!IC95+'[3]CB-16'!IC95+'[3]CB-17'!IC95+'[3]CB-18'!IC95+'[3]CB-19'!IC95+'[3]CB-20'!IC95+'[3]CB-21'!IC95+'[3]CB-22'!IC95+'[3]CB-23'!IC95+'[3]CB-24'!IC95+'[4]LCT-1'!IC95+'[4]LCT-2'!IC95+'[4]LCT-3'!IC95+'[4]LCT-4'!IC95+'[4]LCT-5'!IC95+'[4]LCT-6'!IC95+'[4]LCT-7'!IC95+'[4]LCT-8'!IC95+'[5]TB-1'!IC95+'[5]TB-2'!IC95+'[5]TB-3'!IC95+'[5]TB-4'!IC95+'[5]TB-5'!IC95+'[5]TB-6'!IC95+'[5]TB-7'!IC95+'[5]TB-8'!IC95+'[5]TB-9'!IC95+'[5]TB-10'!IC95+'[6]DSV-1'!IC95+'[6]DSV-2'!IC95+'[6]DSV-3'!IC95+'[7]TUB-1'!IC95+'[7]TUB-2'!IC95+'[8]Barge-1'!IC95+'[8]Barge-2'!IC95+'[8]Barge-3'!IC95+'[8]Barge-4'!IC95</f>
        <v>0</v>
      </c>
      <c r="AF24" s="135">
        <f>'[2]AHTS-1'!ID62+'[2]AHTS-2'!ID62+'[2]AHTS-3'!ID62+'[2]AHTS-4'!ID62+'[2]AHTS-5'!ID62+'[2]AHTS-6'!ID62+'[2]AHTS-7'!ID62+'[2]AHTS-8'!ID62+'[3]CB-1'!ID62+'[3]CB-2'!ID62+'[3]CB-3'!ID62+'[3]CB-4'!ID62+'[3]CB-5'!ID62+'[3]CB-6'!ID62+'[3]CB-7'!ID62+'[3]CB-8'!ID62+'[3]CB-9'!ID62+'[3]CB-10'!ID62+'[3]CB-11'!ID62+'[3]CB-12'!ID62+'[3]CB-13'!ID62+'[3]CB-14'!ID62+'[3]CB-15'!ID62+'[3]CB-16'!ID62+'[3]CB-17'!ID62+'[3]CB-18'!ID62+'[3]CB-19'!ID62+'[3]CB-20'!ID62+'[3]CB-21'!ID62+'[3]CB-22'!ID62+'[3]CB-23'!ID62+'[3]CB-24'!ID62+'[4]LCT-1'!ID62+'[4]LCT-2'!ID62+'[4]LCT-3'!ID62+'[4]LCT-4'!ID62+'[4]LCT-5'!ID62+'[4]LCT-6'!ID62+'[4]LCT-7'!ID62+'[4]LCT-8'!ID62+'[5]TB-1'!ID62+'[5]TB-2'!ID62+'[5]TB-3'!ID62+'[5]TB-4'!ID62+'[5]TB-5'!ID62+'[5]TB-6'!ID62+'[5]TB-7'!ID62+'[5]TB-8'!ID62+'[5]TB-9'!ID62+'[5]TB-10'!ID62+'[6]DSV-1'!ID62+'[6]DSV-2'!ID62+'[6]DSV-3'!ID62+'[7]TUB-1'!ID62+'[7]TUB-2'!ID62+'[8]Barge-1'!ID62+'[8]Barge-2'!ID62+'[8]Barge-3'!ID62+'[8]Barge-4'!ID62</f>
        <v>25949012.5</v>
      </c>
      <c r="AG24" s="136">
        <f>'[2]AHTS-1'!ID24+'[2]AHTS-2'!ID24+'[2]AHTS-3'!ID24+'[2]AHTS-4'!ID24+'[2]AHTS-5'!ID24+'[2]AHTS-6'!ID24+'[2]AHTS-7'!ID24+'[2]AHTS-8'!ID24+'[3]CB-1'!ID24+'[3]CB-2'!ID24+'[3]CB-3'!ID24+'[3]CB-4'!ID24+'[3]CB-5'!ID24+'[3]CB-6'!ID24+'[3]CB-7'!ID24+'[3]CB-8'!ID24+'[3]CB-9'!ID24+'[3]CB-10'!ID24+'[3]CB-11'!ID24+'[3]CB-12'!ID24+'[3]CB-13'!ID24+'[3]CB-14'!ID24+'[3]CB-15'!ID24+'[3]CB-16'!ID24+'[3]CB-17'!ID24+'[3]CB-18'!ID24+'[3]CB-19'!ID24+'[3]CB-20'!ID24+'[3]CB-21'!ID24+'[3]CB-22'!ID24+'[3]CB-23'!ID24+'[3]CB-24'!ID24+'[4]LCT-1'!ID24+'[4]LCT-2'!ID24+'[4]LCT-3'!ID24+'[4]LCT-4'!ID24+'[4]LCT-5'!ID24+'[4]LCT-6'!ID24+'[4]LCT-7'!ID24+'[4]LCT-8'!ID24+'[5]TB-1'!ID24+'[5]TB-2'!ID24+'[5]TB-3'!ID24+'[5]TB-4'!ID24+'[5]TB-5'!ID24+'[5]TB-6'!ID24+'[5]TB-7'!ID24+'[5]TB-8'!ID24+'[5]TB-9'!ID24+'[5]TB-10'!ID24+'[6]DSV-1'!ID24+'[6]DSV-2'!ID24+'[6]DSV-3'!ID24+'[7]TUB-1'!ID24+'[7]TUB-2'!ID24+'[8]Barge-1'!ID24+'[8]Barge-2'!ID24+'[8]Barge-3'!ID24+'[8]Barge-4'!ID24</f>
        <v>29150000</v>
      </c>
      <c r="AH24" s="136">
        <f>'[2]AHTS-1'!ID95+'[2]AHTS-2'!ID95+'[2]AHTS-3'!ID95+'[2]AHTS-4'!ID95+'[2]AHTS-5'!ID95+'[2]AHTS-6'!ID95+'[2]AHTS-7'!ID95+'[2]AHTS-8'!ID95+'[3]CB-1'!ID95+'[3]CB-2'!ID95+'[3]CB-3'!ID95+'[3]CB-4'!ID95+'[3]CB-5'!ID95+'[3]CB-6'!ID95+'[3]CB-7'!ID95+'[3]CB-8'!ID95+'[3]CB-9'!ID95+'[3]CB-10'!ID95+'[3]CB-11'!ID95+'[3]CB-12'!ID95+'[3]CB-13'!ID95+'[3]CB-14'!ID95+'[3]CB-15'!ID95+'[3]CB-16'!ID95+'[3]CB-17'!ID95+'[3]CB-18'!ID95+'[3]CB-19'!ID95+'[3]CB-20'!ID95+'[3]CB-21'!ID95+'[3]CB-22'!ID95+'[3]CB-23'!ID95+'[3]CB-24'!ID95+'[4]LCT-1'!ID95+'[4]LCT-2'!ID95+'[4]LCT-3'!ID95+'[4]LCT-4'!ID95+'[4]LCT-5'!ID95+'[4]LCT-6'!ID95+'[4]LCT-7'!ID95+'[4]LCT-8'!ID95+'[5]TB-1'!ID95+'[5]TB-2'!ID95+'[5]TB-3'!ID95+'[5]TB-4'!ID95+'[5]TB-5'!ID95+'[5]TB-6'!ID95+'[5]TB-7'!ID95+'[5]TB-8'!ID95+'[5]TB-9'!ID95+'[5]TB-10'!ID95+'[6]DSV-1'!ID95+'[6]DSV-2'!ID95+'[6]DSV-3'!ID95+'[7]TUB-1'!ID95+'[7]TUB-2'!ID95+'[8]Barge-1'!ID95+'[8]Barge-2'!ID95+'[8]Barge-3'!ID95+'[8]Barge-4'!ID95</f>
        <v>0</v>
      </c>
      <c r="AI24" s="135">
        <f>'[2]AHTS-1'!IE62+'[2]AHTS-2'!IE62+'[2]AHTS-3'!IE62+'[2]AHTS-4'!IE62+'[2]AHTS-5'!IE62+'[2]AHTS-6'!IE62+'[2]AHTS-7'!IE62+'[2]AHTS-8'!IE62+'[3]CB-1'!IE62+'[3]CB-2'!IE62+'[3]CB-3'!IE62+'[3]CB-4'!IE62+'[3]CB-5'!IE62+'[3]CB-6'!IE62+'[3]CB-7'!IE62+'[3]CB-8'!IE62+'[3]CB-9'!IE62+'[3]CB-10'!IE62+'[3]CB-11'!IE62+'[3]CB-12'!IE62+'[3]CB-13'!IE62+'[3]CB-14'!IE62+'[3]CB-15'!IE62+'[3]CB-16'!IE62+'[3]CB-17'!IE62+'[3]CB-18'!IE62+'[3]CB-19'!IE62+'[3]CB-20'!IE62+'[3]CB-21'!IE62+'[3]CB-22'!IE62+'[3]CB-23'!IE62+'[3]CB-24'!IE62+'[4]LCT-1'!IE62+'[4]LCT-2'!IE62+'[4]LCT-3'!IE62+'[4]LCT-4'!IE62+'[4]LCT-5'!IE62+'[4]LCT-6'!IE62+'[4]LCT-7'!IE62+'[4]LCT-8'!IE62+'[5]TB-1'!IE62+'[5]TB-2'!IE62+'[5]TB-3'!IE62+'[5]TB-4'!IE62+'[5]TB-5'!IE62+'[5]TB-6'!IE62+'[5]TB-7'!IE62+'[5]TB-8'!IE62+'[5]TB-9'!IE62+'[5]TB-10'!IE62+'[6]DSV-1'!IE62+'[6]DSV-2'!IE62+'[6]DSV-3'!IE62+'[7]TUB-1'!IE62+'[7]TUB-2'!IE62+'[8]Barge-1'!IE62+'[8]Barge-2'!IE62+'[8]Barge-3'!IE62+'[8]Barge-4'!IE62</f>
        <v>41053300</v>
      </c>
      <c r="AJ24" s="136">
        <f>'[2]AHTS-1'!IE24+'[2]AHTS-2'!IE24+'[2]AHTS-3'!IE24+'[2]AHTS-4'!IE24+'[2]AHTS-5'!IE24+'[2]AHTS-6'!IE24+'[2]AHTS-7'!IE24+'[2]AHTS-8'!IE24+'[3]CB-1'!IE24+'[3]CB-2'!IE24+'[3]CB-3'!IE24+'[3]CB-4'!IE24+'[3]CB-5'!IE24+'[3]CB-6'!IE24+'[3]CB-7'!IE24+'[3]CB-8'!IE24+'[3]CB-9'!IE24+'[3]CB-10'!IE24+'[3]CB-11'!IE24+'[3]CB-12'!IE24+'[3]CB-13'!IE24+'[3]CB-14'!IE24+'[3]CB-15'!IE24+'[3]CB-16'!IE24+'[3]CB-17'!IE24+'[3]CB-18'!IE24+'[3]CB-19'!IE24+'[3]CB-20'!IE24+'[3]CB-21'!IE24+'[3]CB-22'!IE24+'[3]CB-23'!IE24+'[3]CB-24'!IE24+'[4]LCT-1'!IE24+'[4]LCT-2'!IE24+'[4]LCT-3'!IE24+'[4]LCT-4'!IE24+'[4]LCT-5'!IE24+'[4]LCT-6'!IE24+'[4]LCT-7'!IE24+'[4]LCT-8'!IE24+'[5]TB-1'!IE24+'[5]TB-2'!IE24+'[5]TB-3'!IE24+'[5]TB-4'!IE24+'[5]TB-5'!IE24+'[5]TB-6'!IE24+'[5]TB-7'!IE24+'[5]TB-8'!IE24+'[5]TB-9'!IE24+'[5]TB-10'!IE24+'[6]DSV-1'!IE24+'[6]DSV-2'!IE24+'[6]DSV-3'!IE24+'[7]TUB-1'!IE24+'[7]TUB-2'!IE24+'[8]Barge-1'!IE24+'[8]Barge-2'!IE24+'[8]Barge-3'!IE24+'[8]Barge-4'!IE24</f>
        <v>34050000</v>
      </c>
      <c r="AK24" s="136">
        <f>'[2]AHTS-1'!IE95+'[2]AHTS-2'!IE95+'[2]AHTS-3'!IE95+'[2]AHTS-4'!IE95+'[2]AHTS-5'!IE95+'[2]AHTS-6'!IE95+'[2]AHTS-7'!IE95+'[2]AHTS-8'!IE95+'[3]CB-1'!IE95+'[3]CB-2'!IE95+'[3]CB-3'!IE95+'[3]CB-4'!IE95+'[3]CB-5'!IE95+'[3]CB-6'!IE95+'[3]CB-7'!IE95+'[3]CB-8'!IE95+'[3]CB-9'!IE95+'[3]CB-10'!IE95+'[3]CB-11'!IE95+'[3]CB-12'!IE95+'[3]CB-13'!IE95+'[3]CB-14'!IE95+'[3]CB-15'!IE95+'[3]CB-16'!IE95+'[3]CB-17'!IE95+'[3]CB-18'!IE95+'[3]CB-19'!IE95+'[3]CB-20'!IE95+'[3]CB-21'!IE95+'[3]CB-22'!IE95+'[3]CB-23'!IE95+'[3]CB-24'!IE95+'[4]LCT-1'!IE95+'[4]LCT-2'!IE95+'[4]LCT-3'!IE95+'[4]LCT-4'!IE95+'[4]LCT-5'!IE95+'[4]LCT-6'!IE95+'[4]LCT-7'!IE95+'[4]LCT-8'!IE95+'[5]TB-1'!IE95+'[5]TB-2'!IE95+'[5]TB-3'!IE95+'[5]TB-4'!IE95+'[5]TB-5'!IE95+'[5]TB-6'!IE95+'[5]TB-7'!IE95+'[5]TB-8'!IE95+'[5]TB-9'!IE95+'[5]TB-10'!IE95+'[6]DSV-1'!IE95+'[6]DSV-2'!IE95+'[6]DSV-3'!IE95+'[7]TUB-1'!IE95+'[7]TUB-2'!IE95+'[8]Barge-1'!IE95+'[8]Barge-2'!IE95+'[8]Barge-3'!IE95+'[8]Barge-4'!IE95</f>
        <v>0</v>
      </c>
      <c r="AL24" s="137">
        <f>'[2]AHTS-1'!IF62+'[2]AHTS-2'!IF62+'[2]AHTS-3'!IF62+'[2]AHTS-4'!IF62+'[2]AHTS-5'!IF62+'[2]AHTS-6'!IF62+'[2]AHTS-7'!IF62+'[2]AHTS-8'!IF62+'[3]CB-1'!IF62+'[3]CB-2'!IF62+'[3]CB-3'!IF62+'[3]CB-4'!IF62+'[3]CB-5'!IF62+'[3]CB-6'!IF62+'[3]CB-7'!IF62+'[3]CB-8'!IF62+'[3]CB-9'!IF62+'[3]CB-10'!IF62+'[3]CB-11'!IF62+'[3]CB-12'!IF62+'[3]CB-13'!IF62+'[3]CB-14'!IF62+'[3]CB-15'!IF62+'[3]CB-16'!IF62+'[3]CB-17'!IF62+'[3]CB-18'!IF62+'[3]CB-19'!IF62+'[3]CB-20'!IF62+'[3]CB-21'!IF62+'[3]CB-22'!IF62+'[3]CB-23'!IF62+'[3]CB-24'!IF62+'[4]LCT-1'!IF62+'[4]LCT-2'!IF62+'[4]LCT-3'!IF62+'[4]LCT-4'!IF62+'[4]LCT-5'!IF62+'[4]LCT-6'!IF62+'[4]LCT-7'!IF62+'[4]LCT-8'!IF62+'[5]TB-1'!IF62+'[5]TB-2'!IF62+'[5]TB-3'!IF62+'[5]TB-4'!IF62+'[5]TB-5'!IF62+'[5]TB-6'!IF62+'[5]TB-7'!IF62+'[5]TB-8'!IF62+'[5]TB-9'!IF62+'[5]TB-10'!IF62+'[6]DSV-1'!IF62+'[6]DSV-2'!IF62+'[6]DSV-3'!IF62+'[7]TUB-1'!IF62+'[7]TUB-2'!IF62+'[8]Barge-1'!IF62+'[8]Barge-2'!IF62+'[8]Barge-3'!IF62+'[8]Barge-4'!IF62</f>
        <v>44735500</v>
      </c>
      <c r="AM24" s="138">
        <f>'[2]AHTS-1'!IF24+'[2]AHTS-2'!IF24+'[2]AHTS-3'!IF24+'[2]AHTS-4'!IF24+'[2]AHTS-5'!IF24+'[2]AHTS-6'!IF24+'[2]AHTS-7'!IF24+'[2]AHTS-8'!IF24+'[3]CB-1'!IF24+'[3]CB-2'!IF24+'[3]CB-3'!IF24+'[3]CB-4'!IF24+'[3]CB-5'!IF24+'[3]CB-6'!IF24+'[3]CB-7'!IF24+'[3]CB-8'!IF24+'[3]CB-9'!IF24+'[3]CB-10'!IF24+'[3]CB-11'!IF24+'[3]CB-12'!IF24+'[3]CB-13'!IF24+'[3]CB-14'!IF24+'[3]CB-15'!IF24+'[3]CB-16'!IF24+'[3]CB-17'!IF24+'[3]CB-18'!IF24+'[3]CB-19'!IF24+'[3]CB-20'!IF24+'[3]CB-21'!IF24+'[3]CB-22'!IF24+'[3]CB-23'!IF24+'[3]CB-24'!IF24+'[4]LCT-1'!IF24+'[4]LCT-2'!IF24+'[4]LCT-3'!IF24+'[4]LCT-4'!IF24+'[4]LCT-5'!IF24+'[4]LCT-6'!IF24+'[4]LCT-7'!IF24+'[4]LCT-8'!IF24+'[5]TB-1'!IF24+'[5]TB-2'!IF24+'[5]TB-3'!IF24+'[5]TB-4'!IF24+'[5]TB-5'!IF24+'[5]TB-6'!IF24+'[5]TB-7'!IF24+'[5]TB-8'!IF24+'[5]TB-9'!IF24+'[5]TB-10'!IF24+'[6]DSV-1'!IF24+'[6]DSV-2'!IF24+'[6]DSV-3'!IF24+'[7]TUB-1'!IF24+'[7]TUB-2'!IF24+'[8]Barge-1'!IF24+'[8]Barge-2'!IF24+'[8]Barge-3'!IF24+'[8]Barge-4'!IF24</f>
        <v>69700000</v>
      </c>
      <c r="AN24" s="138">
        <f>'[2]AHTS-1'!IF95+'[2]AHTS-2'!IF95+'[2]AHTS-3'!IF95+'[2]AHTS-4'!IF95+'[2]AHTS-5'!IF95+'[2]AHTS-6'!IF95+'[2]AHTS-7'!IF95+'[2]AHTS-8'!IF95+'[3]CB-1'!IF95+'[3]CB-2'!IF95+'[3]CB-3'!IF95+'[3]CB-4'!IF95+'[3]CB-5'!IF95+'[3]CB-6'!IF95+'[3]CB-7'!IF95+'[3]CB-8'!IF95+'[3]CB-9'!IF95+'[3]CB-10'!IF95+'[3]CB-11'!IF95+'[3]CB-12'!IF95+'[3]CB-13'!IF95+'[3]CB-14'!IF95+'[3]CB-15'!IF95+'[3]CB-16'!IF95+'[3]CB-17'!IF95+'[3]CB-18'!IF95+'[3]CB-19'!IF95+'[3]CB-20'!IF95+'[3]CB-21'!IF95+'[3]CB-22'!IF95+'[3]CB-23'!IF95+'[3]CB-24'!IF95+'[4]LCT-1'!IF95+'[4]LCT-2'!IF95+'[4]LCT-3'!IF95+'[4]LCT-4'!IF95+'[4]LCT-5'!IF95+'[4]LCT-6'!IF95+'[4]LCT-7'!IF95+'[4]LCT-8'!IF95+'[5]TB-1'!IF95+'[5]TB-2'!IF95+'[5]TB-3'!IF95+'[5]TB-4'!IF95+'[5]TB-5'!IF95+'[5]TB-6'!IF95+'[5]TB-7'!IF95+'[5]TB-8'!IF95+'[5]TB-9'!IF95+'[5]TB-10'!IF95+'[6]DSV-1'!IF95+'[6]DSV-2'!IF95+'[6]DSV-3'!IF95+'[7]TUB-1'!IF95+'[7]TUB-2'!IF95+'[8]Barge-1'!IF95+'[8]Barge-2'!IF95+'[8]Barge-3'!IF95+'[8]Barge-4'!IF95</f>
        <v>0</v>
      </c>
      <c r="AO24" s="135">
        <f>'[2]AHTS-1'!IG62+'[2]AHTS-2'!IG62+'[2]AHTS-3'!IG62+'[2]AHTS-4'!IG62+'[2]AHTS-5'!IG62+'[2]AHTS-6'!IG62+'[2]AHTS-7'!IG62+'[2]AHTS-8'!IG62+'[3]CB-1'!IG62+'[3]CB-2'!IG62+'[3]CB-3'!IG62+'[3]CB-4'!IG62+'[3]CB-5'!IG62+'[3]CB-6'!IG62+'[3]CB-7'!IG62+'[3]CB-8'!IG62+'[3]CB-9'!IG62+'[3]CB-10'!IG62+'[3]CB-11'!IG62+'[3]CB-12'!IG62+'[3]CB-13'!IG62+'[3]CB-14'!IG62+'[3]CB-15'!IG62+'[3]CB-16'!IG62+'[3]CB-17'!IG62+'[3]CB-18'!IG62+'[3]CB-19'!IG62+'[3]CB-20'!IG62+'[3]CB-21'!IG62+'[3]CB-22'!IG62+'[3]CB-23'!IG62+'[3]CB-24'!IG62+'[4]LCT-1'!IG62+'[4]LCT-2'!IG62+'[4]LCT-3'!IG62+'[4]LCT-4'!IG62+'[4]LCT-5'!IG62+'[4]LCT-6'!IG62+'[4]LCT-7'!IG62+'[4]LCT-8'!IG62+'[5]TB-1'!IG62+'[5]TB-2'!IG62+'[5]TB-3'!IG62+'[5]TB-4'!IG62+'[5]TB-5'!IG62+'[5]TB-6'!IG62+'[5]TB-7'!IG62+'[5]TB-8'!IG62+'[5]TB-9'!IG62+'[5]TB-10'!IG62+'[6]DSV-1'!IG62+'[6]DSV-2'!IG62+'[6]DSV-3'!IG62+'[7]TUB-1'!IG62+'[7]TUB-2'!IG62+'[8]Barge-1'!IG62+'[8]Barge-2'!IG62+'[8]Barge-3'!IG62+'[8]Barge-4'!IG62</f>
        <v>1372750</v>
      </c>
      <c r="AP24" s="136">
        <f>'[2]AHTS-1'!IG24+'[2]AHTS-2'!IG24+'[2]AHTS-3'!IG24+'[2]AHTS-4'!IG24+'[2]AHTS-5'!IG24+'[2]AHTS-6'!IG24+'[2]AHTS-7'!IG24+'[2]AHTS-8'!IG24+'[3]CB-1'!IG24+'[3]CB-2'!IG24+'[3]CB-3'!IG24+'[3]CB-4'!IG24+'[3]CB-5'!IG24+'[3]CB-6'!IG24+'[3]CB-7'!IG24+'[3]CB-8'!IG24+'[3]CB-9'!IG24+'[3]CB-10'!IG24+'[3]CB-11'!IG24+'[3]CB-12'!IG24+'[3]CB-13'!IG24+'[3]CB-14'!IG24+'[3]CB-15'!IG24+'[3]CB-16'!IG24+'[3]CB-17'!IG24+'[3]CB-18'!IG24+'[3]CB-19'!IG24+'[3]CB-20'!IG24+'[3]CB-21'!IG24+'[3]CB-22'!IG24+'[3]CB-23'!IG24+'[3]CB-24'!IG24+'[4]LCT-1'!IG24+'[4]LCT-2'!IG24+'[4]LCT-3'!IG24+'[4]LCT-4'!IG24+'[4]LCT-5'!IG24+'[4]LCT-6'!IG24+'[4]LCT-7'!IG24+'[4]LCT-8'!IG24+'[5]TB-1'!IG24+'[5]TB-2'!IG24+'[5]TB-3'!IG24+'[5]TB-4'!IG24+'[5]TB-5'!IG24+'[5]TB-6'!IG24+'[5]TB-7'!IG24+'[5]TB-8'!IG24+'[5]TB-9'!IG24+'[5]TB-10'!IG24+'[6]DSV-1'!IG24+'[6]DSV-2'!IG24+'[6]DSV-3'!IG24+'[7]TUB-1'!IG24+'[7]TUB-2'!IG24+'[8]Barge-1'!IG24+'[8]Barge-2'!IG24+'[8]Barge-3'!IG24+'[8]Barge-4'!IG24</f>
        <v>6500000</v>
      </c>
      <c r="AQ24" s="136">
        <f>'[2]AHTS-1'!IG95+'[2]AHTS-2'!IG95+'[2]AHTS-3'!IG95+'[2]AHTS-4'!IG95+'[2]AHTS-5'!IG95+'[2]AHTS-6'!IG95+'[2]AHTS-7'!IG95+'[2]AHTS-8'!IG95+'[3]CB-1'!IG95+'[3]CB-2'!IG95+'[3]CB-3'!IG95+'[3]CB-4'!IG95+'[3]CB-5'!IG95+'[3]CB-6'!IG95+'[3]CB-7'!IG95+'[3]CB-8'!IG95+'[3]CB-9'!IG95+'[3]CB-10'!IG95+'[3]CB-11'!IG95+'[3]CB-12'!IG95+'[3]CB-13'!IG95+'[3]CB-14'!IG95+'[3]CB-15'!IG95+'[3]CB-16'!IG95+'[3]CB-17'!IG95+'[3]CB-18'!IG95+'[3]CB-19'!IG95+'[3]CB-20'!IG95+'[3]CB-21'!IG95+'[3]CB-22'!IG95+'[3]CB-23'!IG95+'[3]CB-24'!IG95+'[4]LCT-1'!IG95+'[4]LCT-2'!IG95+'[4]LCT-3'!IG95+'[4]LCT-4'!IG95+'[4]LCT-5'!IG95+'[4]LCT-6'!IG95+'[4]LCT-7'!IG95+'[4]LCT-8'!IG95+'[5]TB-1'!IG95+'[5]TB-2'!IG95+'[5]TB-3'!IG95+'[5]TB-4'!IG95+'[5]TB-5'!IG95+'[5]TB-6'!IG95+'[5]TB-7'!IG95+'[5]TB-8'!IG95+'[5]TB-9'!IG95+'[5]TB-10'!IG95+'[6]DSV-1'!IG95+'[6]DSV-2'!IG95+'[6]DSV-3'!IG95+'[7]TUB-1'!IG95+'[7]TUB-2'!IG95+'[8]Barge-1'!IG95+'[8]Barge-2'!IG95+'[8]Barge-3'!IG95+'[8]Barge-4'!IG95</f>
        <v>0</v>
      </c>
      <c r="AR24" s="139">
        <f>'[2]AHTS-1'!IH62+'[2]AHTS-2'!IH62+'[2]AHTS-3'!IH62+'[2]AHTS-4'!IH62+'[2]AHTS-5'!IH62+'[2]AHTS-6'!IH62+'[2]AHTS-7'!IH62+'[2]AHTS-8'!IH62+'[3]CB-1'!IH62+'[3]CB-2'!IH62+'[3]CB-3'!IH62+'[3]CB-4'!IH62+'[3]CB-5'!IH62+'[3]CB-6'!IH62+'[3]CB-7'!IH62+'[3]CB-8'!IH62+'[3]CB-9'!IH62+'[3]CB-10'!IH62+'[3]CB-11'!IH62+'[3]CB-12'!IH62+'[3]CB-13'!IH62+'[3]CB-14'!IH62+'[3]CB-15'!IH62+'[3]CB-16'!IH62+'[3]CB-17'!IH62+'[3]CB-18'!IH62+'[3]CB-19'!IH62+'[3]CB-20'!IH62+'[3]CB-21'!IH62+'[3]CB-22'!IH62+'[3]CB-23'!IH62+'[3]CB-24'!IH62+'[4]LCT-1'!IH62+'[4]LCT-2'!IH62+'[4]LCT-3'!IH62+'[4]LCT-4'!IH62+'[4]LCT-5'!IH62+'[4]LCT-6'!IH62+'[4]LCT-7'!IH62+'[4]LCT-8'!IH62+'[5]TB-1'!IH62+'[5]TB-2'!IH62+'[5]TB-3'!IH62+'[5]TB-4'!IH62+'[5]TB-5'!IH62+'[5]TB-6'!IH62+'[5]TB-7'!IH62+'[5]TB-8'!IH62+'[5]TB-9'!IH62+'[5]TB-10'!IH62+'[6]DSV-1'!IH62+'[6]DSV-2'!IH62+'[6]DSV-3'!IH62+'[7]TUB-1'!IH62+'[7]TUB-2'!IH62+'[8]Barge-1'!IH62+'[8]Barge-2'!IH62+'[8]Barge-3'!IH62+'[8]Barge-4'!IH62</f>
        <v>76884766.666666672</v>
      </c>
      <c r="AS24" s="136">
        <f>'[2]AHTS-1'!IH24+'[2]AHTS-2'!IH24+'[2]AHTS-3'!IH24+'[2]AHTS-4'!IH24+'[2]AHTS-5'!IH24+'[2]AHTS-6'!IH24+'[2]AHTS-7'!IH24+'[2]AHTS-8'!IH24+'[3]CB-1'!IH24+'[3]CB-2'!IH24+'[3]CB-3'!IH24+'[3]CB-4'!IH24+'[3]CB-5'!IH24+'[3]CB-6'!IH24+'[3]CB-7'!IH24+'[3]CB-8'!IH24+'[3]CB-9'!IH24+'[3]CB-10'!IH24+'[3]CB-11'!IH24+'[3]CB-12'!IH24+'[3]CB-13'!IH24+'[3]CB-14'!IH24+'[3]CB-15'!IH24+'[3]CB-16'!IH24+'[3]CB-17'!IH24+'[3]CB-18'!IH24+'[3]CB-19'!IH24+'[3]CB-20'!IH24+'[3]CB-21'!IH24+'[3]CB-22'!IH24+'[3]CB-23'!IH24+'[3]CB-24'!IH24+'[4]LCT-1'!IH24+'[4]LCT-2'!IH24+'[4]LCT-3'!IH24+'[4]LCT-4'!IH24+'[4]LCT-5'!IH24+'[4]LCT-6'!IH24+'[4]LCT-7'!IH24+'[4]LCT-8'!IH24+'[5]TB-1'!IH24+'[5]TB-2'!IH24+'[5]TB-3'!IH24+'[5]TB-4'!IH24+'[5]TB-5'!IH24+'[5]TB-6'!IH24+'[5]TB-7'!IH24+'[5]TB-8'!IH24+'[5]TB-9'!IH24+'[5]TB-10'!IH24+'[6]DSV-1'!IH24+'[6]DSV-2'!IH24+'[6]DSV-3'!IH24+'[7]TUB-1'!IH24+'[7]TUB-2'!IH24+'[8]Barge-1'!IH24+'[8]Barge-2'!IH24+'[8]Barge-3'!IH24+'[8]Barge-4'!IH24</f>
        <v>86150000</v>
      </c>
      <c r="AT24" s="140">
        <f>'[2]AHTS-1'!IH95+'[2]AHTS-2'!IH95+'[2]AHTS-3'!IH95+'[2]AHTS-4'!IH95+'[2]AHTS-5'!IH95+'[2]AHTS-6'!IH95+'[2]AHTS-7'!IH95+'[2]AHTS-8'!IH95+'[3]CB-1'!IH95+'[3]CB-2'!IH95+'[3]CB-3'!IH95+'[3]CB-4'!IH95+'[3]CB-5'!IH95+'[3]CB-6'!IH95+'[3]CB-7'!IH95+'[3]CB-8'!IH95+'[3]CB-9'!IH95+'[3]CB-10'!IH95+'[3]CB-11'!IH95+'[3]CB-12'!IH95+'[3]CB-13'!IH95+'[3]CB-14'!IH95+'[3]CB-15'!IH95+'[3]CB-16'!IH95+'[3]CB-17'!IH95+'[3]CB-18'!IH95+'[3]CB-19'!IH95+'[3]CB-20'!IH95+'[3]CB-21'!IH95+'[3]CB-22'!IH95+'[3]CB-23'!IH95+'[3]CB-24'!IH95+'[4]LCT-1'!IH95+'[4]LCT-2'!IH95+'[4]LCT-3'!IH95+'[4]LCT-4'!IH95+'[4]LCT-5'!IH95+'[4]LCT-6'!IH95+'[4]LCT-7'!IH95+'[4]LCT-8'!IH95+'[5]TB-1'!IH95+'[5]TB-2'!IH95+'[5]TB-3'!IH95+'[5]TB-4'!IH95+'[5]TB-5'!IH95+'[5]TB-6'!IH95+'[5]TB-7'!IH95+'[5]TB-8'!IH95+'[5]TB-9'!IH95+'[5]TB-10'!IH95+'[6]DSV-1'!IH95+'[6]DSV-2'!IH95+'[6]DSV-3'!IH95+'[7]TUB-1'!IH95+'[7]TUB-2'!IH95+'[8]Barge-1'!IH95+'[8]Barge-2'!IH95+'[8]Barge-3'!IH95+'[8]Barge-4'!IH95</f>
        <v>0</v>
      </c>
      <c r="AU24" s="139">
        <f>'[2]AHTS-1'!II62+'[2]AHTS-2'!II62+'[2]AHTS-3'!II62+'[2]AHTS-4'!II62+'[2]AHTS-5'!II62+'[2]AHTS-6'!II62+'[2]AHTS-7'!II62+'[2]AHTS-8'!II62+'[3]CB-1'!II62+'[3]CB-2'!II62+'[3]CB-3'!II62+'[3]CB-4'!II62+'[3]CB-5'!II62+'[3]CB-6'!II62+'[3]CB-7'!II62+'[3]CB-8'!II62+'[3]CB-9'!II62+'[3]CB-10'!II62+'[3]CB-11'!II62+'[3]CB-12'!II62+'[3]CB-13'!II62+'[3]CB-14'!II62+'[3]CB-15'!II62+'[3]CB-16'!II62+'[3]CB-17'!II62+'[3]CB-18'!II62+'[3]CB-19'!II62+'[3]CB-20'!II62+'[3]CB-21'!II62+'[3]CB-22'!II62+'[3]CB-23'!II62+'[3]CB-24'!II62+'[4]LCT-1'!II62+'[4]LCT-2'!II62+'[4]LCT-3'!II62+'[4]LCT-4'!II62+'[4]LCT-5'!II62+'[4]LCT-6'!II62+'[4]LCT-7'!II62+'[4]LCT-8'!II62+'[5]TB-1'!II62+'[5]TB-2'!II62+'[5]TB-3'!II62+'[5]TB-4'!II62+'[5]TB-5'!II62+'[5]TB-6'!II62+'[5]TB-7'!II62+'[5]TB-8'!II62+'[5]TB-9'!II62+'[5]TB-10'!II62+'[6]DSV-1'!II62+'[6]DSV-2'!II62+'[6]DSV-3'!II62+'[7]TUB-1'!II62+'[7]TUB-2'!II62+'[8]Barge-1'!II62+'[8]Barge-2'!II62+'[8]Barge-3'!II62+'[8]Barge-4'!II62</f>
        <v>0</v>
      </c>
      <c r="AV24" s="136">
        <f>'[2]AHTS-1'!II24+'[2]AHTS-2'!II24+'[2]AHTS-3'!II24+'[2]AHTS-4'!II24+'[2]AHTS-5'!II24+'[2]AHTS-6'!II24+'[2]AHTS-7'!II24+'[2]AHTS-8'!II24+'[3]CB-1'!II24+'[3]CB-2'!II24+'[3]CB-3'!II24+'[3]CB-4'!II24+'[3]CB-5'!II24+'[3]CB-6'!II24+'[3]CB-7'!II24+'[3]CB-8'!II24+'[3]CB-9'!II24+'[3]CB-10'!II24+'[3]CB-11'!II24+'[3]CB-12'!II24+'[3]CB-13'!II24+'[3]CB-14'!II24+'[3]CB-15'!II24+'[3]CB-16'!II24+'[3]CB-17'!II24+'[3]CB-18'!II24+'[3]CB-19'!II24+'[3]CB-20'!II24+'[3]CB-21'!II24+'[3]CB-22'!II24+'[3]CB-23'!II24+'[3]CB-24'!II24+'[4]LCT-1'!II24+'[4]LCT-2'!II24+'[4]LCT-3'!II24+'[4]LCT-4'!II24+'[4]LCT-5'!II24+'[4]LCT-6'!II24+'[4]LCT-7'!II24+'[4]LCT-8'!II24+'[5]TB-1'!II24+'[5]TB-2'!II24+'[5]TB-3'!II24+'[5]TB-4'!II24+'[5]TB-5'!II24+'[5]TB-6'!II24+'[5]TB-7'!II24+'[5]TB-8'!II24+'[5]TB-9'!II24+'[5]TB-10'!II24+'[6]DSV-1'!II24+'[6]DSV-2'!II24+'[6]DSV-3'!II24+'[7]TUB-1'!II24+'[7]TUB-2'!II24+'[8]Barge-1'!II24+'[8]Barge-2'!II24+'[8]Barge-3'!II24+'[8]Barge-4'!II24</f>
        <v>0</v>
      </c>
      <c r="AW24" s="140">
        <f>'[2]AHTS-1'!II95+'[2]AHTS-2'!II95+'[2]AHTS-3'!II95+'[2]AHTS-4'!II95+'[2]AHTS-5'!II95+'[2]AHTS-6'!II95+'[2]AHTS-7'!II95+'[2]AHTS-8'!II95+'[3]CB-1'!II95+'[3]CB-2'!II95+'[3]CB-3'!II95+'[3]CB-4'!II95+'[3]CB-5'!II95+'[3]CB-6'!II95+'[3]CB-7'!II95+'[3]CB-8'!II95+'[3]CB-9'!II95+'[3]CB-10'!II95+'[3]CB-11'!II95+'[3]CB-12'!II95+'[3]CB-13'!II95+'[3]CB-14'!II95+'[3]CB-15'!II95+'[3]CB-16'!II95+'[3]CB-17'!II95+'[3]CB-18'!II95+'[3]CB-19'!II95+'[3]CB-20'!II95+'[3]CB-21'!II95+'[3]CB-22'!II95+'[3]CB-23'!II95+'[3]CB-24'!II95+'[4]LCT-1'!II95+'[4]LCT-2'!II95+'[4]LCT-3'!II95+'[4]LCT-4'!II95+'[4]LCT-5'!II95+'[4]LCT-6'!II95+'[4]LCT-7'!II95+'[4]LCT-8'!II95+'[5]TB-1'!II95+'[5]TB-2'!II95+'[5]TB-3'!II95+'[5]TB-4'!II95+'[5]TB-5'!II95+'[5]TB-6'!II95+'[5]TB-7'!II95+'[5]TB-8'!II95+'[5]TB-9'!II95+'[5]TB-10'!II95+'[6]DSV-1'!II95+'[6]DSV-2'!II95+'[6]DSV-3'!II95+'[7]TUB-1'!II95+'[7]TUB-2'!II95+'[8]Barge-1'!II95+'[8]Barge-2'!II95+'[8]Barge-3'!II95+'[8]Barge-4'!II95</f>
        <v>0</v>
      </c>
      <c r="AX24" s="67"/>
      <c r="AY24" s="67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</row>
    <row r="25" spans="1:97" s="69" customFormat="1" ht="14.25" customHeight="1" x14ac:dyDescent="0.25">
      <c r="A25" s="111">
        <f>[1]Control!AZ25</f>
        <v>46000</v>
      </c>
      <c r="B25" s="66"/>
      <c r="C25" s="176">
        <f>'[2]AHTS-1'!AV25+'[2]AHTS-2'!AV25+'[2]AHTS-3'!AV25+'[2]AHTS-4'!AV25+'[2]AHTS-5'!AV25+'[2]AHTS-6'!AV25+'[2]AHTS-7'!AV25+'[2]AHTS-8'!AV25+'[3]CB-1'!AV25+'[3]CB-2'!AV25+'[3]CB-3'!AV25+'[3]CB-4'!AV25+'[3]CB-5'!AV25+'[3]CB-6'!AV25+'[3]CB-7'!AV25+'[3]CB-8'!AV25+'[3]CB-9'!AV25+'[3]CB-10'!AV25+'[3]CB-11'!AV25+'[3]CB-12'!AV25+'[3]CB-13'!AV25+'[3]CB-14'!AV25+'[3]CB-15'!AV25+'[3]CB-16'!AV25+'[3]CB-17'!AV25+'[3]CB-18'!AV25+'[3]CB-19'!AV25+'[3]CB-20'!AV25+'[3]CB-21'!AV25+'[3]CB-22'!AV25+'[3]CB-23'!AV25+'[3]CB-24'!AV25+'[4]LCT-1'!AV25+'[4]LCT-2'!AV25+'[4]LCT-3'!AV25+'[4]LCT-4'!AV25+'[4]LCT-5'!AV25+'[4]LCT-6'!AV25+'[4]LCT-7'!AV25+'[4]LCT-8'!AV25+'[5]TB-1'!AV25+'[5]TB-2'!AV25+'[5]TB-3'!AV25+'[5]TB-4'!AV25+'[5]TB-5'!AV25+'[5]TB-6'!AV25+'[5]TB-7'!AV25+'[5]TB-8'!AV25+'[5]TB-9'!AV25+'[5]TB-10'!AV25+'[6]DSV-1'!AV25+'[6]DSV-2'!AV25+'[6]DSV-3'!AV25+'[7]TUB-1'!AV25+'[7]TUB-2'!AV25+'[8]Barge-1'!AV25+'[8]Barge-2'!AV25+'[8]Barge-3'!AV25+'[8]Barge-4'!AV25</f>
        <v>0</v>
      </c>
      <c r="D25" s="177">
        <f>'[2]AHTS-1'!BR25+'[2]AHTS-2'!BR25+'[2]AHTS-3'!BR25+'[2]AHTS-4'!BR25+'[2]AHTS-5'!BR25+'[2]AHTS-6'!BR25+'[2]AHTS-7'!BR25+'[2]AHTS-8'!BR25+'[3]CB-1'!BR25+'[3]CB-2'!BR25+'[3]CB-3'!BR25+'[3]CB-4'!BR25+'[3]CB-5'!BR25+'[3]CB-6'!BR25+'[3]CB-7'!BR25+'[3]CB-8'!BR25+'[3]CB-9'!BR25+'[3]CB-10'!BR25+'[3]CB-11'!BR25+'[3]CB-12'!BR25+'[3]CB-13'!BR25+'[3]CB-14'!BR25+'[3]CB-15'!BR25+'[3]CB-16'!BR25+'[3]CB-17'!BR25+'[3]CB-18'!BR25+'[3]CB-19'!BR25+'[3]CB-20'!BR25+'[3]CB-21'!BR25+'[3]CB-22'!BR25+'[3]CB-23'!BR25+'[3]CB-24'!BR25+'[4]LCT-1'!BR25+'[4]LCT-2'!BR25+'[4]LCT-3'!BR25+'[4]LCT-4'!BR25+'[4]LCT-5'!BR25+'[4]LCT-6'!BR25+'[4]LCT-7'!BR25+'[4]LCT-8'!BR25+'[5]TB-1'!BR25+'[5]TB-2'!BR25+'[5]TB-3'!BR25+'[5]TB-4'!BR25+'[5]TB-5'!BR25+'[5]TB-6'!BR25+'[5]TB-7'!BR25+'[5]TB-8'!BR25+'[5]TB-9'!BR25+'[5]TB-10'!BR25+'[6]DSV-1'!BR25+'[6]DSV-2'!BR25+'[6]DSV-3'!BR25+'[7]TUB-1'!BR25+'[7]TUB-2'!BR25+'[8]Barge-1'!BR25+'[8]Barge-2'!BR25+'[8]Barge-3'!BR25+'[8]Barge-4'!BR25</f>
        <v>0</v>
      </c>
      <c r="E25" s="178">
        <f>'[2]AHTS-1'!CN25+'[2]AHTS-2'!CN25+'[2]AHTS-3'!CN25+'[2]AHTS-4'!CN25+'[2]AHTS-5'!CN25+'[2]AHTS-6'!CN25+'[2]AHTS-7'!CN25+'[2]AHTS-8'!CN25+'[3]CB-1'!CN25+'[3]CB-2'!CN25+'[3]CB-3'!CN25+'[3]CB-4'!CN25+'[3]CB-5'!CN25+'[3]CB-6'!CN25+'[3]CB-7'!CN25+'[3]CB-8'!CN25+'[3]CB-9'!CN25+'[3]CB-10'!CN25+'[3]CB-11'!CN25+'[3]CB-12'!CN25+'[3]CB-13'!CN25+'[3]CB-14'!CN25+'[3]CB-15'!CN25+'[3]CB-16'!CN25+'[3]CB-17'!CN25+'[3]CB-18'!CN25+'[3]CB-19'!CN25+'[3]CB-20'!CN25+'[3]CB-21'!CN25+'[3]CB-22'!CN25+'[3]CB-23'!CN25+'[3]CB-24'!CN25+'[4]LCT-1'!CN25+'[4]LCT-2'!CN25+'[4]LCT-3'!CN25+'[4]LCT-4'!CN25+'[4]LCT-5'!CN25+'[4]LCT-6'!CN25+'[4]LCT-7'!CN25+'[4]LCT-8'!CN25+'[5]TB-1'!CN25+'[5]TB-2'!CN25+'[5]TB-3'!CN25+'[5]TB-4'!CN25+'[5]TB-5'!CN25+'[5]TB-6'!CN25+'[5]TB-7'!CN25+'[5]TB-8'!CN25+'[5]TB-9'!CN25+'[5]TB-10'!CN25+'[6]DSV-1'!CN25+'[6]DSV-2'!CN25+'[6]DSV-3'!CN25+'[7]TUB-1'!CN25+'[7]TUB-2'!CN25+'[8]Barge-1'!CN25+'[8]Barge-2'!CN25+'[8]Barge-3'!CN25+'[8]Barge-4'!CN25</f>
        <v>0</v>
      </c>
      <c r="F25" s="179">
        <f>'[2]AHTS-1'!AW25+'[2]AHTS-2'!AW25+'[2]AHTS-3'!AW25+'[2]AHTS-4'!AW25+'[2]AHTS-5'!AW25+'[2]AHTS-6'!AW25+'[2]AHTS-7'!AW25+'[2]AHTS-8'!AW25+'[3]CB-1'!AW25+'[3]CB-2'!AW25+'[3]CB-3'!AW25+'[3]CB-4'!AW25+'[3]CB-5'!AW25+'[3]CB-6'!AW25+'[3]CB-7'!AW25+'[3]CB-8'!AW25+'[3]CB-9'!AW25+'[3]CB-10'!AW25+'[3]CB-11'!AW25+'[3]CB-12'!AW25+'[3]CB-13'!AW25+'[3]CB-14'!AW25+'[3]CB-15'!AW25+'[3]CB-16'!AW25+'[3]CB-17'!AW25+'[3]CB-18'!AW25+'[3]CB-19'!AW25+'[3]CB-20'!AW25+'[3]CB-21'!AW25+'[3]CB-22'!AW25+'[3]CB-23'!AW25+'[3]CB-24'!AW25+'[4]LCT-1'!AW25+'[4]LCT-2'!AW25+'[4]LCT-3'!AW25+'[4]LCT-4'!AW25+'[4]LCT-5'!AW25+'[4]LCT-6'!AW25+'[4]LCT-7'!AW25+'[4]LCT-8'!AW25+'[5]TB-1'!AW25+'[5]TB-2'!AW25+'[5]TB-3'!AW25+'[5]TB-4'!AW25+'[5]TB-5'!AW25+'[5]TB-6'!AW25+'[5]TB-7'!AW25+'[5]TB-8'!AW25+'[5]TB-9'!AW25+'[5]TB-10'!AW25+'[6]DSV-1'!AW25+'[6]DSV-2'!AW25+'[6]DSV-3'!AW25+'[7]TUB-1'!AW25+'[7]TUB-2'!AW25+'[8]Barge-1'!AW25+'[8]Barge-2'!AW25+'[8]Barge-3'!AW25+'[8]Barge-4'!AW25</f>
        <v>2883.1801842043687</v>
      </c>
      <c r="G25" s="180">
        <f>'[2]AHTS-1'!BS25+'[2]AHTS-2'!BS25+'[2]AHTS-3'!BS25+'[2]AHTS-4'!BS25+'[2]AHTS-5'!BS25+'[2]AHTS-6'!BS25+'[2]AHTS-7'!BS25+'[2]AHTS-8'!BS25+'[3]CB-1'!BS25+'[3]CB-2'!BS25+'[3]CB-3'!BS25+'[3]CB-4'!BS25+'[3]CB-5'!BS25+'[3]CB-6'!BS25+'[3]CB-7'!BS25+'[3]CB-8'!BS25+'[3]CB-9'!BS25+'[3]CB-10'!BS25+'[3]CB-11'!BS25+'[3]CB-12'!BS25+'[3]CB-13'!BS25+'[3]CB-14'!BS25+'[3]CB-15'!BS25+'[3]CB-16'!BS25+'[3]CB-17'!BS25+'[3]CB-18'!BS25+'[3]CB-19'!BS25+'[3]CB-20'!BS25+'[3]CB-21'!BS25+'[3]CB-22'!BS25+'[3]CB-23'!BS25+'[3]CB-24'!BS25+'[4]LCT-1'!BS25+'[4]LCT-2'!BS25+'[4]LCT-3'!BS25+'[4]LCT-4'!BS25+'[4]LCT-5'!BS25+'[4]LCT-6'!BS25+'[4]LCT-7'!BS25+'[4]LCT-8'!BS25+'[5]TB-1'!BS25+'[5]TB-2'!BS25+'[5]TB-3'!BS25+'[5]TB-4'!BS25+'[5]TB-5'!BS25+'[5]TB-6'!BS25+'[5]TB-7'!BS25+'[5]TB-8'!BS25+'[5]TB-9'!BS25+'[5]TB-10'!BS25+'[6]DSV-1'!BS25+'[6]DSV-2'!BS25+'[6]DSV-3'!BS25+'[7]TUB-1'!BS25+'[7]TUB-2'!BS25+'[8]Barge-1'!BS25+'[8]Barge-2'!BS25+'[8]Barge-3'!BS25+'[8]Barge-4'!BS25</f>
        <v>2545.0407334141623</v>
      </c>
      <c r="H25" s="180">
        <f>'[2]AHTS-1'!CO25+'[2]AHTS-2'!CO25+'[2]AHTS-3'!CO25+'[2]AHTS-4'!CO25+'[2]AHTS-5'!CO25+'[2]AHTS-6'!CO25+'[2]AHTS-7'!CO25+'[2]AHTS-8'!CO25+'[3]CB-1'!CO25+'[3]CB-2'!CO25+'[3]CB-3'!CO25+'[3]CB-4'!CO25+'[3]CB-5'!CO25+'[3]CB-6'!CO25+'[3]CB-7'!CO25+'[3]CB-8'!CO25+'[3]CB-9'!CO25+'[3]CB-10'!CO25+'[3]CB-11'!CO25+'[3]CB-12'!CO25+'[3]CB-13'!CO25+'[3]CB-14'!CO25+'[3]CB-15'!CO25+'[3]CB-16'!CO25+'[3]CB-17'!CO25+'[3]CB-18'!CO25+'[3]CB-19'!CO25+'[3]CB-20'!CO25+'[3]CB-21'!CO25+'[3]CB-22'!CO25+'[3]CB-23'!CO25+'[3]CB-24'!CO25+'[4]LCT-1'!CO25+'[4]LCT-2'!CO25+'[4]LCT-3'!CO25+'[4]LCT-4'!CO25+'[4]LCT-5'!CO25+'[4]LCT-6'!CO25+'[4]LCT-7'!CO25+'[4]LCT-8'!CO25+'[5]TB-1'!CO25+'[5]TB-2'!CO25+'[5]TB-3'!CO25+'[5]TB-4'!CO25+'[5]TB-5'!CO25+'[5]TB-6'!CO25+'[5]TB-7'!CO25+'[5]TB-8'!CO25+'[5]TB-9'!CO25+'[5]TB-10'!CO25+'[6]DSV-1'!CO25+'[6]DSV-2'!CO25+'[6]DSV-3'!CO25+'[7]TUB-1'!CO25+'[7]TUB-2'!CO25+'[8]Barge-1'!CO25+'[8]Barge-2'!CO25+'[8]Barge-3'!CO25+'[8]Barge-4'!CO25</f>
        <v>0</v>
      </c>
      <c r="I25" s="179">
        <f>'[2]AHTS-1'!AX25+'[2]AHTS-2'!AX25+'[2]AHTS-3'!AX25+'[2]AHTS-4'!AX25+'[2]AHTS-5'!AX25+'[2]AHTS-6'!AX25+'[2]AHTS-7'!AX25+'[2]AHTS-8'!AX25+'[3]CB-1'!AX25+'[3]CB-2'!AX25+'[3]CB-3'!AX25+'[3]CB-4'!AX25+'[3]CB-5'!AX25+'[3]CB-6'!AX25+'[3]CB-7'!AX25+'[3]CB-8'!AX25+'[3]CB-9'!AX25+'[3]CB-10'!AX25+'[3]CB-11'!AX25+'[3]CB-12'!AX25+'[3]CB-13'!AX25+'[3]CB-14'!AX25+'[3]CB-15'!AX25+'[3]CB-16'!AX25+'[3]CB-17'!AX25+'[3]CB-18'!AX25+'[3]CB-19'!AX25+'[3]CB-20'!AX25+'[3]CB-21'!AX25+'[3]CB-22'!AX25+'[3]CB-23'!AX25+'[3]CB-24'!AX25+'[4]LCT-1'!AX25+'[4]LCT-2'!AX25+'[4]LCT-3'!AX25+'[4]LCT-4'!AX25+'[4]LCT-5'!AX25+'[4]LCT-6'!AX25+'[4]LCT-7'!AX25+'[4]LCT-8'!AX25+'[5]TB-1'!AX25+'[5]TB-2'!AX25+'[5]TB-3'!AX25+'[5]TB-4'!AX25+'[5]TB-5'!AX25+'[5]TB-6'!AX25+'[5]TB-7'!AX25+'[5]TB-8'!AX25+'[5]TB-9'!AX25+'[5]TB-10'!AX25+'[6]DSV-1'!AX25+'[6]DSV-2'!AX25+'[6]DSV-3'!AX25+'[7]TUB-1'!AX25+'[7]TUB-2'!AX25+'[8]Barge-1'!AX25+'[8]Barge-2'!AX25+'[8]Barge-3'!AX25+'[8]Barge-4'!AX25</f>
        <v>2181.1929679024952</v>
      </c>
      <c r="J25" s="180">
        <f>'[2]AHTS-1'!BT25+'[2]AHTS-2'!BT25+'[2]AHTS-3'!BT25+'[2]AHTS-4'!BT25+'[2]AHTS-5'!BT25+'[2]AHTS-6'!BT25+'[2]AHTS-7'!BT25+'[2]AHTS-8'!BT25+'[3]CB-1'!BT25+'[3]CB-2'!BT25+'[3]CB-3'!BT25+'[3]CB-4'!BT25+'[3]CB-5'!BT25+'[3]CB-6'!BT25+'[3]CB-7'!BT25+'[3]CB-8'!BT25+'[3]CB-9'!BT25+'[3]CB-10'!BT25+'[3]CB-11'!BT25+'[3]CB-12'!BT25+'[3]CB-13'!BT25+'[3]CB-14'!BT25+'[3]CB-15'!BT25+'[3]CB-16'!BT25+'[3]CB-17'!BT25+'[3]CB-18'!BT25+'[3]CB-19'!BT25+'[3]CB-20'!BT25+'[3]CB-21'!BT25+'[3]CB-22'!BT25+'[3]CB-23'!BT25+'[3]CB-24'!BT25+'[4]LCT-1'!BT25+'[4]LCT-2'!BT25+'[4]LCT-3'!BT25+'[4]LCT-4'!BT25+'[4]LCT-5'!BT25+'[4]LCT-6'!BT25+'[4]LCT-7'!BT25+'[4]LCT-8'!BT25+'[5]TB-1'!BT25+'[5]TB-2'!BT25+'[5]TB-3'!BT25+'[5]TB-4'!BT25+'[5]TB-5'!BT25+'[5]TB-6'!BT25+'[5]TB-7'!BT25+'[5]TB-8'!BT25+'[5]TB-9'!BT25+'[5]TB-10'!BT25+'[6]DSV-1'!BT25+'[6]DSV-2'!BT25+'[6]DSV-3'!BT25+'[7]TUB-1'!BT25+'[7]TUB-2'!BT25+'[8]Barge-1'!BT25+'[8]Barge-2'!BT25+'[8]Barge-3'!BT25+'[8]Barge-4'!BT25</f>
        <v>1810.6693893178485</v>
      </c>
      <c r="K25" s="180">
        <f>'[2]AHTS-1'!CP25+'[2]AHTS-2'!CP25+'[2]AHTS-3'!CP25+'[2]AHTS-4'!CP25+'[2]AHTS-5'!CP25+'[2]AHTS-6'!CP25+'[2]AHTS-7'!CP25+'[2]AHTS-8'!CP25+'[3]CB-1'!CP25+'[3]CB-2'!CP25+'[3]CB-3'!CP25+'[3]CB-4'!CP25+'[3]CB-5'!CP25+'[3]CB-6'!CP25+'[3]CB-7'!CP25+'[3]CB-8'!CP25+'[3]CB-9'!CP25+'[3]CB-10'!CP25+'[3]CB-11'!CP25+'[3]CB-12'!CP25+'[3]CB-13'!CP25+'[3]CB-14'!CP25+'[3]CB-15'!CP25+'[3]CB-16'!CP25+'[3]CB-17'!CP25+'[3]CB-18'!CP25+'[3]CB-19'!CP25+'[3]CB-20'!CP25+'[3]CB-21'!CP25+'[3]CB-22'!CP25+'[3]CB-23'!CP25+'[3]CB-24'!CP25+'[4]LCT-1'!CP25+'[4]LCT-2'!CP25+'[4]LCT-3'!CP25+'[4]LCT-4'!CP25+'[4]LCT-5'!CP25+'[4]LCT-6'!CP25+'[4]LCT-7'!CP25+'[4]LCT-8'!CP25+'[5]TB-1'!CP25+'[5]TB-2'!CP25+'[5]TB-3'!CP25+'[5]TB-4'!CP25+'[5]TB-5'!CP25+'[5]TB-6'!CP25+'[5]TB-7'!CP25+'[5]TB-8'!CP25+'[5]TB-9'!CP25+'[5]TB-10'!CP25+'[6]DSV-1'!CP25+'[6]DSV-2'!CP25+'[6]DSV-3'!CP25+'[7]TUB-1'!CP25+'[7]TUB-2'!CP25+'[8]Barge-1'!CP25+'[8]Barge-2'!CP25+'[8]Barge-3'!CP25+'[8]Barge-4'!CP25</f>
        <v>0</v>
      </c>
      <c r="L25" s="181">
        <f>'[2]AHTS-1'!AY25+'[2]AHTS-2'!AY25+'[2]AHTS-3'!AY25+'[2]AHTS-4'!AY25+'[2]AHTS-5'!AY25+'[2]AHTS-6'!AY25+'[2]AHTS-7'!AY25+'[2]AHTS-8'!AY25+'[3]CB-1'!AY25+'[3]CB-2'!AY25+'[3]CB-3'!AY25+'[3]CB-4'!AY25+'[3]CB-5'!AY25+'[3]CB-6'!AY25+'[3]CB-7'!AY25+'[3]CB-8'!AY25+'[3]CB-9'!AY25+'[3]CB-10'!AY25+'[3]CB-11'!AY25+'[3]CB-12'!AY25+'[3]CB-13'!AY25+'[3]CB-14'!AY25+'[3]CB-15'!AY25+'[3]CB-16'!AY25+'[3]CB-17'!AY25+'[3]CB-18'!AY25+'[3]CB-19'!AY25+'[3]CB-20'!AY25+'[3]CB-21'!AY25+'[3]CB-22'!AY25+'[3]CB-23'!AY25+'[3]CB-24'!AY25+'[4]LCT-1'!AY25+'[4]LCT-2'!AY25+'[4]LCT-3'!AY25+'[4]LCT-4'!AY25+'[4]LCT-5'!AY25+'[4]LCT-6'!AY25+'[4]LCT-7'!AY25+'[4]LCT-8'!AY25+'[5]TB-1'!AY25+'[5]TB-2'!AY25+'[5]TB-3'!AY25+'[5]TB-4'!AY25+'[5]TB-5'!AY25+'[5]TB-6'!AY25+'[5]TB-7'!AY25+'[5]TB-8'!AY25+'[5]TB-9'!AY25+'[5]TB-10'!AY25+'[6]DSV-1'!AY25+'[6]DSV-2'!AY25+'[6]DSV-3'!AY25+'[7]TUB-1'!AY25+'[7]TUB-2'!AY25+'[8]Barge-1'!AY25+'[8]Barge-2'!AY25+'[8]Barge-3'!AY25+'[8]Barge-4'!AY25</f>
        <v>2699.3959117690852</v>
      </c>
      <c r="M25" s="182">
        <f>'[2]AHTS-1'!BU25+'[2]AHTS-2'!BU25+'[2]AHTS-3'!BU25+'[2]AHTS-4'!BU25+'[2]AHTS-5'!BU25+'[2]AHTS-6'!BU25+'[2]AHTS-7'!BU25+'[2]AHTS-8'!BU25+'[3]CB-1'!BU25+'[3]CB-2'!BU25+'[3]CB-3'!BU25+'[3]CB-4'!BU25+'[3]CB-5'!BU25+'[3]CB-6'!BU25+'[3]CB-7'!BU25+'[3]CB-8'!BU25+'[3]CB-9'!BU25+'[3]CB-10'!BU25+'[3]CB-11'!BU25+'[3]CB-12'!BU25+'[3]CB-13'!BU25+'[3]CB-14'!BU25+'[3]CB-15'!BU25+'[3]CB-16'!BU25+'[3]CB-17'!BU25+'[3]CB-18'!BU25+'[3]CB-19'!BU25+'[3]CB-20'!BU25+'[3]CB-21'!BU25+'[3]CB-22'!BU25+'[3]CB-23'!BU25+'[3]CB-24'!BU25+'[4]LCT-1'!BU25+'[4]LCT-2'!BU25+'[4]LCT-3'!BU25+'[4]LCT-4'!BU25+'[4]LCT-5'!BU25+'[4]LCT-6'!BU25+'[4]LCT-7'!BU25+'[4]LCT-8'!BU25+'[5]TB-1'!BU25+'[5]TB-2'!BU25+'[5]TB-3'!BU25+'[5]TB-4'!BU25+'[5]TB-5'!BU25+'[5]TB-6'!BU25+'[5]TB-7'!BU25+'[5]TB-8'!BU25+'[5]TB-9'!BU25+'[5]TB-10'!BU25+'[6]DSV-1'!BU25+'[6]DSV-2'!BU25+'[6]DSV-3'!BU25+'[7]TUB-1'!BU25+'[7]TUB-2'!BU25+'[8]Barge-1'!BU25+'[8]Barge-2'!BU25+'[8]Barge-3'!BU25+'[8]Barge-4'!BU25</f>
        <v>4309.4463233573688</v>
      </c>
      <c r="N25" s="182">
        <f>'[2]AHTS-1'!CQ25+'[2]AHTS-2'!CQ25+'[2]AHTS-3'!CQ25+'[2]AHTS-4'!CQ25+'[2]AHTS-5'!CQ25+'[2]AHTS-6'!CQ25+'[2]AHTS-7'!CQ25+'[2]AHTS-8'!CQ25+'[3]CB-1'!CQ25+'[3]CB-2'!CQ25+'[3]CB-3'!CQ25+'[3]CB-4'!CQ25+'[3]CB-5'!CQ25+'[3]CB-6'!CQ25+'[3]CB-7'!CQ25+'[3]CB-8'!CQ25+'[3]CB-9'!CQ25+'[3]CB-10'!CQ25+'[3]CB-11'!CQ25+'[3]CB-12'!CQ25+'[3]CB-13'!CQ25+'[3]CB-14'!CQ25+'[3]CB-15'!CQ25+'[3]CB-16'!CQ25+'[3]CB-17'!CQ25+'[3]CB-18'!CQ25+'[3]CB-19'!CQ25+'[3]CB-20'!CQ25+'[3]CB-21'!CQ25+'[3]CB-22'!CQ25+'[3]CB-23'!CQ25+'[3]CB-24'!CQ25+'[4]LCT-1'!CQ25+'[4]LCT-2'!CQ25+'[4]LCT-3'!CQ25+'[4]LCT-4'!CQ25+'[4]LCT-5'!CQ25+'[4]LCT-6'!CQ25+'[4]LCT-7'!CQ25+'[4]LCT-8'!CQ25+'[5]TB-1'!CQ25+'[5]TB-2'!CQ25+'[5]TB-3'!CQ25+'[5]TB-4'!CQ25+'[5]TB-5'!CQ25+'[5]TB-6'!CQ25+'[5]TB-7'!CQ25+'[5]TB-8'!CQ25+'[5]TB-9'!CQ25+'[5]TB-10'!CQ25+'[6]DSV-1'!CQ25+'[6]DSV-2'!CQ25+'[6]DSV-3'!CQ25+'[7]TUB-1'!CQ25+'[7]TUB-2'!CQ25+'[8]Barge-1'!CQ25+'[8]Barge-2'!CQ25+'[8]Barge-3'!CQ25+'[8]Barge-4'!CQ25</f>
        <v>0</v>
      </c>
      <c r="O25" s="179">
        <f>'[2]AHTS-1'!AZ25+'[2]AHTS-2'!AZ25+'[2]AHTS-3'!AZ25+'[2]AHTS-4'!AZ25+'[2]AHTS-5'!AZ25+'[2]AHTS-6'!AZ25+'[2]AHTS-7'!AZ25+'[2]AHTS-8'!AZ25+'[3]CB-1'!AZ25+'[3]CB-2'!AZ25+'[3]CB-3'!AZ25+'[3]CB-4'!AZ25+'[3]CB-5'!AZ25+'[3]CB-6'!AZ25+'[3]CB-7'!AZ25+'[3]CB-8'!AZ25+'[3]CB-9'!AZ25+'[3]CB-10'!AZ25+'[3]CB-11'!AZ25+'[3]CB-12'!AZ25+'[3]CB-13'!AZ25+'[3]CB-14'!AZ25+'[3]CB-15'!AZ25+'[3]CB-16'!AZ25+'[3]CB-17'!AZ25+'[3]CB-18'!AZ25+'[3]CB-19'!AZ25+'[3]CB-20'!AZ25+'[3]CB-21'!AZ25+'[3]CB-22'!AZ25+'[3]CB-23'!AZ25+'[3]CB-24'!AZ25+'[4]LCT-1'!AZ25+'[4]LCT-2'!AZ25+'[4]LCT-3'!AZ25+'[4]LCT-4'!AZ25+'[4]LCT-5'!AZ25+'[4]LCT-6'!AZ25+'[4]LCT-7'!AZ25+'[4]LCT-8'!AZ25+'[5]TB-1'!AZ25+'[5]TB-2'!AZ25+'[5]TB-3'!AZ25+'[5]TB-4'!AZ25+'[5]TB-5'!AZ25+'[5]TB-6'!AZ25+'[5]TB-7'!AZ25+'[5]TB-8'!AZ25+'[5]TB-9'!AZ25+'[5]TB-10'!AZ25+'[6]DSV-1'!AZ25+'[6]DSV-2'!AZ25+'[6]DSV-3'!AZ25+'[7]TUB-1'!AZ25+'[7]TUB-2'!AZ25+'[8]Barge-1'!AZ25+'[8]Barge-2'!AZ25+'[8]Barge-3'!AZ25+'[8]Barge-4'!AZ25</f>
        <v>27.13823835960266</v>
      </c>
      <c r="P25" s="180">
        <f>'[2]AHTS-1'!BV25+'[2]AHTS-2'!BV25+'[2]AHTS-3'!BV25+'[2]AHTS-4'!BV25+'[2]AHTS-5'!BV25+'[2]AHTS-6'!BV25+'[2]AHTS-7'!BV25+'[2]AHTS-8'!BV25+'[3]CB-1'!BV25+'[3]CB-2'!BV25+'[3]CB-3'!BV25+'[3]CB-4'!BV25+'[3]CB-5'!BV25+'[3]CB-6'!BV25+'[3]CB-7'!BV25+'[3]CB-8'!BV25+'[3]CB-9'!BV25+'[3]CB-10'!BV25+'[3]CB-11'!BV25+'[3]CB-12'!BV25+'[3]CB-13'!BV25+'[3]CB-14'!BV25+'[3]CB-15'!BV25+'[3]CB-16'!BV25+'[3]CB-17'!BV25+'[3]CB-18'!BV25+'[3]CB-19'!BV25+'[3]CB-20'!BV25+'[3]CB-21'!BV25+'[3]CB-22'!BV25+'[3]CB-23'!BV25+'[3]CB-24'!BV25+'[4]LCT-1'!BV25+'[4]LCT-2'!BV25+'[4]LCT-3'!BV25+'[4]LCT-4'!BV25+'[4]LCT-5'!BV25+'[4]LCT-6'!BV25+'[4]LCT-7'!BV25+'[4]LCT-8'!BV25+'[5]TB-1'!BV25+'[5]TB-2'!BV25+'[5]TB-3'!BV25+'[5]TB-4'!BV25+'[5]TB-5'!BV25+'[5]TB-6'!BV25+'[5]TB-7'!BV25+'[5]TB-8'!BV25+'[5]TB-9'!BV25+'[5]TB-10'!BV25+'[6]DSV-1'!BV25+'[6]DSV-2'!BV25+'[6]DSV-3'!BV25+'[7]TUB-1'!BV25+'[7]TUB-2'!BV25+'[8]Barge-1'!BV25+'[8]Barge-2'!BV25+'[8]Barge-3'!BV25+'[8]Barge-4'!BV25</f>
        <v>276.5192606300385</v>
      </c>
      <c r="Q25" s="180">
        <f>'[2]AHTS-1'!CR25+'[2]AHTS-2'!CR25+'[2]AHTS-3'!CR25+'[2]AHTS-4'!CR25+'[2]AHTS-5'!CR25+'[2]AHTS-6'!CR25+'[2]AHTS-7'!CR25+'[2]AHTS-8'!CR25+'[3]CB-1'!CR25+'[3]CB-2'!CR25+'[3]CB-3'!CR25+'[3]CB-4'!CR25+'[3]CB-5'!CR25+'[3]CB-6'!CR25+'[3]CB-7'!CR25+'[3]CB-8'!CR25+'[3]CB-9'!CR25+'[3]CB-10'!CR25+'[3]CB-11'!CR25+'[3]CB-12'!CR25+'[3]CB-13'!CR25+'[3]CB-14'!CR25+'[3]CB-15'!CR25+'[3]CB-16'!CR25+'[3]CB-17'!CR25+'[3]CB-18'!CR25+'[3]CB-19'!CR25+'[3]CB-20'!CR25+'[3]CB-21'!CR25+'[3]CB-22'!CR25+'[3]CB-23'!CR25+'[3]CB-24'!CR25+'[4]LCT-1'!CR25+'[4]LCT-2'!CR25+'[4]LCT-3'!CR25+'[4]LCT-4'!CR25+'[4]LCT-5'!CR25+'[4]LCT-6'!CR25+'[4]LCT-7'!CR25+'[4]LCT-8'!CR25+'[5]TB-1'!CR25+'[5]TB-2'!CR25+'[5]TB-3'!CR25+'[5]TB-4'!CR25+'[5]TB-5'!CR25+'[5]TB-6'!CR25+'[5]TB-7'!CR25+'[5]TB-8'!CR25+'[5]TB-9'!CR25+'[5]TB-10'!CR25+'[6]DSV-1'!CR25+'[6]DSV-2'!CR25+'[6]DSV-3'!CR25+'[7]TUB-1'!CR25+'[7]TUB-2'!CR25+'[8]Barge-1'!CR25+'[8]Barge-2'!CR25+'[8]Barge-3'!CR25+'[8]Barge-4'!CR25</f>
        <v>0</v>
      </c>
      <c r="R25" s="183">
        <f>'[2]AHTS-1'!BA25+'[2]AHTS-2'!BA25+'[2]AHTS-3'!BA25+'[2]AHTS-4'!BA25+'[2]AHTS-5'!BA25+'[2]AHTS-6'!BA25+'[2]AHTS-7'!BA25+'[2]AHTS-8'!BA25+'[3]CB-1'!BA25+'[3]CB-2'!BA25+'[3]CB-3'!BA25+'[3]CB-4'!BA25+'[3]CB-5'!BA25+'[3]CB-6'!BA25+'[3]CB-7'!BA25+'[3]CB-8'!BA25+'[3]CB-9'!BA25+'[3]CB-10'!BA25+'[3]CB-11'!BA25+'[3]CB-12'!BA25+'[3]CB-13'!BA25+'[3]CB-14'!BA25+'[3]CB-15'!BA25+'[3]CB-16'!BA25+'[3]CB-17'!BA25+'[3]CB-18'!BA25+'[3]CB-19'!BA25+'[3]CB-20'!BA25+'[3]CB-21'!BA25+'[3]CB-22'!BA25+'[3]CB-23'!BA25+'[3]CB-24'!BA25+'[4]LCT-1'!BA25+'[4]LCT-2'!BA25+'[4]LCT-3'!BA25+'[4]LCT-4'!BA25+'[4]LCT-5'!BA25+'[4]LCT-6'!BA25+'[4]LCT-7'!BA25+'[4]LCT-8'!BA25+'[5]TB-1'!BA25+'[5]TB-2'!BA25+'[5]TB-3'!BA25+'[5]TB-4'!BA25+'[5]TB-5'!BA25+'[5]TB-6'!BA25+'[5]TB-7'!BA25+'[5]TB-8'!BA25+'[5]TB-9'!BA25+'[5]TB-10'!BA25+'[6]DSV-1'!BA25+'[6]DSV-2'!BA25+'[6]DSV-3'!BA25+'[7]TUB-1'!BA25+'[7]TUB-2'!BA25+'[8]Barge-1'!BA25+'[8]Barge-2'!BA25+'[8]Barge-3'!BA25+'[8]Barge-4'!BA25</f>
        <v>5271.345159849403</v>
      </c>
      <c r="S25" s="180">
        <f>'[2]AHTS-1'!BW25+'[2]AHTS-2'!BW25+'[2]AHTS-3'!BW25+'[2]AHTS-4'!BW25+'[2]AHTS-5'!BW25+'[2]AHTS-6'!BW25+'[2]AHTS-7'!BW25+'[2]AHTS-8'!BW25+'[3]CB-1'!BW25+'[3]CB-2'!BW25+'[3]CB-3'!BW25+'[3]CB-4'!BW25+'[3]CB-5'!BW25+'[3]CB-6'!BW25+'[3]CB-7'!BW25+'[3]CB-8'!BW25+'[3]CB-9'!BW25+'[3]CB-10'!BW25+'[3]CB-11'!BW25+'[3]CB-12'!BW25+'[3]CB-13'!BW25+'[3]CB-14'!BW25+'[3]CB-15'!BW25+'[3]CB-16'!BW25+'[3]CB-17'!BW25+'[3]CB-18'!BW25+'[3]CB-19'!BW25+'[3]CB-20'!BW25+'[3]CB-21'!BW25+'[3]CB-22'!BW25+'[3]CB-23'!BW25+'[3]CB-24'!BW25+'[4]LCT-1'!BW25+'[4]LCT-2'!BW25+'[4]LCT-3'!BW25+'[4]LCT-4'!BW25+'[4]LCT-5'!BW25+'[4]LCT-6'!BW25+'[4]LCT-7'!BW25+'[4]LCT-8'!BW25+'[5]TB-1'!BW25+'[5]TB-2'!BW25+'[5]TB-3'!BW25+'[5]TB-4'!BW25+'[5]TB-5'!BW25+'[5]TB-6'!BW25+'[5]TB-7'!BW25+'[5]TB-8'!BW25+'[5]TB-9'!BW25+'[5]TB-10'!BW25+'[6]DSV-1'!BW25+'[6]DSV-2'!BW25+'[6]DSV-3'!BW25+'[7]TUB-1'!BW25+'[7]TUB-2'!BW25+'[8]Barge-1'!BW25+'[8]Barge-2'!BW25+'[8]Barge-3'!BW25+'[8]Barge-4'!BW25</f>
        <v>6039.8187735307256</v>
      </c>
      <c r="T25" s="184">
        <f>'[2]AHTS-1'!CS25+'[2]AHTS-2'!CS25+'[2]AHTS-3'!CS25+'[2]AHTS-4'!CS25+'[2]AHTS-5'!CS25+'[2]AHTS-6'!CS25+'[2]AHTS-7'!CS25+'[2]AHTS-8'!CS25+'[3]CB-1'!CS25+'[3]CB-2'!CS25+'[3]CB-3'!CS25+'[3]CB-4'!CS25+'[3]CB-5'!CS25+'[3]CB-6'!CS25+'[3]CB-7'!CS25+'[3]CB-8'!CS25+'[3]CB-9'!CS25+'[3]CB-10'!CS25+'[3]CB-11'!CS25+'[3]CB-12'!CS25+'[3]CB-13'!CS25+'[3]CB-14'!CS25+'[3]CB-15'!CS25+'[3]CB-16'!CS25+'[3]CB-17'!CS25+'[3]CB-18'!CS25+'[3]CB-19'!CS25+'[3]CB-20'!CS25+'[3]CB-21'!CS25+'[3]CB-22'!CS25+'[3]CB-23'!CS25+'[3]CB-24'!CS25+'[4]LCT-1'!CS25+'[4]LCT-2'!CS25+'[4]LCT-3'!CS25+'[4]LCT-4'!CS25+'[4]LCT-5'!CS25+'[4]LCT-6'!CS25+'[4]LCT-7'!CS25+'[4]LCT-8'!CS25+'[5]TB-1'!CS25+'[5]TB-2'!CS25+'[5]TB-3'!CS25+'[5]TB-4'!CS25+'[5]TB-5'!CS25+'[5]TB-6'!CS25+'[5]TB-7'!CS25+'[5]TB-8'!CS25+'[5]TB-9'!CS25+'[5]TB-10'!CS25+'[6]DSV-1'!CS25+'[6]DSV-2'!CS25+'[6]DSV-3'!CS25+'[7]TUB-1'!CS25+'[7]TUB-2'!CS25+'[8]Barge-1'!CS25+'[8]Barge-2'!CS25+'[8]Barge-3'!CS25+'[8]Barge-4'!CS25</f>
        <v>0</v>
      </c>
      <c r="U25" s="183">
        <f>'[2]AHTS-1'!BB25+'[2]AHTS-2'!BB25+'[2]AHTS-3'!BB25+'[2]AHTS-4'!BB25+'[2]AHTS-5'!BB25+'[2]AHTS-6'!BB25+'[2]AHTS-7'!BB25+'[2]AHTS-8'!BB25+'[3]CB-1'!BB25+'[3]CB-2'!BB25+'[3]CB-3'!BB25+'[3]CB-4'!BB25+'[3]CB-5'!BB25+'[3]CB-6'!BB25+'[3]CB-7'!BB25+'[3]CB-8'!BB25+'[3]CB-9'!BB25+'[3]CB-10'!BB25+'[3]CB-11'!BB25+'[3]CB-12'!BB25+'[3]CB-13'!BB25+'[3]CB-14'!BB25+'[3]CB-15'!BB25+'[3]CB-16'!BB25+'[3]CB-17'!BB25+'[3]CB-18'!BB25+'[3]CB-19'!BB25+'[3]CB-20'!BB25+'[3]CB-21'!BB25+'[3]CB-22'!BB25+'[3]CB-23'!BB25+'[3]CB-24'!BB25+'[4]LCT-1'!BB25+'[4]LCT-2'!BB25+'[4]LCT-3'!BB25+'[4]LCT-4'!BB25+'[4]LCT-5'!BB25+'[4]LCT-6'!BB25+'[4]LCT-7'!BB25+'[4]LCT-8'!BB25+'[5]TB-1'!BB25+'[5]TB-2'!BB25+'[5]TB-3'!BB25+'[5]TB-4'!BB25+'[5]TB-5'!BB25+'[5]TB-6'!BB25+'[5]TB-7'!BB25+'[5]TB-8'!BB25+'[5]TB-9'!BB25+'[5]TB-10'!BB25+'[6]DSV-1'!BB25+'[6]DSV-2'!BB25+'[6]DSV-3'!BB25+'[7]TUB-1'!BB25+'[7]TUB-2'!BB25+'[8]Barge-1'!BB25+'[8]Barge-2'!BB25+'[8]Barge-3'!BB25+'[8]Barge-4'!BB25</f>
        <v>0</v>
      </c>
      <c r="V25" s="180">
        <f>'[2]AHTS-1'!BX25+'[2]AHTS-2'!BX25+'[2]AHTS-3'!BX25+'[2]AHTS-4'!BX25+'[2]AHTS-5'!BX25+'[2]AHTS-6'!BX25+'[2]AHTS-7'!BX25+'[2]AHTS-8'!BX25+'[3]CB-1'!BX25+'[3]CB-2'!BX25+'[3]CB-3'!BX25+'[3]CB-4'!BX25+'[3]CB-5'!BX25+'[3]CB-6'!BX25+'[3]CB-7'!BX25+'[3]CB-8'!BX25+'[3]CB-9'!BX25+'[3]CB-10'!BX25+'[3]CB-11'!BX25+'[3]CB-12'!BX25+'[3]CB-13'!BX25+'[3]CB-14'!BX25+'[3]CB-15'!BX25+'[3]CB-16'!BX25+'[3]CB-17'!BX25+'[3]CB-18'!BX25+'[3]CB-19'!BX25+'[3]CB-20'!BX25+'[3]CB-21'!BX25+'[3]CB-22'!BX25+'[3]CB-23'!BX25+'[3]CB-24'!BX25+'[4]LCT-1'!BX25+'[4]LCT-2'!BX25+'[4]LCT-3'!BX25+'[4]LCT-4'!BX25+'[4]LCT-5'!BX25+'[4]LCT-6'!BX25+'[4]LCT-7'!BX25+'[4]LCT-8'!BX25+'[5]TB-1'!BX25+'[5]TB-2'!BX25+'[5]TB-3'!BX25+'[5]TB-4'!BX25+'[5]TB-5'!BX25+'[5]TB-6'!BX25+'[5]TB-7'!BX25+'[5]TB-8'!BX25+'[5]TB-9'!BX25+'[5]TB-10'!BX25+'[6]DSV-1'!BX25+'[6]DSV-2'!BX25+'[6]DSV-3'!BX25+'[7]TUB-1'!BX25+'[7]TUB-2'!BX25+'[8]Barge-1'!BX25+'[8]Barge-2'!BX25+'[8]Barge-3'!BX25+'[8]Barge-4'!BX25</f>
        <v>0</v>
      </c>
      <c r="W25" s="184">
        <f>'[2]AHTS-1'!CT25+'[2]AHTS-2'!CT25+'[2]AHTS-3'!CT25+'[2]AHTS-4'!CT25+'[2]AHTS-5'!CT25+'[2]AHTS-6'!CT25+'[2]AHTS-7'!CT25+'[2]AHTS-8'!CT25+'[3]CB-1'!CT25+'[3]CB-2'!CT25+'[3]CB-3'!CT25+'[3]CB-4'!CT25+'[3]CB-5'!CT25+'[3]CB-6'!CT25+'[3]CB-7'!CT25+'[3]CB-8'!CT25+'[3]CB-9'!CT25+'[3]CB-10'!CT25+'[3]CB-11'!CT25+'[3]CB-12'!CT25+'[3]CB-13'!CT25+'[3]CB-14'!CT25+'[3]CB-15'!CT25+'[3]CB-16'!CT25+'[3]CB-17'!CT25+'[3]CB-18'!CT25+'[3]CB-19'!CT25+'[3]CB-20'!CT25+'[3]CB-21'!CT25+'[3]CB-22'!CT25+'[3]CB-23'!CT25+'[3]CB-24'!CT25+'[4]LCT-1'!CT25+'[4]LCT-2'!CT25+'[4]LCT-3'!CT25+'[4]LCT-4'!CT25+'[4]LCT-5'!CT25+'[4]LCT-6'!CT25+'[4]LCT-7'!CT25+'[4]LCT-8'!CT25+'[5]TB-1'!CT25+'[5]TB-2'!CT25+'[5]TB-3'!CT25+'[5]TB-4'!CT25+'[5]TB-5'!CT25+'[5]TB-6'!CT25+'[5]TB-7'!CT25+'[5]TB-8'!CT25+'[5]TB-9'!CT25+'[5]TB-10'!CT25+'[6]DSV-1'!CT25+'[6]DSV-2'!CT25+'[6]DSV-3'!CT25+'[7]TUB-1'!CT25+'[7]TUB-2'!CT25+'[8]Barge-1'!CT25+'[8]Barge-2'!CT25+'[8]Barge-3'!CT25+'[8]Barge-4'!CT25</f>
        <v>0</v>
      </c>
      <c r="X25" s="67"/>
      <c r="Y25" s="67"/>
      <c r="Z25" s="68"/>
      <c r="AA25" s="111">
        <f>[1]Control!AZ25</f>
        <v>46000</v>
      </c>
      <c r="AB25" s="66"/>
      <c r="AC25" s="132">
        <f>'[2]AHTS-1'!IC63+'[2]AHTS-2'!IC63+'[2]AHTS-3'!IC63+'[2]AHTS-4'!IC63+'[2]AHTS-5'!IC63+'[2]AHTS-6'!IC63+'[2]AHTS-7'!IC63+'[2]AHTS-8'!IC63+'[3]CB-1'!IC63+'[3]CB-2'!IC63+'[3]CB-3'!IC63+'[3]CB-4'!IC63+'[3]CB-5'!IC63+'[3]CB-6'!IC63+'[3]CB-7'!IC63+'[3]CB-8'!IC63+'[3]CB-9'!IC63+'[3]CB-10'!IC63+'[3]CB-11'!IC63+'[3]CB-12'!IC63+'[3]CB-13'!IC63+'[3]CB-14'!IC63+'[3]CB-15'!IC63+'[3]CB-16'!IC63+'[3]CB-17'!IC63+'[3]CB-18'!IC63+'[3]CB-19'!IC63+'[3]CB-20'!IC63+'[3]CB-21'!IC63+'[3]CB-22'!IC63+'[3]CB-23'!IC63+'[3]CB-24'!IC63+'[4]LCT-1'!IC63+'[4]LCT-2'!IC63+'[4]LCT-3'!IC63+'[4]LCT-4'!IC63+'[4]LCT-5'!IC63+'[4]LCT-6'!IC63+'[4]LCT-7'!IC63+'[4]LCT-8'!IC63+'[5]TB-1'!IC63+'[5]TB-2'!IC63+'[5]TB-3'!IC63+'[5]TB-4'!IC63+'[5]TB-5'!IC63+'[5]TB-6'!IC63+'[5]TB-7'!IC63+'[5]TB-8'!IC63+'[5]TB-9'!IC63+'[5]TB-10'!IC63+'[6]DSV-1'!IC63+'[6]DSV-2'!IC63+'[6]DSV-3'!IC63+'[7]TUB-1'!IC63+'[7]TUB-2'!IC63+'[8]Barge-1'!IC63+'[8]Barge-2'!IC63+'[8]Barge-3'!IC63+'[8]Barge-4'!IC63</f>
        <v>0</v>
      </c>
      <c r="AD25" s="133">
        <f>'[2]AHTS-1'!IC25+'[2]AHTS-2'!IC25+'[2]AHTS-3'!IC25+'[2]AHTS-4'!IC25+'[2]AHTS-5'!IC25+'[2]AHTS-6'!IC25+'[2]AHTS-7'!IC25+'[2]AHTS-8'!IC25+'[3]CB-1'!IC25+'[3]CB-2'!IC25+'[3]CB-3'!IC25+'[3]CB-4'!IC25+'[3]CB-5'!IC25+'[3]CB-6'!IC25+'[3]CB-7'!IC25+'[3]CB-8'!IC25+'[3]CB-9'!IC25+'[3]CB-10'!IC25+'[3]CB-11'!IC25+'[3]CB-12'!IC25+'[3]CB-13'!IC25+'[3]CB-14'!IC25+'[3]CB-15'!IC25+'[3]CB-16'!IC25+'[3]CB-17'!IC25+'[3]CB-18'!IC25+'[3]CB-19'!IC25+'[3]CB-20'!IC25+'[3]CB-21'!IC25+'[3]CB-22'!IC25+'[3]CB-23'!IC25+'[3]CB-24'!IC25+'[4]LCT-1'!IC25+'[4]LCT-2'!IC25+'[4]LCT-3'!IC25+'[4]LCT-4'!IC25+'[4]LCT-5'!IC25+'[4]LCT-6'!IC25+'[4]LCT-7'!IC25+'[4]LCT-8'!IC25+'[5]TB-1'!IC25+'[5]TB-2'!IC25+'[5]TB-3'!IC25+'[5]TB-4'!IC25+'[5]TB-5'!IC25+'[5]TB-6'!IC25+'[5]TB-7'!IC25+'[5]TB-8'!IC25+'[5]TB-9'!IC25+'[5]TB-10'!IC25+'[6]DSV-1'!IC25+'[6]DSV-2'!IC25+'[6]DSV-3'!IC25+'[7]TUB-1'!IC25+'[7]TUB-2'!IC25+'[8]Barge-1'!IC25+'[8]Barge-2'!IC25+'[8]Barge-3'!IC25+'[8]Barge-4'!IC25</f>
        <v>0</v>
      </c>
      <c r="AE25" s="134">
        <f>'[2]AHTS-1'!IC96+'[2]AHTS-2'!IC96+'[2]AHTS-3'!IC96+'[2]AHTS-4'!IC96+'[2]AHTS-5'!IC96+'[2]AHTS-6'!IC96+'[2]AHTS-7'!IC96+'[2]AHTS-8'!IC96+'[3]CB-1'!IC96+'[3]CB-2'!IC96+'[3]CB-3'!IC96+'[3]CB-4'!IC96+'[3]CB-5'!IC96+'[3]CB-6'!IC96+'[3]CB-7'!IC96+'[3]CB-8'!IC96+'[3]CB-9'!IC96+'[3]CB-10'!IC96+'[3]CB-11'!IC96+'[3]CB-12'!IC96+'[3]CB-13'!IC96+'[3]CB-14'!IC96+'[3]CB-15'!IC96+'[3]CB-16'!IC96+'[3]CB-17'!IC96+'[3]CB-18'!IC96+'[3]CB-19'!IC96+'[3]CB-20'!IC96+'[3]CB-21'!IC96+'[3]CB-22'!IC96+'[3]CB-23'!IC96+'[3]CB-24'!IC96+'[4]LCT-1'!IC96+'[4]LCT-2'!IC96+'[4]LCT-3'!IC96+'[4]LCT-4'!IC96+'[4]LCT-5'!IC96+'[4]LCT-6'!IC96+'[4]LCT-7'!IC96+'[4]LCT-8'!IC96+'[5]TB-1'!IC96+'[5]TB-2'!IC96+'[5]TB-3'!IC96+'[5]TB-4'!IC96+'[5]TB-5'!IC96+'[5]TB-6'!IC96+'[5]TB-7'!IC96+'[5]TB-8'!IC96+'[5]TB-9'!IC96+'[5]TB-10'!IC96+'[6]DSV-1'!IC96+'[6]DSV-2'!IC96+'[6]DSV-3'!IC96+'[7]TUB-1'!IC96+'[7]TUB-2'!IC96+'[8]Barge-1'!IC96+'[8]Barge-2'!IC96+'[8]Barge-3'!IC96+'[8]Barge-4'!IC96</f>
        <v>0</v>
      </c>
      <c r="AF25" s="135">
        <f>'[2]AHTS-1'!ID63+'[2]AHTS-2'!ID63+'[2]AHTS-3'!ID63+'[2]AHTS-4'!ID63+'[2]AHTS-5'!ID63+'[2]AHTS-6'!ID63+'[2]AHTS-7'!ID63+'[2]AHTS-8'!ID63+'[3]CB-1'!ID63+'[3]CB-2'!ID63+'[3]CB-3'!ID63+'[3]CB-4'!ID63+'[3]CB-5'!ID63+'[3]CB-6'!ID63+'[3]CB-7'!ID63+'[3]CB-8'!ID63+'[3]CB-9'!ID63+'[3]CB-10'!ID63+'[3]CB-11'!ID63+'[3]CB-12'!ID63+'[3]CB-13'!ID63+'[3]CB-14'!ID63+'[3]CB-15'!ID63+'[3]CB-16'!ID63+'[3]CB-17'!ID63+'[3]CB-18'!ID63+'[3]CB-19'!ID63+'[3]CB-20'!ID63+'[3]CB-21'!ID63+'[3]CB-22'!ID63+'[3]CB-23'!ID63+'[3]CB-24'!ID63+'[4]LCT-1'!ID63+'[4]LCT-2'!ID63+'[4]LCT-3'!ID63+'[4]LCT-4'!ID63+'[4]LCT-5'!ID63+'[4]LCT-6'!ID63+'[4]LCT-7'!ID63+'[4]LCT-8'!ID63+'[5]TB-1'!ID63+'[5]TB-2'!ID63+'[5]TB-3'!ID63+'[5]TB-4'!ID63+'[5]TB-5'!ID63+'[5]TB-6'!ID63+'[5]TB-7'!ID63+'[5]TB-8'!ID63+'[5]TB-9'!ID63+'[5]TB-10'!ID63+'[6]DSV-1'!ID63+'[6]DSV-2'!ID63+'[6]DSV-3'!ID63+'[7]TUB-1'!ID63+'[7]TUB-2'!ID63+'[8]Barge-1'!ID63+'[8]Barge-2'!ID63+'[8]Barge-3'!ID63+'[8]Barge-4'!ID63</f>
        <v>45182316.666666664</v>
      </c>
      <c r="AG25" s="136">
        <f>'[2]AHTS-1'!ID25+'[2]AHTS-2'!ID25+'[2]AHTS-3'!ID25+'[2]AHTS-4'!ID25+'[2]AHTS-5'!ID25+'[2]AHTS-6'!ID25+'[2]AHTS-7'!ID25+'[2]AHTS-8'!ID25+'[3]CB-1'!ID25+'[3]CB-2'!ID25+'[3]CB-3'!ID25+'[3]CB-4'!ID25+'[3]CB-5'!ID25+'[3]CB-6'!ID25+'[3]CB-7'!ID25+'[3]CB-8'!ID25+'[3]CB-9'!ID25+'[3]CB-10'!ID25+'[3]CB-11'!ID25+'[3]CB-12'!ID25+'[3]CB-13'!ID25+'[3]CB-14'!ID25+'[3]CB-15'!ID25+'[3]CB-16'!ID25+'[3]CB-17'!ID25+'[3]CB-18'!ID25+'[3]CB-19'!ID25+'[3]CB-20'!ID25+'[3]CB-21'!ID25+'[3]CB-22'!ID25+'[3]CB-23'!ID25+'[3]CB-24'!ID25+'[4]LCT-1'!ID25+'[4]LCT-2'!ID25+'[4]LCT-3'!ID25+'[4]LCT-4'!ID25+'[4]LCT-5'!ID25+'[4]LCT-6'!ID25+'[4]LCT-7'!ID25+'[4]LCT-8'!ID25+'[5]TB-1'!ID25+'[5]TB-2'!ID25+'[5]TB-3'!ID25+'[5]TB-4'!ID25+'[5]TB-5'!ID25+'[5]TB-6'!ID25+'[5]TB-7'!ID25+'[5]TB-8'!ID25+'[5]TB-9'!ID25+'[5]TB-10'!ID25+'[6]DSV-1'!ID25+'[6]DSV-2'!ID25+'[6]DSV-3'!ID25+'[7]TUB-1'!ID25+'[7]TUB-2'!ID25+'[8]Barge-1'!ID25+'[8]Barge-2'!ID25+'[8]Barge-3'!ID25+'[8]Barge-4'!ID25</f>
        <v>39883333.333333336</v>
      </c>
      <c r="AH25" s="136">
        <f>'[2]AHTS-1'!ID96+'[2]AHTS-2'!ID96+'[2]AHTS-3'!ID96+'[2]AHTS-4'!ID96+'[2]AHTS-5'!ID96+'[2]AHTS-6'!ID96+'[2]AHTS-7'!ID96+'[2]AHTS-8'!ID96+'[3]CB-1'!ID96+'[3]CB-2'!ID96+'[3]CB-3'!ID96+'[3]CB-4'!ID96+'[3]CB-5'!ID96+'[3]CB-6'!ID96+'[3]CB-7'!ID96+'[3]CB-8'!ID96+'[3]CB-9'!ID96+'[3]CB-10'!ID96+'[3]CB-11'!ID96+'[3]CB-12'!ID96+'[3]CB-13'!ID96+'[3]CB-14'!ID96+'[3]CB-15'!ID96+'[3]CB-16'!ID96+'[3]CB-17'!ID96+'[3]CB-18'!ID96+'[3]CB-19'!ID96+'[3]CB-20'!ID96+'[3]CB-21'!ID96+'[3]CB-22'!ID96+'[3]CB-23'!ID96+'[3]CB-24'!ID96+'[4]LCT-1'!ID96+'[4]LCT-2'!ID96+'[4]LCT-3'!ID96+'[4]LCT-4'!ID96+'[4]LCT-5'!ID96+'[4]LCT-6'!ID96+'[4]LCT-7'!ID96+'[4]LCT-8'!ID96+'[5]TB-1'!ID96+'[5]TB-2'!ID96+'[5]TB-3'!ID96+'[5]TB-4'!ID96+'[5]TB-5'!ID96+'[5]TB-6'!ID96+'[5]TB-7'!ID96+'[5]TB-8'!ID96+'[5]TB-9'!ID96+'[5]TB-10'!ID96+'[6]DSV-1'!ID96+'[6]DSV-2'!ID96+'[6]DSV-3'!ID96+'[7]TUB-1'!ID96+'[7]TUB-2'!ID96+'[8]Barge-1'!ID96+'[8]Barge-2'!ID96+'[8]Barge-3'!ID96+'[8]Barge-4'!ID96</f>
        <v>0</v>
      </c>
      <c r="AI25" s="135">
        <f>'[2]AHTS-1'!IE63+'[2]AHTS-2'!IE63+'[2]AHTS-3'!IE63+'[2]AHTS-4'!IE63+'[2]AHTS-5'!IE63+'[2]AHTS-6'!IE63+'[2]AHTS-7'!IE63+'[2]AHTS-8'!IE63+'[3]CB-1'!IE63+'[3]CB-2'!IE63+'[3]CB-3'!IE63+'[3]CB-4'!IE63+'[3]CB-5'!IE63+'[3]CB-6'!IE63+'[3]CB-7'!IE63+'[3]CB-8'!IE63+'[3]CB-9'!IE63+'[3]CB-10'!IE63+'[3]CB-11'!IE63+'[3]CB-12'!IE63+'[3]CB-13'!IE63+'[3]CB-14'!IE63+'[3]CB-15'!IE63+'[3]CB-16'!IE63+'[3]CB-17'!IE63+'[3]CB-18'!IE63+'[3]CB-19'!IE63+'[3]CB-20'!IE63+'[3]CB-21'!IE63+'[3]CB-22'!IE63+'[3]CB-23'!IE63+'[3]CB-24'!IE63+'[4]LCT-1'!IE63+'[4]LCT-2'!IE63+'[4]LCT-3'!IE63+'[4]LCT-4'!IE63+'[4]LCT-5'!IE63+'[4]LCT-6'!IE63+'[4]LCT-7'!IE63+'[4]LCT-8'!IE63+'[5]TB-1'!IE63+'[5]TB-2'!IE63+'[5]TB-3'!IE63+'[5]TB-4'!IE63+'[5]TB-5'!IE63+'[5]TB-6'!IE63+'[5]TB-7'!IE63+'[5]TB-8'!IE63+'[5]TB-9'!IE63+'[5]TB-10'!IE63+'[6]DSV-1'!IE63+'[6]DSV-2'!IE63+'[6]DSV-3'!IE63+'[7]TUB-1'!IE63+'[7]TUB-2'!IE63+'[8]Barge-1'!IE63+'[8]Barge-2'!IE63+'[8]Barge-3'!IE63+'[8]Barge-4'!IE63</f>
        <v>34181475</v>
      </c>
      <c r="AJ25" s="136">
        <f>'[2]AHTS-1'!IE25+'[2]AHTS-2'!IE25+'[2]AHTS-3'!IE25+'[2]AHTS-4'!IE25+'[2]AHTS-5'!IE25+'[2]AHTS-6'!IE25+'[2]AHTS-7'!IE25+'[2]AHTS-8'!IE25+'[3]CB-1'!IE25+'[3]CB-2'!IE25+'[3]CB-3'!IE25+'[3]CB-4'!IE25+'[3]CB-5'!IE25+'[3]CB-6'!IE25+'[3]CB-7'!IE25+'[3]CB-8'!IE25+'[3]CB-9'!IE25+'[3]CB-10'!IE25+'[3]CB-11'!IE25+'[3]CB-12'!IE25+'[3]CB-13'!IE25+'[3]CB-14'!IE25+'[3]CB-15'!IE25+'[3]CB-16'!IE25+'[3]CB-17'!IE25+'[3]CB-18'!IE25+'[3]CB-19'!IE25+'[3]CB-20'!IE25+'[3]CB-21'!IE25+'[3]CB-22'!IE25+'[3]CB-23'!IE25+'[3]CB-24'!IE25+'[4]LCT-1'!IE25+'[4]LCT-2'!IE25+'[4]LCT-3'!IE25+'[4]LCT-4'!IE25+'[4]LCT-5'!IE25+'[4]LCT-6'!IE25+'[4]LCT-7'!IE25+'[4]LCT-8'!IE25+'[5]TB-1'!IE25+'[5]TB-2'!IE25+'[5]TB-3'!IE25+'[5]TB-4'!IE25+'[5]TB-5'!IE25+'[5]TB-6'!IE25+'[5]TB-7'!IE25+'[5]TB-8'!IE25+'[5]TB-9'!IE25+'[5]TB-10'!IE25+'[6]DSV-1'!IE25+'[6]DSV-2'!IE25+'[6]DSV-3'!IE25+'[7]TUB-1'!IE25+'[7]TUB-2'!IE25+'[8]Barge-1'!IE25+'[8]Barge-2'!IE25+'[8]Barge-3'!IE25+'[8]Barge-4'!IE25</f>
        <v>28375000</v>
      </c>
      <c r="AK25" s="136">
        <f>'[2]AHTS-1'!IE96+'[2]AHTS-2'!IE96+'[2]AHTS-3'!IE96+'[2]AHTS-4'!IE96+'[2]AHTS-5'!IE96+'[2]AHTS-6'!IE96+'[2]AHTS-7'!IE96+'[2]AHTS-8'!IE96+'[3]CB-1'!IE96+'[3]CB-2'!IE96+'[3]CB-3'!IE96+'[3]CB-4'!IE96+'[3]CB-5'!IE96+'[3]CB-6'!IE96+'[3]CB-7'!IE96+'[3]CB-8'!IE96+'[3]CB-9'!IE96+'[3]CB-10'!IE96+'[3]CB-11'!IE96+'[3]CB-12'!IE96+'[3]CB-13'!IE96+'[3]CB-14'!IE96+'[3]CB-15'!IE96+'[3]CB-16'!IE96+'[3]CB-17'!IE96+'[3]CB-18'!IE96+'[3]CB-19'!IE96+'[3]CB-20'!IE96+'[3]CB-21'!IE96+'[3]CB-22'!IE96+'[3]CB-23'!IE96+'[3]CB-24'!IE96+'[4]LCT-1'!IE96+'[4]LCT-2'!IE96+'[4]LCT-3'!IE96+'[4]LCT-4'!IE96+'[4]LCT-5'!IE96+'[4]LCT-6'!IE96+'[4]LCT-7'!IE96+'[4]LCT-8'!IE96+'[5]TB-1'!IE96+'[5]TB-2'!IE96+'[5]TB-3'!IE96+'[5]TB-4'!IE96+'[5]TB-5'!IE96+'[5]TB-6'!IE96+'[5]TB-7'!IE96+'[5]TB-8'!IE96+'[5]TB-9'!IE96+'[5]TB-10'!IE96+'[6]DSV-1'!IE96+'[6]DSV-2'!IE96+'[6]DSV-3'!IE96+'[7]TUB-1'!IE96+'[7]TUB-2'!IE96+'[8]Barge-1'!IE96+'[8]Barge-2'!IE96+'[8]Barge-3'!IE96+'[8]Barge-4'!IE96</f>
        <v>0</v>
      </c>
      <c r="AL25" s="137">
        <f>'[2]AHTS-1'!IF63+'[2]AHTS-2'!IF63+'[2]AHTS-3'!IF63+'[2]AHTS-4'!IF63+'[2]AHTS-5'!IF63+'[2]AHTS-6'!IF63+'[2]AHTS-7'!IF63+'[2]AHTS-8'!IF63+'[3]CB-1'!IF63+'[3]CB-2'!IF63+'[3]CB-3'!IF63+'[3]CB-4'!IF63+'[3]CB-5'!IF63+'[3]CB-6'!IF63+'[3]CB-7'!IF63+'[3]CB-8'!IF63+'[3]CB-9'!IF63+'[3]CB-10'!IF63+'[3]CB-11'!IF63+'[3]CB-12'!IF63+'[3]CB-13'!IF63+'[3]CB-14'!IF63+'[3]CB-15'!IF63+'[3]CB-16'!IF63+'[3]CB-17'!IF63+'[3]CB-18'!IF63+'[3]CB-19'!IF63+'[3]CB-20'!IF63+'[3]CB-21'!IF63+'[3]CB-22'!IF63+'[3]CB-23'!IF63+'[3]CB-24'!IF63+'[4]LCT-1'!IF63+'[4]LCT-2'!IF63+'[4]LCT-3'!IF63+'[4]LCT-4'!IF63+'[4]LCT-5'!IF63+'[4]LCT-6'!IF63+'[4]LCT-7'!IF63+'[4]LCT-8'!IF63+'[5]TB-1'!IF63+'[5]TB-2'!IF63+'[5]TB-3'!IF63+'[5]TB-4'!IF63+'[5]TB-5'!IF63+'[5]TB-6'!IF63+'[5]TB-7'!IF63+'[5]TB-8'!IF63+'[5]TB-9'!IF63+'[5]TB-10'!IF63+'[6]DSV-1'!IF63+'[6]DSV-2'!IF63+'[6]DSV-3'!IF63+'[7]TUB-1'!IF63+'[7]TUB-2'!IF63+'[8]Barge-1'!IF63+'[8]Barge-2'!IF63+'[8]Barge-3'!IF63+'[8]Barge-4'!IF63</f>
        <v>42302233.333333336</v>
      </c>
      <c r="AM25" s="138">
        <f>'[2]AHTS-1'!IF25+'[2]AHTS-2'!IF25+'[2]AHTS-3'!IF25+'[2]AHTS-4'!IF25+'[2]AHTS-5'!IF25+'[2]AHTS-6'!IF25+'[2]AHTS-7'!IF25+'[2]AHTS-8'!IF25+'[3]CB-1'!IF25+'[3]CB-2'!IF25+'[3]CB-3'!IF25+'[3]CB-4'!IF25+'[3]CB-5'!IF25+'[3]CB-6'!IF25+'[3]CB-7'!IF25+'[3]CB-8'!IF25+'[3]CB-9'!IF25+'[3]CB-10'!IF25+'[3]CB-11'!IF25+'[3]CB-12'!IF25+'[3]CB-13'!IF25+'[3]CB-14'!IF25+'[3]CB-15'!IF25+'[3]CB-16'!IF25+'[3]CB-17'!IF25+'[3]CB-18'!IF25+'[3]CB-19'!IF25+'[3]CB-20'!IF25+'[3]CB-21'!IF25+'[3]CB-22'!IF25+'[3]CB-23'!IF25+'[3]CB-24'!IF25+'[4]LCT-1'!IF25+'[4]LCT-2'!IF25+'[4]LCT-3'!IF25+'[4]LCT-4'!IF25+'[4]LCT-5'!IF25+'[4]LCT-6'!IF25+'[4]LCT-7'!IF25+'[4]LCT-8'!IF25+'[5]TB-1'!IF25+'[5]TB-2'!IF25+'[5]TB-3'!IF25+'[5]TB-4'!IF25+'[5]TB-5'!IF25+'[5]TB-6'!IF25+'[5]TB-7'!IF25+'[5]TB-8'!IF25+'[5]TB-9'!IF25+'[5]TB-10'!IF25+'[6]DSV-1'!IF25+'[6]DSV-2'!IF25+'[6]DSV-3'!IF25+'[7]TUB-1'!IF25+'[7]TUB-2'!IF25+'[8]Barge-1'!IF25+'[8]Barge-2'!IF25+'[8]Barge-3'!IF25+'[8]Barge-4'!IF25</f>
        <v>67533333.333333343</v>
      </c>
      <c r="AN25" s="138">
        <f>'[2]AHTS-1'!IF96+'[2]AHTS-2'!IF96+'[2]AHTS-3'!IF96+'[2]AHTS-4'!IF96+'[2]AHTS-5'!IF96+'[2]AHTS-6'!IF96+'[2]AHTS-7'!IF96+'[2]AHTS-8'!IF96+'[3]CB-1'!IF96+'[3]CB-2'!IF96+'[3]CB-3'!IF96+'[3]CB-4'!IF96+'[3]CB-5'!IF96+'[3]CB-6'!IF96+'[3]CB-7'!IF96+'[3]CB-8'!IF96+'[3]CB-9'!IF96+'[3]CB-10'!IF96+'[3]CB-11'!IF96+'[3]CB-12'!IF96+'[3]CB-13'!IF96+'[3]CB-14'!IF96+'[3]CB-15'!IF96+'[3]CB-16'!IF96+'[3]CB-17'!IF96+'[3]CB-18'!IF96+'[3]CB-19'!IF96+'[3]CB-20'!IF96+'[3]CB-21'!IF96+'[3]CB-22'!IF96+'[3]CB-23'!IF96+'[3]CB-24'!IF96+'[4]LCT-1'!IF96+'[4]LCT-2'!IF96+'[4]LCT-3'!IF96+'[4]LCT-4'!IF96+'[4]LCT-5'!IF96+'[4]LCT-6'!IF96+'[4]LCT-7'!IF96+'[4]LCT-8'!IF96+'[5]TB-1'!IF96+'[5]TB-2'!IF96+'[5]TB-3'!IF96+'[5]TB-4'!IF96+'[5]TB-5'!IF96+'[5]TB-6'!IF96+'[5]TB-7'!IF96+'[5]TB-8'!IF96+'[5]TB-9'!IF96+'[5]TB-10'!IF96+'[6]DSV-1'!IF96+'[6]DSV-2'!IF96+'[6]DSV-3'!IF96+'[7]TUB-1'!IF96+'[7]TUB-2'!IF96+'[8]Barge-1'!IF96+'[8]Barge-2'!IF96+'[8]Barge-3'!IF96+'[8]Barge-4'!IF96</f>
        <v>0</v>
      </c>
      <c r="AO25" s="135">
        <f>'[2]AHTS-1'!IG63+'[2]AHTS-2'!IG63+'[2]AHTS-3'!IG63+'[2]AHTS-4'!IG63+'[2]AHTS-5'!IG63+'[2]AHTS-6'!IG63+'[2]AHTS-7'!IG63+'[2]AHTS-8'!IG63+'[3]CB-1'!IG63+'[3]CB-2'!IG63+'[3]CB-3'!IG63+'[3]CB-4'!IG63+'[3]CB-5'!IG63+'[3]CB-6'!IG63+'[3]CB-7'!IG63+'[3]CB-8'!IG63+'[3]CB-9'!IG63+'[3]CB-10'!IG63+'[3]CB-11'!IG63+'[3]CB-12'!IG63+'[3]CB-13'!IG63+'[3]CB-14'!IG63+'[3]CB-15'!IG63+'[3]CB-16'!IG63+'[3]CB-17'!IG63+'[3]CB-18'!IG63+'[3]CB-19'!IG63+'[3]CB-20'!IG63+'[3]CB-21'!IG63+'[3]CB-22'!IG63+'[3]CB-23'!IG63+'[3]CB-24'!IG63+'[4]LCT-1'!IG63+'[4]LCT-2'!IG63+'[4]LCT-3'!IG63+'[4]LCT-4'!IG63+'[4]LCT-5'!IG63+'[4]LCT-6'!IG63+'[4]LCT-7'!IG63+'[4]LCT-8'!IG63+'[5]TB-1'!IG63+'[5]TB-2'!IG63+'[5]TB-3'!IG63+'[5]TB-4'!IG63+'[5]TB-5'!IG63+'[5]TB-6'!IG63+'[5]TB-7'!IG63+'[5]TB-8'!IG63+'[5]TB-9'!IG63+'[5]TB-10'!IG63+'[6]DSV-1'!IG63+'[6]DSV-2'!IG63+'[6]DSV-3'!IG63+'[7]TUB-1'!IG63+'[7]TUB-2'!IG63+'[8]Barge-1'!IG63+'[8]Barge-2'!IG63+'[8]Barge-3'!IG63+'[8]Barge-4'!IG63</f>
        <v>425283.33333333331</v>
      </c>
      <c r="AP25" s="136">
        <f>'[2]AHTS-1'!IG25+'[2]AHTS-2'!IG25+'[2]AHTS-3'!IG25+'[2]AHTS-4'!IG25+'[2]AHTS-5'!IG25+'[2]AHTS-6'!IG25+'[2]AHTS-7'!IG25+'[2]AHTS-8'!IG25+'[3]CB-1'!IG25+'[3]CB-2'!IG25+'[3]CB-3'!IG25+'[3]CB-4'!IG25+'[3]CB-5'!IG25+'[3]CB-6'!IG25+'[3]CB-7'!IG25+'[3]CB-8'!IG25+'[3]CB-9'!IG25+'[3]CB-10'!IG25+'[3]CB-11'!IG25+'[3]CB-12'!IG25+'[3]CB-13'!IG25+'[3]CB-14'!IG25+'[3]CB-15'!IG25+'[3]CB-16'!IG25+'[3]CB-17'!IG25+'[3]CB-18'!IG25+'[3]CB-19'!IG25+'[3]CB-20'!IG25+'[3]CB-21'!IG25+'[3]CB-22'!IG25+'[3]CB-23'!IG25+'[3]CB-24'!IG25+'[4]LCT-1'!IG25+'[4]LCT-2'!IG25+'[4]LCT-3'!IG25+'[4]LCT-4'!IG25+'[4]LCT-5'!IG25+'[4]LCT-6'!IG25+'[4]LCT-7'!IG25+'[4]LCT-8'!IG25+'[5]TB-1'!IG25+'[5]TB-2'!IG25+'[5]TB-3'!IG25+'[5]TB-4'!IG25+'[5]TB-5'!IG25+'[5]TB-6'!IG25+'[5]TB-7'!IG25+'[5]TB-8'!IG25+'[5]TB-9'!IG25+'[5]TB-10'!IG25+'[6]DSV-1'!IG25+'[6]DSV-2'!IG25+'[6]DSV-3'!IG25+'[7]TUB-1'!IG25+'[7]TUB-2'!IG25+'[8]Barge-1'!IG25+'[8]Barge-2'!IG25+'[8]Barge-3'!IG25+'[8]Barge-4'!IG25</f>
        <v>4333333.333333333</v>
      </c>
      <c r="AQ25" s="136">
        <f>'[2]AHTS-1'!IG96+'[2]AHTS-2'!IG96+'[2]AHTS-3'!IG96+'[2]AHTS-4'!IG96+'[2]AHTS-5'!IG96+'[2]AHTS-6'!IG96+'[2]AHTS-7'!IG96+'[2]AHTS-8'!IG96+'[3]CB-1'!IG96+'[3]CB-2'!IG96+'[3]CB-3'!IG96+'[3]CB-4'!IG96+'[3]CB-5'!IG96+'[3]CB-6'!IG96+'[3]CB-7'!IG96+'[3]CB-8'!IG96+'[3]CB-9'!IG96+'[3]CB-10'!IG96+'[3]CB-11'!IG96+'[3]CB-12'!IG96+'[3]CB-13'!IG96+'[3]CB-14'!IG96+'[3]CB-15'!IG96+'[3]CB-16'!IG96+'[3]CB-17'!IG96+'[3]CB-18'!IG96+'[3]CB-19'!IG96+'[3]CB-20'!IG96+'[3]CB-21'!IG96+'[3]CB-22'!IG96+'[3]CB-23'!IG96+'[3]CB-24'!IG96+'[4]LCT-1'!IG96+'[4]LCT-2'!IG96+'[4]LCT-3'!IG96+'[4]LCT-4'!IG96+'[4]LCT-5'!IG96+'[4]LCT-6'!IG96+'[4]LCT-7'!IG96+'[4]LCT-8'!IG96+'[5]TB-1'!IG96+'[5]TB-2'!IG96+'[5]TB-3'!IG96+'[5]TB-4'!IG96+'[5]TB-5'!IG96+'[5]TB-6'!IG96+'[5]TB-7'!IG96+'[5]TB-8'!IG96+'[5]TB-9'!IG96+'[5]TB-10'!IG96+'[6]DSV-1'!IG96+'[6]DSV-2'!IG96+'[6]DSV-3'!IG96+'[7]TUB-1'!IG96+'[7]TUB-2'!IG96+'[8]Barge-1'!IG96+'[8]Barge-2'!IG96+'[8]Barge-3'!IG96+'[8]Barge-4'!IG96</f>
        <v>0</v>
      </c>
      <c r="AR25" s="139">
        <f>'[2]AHTS-1'!IH63+'[2]AHTS-2'!IH63+'[2]AHTS-3'!IH63+'[2]AHTS-4'!IH63+'[2]AHTS-5'!IH63+'[2]AHTS-6'!IH63+'[2]AHTS-7'!IH63+'[2]AHTS-8'!IH63+'[3]CB-1'!IH63+'[3]CB-2'!IH63+'[3]CB-3'!IH63+'[3]CB-4'!IH63+'[3]CB-5'!IH63+'[3]CB-6'!IH63+'[3]CB-7'!IH63+'[3]CB-8'!IH63+'[3]CB-9'!IH63+'[3]CB-10'!IH63+'[3]CB-11'!IH63+'[3]CB-12'!IH63+'[3]CB-13'!IH63+'[3]CB-14'!IH63+'[3]CB-15'!IH63+'[3]CB-16'!IH63+'[3]CB-17'!IH63+'[3]CB-18'!IH63+'[3]CB-19'!IH63+'[3]CB-20'!IH63+'[3]CB-21'!IH63+'[3]CB-22'!IH63+'[3]CB-23'!IH63+'[3]CB-24'!IH63+'[4]LCT-1'!IH63+'[4]LCT-2'!IH63+'[4]LCT-3'!IH63+'[4]LCT-4'!IH63+'[4]LCT-5'!IH63+'[4]LCT-6'!IH63+'[4]LCT-7'!IH63+'[4]LCT-8'!IH63+'[5]TB-1'!IH63+'[5]TB-2'!IH63+'[5]TB-3'!IH63+'[5]TB-4'!IH63+'[5]TB-5'!IH63+'[5]TB-6'!IH63+'[5]TB-7'!IH63+'[5]TB-8'!IH63+'[5]TB-9'!IH63+'[5]TB-10'!IH63+'[6]DSV-1'!IH63+'[6]DSV-2'!IH63+'[6]DSV-3'!IH63+'[7]TUB-1'!IH63+'[7]TUB-2'!IH63+'[8]Barge-1'!IH63+'[8]Barge-2'!IH63+'[8]Barge-3'!IH63+'[8]Barge-4'!IH63</f>
        <v>82607250</v>
      </c>
      <c r="AS25" s="136">
        <f>'[2]AHTS-1'!IH25+'[2]AHTS-2'!IH25+'[2]AHTS-3'!IH25+'[2]AHTS-4'!IH25+'[2]AHTS-5'!IH25+'[2]AHTS-6'!IH25+'[2]AHTS-7'!IH25+'[2]AHTS-8'!IH25+'[3]CB-1'!IH25+'[3]CB-2'!IH25+'[3]CB-3'!IH25+'[3]CB-4'!IH25+'[3]CB-5'!IH25+'[3]CB-6'!IH25+'[3]CB-7'!IH25+'[3]CB-8'!IH25+'[3]CB-9'!IH25+'[3]CB-10'!IH25+'[3]CB-11'!IH25+'[3]CB-12'!IH25+'[3]CB-13'!IH25+'[3]CB-14'!IH25+'[3]CB-15'!IH25+'[3]CB-16'!IH25+'[3]CB-17'!IH25+'[3]CB-18'!IH25+'[3]CB-19'!IH25+'[3]CB-20'!IH25+'[3]CB-21'!IH25+'[3]CB-22'!IH25+'[3]CB-23'!IH25+'[3]CB-24'!IH25+'[4]LCT-1'!IH25+'[4]LCT-2'!IH25+'[4]LCT-3'!IH25+'[4]LCT-4'!IH25+'[4]LCT-5'!IH25+'[4]LCT-6'!IH25+'[4]LCT-7'!IH25+'[4]LCT-8'!IH25+'[5]TB-1'!IH25+'[5]TB-2'!IH25+'[5]TB-3'!IH25+'[5]TB-4'!IH25+'[5]TB-5'!IH25+'[5]TB-6'!IH25+'[5]TB-7'!IH25+'[5]TB-8'!IH25+'[5]TB-9'!IH25+'[5]TB-10'!IH25+'[6]DSV-1'!IH25+'[6]DSV-2'!IH25+'[6]DSV-3'!IH25+'[7]TUB-1'!IH25+'[7]TUB-2'!IH25+'[8]Barge-1'!IH25+'[8]Barge-2'!IH25+'[8]Barge-3'!IH25+'[8]Barge-4'!IH25</f>
        <v>94650000</v>
      </c>
      <c r="AT25" s="140">
        <f>'[2]AHTS-1'!IH96+'[2]AHTS-2'!IH96+'[2]AHTS-3'!IH96+'[2]AHTS-4'!IH96+'[2]AHTS-5'!IH96+'[2]AHTS-6'!IH96+'[2]AHTS-7'!IH96+'[2]AHTS-8'!IH96+'[3]CB-1'!IH96+'[3]CB-2'!IH96+'[3]CB-3'!IH96+'[3]CB-4'!IH96+'[3]CB-5'!IH96+'[3]CB-6'!IH96+'[3]CB-7'!IH96+'[3]CB-8'!IH96+'[3]CB-9'!IH96+'[3]CB-10'!IH96+'[3]CB-11'!IH96+'[3]CB-12'!IH96+'[3]CB-13'!IH96+'[3]CB-14'!IH96+'[3]CB-15'!IH96+'[3]CB-16'!IH96+'[3]CB-17'!IH96+'[3]CB-18'!IH96+'[3]CB-19'!IH96+'[3]CB-20'!IH96+'[3]CB-21'!IH96+'[3]CB-22'!IH96+'[3]CB-23'!IH96+'[3]CB-24'!IH96+'[4]LCT-1'!IH96+'[4]LCT-2'!IH96+'[4]LCT-3'!IH96+'[4]LCT-4'!IH96+'[4]LCT-5'!IH96+'[4]LCT-6'!IH96+'[4]LCT-7'!IH96+'[4]LCT-8'!IH96+'[5]TB-1'!IH96+'[5]TB-2'!IH96+'[5]TB-3'!IH96+'[5]TB-4'!IH96+'[5]TB-5'!IH96+'[5]TB-6'!IH96+'[5]TB-7'!IH96+'[5]TB-8'!IH96+'[5]TB-9'!IH96+'[5]TB-10'!IH96+'[6]DSV-1'!IH96+'[6]DSV-2'!IH96+'[6]DSV-3'!IH96+'[7]TUB-1'!IH96+'[7]TUB-2'!IH96+'[8]Barge-1'!IH96+'[8]Barge-2'!IH96+'[8]Barge-3'!IH96+'[8]Barge-4'!IH96</f>
        <v>0</v>
      </c>
      <c r="AU25" s="139">
        <f>'[2]AHTS-1'!II63+'[2]AHTS-2'!II63+'[2]AHTS-3'!II63+'[2]AHTS-4'!II63+'[2]AHTS-5'!II63+'[2]AHTS-6'!II63+'[2]AHTS-7'!II63+'[2]AHTS-8'!II63+'[3]CB-1'!II63+'[3]CB-2'!II63+'[3]CB-3'!II63+'[3]CB-4'!II63+'[3]CB-5'!II63+'[3]CB-6'!II63+'[3]CB-7'!II63+'[3]CB-8'!II63+'[3]CB-9'!II63+'[3]CB-10'!II63+'[3]CB-11'!II63+'[3]CB-12'!II63+'[3]CB-13'!II63+'[3]CB-14'!II63+'[3]CB-15'!II63+'[3]CB-16'!II63+'[3]CB-17'!II63+'[3]CB-18'!II63+'[3]CB-19'!II63+'[3]CB-20'!II63+'[3]CB-21'!II63+'[3]CB-22'!II63+'[3]CB-23'!II63+'[3]CB-24'!II63+'[4]LCT-1'!II63+'[4]LCT-2'!II63+'[4]LCT-3'!II63+'[4]LCT-4'!II63+'[4]LCT-5'!II63+'[4]LCT-6'!II63+'[4]LCT-7'!II63+'[4]LCT-8'!II63+'[5]TB-1'!II63+'[5]TB-2'!II63+'[5]TB-3'!II63+'[5]TB-4'!II63+'[5]TB-5'!II63+'[5]TB-6'!II63+'[5]TB-7'!II63+'[5]TB-8'!II63+'[5]TB-9'!II63+'[5]TB-10'!II63+'[6]DSV-1'!II63+'[6]DSV-2'!II63+'[6]DSV-3'!II63+'[7]TUB-1'!II63+'[7]TUB-2'!II63+'[8]Barge-1'!II63+'[8]Barge-2'!II63+'[8]Barge-3'!II63+'[8]Barge-4'!II63</f>
        <v>0</v>
      </c>
      <c r="AV25" s="136">
        <f>'[2]AHTS-1'!II25+'[2]AHTS-2'!II25+'[2]AHTS-3'!II25+'[2]AHTS-4'!II25+'[2]AHTS-5'!II25+'[2]AHTS-6'!II25+'[2]AHTS-7'!II25+'[2]AHTS-8'!II25+'[3]CB-1'!II25+'[3]CB-2'!II25+'[3]CB-3'!II25+'[3]CB-4'!II25+'[3]CB-5'!II25+'[3]CB-6'!II25+'[3]CB-7'!II25+'[3]CB-8'!II25+'[3]CB-9'!II25+'[3]CB-10'!II25+'[3]CB-11'!II25+'[3]CB-12'!II25+'[3]CB-13'!II25+'[3]CB-14'!II25+'[3]CB-15'!II25+'[3]CB-16'!II25+'[3]CB-17'!II25+'[3]CB-18'!II25+'[3]CB-19'!II25+'[3]CB-20'!II25+'[3]CB-21'!II25+'[3]CB-22'!II25+'[3]CB-23'!II25+'[3]CB-24'!II25+'[4]LCT-1'!II25+'[4]LCT-2'!II25+'[4]LCT-3'!II25+'[4]LCT-4'!II25+'[4]LCT-5'!II25+'[4]LCT-6'!II25+'[4]LCT-7'!II25+'[4]LCT-8'!II25+'[5]TB-1'!II25+'[5]TB-2'!II25+'[5]TB-3'!II25+'[5]TB-4'!II25+'[5]TB-5'!II25+'[5]TB-6'!II25+'[5]TB-7'!II25+'[5]TB-8'!II25+'[5]TB-9'!II25+'[5]TB-10'!II25+'[6]DSV-1'!II25+'[6]DSV-2'!II25+'[6]DSV-3'!II25+'[7]TUB-1'!II25+'[7]TUB-2'!II25+'[8]Barge-1'!II25+'[8]Barge-2'!II25+'[8]Barge-3'!II25+'[8]Barge-4'!II25</f>
        <v>0</v>
      </c>
      <c r="AW25" s="140">
        <f>'[2]AHTS-1'!II96+'[2]AHTS-2'!II96+'[2]AHTS-3'!II96+'[2]AHTS-4'!II96+'[2]AHTS-5'!II96+'[2]AHTS-6'!II96+'[2]AHTS-7'!II96+'[2]AHTS-8'!II96+'[3]CB-1'!II96+'[3]CB-2'!II96+'[3]CB-3'!II96+'[3]CB-4'!II96+'[3]CB-5'!II96+'[3]CB-6'!II96+'[3]CB-7'!II96+'[3]CB-8'!II96+'[3]CB-9'!II96+'[3]CB-10'!II96+'[3]CB-11'!II96+'[3]CB-12'!II96+'[3]CB-13'!II96+'[3]CB-14'!II96+'[3]CB-15'!II96+'[3]CB-16'!II96+'[3]CB-17'!II96+'[3]CB-18'!II96+'[3]CB-19'!II96+'[3]CB-20'!II96+'[3]CB-21'!II96+'[3]CB-22'!II96+'[3]CB-23'!II96+'[3]CB-24'!II96+'[4]LCT-1'!II96+'[4]LCT-2'!II96+'[4]LCT-3'!II96+'[4]LCT-4'!II96+'[4]LCT-5'!II96+'[4]LCT-6'!II96+'[4]LCT-7'!II96+'[4]LCT-8'!II96+'[5]TB-1'!II96+'[5]TB-2'!II96+'[5]TB-3'!II96+'[5]TB-4'!II96+'[5]TB-5'!II96+'[5]TB-6'!II96+'[5]TB-7'!II96+'[5]TB-8'!II96+'[5]TB-9'!II96+'[5]TB-10'!II96+'[6]DSV-1'!II96+'[6]DSV-2'!II96+'[6]DSV-3'!II96+'[7]TUB-1'!II96+'[7]TUB-2'!II96+'[8]Barge-1'!II96+'[8]Barge-2'!II96+'[8]Barge-3'!II96+'[8]Barge-4'!II96</f>
        <v>0</v>
      </c>
      <c r="AX25" s="67"/>
      <c r="AY25" s="67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</row>
    <row r="26" spans="1:97" s="69" customFormat="1" ht="14.25" customHeight="1" x14ac:dyDescent="0.25">
      <c r="A26" s="111">
        <f>[1]Control!AZ26</f>
        <v>46001</v>
      </c>
      <c r="B26" s="66"/>
      <c r="C26" s="176">
        <f>'[2]AHTS-1'!AV26+'[2]AHTS-2'!AV26+'[2]AHTS-3'!AV26+'[2]AHTS-4'!AV26+'[2]AHTS-5'!AV26+'[2]AHTS-6'!AV26+'[2]AHTS-7'!AV26+'[2]AHTS-8'!AV26+'[3]CB-1'!AV26+'[3]CB-2'!AV26+'[3]CB-3'!AV26+'[3]CB-4'!AV26+'[3]CB-5'!AV26+'[3]CB-6'!AV26+'[3]CB-7'!AV26+'[3]CB-8'!AV26+'[3]CB-9'!AV26+'[3]CB-10'!AV26+'[3]CB-11'!AV26+'[3]CB-12'!AV26+'[3]CB-13'!AV26+'[3]CB-14'!AV26+'[3]CB-15'!AV26+'[3]CB-16'!AV26+'[3]CB-17'!AV26+'[3]CB-18'!AV26+'[3]CB-19'!AV26+'[3]CB-20'!AV26+'[3]CB-21'!AV26+'[3]CB-22'!AV26+'[3]CB-23'!AV26+'[3]CB-24'!AV26+'[4]LCT-1'!AV26+'[4]LCT-2'!AV26+'[4]LCT-3'!AV26+'[4]LCT-4'!AV26+'[4]LCT-5'!AV26+'[4]LCT-6'!AV26+'[4]LCT-7'!AV26+'[4]LCT-8'!AV26+'[5]TB-1'!AV26+'[5]TB-2'!AV26+'[5]TB-3'!AV26+'[5]TB-4'!AV26+'[5]TB-5'!AV26+'[5]TB-6'!AV26+'[5]TB-7'!AV26+'[5]TB-8'!AV26+'[5]TB-9'!AV26+'[5]TB-10'!AV26+'[6]DSV-1'!AV26+'[6]DSV-2'!AV26+'[6]DSV-3'!AV26+'[7]TUB-1'!AV26+'[7]TUB-2'!AV26+'[8]Barge-1'!AV26+'[8]Barge-2'!AV26+'[8]Barge-3'!AV26+'[8]Barge-4'!AV26</f>
        <v>0</v>
      </c>
      <c r="D26" s="177">
        <f>'[2]AHTS-1'!BR26+'[2]AHTS-2'!BR26+'[2]AHTS-3'!BR26+'[2]AHTS-4'!BR26+'[2]AHTS-5'!BR26+'[2]AHTS-6'!BR26+'[2]AHTS-7'!BR26+'[2]AHTS-8'!BR26+'[3]CB-1'!BR26+'[3]CB-2'!BR26+'[3]CB-3'!BR26+'[3]CB-4'!BR26+'[3]CB-5'!BR26+'[3]CB-6'!BR26+'[3]CB-7'!BR26+'[3]CB-8'!BR26+'[3]CB-9'!BR26+'[3]CB-10'!BR26+'[3]CB-11'!BR26+'[3]CB-12'!BR26+'[3]CB-13'!BR26+'[3]CB-14'!BR26+'[3]CB-15'!BR26+'[3]CB-16'!BR26+'[3]CB-17'!BR26+'[3]CB-18'!BR26+'[3]CB-19'!BR26+'[3]CB-20'!BR26+'[3]CB-21'!BR26+'[3]CB-22'!BR26+'[3]CB-23'!BR26+'[3]CB-24'!BR26+'[4]LCT-1'!BR26+'[4]LCT-2'!BR26+'[4]LCT-3'!BR26+'[4]LCT-4'!BR26+'[4]LCT-5'!BR26+'[4]LCT-6'!BR26+'[4]LCT-7'!BR26+'[4]LCT-8'!BR26+'[5]TB-1'!BR26+'[5]TB-2'!BR26+'[5]TB-3'!BR26+'[5]TB-4'!BR26+'[5]TB-5'!BR26+'[5]TB-6'!BR26+'[5]TB-7'!BR26+'[5]TB-8'!BR26+'[5]TB-9'!BR26+'[5]TB-10'!BR26+'[6]DSV-1'!BR26+'[6]DSV-2'!BR26+'[6]DSV-3'!BR26+'[7]TUB-1'!BR26+'[7]TUB-2'!BR26+'[8]Barge-1'!BR26+'[8]Barge-2'!BR26+'[8]Barge-3'!BR26+'[8]Barge-4'!BR26</f>
        <v>0</v>
      </c>
      <c r="E26" s="178">
        <f>'[2]AHTS-1'!CN26+'[2]AHTS-2'!CN26+'[2]AHTS-3'!CN26+'[2]AHTS-4'!CN26+'[2]AHTS-5'!CN26+'[2]AHTS-6'!CN26+'[2]AHTS-7'!CN26+'[2]AHTS-8'!CN26+'[3]CB-1'!CN26+'[3]CB-2'!CN26+'[3]CB-3'!CN26+'[3]CB-4'!CN26+'[3]CB-5'!CN26+'[3]CB-6'!CN26+'[3]CB-7'!CN26+'[3]CB-8'!CN26+'[3]CB-9'!CN26+'[3]CB-10'!CN26+'[3]CB-11'!CN26+'[3]CB-12'!CN26+'[3]CB-13'!CN26+'[3]CB-14'!CN26+'[3]CB-15'!CN26+'[3]CB-16'!CN26+'[3]CB-17'!CN26+'[3]CB-18'!CN26+'[3]CB-19'!CN26+'[3]CB-20'!CN26+'[3]CB-21'!CN26+'[3]CB-22'!CN26+'[3]CB-23'!CN26+'[3]CB-24'!CN26+'[4]LCT-1'!CN26+'[4]LCT-2'!CN26+'[4]LCT-3'!CN26+'[4]LCT-4'!CN26+'[4]LCT-5'!CN26+'[4]LCT-6'!CN26+'[4]LCT-7'!CN26+'[4]LCT-8'!CN26+'[5]TB-1'!CN26+'[5]TB-2'!CN26+'[5]TB-3'!CN26+'[5]TB-4'!CN26+'[5]TB-5'!CN26+'[5]TB-6'!CN26+'[5]TB-7'!CN26+'[5]TB-8'!CN26+'[5]TB-9'!CN26+'[5]TB-10'!CN26+'[6]DSV-1'!CN26+'[6]DSV-2'!CN26+'[6]DSV-3'!CN26+'[7]TUB-1'!CN26+'[7]TUB-2'!CN26+'[8]Barge-1'!CN26+'[8]Barge-2'!CN26+'[8]Barge-3'!CN26+'[8]Barge-4'!CN26</f>
        <v>0</v>
      </c>
      <c r="F26" s="179">
        <f>'[2]AHTS-1'!AW26+'[2]AHTS-2'!AW26+'[2]AHTS-3'!AW26+'[2]AHTS-4'!AW26+'[2]AHTS-5'!AW26+'[2]AHTS-6'!AW26+'[2]AHTS-7'!AW26+'[2]AHTS-8'!AW26+'[3]CB-1'!AW26+'[3]CB-2'!AW26+'[3]CB-3'!AW26+'[3]CB-4'!AW26+'[3]CB-5'!AW26+'[3]CB-6'!AW26+'[3]CB-7'!AW26+'[3]CB-8'!AW26+'[3]CB-9'!AW26+'[3]CB-10'!AW26+'[3]CB-11'!AW26+'[3]CB-12'!AW26+'[3]CB-13'!AW26+'[3]CB-14'!AW26+'[3]CB-15'!AW26+'[3]CB-16'!AW26+'[3]CB-17'!AW26+'[3]CB-18'!AW26+'[3]CB-19'!AW26+'[3]CB-20'!AW26+'[3]CB-21'!AW26+'[3]CB-22'!AW26+'[3]CB-23'!AW26+'[3]CB-24'!AW26+'[4]LCT-1'!AW26+'[4]LCT-2'!AW26+'[4]LCT-3'!AW26+'[4]LCT-4'!AW26+'[4]LCT-5'!AW26+'[4]LCT-6'!AW26+'[4]LCT-7'!AW26+'[4]LCT-8'!AW26+'[5]TB-1'!AW26+'[5]TB-2'!AW26+'[5]TB-3'!AW26+'[5]TB-4'!AW26+'[5]TB-5'!AW26+'[5]TB-6'!AW26+'[5]TB-7'!AW26+'[5]TB-8'!AW26+'[5]TB-9'!AW26+'[5]TB-10'!AW26+'[6]DSV-1'!AW26+'[6]DSV-2'!AW26+'[6]DSV-3'!AW26+'[7]TUB-1'!AW26+'[7]TUB-2'!AW26+'[8]Barge-1'!AW26+'[8]Barge-2'!AW26+'[8]Barge-3'!AW26+'[8]Barge-4'!AW26</f>
        <v>1501.5346818964967</v>
      </c>
      <c r="G26" s="180">
        <f>'[2]AHTS-1'!BS26+'[2]AHTS-2'!BS26+'[2]AHTS-3'!BS26+'[2]AHTS-4'!BS26+'[2]AHTS-5'!BS26+'[2]AHTS-6'!BS26+'[2]AHTS-7'!BS26+'[2]AHTS-8'!BS26+'[3]CB-1'!BS26+'[3]CB-2'!BS26+'[3]CB-3'!BS26+'[3]CB-4'!BS26+'[3]CB-5'!BS26+'[3]CB-6'!BS26+'[3]CB-7'!BS26+'[3]CB-8'!BS26+'[3]CB-9'!BS26+'[3]CB-10'!BS26+'[3]CB-11'!BS26+'[3]CB-12'!BS26+'[3]CB-13'!BS26+'[3]CB-14'!BS26+'[3]CB-15'!BS26+'[3]CB-16'!BS26+'[3]CB-17'!BS26+'[3]CB-18'!BS26+'[3]CB-19'!BS26+'[3]CB-20'!BS26+'[3]CB-21'!BS26+'[3]CB-22'!BS26+'[3]CB-23'!BS26+'[3]CB-24'!BS26+'[4]LCT-1'!BS26+'[4]LCT-2'!BS26+'[4]LCT-3'!BS26+'[4]LCT-4'!BS26+'[4]LCT-5'!BS26+'[4]LCT-6'!BS26+'[4]LCT-7'!BS26+'[4]LCT-8'!BS26+'[5]TB-1'!BS26+'[5]TB-2'!BS26+'[5]TB-3'!BS26+'[5]TB-4'!BS26+'[5]TB-5'!BS26+'[5]TB-6'!BS26+'[5]TB-7'!BS26+'[5]TB-8'!BS26+'[5]TB-9'!BS26+'[5]TB-10'!BS26+'[6]DSV-1'!BS26+'[6]DSV-2'!BS26+'[6]DSV-3'!BS26+'[7]TUB-1'!BS26+'[7]TUB-2'!BS26+'[8]Barge-1'!BS26+'[8]Barge-2'!BS26+'[8]Barge-3'!BS26+'[8]Barge-4'!BS26</f>
        <v>1739.944270733627</v>
      </c>
      <c r="H26" s="180">
        <f>'[2]AHTS-1'!CO26+'[2]AHTS-2'!CO26+'[2]AHTS-3'!CO26+'[2]AHTS-4'!CO26+'[2]AHTS-5'!CO26+'[2]AHTS-6'!CO26+'[2]AHTS-7'!CO26+'[2]AHTS-8'!CO26+'[3]CB-1'!CO26+'[3]CB-2'!CO26+'[3]CB-3'!CO26+'[3]CB-4'!CO26+'[3]CB-5'!CO26+'[3]CB-6'!CO26+'[3]CB-7'!CO26+'[3]CB-8'!CO26+'[3]CB-9'!CO26+'[3]CB-10'!CO26+'[3]CB-11'!CO26+'[3]CB-12'!CO26+'[3]CB-13'!CO26+'[3]CB-14'!CO26+'[3]CB-15'!CO26+'[3]CB-16'!CO26+'[3]CB-17'!CO26+'[3]CB-18'!CO26+'[3]CB-19'!CO26+'[3]CB-20'!CO26+'[3]CB-21'!CO26+'[3]CB-22'!CO26+'[3]CB-23'!CO26+'[3]CB-24'!CO26+'[4]LCT-1'!CO26+'[4]LCT-2'!CO26+'[4]LCT-3'!CO26+'[4]LCT-4'!CO26+'[4]LCT-5'!CO26+'[4]LCT-6'!CO26+'[4]LCT-7'!CO26+'[4]LCT-8'!CO26+'[5]TB-1'!CO26+'[5]TB-2'!CO26+'[5]TB-3'!CO26+'[5]TB-4'!CO26+'[5]TB-5'!CO26+'[5]TB-6'!CO26+'[5]TB-7'!CO26+'[5]TB-8'!CO26+'[5]TB-9'!CO26+'[5]TB-10'!CO26+'[6]DSV-1'!CO26+'[6]DSV-2'!CO26+'[6]DSV-3'!CO26+'[7]TUB-1'!CO26+'[7]TUB-2'!CO26+'[8]Barge-1'!CO26+'[8]Barge-2'!CO26+'[8]Barge-3'!CO26+'[8]Barge-4'!CO26</f>
        <v>0</v>
      </c>
      <c r="I26" s="179">
        <f>'[2]AHTS-1'!AX26+'[2]AHTS-2'!AX26+'[2]AHTS-3'!AX26+'[2]AHTS-4'!AX26+'[2]AHTS-5'!AX26+'[2]AHTS-6'!AX26+'[2]AHTS-7'!AX26+'[2]AHTS-8'!AX26+'[3]CB-1'!AX26+'[3]CB-2'!AX26+'[3]CB-3'!AX26+'[3]CB-4'!AX26+'[3]CB-5'!AX26+'[3]CB-6'!AX26+'[3]CB-7'!AX26+'[3]CB-8'!AX26+'[3]CB-9'!AX26+'[3]CB-10'!AX26+'[3]CB-11'!AX26+'[3]CB-12'!AX26+'[3]CB-13'!AX26+'[3]CB-14'!AX26+'[3]CB-15'!AX26+'[3]CB-16'!AX26+'[3]CB-17'!AX26+'[3]CB-18'!AX26+'[3]CB-19'!AX26+'[3]CB-20'!AX26+'[3]CB-21'!AX26+'[3]CB-22'!AX26+'[3]CB-23'!AX26+'[3]CB-24'!AX26+'[4]LCT-1'!AX26+'[4]LCT-2'!AX26+'[4]LCT-3'!AX26+'[4]LCT-4'!AX26+'[4]LCT-5'!AX26+'[4]LCT-6'!AX26+'[4]LCT-7'!AX26+'[4]LCT-8'!AX26+'[5]TB-1'!AX26+'[5]TB-2'!AX26+'[5]TB-3'!AX26+'[5]TB-4'!AX26+'[5]TB-5'!AX26+'[5]TB-6'!AX26+'[5]TB-7'!AX26+'[5]TB-8'!AX26+'[5]TB-9'!AX26+'[5]TB-10'!AX26+'[6]DSV-1'!AX26+'[6]DSV-2'!AX26+'[6]DSV-3'!AX26+'[7]TUB-1'!AX26+'[7]TUB-2'!AX26+'[8]Barge-1'!AX26+'[8]Barge-2'!AX26+'[8]Barge-3'!AX26+'[8]Barge-4'!AX26</f>
        <v>2503.8460106778975</v>
      </c>
      <c r="J26" s="180">
        <f>'[2]AHTS-1'!BT26+'[2]AHTS-2'!BT26+'[2]AHTS-3'!BT26+'[2]AHTS-4'!BT26+'[2]AHTS-5'!BT26+'[2]AHTS-6'!BT26+'[2]AHTS-7'!BT26+'[2]AHTS-8'!BT26+'[3]CB-1'!BT26+'[3]CB-2'!BT26+'[3]CB-3'!BT26+'[3]CB-4'!BT26+'[3]CB-5'!BT26+'[3]CB-6'!BT26+'[3]CB-7'!BT26+'[3]CB-8'!BT26+'[3]CB-9'!BT26+'[3]CB-10'!BT26+'[3]CB-11'!BT26+'[3]CB-12'!BT26+'[3]CB-13'!BT26+'[3]CB-14'!BT26+'[3]CB-15'!BT26+'[3]CB-16'!BT26+'[3]CB-17'!BT26+'[3]CB-18'!BT26+'[3]CB-19'!BT26+'[3]CB-20'!BT26+'[3]CB-21'!BT26+'[3]CB-22'!BT26+'[3]CB-23'!BT26+'[3]CB-24'!BT26+'[4]LCT-1'!BT26+'[4]LCT-2'!BT26+'[4]LCT-3'!BT26+'[4]LCT-4'!BT26+'[4]LCT-5'!BT26+'[4]LCT-6'!BT26+'[4]LCT-7'!BT26+'[4]LCT-8'!BT26+'[5]TB-1'!BT26+'[5]TB-2'!BT26+'[5]TB-3'!BT26+'[5]TB-4'!BT26+'[5]TB-5'!BT26+'[5]TB-6'!BT26+'[5]TB-7'!BT26+'[5]TB-8'!BT26+'[5]TB-9'!BT26+'[5]TB-10'!BT26+'[6]DSV-1'!BT26+'[6]DSV-2'!BT26+'[6]DSV-3'!BT26+'[7]TUB-1'!BT26+'[7]TUB-2'!BT26+'[8]Barge-1'!BT26+'[8]Barge-2'!BT26+'[8]Barge-3'!BT26+'[8]Barge-4'!BT26</f>
        <v>1991.7363282496331</v>
      </c>
      <c r="K26" s="180">
        <f>'[2]AHTS-1'!CP26+'[2]AHTS-2'!CP26+'[2]AHTS-3'!CP26+'[2]AHTS-4'!CP26+'[2]AHTS-5'!CP26+'[2]AHTS-6'!CP26+'[2]AHTS-7'!CP26+'[2]AHTS-8'!CP26+'[3]CB-1'!CP26+'[3]CB-2'!CP26+'[3]CB-3'!CP26+'[3]CB-4'!CP26+'[3]CB-5'!CP26+'[3]CB-6'!CP26+'[3]CB-7'!CP26+'[3]CB-8'!CP26+'[3]CB-9'!CP26+'[3]CB-10'!CP26+'[3]CB-11'!CP26+'[3]CB-12'!CP26+'[3]CB-13'!CP26+'[3]CB-14'!CP26+'[3]CB-15'!CP26+'[3]CB-16'!CP26+'[3]CB-17'!CP26+'[3]CB-18'!CP26+'[3]CB-19'!CP26+'[3]CB-20'!CP26+'[3]CB-21'!CP26+'[3]CB-22'!CP26+'[3]CB-23'!CP26+'[3]CB-24'!CP26+'[4]LCT-1'!CP26+'[4]LCT-2'!CP26+'[4]LCT-3'!CP26+'[4]LCT-4'!CP26+'[4]LCT-5'!CP26+'[4]LCT-6'!CP26+'[4]LCT-7'!CP26+'[4]LCT-8'!CP26+'[5]TB-1'!CP26+'[5]TB-2'!CP26+'[5]TB-3'!CP26+'[5]TB-4'!CP26+'[5]TB-5'!CP26+'[5]TB-6'!CP26+'[5]TB-7'!CP26+'[5]TB-8'!CP26+'[5]TB-9'!CP26+'[5]TB-10'!CP26+'[6]DSV-1'!CP26+'[6]DSV-2'!CP26+'[6]DSV-3'!CP26+'[7]TUB-1'!CP26+'[7]TUB-2'!CP26+'[8]Barge-1'!CP26+'[8]Barge-2'!CP26+'[8]Barge-3'!CP26+'[8]Barge-4'!CP26</f>
        <v>0</v>
      </c>
      <c r="L26" s="181">
        <f>'[2]AHTS-1'!AY26+'[2]AHTS-2'!AY26+'[2]AHTS-3'!AY26+'[2]AHTS-4'!AY26+'[2]AHTS-5'!AY26+'[2]AHTS-6'!AY26+'[2]AHTS-7'!AY26+'[2]AHTS-8'!AY26+'[3]CB-1'!AY26+'[3]CB-2'!AY26+'[3]CB-3'!AY26+'[3]CB-4'!AY26+'[3]CB-5'!AY26+'[3]CB-6'!AY26+'[3]CB-7'!AY26+'[3]CB-8'!AY26+'[3]CB-9'!AY26+'[3]CB-10'!AY26+'[3]CB-11'!AY26+'[3]CB-12'!AY26+'[3]CB-13'!AY26+'[3]CB-14'!AY26+'[3]CB-15'!AY26+'[3]CB-16'!AY26+'[3]CB-17'!AY26+'[3]CB-18'!AY26+'[3]CB-19'!AY26+'[3]CB-20'!AY26+'[3]CB-21'!AY26+'[3]CB-22'!AY26+'[3]CB-23'!AY26+'[3]CB-24'!AY26+'[4]LCT-1'!AY26+'[4]LCT-2'!AY26+'[4]LCT-3'!AY26+'[4]LCT-4'!AY26+'[4]LCT-5'!AY26+'[4]LCT-6'!AY26+'[4]LCT-7'!AY26+'[4]LCT-8'!AY26+'[5]TB-1'!AY26+'[5]TB-2'!AY26+'[5]TB-3'!AY26+'[5]TB-4'!AY26+'[5]TB-5'!AY26+'[5]TB-6'!AY26+'[5]TB-7'!AY26+'[5]TB-8'!AY26+'[5]TB-9'!AY26+'[5]TB-10'!AY26+'[6]DSV-1'!AY26+'[6]DSV-2'!AY26+'[6]DSV-3'!AY26+'[7]TUB-1'!AY26+'[7]TUB-2'!AY26+'[8]Barge-1'!AY26+'[8]Barge-2'!AY26+'[8]Barge-3'!AY26+'[8]Barge-4'!AY26</f>
        <v>9043.4744113330344</v>
      </c>
      <c r="M26" s="182">
        <f>'[2]AHTS-1'!BU26+'[2]AHTS-2'!BU26+'[2]AHTS-3'!BU26+'[2]AHTS-4'!BU26+'[2]AHTS-5'!BU26+'[2]AHTS-6'!BU26+'[2]AHTS-7'!BU26+'[2]AHTS-8'!BU26+'[3]CB-1'!BU26+'[3]CB-2'!BU26+'[3]CB-3'!BU26+'[3]CB-4'!BU26+'[3]CB-5'!BU26+'[3]CB-6'!BU26+'[3]CB-7'!BU26+'[3]CB-8'!BU26+'[3]CB-9'!BU26+'[3]CB-10'!BU26+'[3]CB-11'!BU26+'[3]CB-12'!BU26+'[3]CB-13'!BU26+'[3]CB-14'!BU26+'[3]CB-15'!BU26+'[3]CB-16'!BU26+'[3]CB-17'!BU26+'[3]CB-18'!BU26+'[3]CB-19'!BU26+'[3]CB-20'!BU26+'[3]CB-21'!BU26+'[3]CB-22'!BU26+'[3]CB-23'!BU26+'[3]CB-24'!BU26+'[4]LCT-1'!BU26+'[4]LCT-2'!BU26+'[4]LCT-3'!BU26+'[4]LCT-4'!BU26+'[4]LCT-5'!BU26+'[4]LCT-6'!BU26+'[4]LCT-7'!BU26+'[4]LCT-8'!BU26+'[5]TB-1'!BU26+'[5]TB-2'!BU26+'[5]TB-3'!BU26+'[5]TB-4'!BU26+'[5]TB-5'!BU26+'[5]TB-6'!BU26+'[5]TB-7'!BU26+'[5]TB-8'!BU26+'[5]TB-9'!BU26+'[5]TB-10'!BU26+'[6]DSV-1'!BU26+'[6]DSV-2'!BU26+'[6]DSV-3'!BU26+'[7]TUB-1'!BU26+'[7]TUB-2'!BU26+'[8]Barge-1'!BU26+'[8]Barge-2'!BU26+'[8]Barge-3'!BU26+'[8]Barge-4'!BU26</f>
        <v>5111.3521791844805</v>
      </c>
      <c r="N26" s="182">
        <f>'[2]AHTS-1'!CQ26+'[2]AHTS-2'!CQ26+'[2]AHTS-3'!CQ26+'[2]AHTS-4'!CQ26+'[2]AHTS-5'!CQ26+'[2]AHTS-6'!CQ26+'[2]AHTS-7'!CQ26+'[2]AHTS-8'!CQ26+'[3]CB-1'!CQ26+'[3]CB-2'!CQ26+'[3]CB-3'!CQ26+'[3]CB-4'!CQ26+'[3]CB-5'!CQ26+'[3]CB-6'!CQ26+'[3]CB-7'!CQ26+'[3]CB-8'!CQ26+'[3]CB-9'!CQ26+'[3]CB-10'!CQ26+'[3]CB-11'!CQ26+'[3]CB-12'!CQ26+'[3]CB-13'!CQ26+'[3]CB-14'!CQ26+'[3]CB-15'!CQ26+'[3]CB-16'!CQ26+'[3]CB-17'!CQ26+'[3]CB-18'!CQ26+'[3]CB-19'!CQ26+'[3]CB-20'!CQ26+'[3]CB-21'!CQ26+'[3]CB-22'!CQ26+'[3]CB-23'!CQ26+'[3]CB-24'!CQ26+'[4]LCT-1'!CQ26+'[4]LCT-2'!CQ26+'[4]LCT-3'!CQ26+'[4]LCT-4'!CQ26+'[4]LCT-5'!CQ26+'[4]LCT-6'!CQ26+'[4]LCT-7'!CQ26+'[4]LCT-8'!CQ26+'[5]TB-1'!CQ26+'[5]TB-2'!CQ26+'[5]TB-3'!CQ26+'[5]TB-4'!CQ26+'[5]TB-5'!CQ26+'[5]TB-6'!CQ26+'[5]TB-7'!CQ26+'[5]TB-8'!CQ26+'[5]TB-9'!CQ26+'[5]TB-10'!CQ26+'[6]DSV-1'!CQ26+'[6]DSV-2'!CQ26+'[6]DSV-3'!CQ26+'[7]TUB-1'!CQ26+'[7]TUB-2'!CQ26+'[8]Barge-1'!CQ26+'[8]Barge-2'!CQ26+'[8]Barge-3'!CQ26+'[8]Barge-4'!CQ26</f>
        <v>0</v>
      </c>
      <c r="O26" s="179">
        <f>'[2]AHTS-1'!AZ26+'[2]AHTS-2'!AZ26+'[2]AHTS-3'!AZ26+'[2]AHTS-4'!AZ26+'[2]AHTS-5'!AZ26+'[2]AHTS-6'!AZ26+'[2]AHTS-7'!AZ26+'[2]AHTS-8'!AZ26+'[3]CB-1'!AZ26+'[3]CB-2'!AZ26+'[3]CB-3'!AZ26+'[3]CB-4'!AZ26+'[3]CB-5'!AZ26+'[3]CB-6'!AZ26+'[3]CB-7'!AZ26+'[3]CB-8'!AZ26+'[3]CB-9'!AZ26+'[3]CB-10'!AZ26+'[3]CB-11'!AZ26+'[3]CB-12'!AZ26+'[3]CB-13'!AZ26+'[3]CB-14'!AZ26+'[3]CB-15'!AZ26+'[3]CB-16'!AZ26+'[3]CB-17'!AZ26+'[3]CB-18'!AZ26+'[3]CB-19'!AZ26+'[3]CB-20'!AZ26+'[3]CB-21'!AZ26+'[3]CB-22'!AZ26+'[3]CB-23'!AZ26+'[3]CB-24'!AZ26+'[4]LCT-1'!AZ26+'[4]LCT-2'!AZ26+'[4]LCT-3'!AZ26+'[4]LCT-4'!AZ26+'[4]LCT-5'!AZ26+'[4]LCT-6'!AZ26+'[4]LCT-7'!AZ26+'[4]LCT-8'!AZ26+'[5]TB-1'!AZ26+'[5]TB-2'!AZ26+'[5]TB-3'!AZ26+'[5]TB-4'!AZ26+'[5]TB-5'!AZ26+'[5]TB-6'!AZ26+'[5]TB-7'!AZ26+'[5]TB-8'!AZ26+'[5]TB-9'!AZ26+'[5]TB-10'!AZ26+'[6]DSV-1'!AZ26+'[6]DSV-2'!AZ26+'[6]DSV-3'!AZ26+'[7]TUB-1'!AZ26+'[7]TUB-2'!AZ26+'[8]Barge-1'!AZ26+'[8]Barge-2'!AZ26+'[8]Barge-3'!AZ26+'[8]Barge-4'!AZ26</f>
        <v>19.408993257184182</v>
      </c>
      <c r="P26" s="180">
        <f>'[2]AHTS-1'!BV26+'[2]AHTS-2'!BV26+'[2]AHTS-3'!BV26+'[2]AHTS-4'!BV26+'[2]AHTS-5'!BV26+'[2]AHTS-6'!BV26+'[2]AHTS-7'!BV26+'[2]AHTS-8'!BV26+'[3]CB-1'!BV26+'[3]CB-2'!BV26+'[3]CB-3'!BV26+'[3]CB-4'!BV26+'[3]CB-5'!BV26+'[3]CB-6'!BV26+'[3]CB-7'!BV26+'[3]CB-8'!BV26+'[3]CB-9'!BV26+'[3]CB-10'!BV26+'[3]CB-11'!BV26+'[3]CB-12'!BV26+'[3]CB-13'!BV26+'[3]CB-14'!BV26+'[3]CB-15'!BV26+'[3]CB-16'!BV26+'[3]CB-17'!BV26+'[3]CB-18'!BV26+'[3]CB-19'!BV26+'[3]CB-20'!BV26+'[3]CB-21'!BV26+'[3]CB-22'!BV26+'[3]CB-23'!BV26+'[3]CB-24'!BV26+'[4]LCT-1'!BV26+'[4]LCT-2'!BV26+'[4]LCT-3'!BV26+'[4]LCT-4'!BV26+'[4]LCT-5'!BV26+'[4]LCT-6'!BV26+'[4]LCT-7'!BV26+'[4]LCT-8'!BV26+'[5]TB-1'!BV26+'[5]TB-2'!BV26+'[5]TB-3'!BV26+'[5]TB-4'!BV26+'[5]TB-5'!BV26+'[5]TB-6'!BV26+'[5]TB-7'!BV26+'[5]TB-8'!BV26+'[5]TB-9'!BV26+'[5]TB-10'!BV26+'[6]DSV-1'!BV26+'[6]DSV-2'!BV26+'[6]DSV-3'!BV26+'[7]TUB-1'!BV26+'[7]TUB-2'!BV26+'[8]Barge-1'!BV26+'[8]Barge-2'!BV26+'[8]Barge-3'!BV26+'[8]Barge-4'!BV26</f>
        <v>69.129815157509626</v>
      </c>
      <c r="Q26" s="180">
        <f>'[2]AHTS-1'!CR26+'[2]AHTS-2'!CR26+'[2]AHTS-3'!CR26+'[2]AHTS-4'!CR26+'[2]AHTS-5'!CR26+'[2]AHTS-6'!CR26+'[2]AHTS-7'!CR26+'[2]AHTS-8'!CR26+'[3]CB-1'!CR26+'[3]CB-2'!CR26+'[3]CB-3'!CR26+'[3]CB-4'!CR26+'[3]CB-5'!CR26+'[3]CB-6'!CR26+'[3]CB-7'!CR26+'[3]CB-8'!CR26+'[3]CB-9'!CR26+'[3]CB-10'!CR26+'[3]CB-11'!CR26+'[3]CB-12'!CR26+'[3]CB-13'!CR26+'[3]CB-14'!CR26+'[3]CB-15'!CR26+'[3]CB-16'!CR26+'[3]CB-17'!CR26+'[3]CB-18'!CR26+'[3]CB-19'!CR26+'[3]CB-20'!CR26+'[3]CB-21'!CR26+'[3]CB-22'!CR26+'[3]CB-23'!CR26+'[3]CB-24'!CR26+'[4]LCT-1'!CR26+'[4]LCT-2'!CR26+'[4]LCT-3'!CR26+'[4]LCT-4'!CR26+'[4]LCT-5'!CR26+'[4]LCT-6'!CR26+'[4]LCT-7'!CR26+'[4]LCT-8'!CR26+'[5]TB-1'!CR26+'[5]TB-2'!CR26+'[5]TB-3'!CR26+'[5]TB-4'!CR26+'[5]TB-5'!CR26+'[5]TB-6'!CR26+'[5]TB-7'!CR26+'[5]TB-8'!CR26+'[5]TB-9'!CR26+'[5]TB-10'!CR26+'[6]DSV-1'!CR26+'[6]DSV-2'!CR26+'[6]DSV-3'!CR26+'[7]TUB-1'!CR26+'[7]TUB-2'!CR26+'[8]Barge-1'!CR26+'[8]Barge-2'!CR26+'[8]Barge-3'!CR26+'[8]Barge-4'!CR26</f>
        <v>0</v>
      </c>
      <c r="R26" s="183">
        <f>'[2]AHTS-1'!BA26+'[2]AHTS-2'!BA26+'[2]AHTS-3'!BA26+'[2]AHTS-4'!BA26+'[2]AHTS-5'!BA26+'[2]AHTS-6'!BA26+'[2]AHTS-7'!BA26+'[2]AHTS-8'!BA26+'[3]CB-1'!BA26+'[3]CB-2'!BA26+'[3]CB-3'!BA26+'[3]CB-4'!BA26+'[3]CB-5'!BA26+'[3]CB-6'!BA26+'[3]CB-7'!BA26+'[3]CB-8'!BA26+'[3]CB-9'!BA26+'[3]CB-10'!BA26+'[3]CB-11'!BA26+'[3]CB-12'!BA26+'[3]CB-13'!BA26+'[3]CB-14'!BA26+'[3]CB-15'!BA26+'[3]CB-16'!BA26+'[3]CB-17'!BA26+'[3]CB-18'!BA26+'[3]CB-19'!BA26+'[3]CB-20'!BA26+'[3]CB-21'!BA26+'[3]CB-22'!BA26+'[3]CB-23'!BA26+'[3]CB-24'!BA26+'[4]LCT-1'!BA26+'[4]LCT-2'!BA26+'[4]LCT-3'!BA26+'[4]LCT-4'!BA26+'[4]LCT-5'!BA26+'[4]LCT-6'!BA26+'[4]LCT-7'!BA26+'[4]LCT-8'!BA26+'[5]TB-1'!BA26+'[5]TB-2'!BA26+'[5]TB-3'!BA26+'[5]TB-4'!BA26+'[5]TB-5'!BA26+'[5]TB-6'!BA26+'[5]TB-7'!BA26+'[5]TB-8'!BA26+'[5]TB-9'!BA26+'[5]TB-10'!BA26+'[6]DSV-1'!BA26+'[6]DSV-2'!BA26+'[6]DSV-3'!BA26+'[7]TUB-1'!BA26+'[7]TUB-2'!BA26+'[8]Barge-1'!BA26+'[8]Barge-2'!BA26+'[8]Barge-3'!BA26+'[8]Barge-4'!BA26</f>
        <v>4585.331716759194</v>
      </c>
      <c r="S26" s="180">
        <f>'[2]AHTS-1'!BW26+'[2]AHTS-2'!BW26+'[2]AHTS-3'!BW26+'[2]AHTS-4'!BW26+'[2]AHTS-5'!BW26+'[2]AHTS-6'!BW26+'[2]AHTS-7'!BW26+'[2]AHTS-8'!BW26+'[3]CB-1'!BW26+'[3]CB-2'!BW26+'[3]CB-3'!BW26+'[3]CB-4'!BW26+'[3]CB-5'!BW26+'[3]CB-6'!BW26+'[3]CB-7'!BW26+'[3]CB-8'!BW26+'[3]CB-9'!BW26+'[3]CB-10'!BW26+'[3]CB-11'!BW26+'[3]CB-12'!BW26+'[3]CB-13'!BW26+'[3]CB-14'!BW26+'[3]CB-15'!BW26+'[3]CB-16'!BW26+'[3]CB-17'!BW26+'[3]CB-18'!BW26+'[3]CB-19'!BW26+'[3]CB-20'!BW26+'[3]CB-21'!BW26+'[3]CB-22'!BW26+'[3]CB-23'!BW26+'[3]CB-24'!BW26+'[4]LCT-1'!BW26+'[4]LCT-2'!BW26+'[4]LCT-3'!BW26+'[4]LCT-4'!BW26+'[4]LCT-5'!BW26+'[4]LCT-6'!BW26+'[4]LCT-7'!BW26+'[4]LCT-8'!BW26+'[5]TB-1'!BW26+'[5]TB-2'!BW26+'[5]TB-3'!BW26+'[5]TB-4'!BW26+'[5]TB-5'!BW26+'[5]TB-6'!BW26+'[5]TB-7'!BW26+'[5]TB-8'!BW26+'[5]TB-9'!BW26+'[5]TB-10'!BW26+'[6]DSV-1'!BW26+'[6]DSV-2'!BW26+'[6]DSV-3'!BW26+'[7]TUB-1'!BW26+'[7]TUB-2'!BW26+'[8]Barge-1'!BW26+'[8]Barge-2'!BW26+'[8]Barge-3'!BW26+'[8]Barge-4'!BW26</f>
        <v>5497.4156084487267</v>
      </c>
      <c r="T26" s="184">
        <f>'[2]AHTS-1'!CS26+'[2]AHTS-2'!CS26+'[2]AHTS-3'!CS26+'[2]AHTS-4'!CS26+'[2]AHTS-5'!CS26+'[2]AHTS-6'!CS26+'[2]AHTS-7'!CS26+'[2]AHTS-8'!CS26+'[3]CB-1'!CS26+'[3]CB-2'!CS26+'[3]CB-3'!CS26+'[3]CB-4'!CS26+'[3]CB-5'!CS26+'[3]CB-6'!CS26+'[3]CB-7'!CS26+'[3]CB-8'!CS26+'[3]CB-9'!CS26+'[3]CB-10'!CS26+'[3]CB-11'!CS26+'[3]CB-12'!CS26+'[3]CB-13'!CS26+'[3]CB-14'!CS26+'[3]CB-15'!CS26+'[3]CB-16'!CS26+'[3]CB-17'!CS26+'[3]CB-18'!CS26+'[3]CB-19'!CS26+'[3]CB-20'!CS26+'[3]CB-21'!CS26+'[3]CB-22'!CS26+'[3]CB-23'!CS26+'[3]CB-24'!CS26+'[4]LCT-1'!CS26+'[4]LCT-2'!CS26+'[4]LCT-3'!CS26+'[4]LCT-4'!CS26+'[4]LCT-5'!CS26+'[4]LCT-6'!CS26+'[4]LCT-7'!CS26+'[4]LCT-8'!CS26+'[5]TB-1'!CS26+'[5]TB-2'!CS26+'[5]TB-3'!CS26+'[5]TB-4'!CS26+'[5]TB-5'!CS26+'[5]TB-6'!CS26+'[5]TB-7'!CS26+'[5]TB-8'!CS26+'[5]TB-9'!CS26+'[5]TB-10'!CS26+'[6]DSV-1'!CS26+'[6]DSV-2'!CS26+'[6]DSV-3'!CS26+'[7]TUB-1'!CS26+'[7]TUB-2'!CS26+'[8]Barge-1'!CS26+'[8]Barge-2'!CS26+'[8]Barge-3'!CS26+'[8]Barge-4'!CS26</f>
        <v>0</v>
      </c>
      <c r="U26" s="183">
        <f>'[2]AHTS-1'!BB26+'[2]AHTS-2'!BB26+'[2]AHTS-3'!BB26+'[2]AHTS-4'!BB26+'[2]AHTS-5'!BB26+'[2]AHTS-6'!BB26+'[2]AHTS-7'!BB26+'[2]AHTS-8'!BB26+'[3]CB-1'!BB26+'[3]CB-2'!BB26+'[3]CB-3'!BB26+'[3]CB-4'!BB26+'[3]CB-5'!BB26+'[3]CB-6'!BB26+'[3]CB-7'!BB26+'[3]CB-8'!BB26+'[3]CB-9'!BB26+'[3]CB-10'!BB26+'[3]CB-11'!BB26+'[3]CB-12'!BB26+'[3]CB-13'!BB26+'[3]CB-14'!BB26+'[3]CB-15'!BB26+'[3]CB-16'!BB26+'[3]CB-17'!BB26+'[3]CB-18'!BB26+'[3]CB-19'!BB26+'[3]CB-20'!BB26+'[3]CB-21'!BB26+'[3]CB-22'!BB26+'[3]CB-23'!BB26+'[3]CB-24'!BB26+'[4]LCT-1'!BB26+'[4]LCT-2'!BB26+'[4]LCT-3'!BB26+'[4]LCT-4'!BB26+'[4]LCT-5'!BB26+'[4]LCT-6'!BB26+'[4]LCT-7'!BB26+'[4]LCT-8'!BB26+'[5]TB-1'!BB26+'[5]TB-2'!BB26+'[5]TB-3'!BB26+'[5]TB-4'!BB26+'[5]TB-5'!BB26+'[5]TB-6'!BB26+'[5]TB-7'!BB26+'[5]TB-8'!BB26+'[5]TB-9'!BB26+'[5]TB-10'!BB26+'[6]DSV-1'!BB26+'[6]DSV-2'!BB26+'[6]DSV-3'!BB26+'[7]TUB-1'!BB26+'[7]TUB-2'!BB26+'[8]Barge-1'!BB26+'[8]Barge-2'!BB26+'[8]Barge-3'!BB26+'[8]Barge-4'!BB26</f>
        <v>0</v>
      </c>
      <c r="V26" s="180">
        <f>'[2]AHTS-1'!BX26+'[2]AHTS-2'!BX26+'[2]AHTS-3'!BX26+'[2]AHTS-4'!BX26+'[2]AHTS-5'!BX26+'[2]AHTS-6'!BX26+'[2]AHTS-7'!BX26+'[2]AHTS-8'!BX26+'[3]CB-1'!BX26+'[3]CB-2'!BX26+'[3]CB-3'!BX26+'[3]CB-4'!BX26+'[3]CB-5'!BX26+'[3]CB-6'!BX26+'[3]CB-7'!BX26+'[3]CB-8'!BX26+'[3]CB-9'!BX26+'[3]CB-10'!BX26+'[3]CB-11'!BX26+'[3]CB-12'!BX26+'[3]CB-13'!BX26+'[3]CB-14'!BX26+'[3]CB-15'!BX26+'[3]CB-16'!BX26+'[3]CB-17'!BX26+'[3]CB-18'!BX26+'[3]CB-19'!BX26+'[3]CB-20'!BX26+'[3]CB-21'!BX26+'[3]CB-22'!BX26+'[3]CB-23'!BX26+'[3]CB-24'!BX26+'[4]LCT-1'!BX26+'[4]LCT-2'!BX26+'[4]LCT-3'!BX26+'[4]LCT-4'!BX26+'[4]LCT-5'!BX26+'[4]LCT-6'!BX26+'[4]LCT-7'!BX26+'[4]LCT-8'!BX26+'[5]TB-1'!BX26+'[5]TB-2'!BX26+'[5]TB-3'!BX26+'[5]TB-4'!BX26+'[5]TB-5'!BX26+'[5]TB-6'!BX26+'[5]TB-7'!BX26+'[5]TB-8'!BX26+'[5]TB-9'!BX26+'[5]TB-10'!BX26+'[6]DSV-1'!BX26+'[6]DSV-2'!BX26+'[6]DSV-3'!BX26+'[7]TUB-1'!BX26+'[7]TUB-2'!BX26+'[8]Barge-1'!BX26+'[8]Barge-2'!BX26+'[8]Barge-3'!BX26+'[8]Barge-4'!BX26</f>
        <v>0</v>
      </c>
      <c r="W26" s="184">
        <f>'[2]AHTS-1'!CT26+'[2]AHTS-2'!CT26+'[2]AHTS-3'!CT26+'[2]AHTS-4'!CT26+'[2]AHTS-5'!CT26+'[2]AHTS-6'!CT26+'[2]AHTS-7'!CT26+'[2]AHTS-8'!CT26+'[3]CB-1'!CT26+'[3]CB-2'!CT26+'[3]CB-3'!CT26+'[3]CB-4'!CT26+'[3]CB-5'!CT26+'[3]CB-6'!CT26+'[3]CB-7'!CT26+'[3]CB-8'!CT26+'[3]CB-9'!CT26+'[3]CB-10'!CT26+'[3]CB-11'!CT26+'[3]CB-12'!CT26+'[3]CB-13'!CT26+'[3]CB-14'!CT26+'[3]CB-15'!CT26+'[3]CB-16'!CT26+'[3]CB-17'!CT26+'[3]CB-18'!CT26+'[3]CB-19'!CT26+'[3]CB-20'!CT26+'[3]CB-21'!CT26+'[3]CB-22'!CT26+'[3]CB-23'!CT26+'[3]CB-24'!CT26+'[4]LCT-1'!CT26+'[4]LCT-2'!CT26+'[4]LCT-3'!CT26+'[4]LCT-4'!CT26+'[4]LCT-5'!CT26+'[4]LCT-6'!CT26+'[4]LCT-7'!CT26+'[4]LCT-8'!CT26+'[5]TB-1'!CT26+'[5]TB-2'!CT26+'[5]TB-3'!CT26+'[5]TB-4'!CT26+'[5]TB-5'!CT26+'[5]TB-6'!CT26+'[5]TB-7'!CT26+'[5]TB-8'!CT26+'[5]TB-9'!CT26+'[5]TB-10'!CT26+'[6]DSV-1'!CT26+'[6]DSV-2'!CT26+'[6]DSV-3'!CT26+'[7]TUB-1'!CT26+'[7]TUB-2'!CT26+'[8]Barge-1'!CT26+'[8]Barge-2'!CT26+'[8]Barge-3'!CT26+'[8]Barge-4'!CT26</f>
        <v>0</v>
      </c>
      <c r="X26" s="67"/>
      <c r="Y26" s="67"/>
      <c r="Z26" s="68"/>
      <c r="AA26" s="111">
        <f>[1]Control!AZ26</f>
        <v>46001</v>
      </c>
      <c r="AB26" s="66"/>
      <c r="AC26" s="132">
        <f>'[2]AHTS-1'!IC64+'[2]AHTS-2'!IC64+'[2]AHTS-3'!IC64+'[2]AHTS-4'!IC64+'[2]AHTS-5'!IC64+'[2]AHTS-6'!IC64+'[2]AHTS-7'!IC64+'[2]AHTS-8'!IC64+'[3]CB-1'!IC64+'[3]CB-2'!IC64+'[3]CB-3'!IC64+'[3]CB-4'!IC64+'[3]CB-5'!IC64+'[3]CB-6'!IC64+'[3]CB-7'!IC64+'[3]CB-8'!IC64+'[3]CB-9'!IC64+'[3]CB-10'!IC64+'[3]CB-11'!IC64+'[3]CB-12'!IC64+'[3]CB-13'!IC64+'[3]CB-14'!IC64+'[3]CB-15'!IC64+'[3]CB-16'!IC64+'[3]CB-17'!IC64+'[3]CB-18'!IC64+'[3]CB-19'!IC64+'[3]CB-20'!IC64+'[3]CB-21'!IC64+'[3]CB-22'!IC64+'[3]CB-23'!IC64+'[3]CB-24'!IC64+'[4]LCT-1'!IC64+'[4]LCT-2'!IC64+'[4]LCT-3'!IC64+'[4]LCT-4'!IC64+'[4]LCT-5'!IC64+'[4]LCT-6'!IC64+'[4]LCT-7'!IC64+'[4]LCT-8'!IC64+'[5]TB-1'!IC64+'[5]TB-2'!IC64+'[5]TB-3'!IC64+'[5]TB-4'!IC64+'[5]TB-5'!IC64+'[5]TB-6'!IC64+'[5]TB-7'!IC64+'[5]TB-8'!IC64+'[5]TB-9'!IC64+'[5]TB-10'!IC64+'[6]DSV-1'!IC64+'[6]DSV-2'!IC64+'[6]DSV-3'!IC64+'[7]TUB-1'!IC64+'[7]TUB-2'!IC64+'[8]Barge-1'!IC64+'[8]Barge-2'!IC64+'[8]Barge-3'!IC64+'[8]Barge-4'!IC64</f>
        <v>0</v>
      </c>
      <c r="AD26" s="133">
        <f>'[2]AHTS-1'!IC26+'[2]AHTS-2'!IC26+'[2]AHTS-3'!IC26+'[2]AHTS-4'!IC26+'[2]AHTS-5'!IC26+'[2]AHTS-6'!IC26+'[2]AHTS-7'!IC26+'[2]AHTS-8'!IC26+'[3]CB-1'!IC26+'[3]CB-2'!IC26+'[3]CB-3'!IC26+'[3]CB-4'!IC26+'[3]CB-5'!IC26+'[3]CB-6'!IC26+'[3]CB-7'!IC26+'[3]CB-8'!IC26+'[3]CB-9'!IC26+'[3]CB-10'!IC26+'[3]CB-11'!IC26+'[3]CB-12'!IC26+'[3]CB-13'!IC26+'[3]CB-14'!IC26+'[3]CB-15'!IC26+'[3]CB-16'!IC26+'[3]CB-17'!IC26+'[3]CB-18'!IC26+'[3]CB-19'!IC26+'[3]CB-20'!IC26+'[3]CB-21'!IC26+'[3]CB-22'!IC26+'[3]CB-23'!IC26+'[3]CB-24'!IC26+'[4]LCT-1'!IC26+'[4]LCT-2'!IC26+'[4]LCT-3'!IC26+'[4]LCT-4'!IC26+'[4]LCT-5'!IC26+'[4]LCT-6'!IC26+'[4]LCT-7'!IC26+'[4]LCT-8'!IC26+'[5]TB-1'!IC26+'[5]TB-2'!IC26+'[5]TB-3'!IC26+'[5]TB-4'!IC26+'[5]TB-5'!IC26+'[5]TB-6'!IC26+'[5]TB-7'!IC26+'[5]TB-8'!IC26+'[5]TB-9'!IC26+'[5]TB-10'!IC26+'[6]DSV-1'!IC26+'[6]DSV-2'!IC26+'[6]DSV-3'!IC26+'[7]TUB-1'!IC26+'[7]TUB-2'!IC26+'[8]Barge-1'!IC26+'[8]Barge-2'!IC26+'[8]Barge-3'!IC26+'[8]Barge-4'!IC26</f>
        <v>0</v>
      </c>
      <c r="AE26" s="134">
        <f>'[2]AHTS-1'!IC97+'[2]AHTS-2'!IC97+'[2]AHTS-3'!IC97+'[2]AHTS-4'!IC97+'[2]AHTS-5'!IC97+'[2]AHTS-6'!IC97+'[2]AHTS-7'!IC97+'[2]AHTS-8'!IC97+'[3]CB-1'!IC97+'[3]CB-2'!IC97+'[3]CB-3'!IC97+'[3]CB-4'!IC97+'[3]CB-5'!IC97+'[3]CB-6'!IC97+'[3]CB-7'!IC97+'[3]CB-8'!IC97+'[3]CB-9'!IC97+'[3]CB-10'!IC97+'[3]CB-11'!IC97+'[3]CB-12'!IC97+'[3]CB-13'!IC97+'[3]CB-14'!IC97+'[3]CB-15'!IC97+'[3]CB-16'!IC97+'[3]CB-17'!IC97+'[3]CB-18'!IC97+'[3]CB-19'!IC97+'[3]CB-20'!IC97+'[3]CB-21'!IC97+'[3]CB-22'!IC97+'[3]CB-23'!IC97+'[3]CB-24'!IC97+'[4]LCT-1'!IC97+'[4]LCT-2'!IC97+'[4]LCT-3'!IC97+'[4]LCT-4'!IC97+'[4]LCT-5'!IC97+'[4]LCT-6'!IC97+'[4]LCT-7'!IC97+'[4]LCT-8'!IC97+'[5]TB-1'!IC97+'[5]TB-2'!IC97+'[5]TB-3'!IC97+'[5]TB-4'!IC97+'[5]TB-5'!IC97+'[5]TB-6'!IC97+'[5]TB-7'!IC97+'[5]TB-8'!IC97+'[5]TB-9'!IC97+'[5]TB-10'!IC97+'[6]DSV-1'!IC97+'[6]DSV-2'!IC97+'[6]DSV-3'!IC97+'[7]TUB-1'!IC97+'[7]TUB-2'!IC97+'[8]Barge-1'!IC97+'[8]Barge-2'!IC97+'[8]Barge-3'!IC97+'[8]Barge-4'!IC97</f>
        <v>0</v>
      </c>
      <c r="AF26" s="135">
        <f>'[2]AHTS-1'!ID64+'[2]AHTS-2'!ID64+'[2]AHTS-3'!ID64+'[2]AHTS-4'!ID64+'[2]AHTS-5'!ID64+'[2]AHTS-6'!ID64+'[2]AHTS-7'!ID64+'[2]AHTS-8'!ID64+'[3]CB-1'!ID64+'[3]CB-2'!ID64+'[3]CB-3'!ID64+'[3]CB-4'!ID64+'[3]CB-5'!ID64+'[3]CB-6'!ID64+'[3]CB-7'!ID64+'[3]CB-8'!ID64+'[3]CB-9'!ID64+'[3]CB-10'!ID64+'[3]CB-11'!ID64+'[3]CB-12'!ID64+'[3]CB-13'!ID64+'[3]CB-14'!ID64+'[3]CB-15'!ID64+'[3]CB-16'!ID64+'[3]CB-17'!ID64+'[3]CB-18'!ID64+'[3]CB-19'!ID64+'[3]CB-20'!ID64+'[3]CB-21'!ID64+'[3]CB-22'!ID64+'[3]CB-23'!ID64+'[3]CB-24'!ID64+'[4]LCT-1'!ID64+'[4]LCT-2'!ID64+'[4]LCT-3'!ID64+'[4]LCT-4'!ID64+'[4]LCT-5'!ID64+'[4]LCT-6'!ID64+'[4]LCT-7'!ID64+'[4]LCT-8'!ID64+'[5]TB-1'!ID64+'[5]TB-2'!ID64+'[5]TB-3'!ID64+'[5]TB-4'!ID64+'[5]TB-5'!ID64+'[5]TB-6'!ID64+'[5]TB-7'!ID64+'[5]TB-8'!ID64+'[5]TB-9'!ID64+'[5]TB-10'!ID64+'[6]DSV-1'!ID64+'[6]DSV-2'!ID64+'[6]DSV-3'!ID64+'[7]TUB-1'!ID64+'[7]TUB-2'!ID64+'[8]Barge-1'!ID64+'[8]Barge-2'!ID64+'[8]Barge-3'!ID64+'[8]Barge-4'!ID64</f>
        <v>23530550</v>
      </c>
      <c r="AG26" s="136">
        <f>'[2]AHTS-1'!ID26+'[2]AHTS-2'!ID26+'[2]AHTS-3'!ID26+'[2]AHTS-4'!ID26+'[2]AHTS-5'!ID26+'[2]AHTS-6'!ID26+'[2]AHTS-7'!ID26+'[2]AHTS-8'!ID26+'[3]CB-1'!ID26+'[3]CB-2'!ID26+'[3]CB-3'!ID26+'[3]CB-4'!ID26+'[3]CB-5'!ID26+'[3]CB-6'!ID26+'[3]CB-7'!ID26+'[3]CB-8'!ID26+'[3]CB-9'!ID26+'[3]CB-10'!ID26+'[3]CB-11'!ID26+'[3]CB-12'!ID26+'[3]CB-13'!ID26+'[3]CB-14'!ID26+'[3]CB-15'!ID26+'[3]CB-16'!ID26+'[3]CB-17'!ID26+'[3]CB-18'!ID26+'[3]CB-19'!ID26+'[3]CB-20'!ID26+'[3]CB-21'!ID26+'[3]CB-22'!ID26+'[3]CB-23'!ID26+'[3]CB-24'!ID26+'[4]LCT-1'!ID26+'[4]LCT-2'!ID26+'[4]LCT-3'!ID26+'[4]LCT-4'!ID26+'[4]LCT-5'!ID26+'[4]LCT-6'!ID26+'[4]LCT-7'!ID26+'[4]LCT-8'!ID26+'[5]TB-1'!ID26+'[5]TB-2'!ID26+'[5]TB-3'!ID26+'[5]TB-4'!ID26+'[5]TB-5'!ID26+'[5]TB-6'!ID26+'[5]TB-7'!ID26+'[5]TB-8'!ID26+'[5]TB-9'!ID26+'[5]TB-10'!ID26+'[6]DSV-1'!ID26+'[6]DSV-2'!ID26+'[6]DSV-3'!ID26+'[7]TUB-1'!ID26+'[7]TUB-2'!ID26+'[8]Barge-1'!ID26+'[8]Barge-2'!ID26+'[8]Barge-3'!ID26+'[8]Barge-4'!ID26</f>
        <v>27266666.666666668</v>
      </c>
      <c r="AH26" s="136">
        <f>'[2]AHTS-1'!ID97+'[2]AHTS-2'!ID97+'[2]AHTS-3'!ID97+'[2]AHTS-4'!ID97+'[2]AHTS-5'!ID97+'[2]AHTS-6'!ID97+'[2]AHTS-7'!ID97+'[2]AHTS-8'!ID97+'[3]CB-1'!ID97+'[3]CB-2'!ID97+'[3]CB-3'!ID97+'[3]CB-4'!ID97+'[3]CB-5'!ID97+'[3]CB-6'!ID97+'[3]CB-7'!ID97+'[3]CB-8'!ID97+'[3]CB-9'!ID97+'[3]CB-10'!ID97+'[3]CB-11'!ID97+'[3]CB-12'!ID97+'[3]CB-13'!ID97+'[3]CB-14'!ID97+'[3]CB-15'!ID97+'[3]CB-16'!ID97+'[3]CB-17'!ID97+'[3]CB-18'!ID97+'[3]CB-19'!ID97+'[3]CB-20'!ID97+'[3]CB-21'!ID97+'[3]CB-22'!ID97+'[3]CB-23'!ID97+'[3]CB-24'!ID97+'[4]LCT-1'!ID97+'[4]LCT-2'!ID97+'[4]LCT-3'!ID97+'[4]LCT-4'!ID97+'[4]LCT-5'!ID97+'[4]LCT-6'!ID97+'[4]LCT-7'!ID97+'[4]LCT-8'!ID97+'[5]TB-1'!ID97+'[5]TB-2'!ID97+'[5]TB-3'!ID97+'[5]TB-4'!ID97+'[5]TB-5'!ID97+'[5]TB-6'!ID97+'[5]TB-7'!ID97+'[5]TB-8'!ID97+'[5]TB-9'!ID97+'[5]TB-10'!ID97+'[6]DSV-1'!ID97+'[6]DSV-2'!ID97+'[6]DSV-3'!ID97+'[7]TUB-1'!ID97+'[7]TUB-2'!ID97+'[8]Barge-1'!ID97+'[8]Barge-2'!ID97+'[8]Barge-3'!ID97+'[8]Barge-4'!ID97</f>
        <v>0</v>
      </c>
      <c r="AI26" s="135">
        <f>'[2]AHTS-1'!IE64+'[2]AHTS-2'!IE64+'[2]AHTS-3'!IE64+'[2]AHTS-4'!IE64+'[2]AHTS-5'!IE64+'[2]AHTS-6'!IE64+'[2]AHTS-7'!IE64+'[2]AHTS-8'!IE64+'[3]CB-1'!IE64+'[3]CB-2'!IE64+'[3]CB-3'!IE64+'[3]CB-4'!IE64+'[3]CB-5'!IE64+'[3]CB-6'!IE64+'[3]CB-7'!IE64+'[3]CB-8'!IE64+'[3]CB-9'!IE64+'[3]CB-10'!IE64+'[3]CB-11'!IE64+'[3]CB-12'!IE64+'[3]CB-13'!IE64+'[3]CB-14'!IE64+'[3]CB-15'!IE64+'[3]CB-16'!IE64+'[3]CB-17'!IE64+'[3]CB-18'!IE64+'[3]CB-19'!IE64+'[3]CB-20'!IE64+'[3]CB-21'!IE64+'[3]CB-22'!IE64+'[3]CB-23'!IE64+'[3]CB-24'!IE64+'[4]LCT-1'!IE64+'[4]LCT-2'!IE64+'[4]LCT-3'!IE64+'[4]LCT-4'!IE64+'[4]LCT-5'!IE64+'[4]LCT-6'!IE64+'[4]LCT-7'!IE64+'[4]LCT-8'!IE64+'[5]TB-1'!IE64+'[5]TB-2'!IE64+'[5]TB-3'!IE64+'[5]TB-4'!IE64+'[5]TB-5'!IE64+'[5]TB-6'!IE64+'[5]TB-7'!IE64+'[5]TB-8'!IE64+'[5]TB-9'!IE64+'[5]TB-10'!IE64+'[6]DSV-1'!IE64+'[6]DSV-2'!IE64+'[6]DSV-3'!IE64+'[7]TUB-1'!IE64+'[7]TUB-2'!IE64+'[8]Barge-1'!IE64+'[8]Barge-2'!IE64+'[8]Barge-3'!IE64+'[8]Barge-4'!IE64</f>
        <v>39237770.833333328</v>
      </c>
      <c r="AJ26" s="136">
        <f>'[2]AHTS-1'!IE26+'[2]AHTS-2'!IE26+'[2]AHTS-3'!IE26+'[2]AHTS-4'!IE26+'[2]AHTS-5'!IE26+'[2]AHTS-6'!IE26+'[2]AHTS-7'!IE26+'[2]AHTS-8'!IE26+'[3]CB-1'!IE26+'[3]CB-2'!IE26+'[3]CB-3'!IE26+'[3]CB-4'!IE26+'[3]CB-5'!IE26+'[3]CB-6'!IE26+'[3]CB-7'!IE26+'[3]CB-8'!IE26+'[3]CB-9'!IE26+'[3]CB-10'!IE26+'[3]CB-11'!IE26+'[3]CB-12'!IE26+'[3]CB-13'!IE26+'[3]CB-14'!IE26+'[3]CB-15'!IE26+'[3]CB-16'!IE26+'[3]CB-17'!IE26+'[3]CB-18'!IE26+'[3]CB-19'!IE26+'[3]CB-20'!IE26+'[3]CB-21'!IE26+'[3]CB-22'!IE26+'[3]CB-23'!IE26+'[3]CB-24'!IE26+'[4]LCT-1'!IE26+'[4]LCT-2'!IE26+'[4]LCT-3'!IE26+'[4]LCT-4'!IE26+'[4]LCT-5'!IE26+'[4]LCT-6'!IE26+'[4]LCT-7'!IE26+'[4]LCT-8'!IE26+'[5]TB-1'!IE26+'[5]TB-2'!IE26+'[5]TB-3'!IE26+'[5]TB-4'!IE26+'[5]TB-5'!IE26+'[5]TB-6'!IE26+'[5]TB-7'!IE26+'[5]TB-8'!IE26+'[5]TB-9'!IE26+'[5]TB-10'!IE26+'[6]DSV-1'!IE26+'[6]DSV-2'!IE26+'[6]DSV-3'!IE26+'[7]TUB-1'!IE26+'[7]TUB-2'!IE26+'[8]Barge-1'!IE26+'[8]Barge-2'!IE26+'[8]Barge-3'!IE26+'[8]Barge-4'!IE26</f>
        <v>31212500</v>
      </c>
      <c r="AK26" s="136">
        <f>'[2]AHTS-1'!IE97+'[2]AHTS-2'!IE97+'[2]AHTS-3'!IE97+'[2]AHTS-4'!IE97+'[2]AHTS-5'!IE97+'[2]AHTS-6'!IE97+'[2]AHTS-7'!IE97+'[2]AHTS-8'!IE97+'[3]CB-1'!IE97+'[3]CB-2'!IE97+'[3]CB-3'!IE97+'[3]CB-4'!IE97+'[3]CB-5'!IE97+'[3]CB-6'!IE97+'[3]CB-7'!IE97+'[3]CB-8'!IE97+'[3]CB-9'!IE97+'[3]CB-10'!IE97+'[3]CB-11'!IE97+'[3]CB-12'!IE97+'[3]CB-13'!IE97+'[3]CB-14'!IE97+'[3]CB-15'!IE97+'[3]CB-16'!IE97+'[3]CB-17'!IE97+'[3]CB-18'!IE97+'[3]CB-19'!IE97+'[3]CB-20'!IE97+'[3]CB-21'!IE97+'[3]CB-22'!IE97+'[3]CB-23'!IE97+'[3]CB-24'!IE97+'[4]LCT-1'!IE97+'[4]LCT-2'!IE97+'[4]LCT-3'!IE97+'[4]LCT-4'!IE97+'[4]LCT-5'!IE97+'[4]LCT-6'!IE97+'[4]LCT-7'!IE97+'[4]LCT-8'!IE97+'[5]TB-1'!IE97+'[5]TB-2'!IE97+'[5]TB-3'!IE97+'[5]TB-4'!IE97+'[5]TB-5'!IE97+'[5]TB-6'!IE97+'[5]TB-7'!IE97+'[5]TB-8'!IE97+'[5]TB-9'!IE97+'[5]TB-10'!IE97+'[6]DSV-1'!IE97+'[6]DSV-2'!IE97+'[6]DSV-3'!IE97+'[7]TUB-1'!IE97+'[7]TUB-2'!IE97+'[8]Barge-1'!IE97+'[8]Barge-2'!IE97+'[8]Barge-3'!IE97+'[8]Barge-4'!IE97</f>
        <v>0</v>
      </c>
      <c r="AL26" s="137">
        <f>'[2]AHTS-1'!IF64+'[2]AHTS-2'!IF64+'[2]AHTS-3'!IF64+'[2]AHTS-4'!IF64+'[2]AHTS-5'!IF64+'[2]AHTS-6'!IF64+'[2]AHTS-7'!IF64+'[2]AHTS-8'!IF64+'[3]CB-1'!IF64+'[3]CB-2'!IF64+'[3]CB-3'!IF64+'[3]CB-4'!IF64+'[3]CB-5'!IF64+'[3]CB-6'!IF64+'[3]CB-7'!IF64+'[3]CB-8'!IF64+'[3]CB-9'!IF64+'[3]CB-10'!IF64+'[3]CB-11'!IF64+'[3]CB-12'!IF64+'[3]CB-13'!IF64+'[3]CB-14'!IF64+'[3]CB-15'!IF64+'[3]CB-16'!IF64+'[3]CB-17'!IF64+'[3]CB-18'!IF64+'[3]CB-19'!IF64+'[3]CB-20'!IF64+'[3]CB-21'!IF64+'[3]CB-22'!IF64+'[3]CB-23'!IF64+'[3]CB-24'!IF64+'[4]LCT-1'!IF64+'[4]LCT-2'!IF64+'[4]LCT-3'!IF64+'[4]LCT-4'!IF64+'[4]LCT-5'!IF64+'[4]LCT-6'!IF64+'[4]LCT-7'!IF64+'[4]LCT-8'!IF64+'[5]TB-1'!IF64+'[5]TB-2'!IF64+'[5]TB-3'!IF64+'[5]TB-4'!IF64+'[5]TB-5'!IF64+'[5]TB-6'!IF64+'[5]TB-7'!IF64+'[5]TB-8'!IF64+'[5]TB-9'!IF64+'[5]TB-10'!IF64+'[6]DSV-1'!IF64+'[6]DSV-2'!IF64+'[6]DSV-3'!IF64+'[7]TUB-1'!IF64+'[7]TUB-2'!IF64+'[8]Barge-1'!IF64+'[8]Barge-2'!IF64+'[8]Barge-3'!IF64+'[8]Barge-4'!IF64</f>
        <v>141720287.5</v>
      </c>
      <c r="AM26" s="138">
        <f>'[2]AHTS-1'!IF26+'[2]AHTS-2'!IF26+'[2]AHTS-3'!IF26+'[2]AHTS-4'!IF26+'[2]AHTS-5'!IF26+'[2]AHTS-6'!IF26+'[2]AHTS-7'!IF26+'[2]AHTS-8'!IF26+'[3]CB-1'!IF26+'[3]CB-2'!IF26+'[3]CB-3'!IF26+'[3]CB-4'!IF26+'[3]CB-5'!IF26+'[3]CB-6'!IF26+'[3]CB-7'!IF26+'[3]CB-8'!IF26+'[3]CB-9'!IF26+'[3]CB-10'!IF26+'[3]CB-11'!IF26+'[3]CB-12'!IF26+'[3]CB-13'!IF26+'[3]CB-14'!IF26+'[3]CB-15'!IF26+'[3]CB-16'!IF26+'[3]CB-17'!IF26+'[3]CB-18'!IF26+'[3]CB-19'!IF26+'[3]CB-20'!IF26+'[3]CB-21'!IF26+'[3]CB-22'!IF26+'[3]CB-23'!IF26+'[3]CB-24'!IF26+'[4]LCT-1'!IF26+'[4]LCT-2'!IF26+'[4]LCT-3'!IF26+'[4]LCT-4'!IF26+'[4]LCT-5'!IF26+'[4]LCT-6'!IF26+'[4]LCT-7'!IF26+'[4]LCT-8'!IF26+'[5]TB-1'!IF26+'[5]TB-2'!IF26+'[5]TB-3'!IF26+'[5]TB-4'!IF26+'[5]TB-5'!IF26+'[5]TB-6'!IF26+'[5]TB-7'!IF26+'[5]TB-8'!IF26+'[5]TB-9'!IF26+'[5]TB-10'!IF26+'[6]DSV-1'!IF26+'[6]DSV-2'!IF26+'[6]DSV-3'!IF26+'[7]TUB-1'!IF26+'[7]TUB-2'!IF26+'[8]Barge-1'!IF26+'[8]Barge-2'!IF26+'[8]Barge-3'!IF26+'[8]Barge-4'!IF26</f>
        <v>80100000</v>
      </c>
      <c r="AN26" s="138">
        <f>'[2]AHTS-1'!IF97+'[2]AHTS-2'!IF97+'[2]AHTS-3'!IF97+'[2]AHTS-4'!IF97+'[2]AHTS-5'!IF97+'[2]AHTS-6'!IF97+'[2]AHTS-7'!IF97+'[2]AHTS-8'!IF97+'[3]CB-1'!IF97+'[3]CB-2'!IF97+'[3]CB-3'!IF97+'[3]CB-4'!IF97+'[3]CB-5'!IF97+'[3]CB-6'!IF97+'[3]CB-7'!IF97+'[3]CB-8'!IF97+'[3]CB-9'!IF97+'[3]CB-10'!IF97+'[3]CB-11'!IF97+'[3]CB-12'!IF97+'[3]CB-13'!IF97+'[3]CB-14'!IF97+'[3]CB-15'!IF97+'[3]CB-16'!IF97+'[3]CB-17'!IF97+'[3]CB-18'!IF97+'[3]CB-19'!IF97+'[3]CB-20'!IF97+'[3]CB-21'!IF97+'[3]CB-22'!IF97+'[3]CB-23'!IF97+'[3]CB-24'!IF97+'[4]LCT-1'!IF97+'[4]LCT-2'!IF97+'[4]LCT-3'!IF97+'[4]LCT-4'!IF97+'[4]LCT-5'!IF97+'[4]LCT-6'!IF97+'[4]LCT-7'!IF97+'[4]LCT-8'!IF97+'[5]TB-1'!IF97+'[5]TB-2'!IF97+'[5]TB-3'!IF97+'[5]TB-4'!IF97+'[5]TB-5'!IF97+'[5]TB-6'!IF97+'[5]TB-7'!IF97+'[5]TB-8'!IF97+'[5]TB-9'!IF97+'[5]TB-10'!IF97+'[6]DSV-1'!IF97+'[6]DSV-2'!IF97+'[6]DSV-3'!IF97+'[7]TUB-1'!IF97+'[7]TUB-2'!IF97+'[8]Barge-1'!IF97+'[8]Barge-2'!IF97+'[8]Barge-3'!IF97+'[8]Barge-4'!IF97</f>
        <v>0</v>
      </c>
      <c r="AO26" s="135">
        <f>'[2]AHTS-1'!IG64+'[2]AHTS-2'!IG64+'[2]AHTS-3'!IG64+'[2]AHTS-4'!IG64+'[2]AHTS-5'!IG64+'[2]AHTS-6'!IG64+'[2]AHTS-7'!IG64+'[2]AHTS-8'!IG64+'[3]CB-1'!IG64+'[3]CB-2'!IG64+'[3]CB-3'!IG64+'[3]CB-4'!IG64+'[3]CB-5'!IG64+'[3]CB-6'!IG64+'[3]CB-7'!IG64+'[3]CB-8'!IG64+'[3]CB-9'!IG64+'[3]CB-10'!IG64+'[3]CB-11'!IG64+'[3]CB-12'!IG64+'[3]CB-13'!IG64+'[3]CB-14'!IG64+'[3]CB-15'!IG64+'[3]CB-16'!IG64+'[3]CB-17'!IG64+'[3]CB-18'!IG64+'[3]CB-19'!IG64+'[3]CB-20'!IG64+'[3]CB-21'!IG64+'[3]CB-22'!IG64+'[3]CB-23'!IG64+'[3]CB-24'!IG64+'[4]LCT-1'!IG64+'[4]LCT-2'!IG64+'[4]LCT-3'!IG64+'[4]LCT-4'!IG64+'[4]LCT-5'!IG64+'[4]LCT-6'!IG64+'[4]LCT-7'!IG64+'[4]LCT-8'!IG64+'[5]TB-1'!IG64+'[5]TB-2'!IG64+'[5]TB-3'!IG64+'[5]TB-4'!IG64+'[5]TB-5'!IG64+'[5]TB-6'!IG64+'[5]TB-7'!IG64+'[5]TB-8'!IG64+'[5]TB-9'!IG64+'[5]TB-10'!IG64+'[6]DSV-1'!IG64+'[6]DSV-2'!IG64+'[6]DSV-3'!IG64+'[7]TUB-1'!IG64+'[7]TUB-2'!IG64+'[8]Barge-1'!IG64+'[8]Barge-2'!IG64+'[8]Barge-3'!IG64+'[8]Barge-4'!IG64</f>
        <v>304158.33333333331</v>
      </c>
      <c r="AP26" s="136">
        <f>'[2]AHTS-1'!IG26+'[2]AHTS-2'!IG26+'[2]AHTS-3'!IG26+'[2]AHTS-4'!IG26+'[2]AHTS-5'!IG26+'[2]AHTS-6'!IG26+'[2]AHTS-7'!IG26+'[2]AHTS-8'!IG26+'[3]CB-1'!IG26+'[3]CB-2'!IG26+'[3]CB-3'!IG26+'[3]CB-4'!IG26+'[3]CB-5'!IG26+'[3]CB-6'!IG26+'[3]CB-7'!IG26+'[3]CB-8'!IG26+'[3]CB-9'!IG26+'[3]CB-10'!IG26+'[3]CB-11'!IG26+'[3]CB-12'!IG26+'[3]CB-13'!IG26+'[3]CB-14'!IG26+'[3]CB-15'!IG26+'[3]CB-16'!IG26+'[3]CB-17'!IG26+'[3]CB-18'!IG26+'[3]CB-19'!IG26+'[3]CB-20'!IG26+'[3]CB-21'!IG26+'[3]CB-22'!IG26+'[3]CB-23'!IG26+'[3]CB-24'!IG26+'[4]LCT-1'!IG26+'[4]LCT-2'!IG26+'[4]LCT-3'!IG26+'[4]LCT-4'!IG26+'[4]LCT-5'!IG26+'[4]LCT-6'!IG26+'[4]LCT-7'!IG26+'[4]LCT-8'!IG26+'[5]TB-1'!IG26+'[5]TB-2'!IG26+'[5]TB-3'!IG26+'[5]TB-4'!IG26+'[5]TB-5'!IG26+'[5]TB-6'!IG26+'[5]TB-7'!IG26+'[5]TB-8'!IG26+'[5]TB-9'!IG26+'[5]TB-10'!IG26+'[6]DSV-1'!IG26+'[6]DSV-2'!IG26+'[6]DSV-3'!IG26+'[7]TUB-1'!IG26+'[7]TUB-2'!IG26+'[8]Barge-1'!IG26+'[8]Barge-2'!IG26+'[8]Barge-3'!IG26+'[8]Barge-4'!IG26</f>
        <v>1083333.3333333333</v>
      </c>
      <c r="AQ26" s="136">
        <f>'[2]AHTS-1'!IG97+'[2]AHTS-2'!IG97+'[2]AHTS-3'!IG97+'[2]AHTS-4'!IG97+'[2]AHTS-5'!IG97+'[2]AHTS-6'!IG97+'[2]AHTS-7'!IG97+'[2]AHTS-8'!IG97+'[3]CB-1'!IG97+'[3]CB-2'!IG97+'[3]CB-3'!IG97+'[3]CB-4'!IG97+'[3]CB-5'!IG97+'[3]CB-6'!IG97+'[3]CB-7'!IG97+'[3]CB-8'!IG97+'[3]CB-9'!IG97+'[3]CB-10'!IG97+'[3]CB-11'!IG97+'[3]CB-12'!IG97+'[3]CB-13'!IG97+'[3]CB-14'!IG97+'[3]CB-15'!IG97+'[3]CB-16'!IG97+'[3]CB-17'!IG97+'[3]CB-18'!IG97+'[3]CB-19'!IG97+'[3]CB-20'!IG97+'[3]CB-21'!IG97+'[3]CB-22'!IG97+'[3]CB-23'!IG97+'[3]CB-24'!IG97+'[4]LCT-1'!IG97+'[4]LCT-2'!IG97+'[4]LCT-3'!IG97+'[4]LCT-4'!IG97+'[4]LCT-5'!IG97+'[4]LCT-6'!IG97+'[4]LCT-7'!IG97+'[4]LCT-8'!IG97+'[5]TB-1'!IG97+'[5]TB-2'!IG97+'[5]TB-3'!IG97+'[5]TB-4'!IG97+'[5]TB-5'!IG97+'[5]TB-6'!IG97+'[5]TB-7'!IG97+'[5]TB-8'!IG97+'[5]TB-9'!IG97+'[5]TB-10'!IG97+'[6]DSV-1'!IG97+'[6]DSV-2'!IG97+'[6]DSV-3'!IG97+'[7]TUB-1'!IG97+'[7]TUB-2'!IG97+'[8]Barge-1'!IG97+'[8]Barge-2'!IG97+'[8]Barge-3'!IG97+'[8]Barge-4'!IG97</f>
        <v>0</v>
      </c>
      <c r="AR26" s="139">
        <f>'[2]AHTS-1'!IH64+'[2]AHTS-2'!IH64+'[2]AHTS-3'!IH64+'[2]AHTS-4'!IH64+'[2]AHTS-5'!IH64+'[2]AHTS-6'!IH64+'[2]AHTS-7'!IH64+'[2]AHTS-8'!IH64+'[3]CB-1'!IH64+'[3]CB-2'!IH64+'[3]CB-3'!IH64+'[3]CB-4'!IH64+'[3]CB-5'!IH64+'[3]CB-6'!IH64+'[3]CB-7'!IH64+'[3]CB-8'!IH64+'[3]CB-9'!IH64+'[3]CB-10'!IH64+'[3]CB-11'!IH64+'[3]CB-12'!IH64+'[3]CB-13'!IH64+'[3]CB-14'!IH64+'[3]CB-15'!IH64+'[3]CB-16'!IH64+'[3]CB-17'!IH64+'[3]CB-18'!IH64+'[3]CB-19'!IH64+'[3]CB-20'!IH64+'[3]CB-21'!IH64+'[3]CB-22'!IH64+'[3]CB-23'!IH64+'[3]CB-24'!IH64+'[4]LCT-1'!IH64+'[4]LCT-2'!IH64+'[4]LCT-3'!IH64+'[4]LCT-4'!IH64+'[4]LCT-5'!IH64+'[4]LCT-6'!IH64+'[4]LCT-7'!IH64+'[4]LCT-8'!IH64+'[5]TB-1'!IH64+'[5]TB-2'!IH64+'[5]TB-3'!IH64+'[5]TB-4'!IH64+'[5]TB-5'!IH64+'[5]TB-6'!IH64+'[5]TB-7'!IH64+'[5]TB-8'!IH64+'[5]TB-9'!IH64+'[5]TB-10'!IH64+'[6]DSV-1'!IH64+'[6]DSV-2'!IH64+'[6]DSV-3'!IH64+'[7]TUB-1'!IH64+'[7]TUB-2'!IH64+'[8]Barge-1'!IH64+'[8]Barge-2'!IH64+'[8]Barge-3'!IH64+'[8]Barge-4'!IH64</f>
        <v>71856733.333333343</v>
      </c>
      <c r="AS26" s="136">
        <f>'[2]AHTS-1'!IH26+'[2]AHTS-2'!IH26+'[2]AHTS-3'!IH26+'[2]AHTS-4'!IH26+'[2]AHTS-5'!IH26+'[2]AHTS-6'!IH26+'[2]AHTS-7'!IH26+'[2]AHTS-8'!IH26+'[3]CB-1'!IH26+'[3]CB-2'!IH26+'[3]CB-3'!IH26+'[3]CB-4'!IH26+'[3]CB-5'!IH26+'[3]CB-6'!IH26+'[3]CB-7'!IH26+'[3]CB-8'!IH26+'[3]CB-9'!IH26+'[3]CB-10'!IH26+'[3]CB-11'!IH26+'[3]CB-12'!IH26+'[3]CB-13'!IH26+'[3]CB-14'!IH26+'[3]CB-15'!IH26+'[3]CB-16'!IH26+'[3]CB-17'!IH26+'[3]CB-18'!IH26+'[3]CB-19'!IH26+'[3]CB-20'!IH26+'[3]CB-21'!IH26+'[3]CB-22'!IH26+'[3]CB-23'!IH26+'[3]CB-24'!IH26+'[4]LCT-1'!IH26+'[4]LCT-2'!IH26+'[4]LCT-3'!IH26+'[4]LCT-4'!IH26+'[4]LCT-5'!IH26+'[4]LCT-6'!IH26+'[4]LCT-7'!IH26+'[4]LCT-8'!IH26+'[5]TB-1'!IH26+'[5]TB-2'!IH26+'[5]TB-3'!IH26+'[5]TB-4'!IH26+'[5]TB-5'!IH26+'[5]TB-6'!IH26+'[5]TB-7'!IH26+'[5]TB-8'!IH26+'[5]TB-9'!IH26+'[5]TB-10'!IH26+'[6]DSV-1'!IH26+'[6]DSV-2'!IH26+'[6]DSV-3'!IH26+'[7]TUB-1'!IH26+'[7]TUB-2'!IH26+'[8]Barge-1'!IH26+'[8]Barge-2'!IH26+'[8]Barge-3'!IH26+'[8]Barge-4'!IH26</f>
        <v>86150000</v>
      </c>
      <c r="AT26" s="140">
        <f>'[2]AHTS-1'!IH97+'[2]AHTS-2'!IH97+'[2]AHTS-3'!IH97+'[2]AHTS-4'!IH97+'[2]AHTS-5'!IH97+'[2]AHTS-6'!IH97+'[2]AHTS-7'!IH97+'[2]AHTS-8'!IH97+'[3]CB-1'!IH97+'[3]CB-2'!IH97+'[3]CB-3'!IH97+'[3]CB-4'!IH97+'[3]CB-5'!IH97+'[3]CB-6'!IH97+'[3]CB-7'!IH97+'[3]CB-8'!IH97+'[3]CB-9'!IH97+'[3]CB-10'!IH97+'[3]CB-11'!IH97+'[3]CB-12'!IH97+'[3]CB-13'!IH97+'[3]CB-14'!IH97+'[3]CB-15'!IH97+'[3]CB-16'!IH97+'[3]CB-17'!IH97+'[3]CB-18'!IH97+'[3]CB-19'!IH97+'[3]CB-20'!IH97+'[3]CB-21'!IH97+'[3]CB-22'!IH97+'[3]CB-23'!IH97+'[3]CB-24'!IH97+'[4]LCT-1'!IH97+'[4]LCT-2'!IH97+'[4]LCT-3'!IH97+'[4]LCT-4'!IH97+'[4]LCT-5'!IH97+'[4]LCT-6'!IH97+'[4]LCT-7'!IH97+'[4]LCT-8'!IH97+'[5]TB-1'!IH97+'[5]TB-2'!IH97+'[5]TB-3'!IH97+'[5]TB-4'!IH97+'[5]TB-5'!IH97+'[5]TB-6'!IH97+'[5]TB-7'!IH97+'[5]TB-8'!IH97+'[5]TB-9'!IH97+'[5]TB-10'!IH97+'[6]DSV-1'!IH97+'[6]DSV-2'!IH97+'[6]DSV-3'!IH97+'[7]TUB-1'!IH97+'[7]TUB-2'!IH97+'[8]Barge-1'!IH97+'[8]Barge-2'!IH97+'[8]Barge-3'!IH97+'[8]Barge-4'!IH97</f>
        <v>0</v>
      </c>
      <c r="AU26" s="139">
        <f>'[2]AHTS-1'!II64+'[2]AHTS-2'!II64+'[2]AHTS-3'!II64+'[2]AHTS-4'!II64+'[2]AHTS-5'!II64+'[2]AHTS-6'!II64+'[2]AHTS-7'!II64+'[2]AHTS-8'!II64+'[3]CB-1'!II64+'[3]CB-2'!II64+'[3]CB-3'!II64+'[3]CB-4'!II64+'[3]CB-5'!II64+'[3]CB-6'!II64+'[3]CB-7'!II64+'[3]CB-8'!II64+'[3]CB-9'!II64+'[3]CB-10'!II64+'[3]CB-11'!II64+'[3]CB-12'!II64+'[3]CB-13'!II64+'[3]CB-14'!II64+'[3]CB-15'!II64+'[3]CB-16'!II64+'[3]CB-17'!II64+'[3]CB-18'!II64+'[3]CB-19'!II64+'[3]CB-20'!II64+'[3]CB-21'!II64+'[3]CB-22'!II64+'[3]CB-23'!II64+'[3]CB-24'!II64+'[4]LCT-1'!II64+'[4]LCT-2'!II64+'[4]LCT-3'!II64+'[4]LCT-4'!II64+'[4]LCT-5'!II64+'[4]LCT-6'!II64+'[4]LCT-7'!II64+'[4]LCT-8'!II64+'[5]TB-1'!II64+'[5]TB-2'!II64+'[5]TB-3'!II64+'[5]TB-4'!II64+'[5]TB-5'!II64+'[5]TB-6'!II64+'[5]TB-7'!II64+'[5]TB-8'!II64+'[5]TB-9'!II64+'[5]TB-10'!II64+'[6]DSV-1'!II64+'[6]DSV-2'!II64+'[6]DSV-3'!II64+'[7]TUB-1'!II64+'[7]TUB-2'!II64+'[8]Barge-1'!II64+'[8]Barge-2'!II64+'[8]Barge-3'!II64+'[8]Barge-4'!II64</f>
        <v>0</v>
      </c>
      <c r="AV26" s="136">
        <f>'[2]AHTS-1'!II26+'[2]AHTS-2'!II26+'[2]AHTS-3'!II26+'[2]AHTS-4'!II26+'[2]AHTS-5'!II26+'[2]AHTS-6'!II26+'[2]AHTS-7'!II26+'[2]AHTS-8'!II26+'[3]CB-1'!II26+'[3]CB-2'!II26+'[3]CB-3'!II26+'[3]CB-4'!II26+'[3]CB-5'!II26+'[3]CB-6'!II26+'[3]CB-7'!II26+'[3]CB-8'!II26+'[3]CB-9'!II26+'[3]CB-10'!II26+'[3]CB-11'!II26+'[3]CB-12'!II26+'[3]CB-13'!II26+'[3]CB-14'!II26+'[3]CB-15'!II26+'[3]CB-16'!II26+'[3]CB-17'!II26+'[3]CB-18'!II26+'[3]CB-19'!II26+'[3]CB-20'!II26+'[3]CB-21'!II26+'[3]CB-22'!II26+'[3]CB-23'!II26+'[3]CB-24'!II26+'[4]LCT-1'!II26+'[4]LCT-2'!II26+'[4]LCT-3'!II26+'[4]LCT-4'!II26+'[4]LCT-5'!II26+'[4]LCT-6'!II26+'[4]LCT-7'!II26+'[4]LCT-8'!II26+'[5]TB-1'!II26+'[5]TB-2'!II26+'[5]TB-3'!II26+'[5]TB-4'!II26+'[5]TB-5'!II26+'[5]TB-6'!II26+'[5]TB-7'!II26+'[5]TB-8'!II26+'[5]TB-9'!II26+'[5]TB-10'!II26+'[6]DSV-1'!II26+'[6]DSV-2'!II26+'[6]DSV-3'!II26+'[7]TUB-1'!II26+'[7]TUB-2'!II26+'[8]Barge-1'!II26+'[8]Barge-2'!II26+'[8]Barge-3'!II26+'[8]Barge-4'!II26</f>
        <v>0</v>
      </c>
      <c r="AW26" s="140">
        <f>'[2]AHTS-1'!II97+'[2]AHTS-2'!II97+'[2]AHTS-3'!II97+'[2]AHTS-4'!II97+'[2]AHTS-5'!II97+'[2]AHTS-6'!II97+'[2]AHTS-7'!II97+'[2]AHTS-8'!II97+'[3]CB-1'!II97+'[3]CB-2'!II97+'[3]CB-3'!II97+'[3]CB-4'!II97+'[3]CB-5'!II97+'[3]CB-6'!II97+'[3]CB-7'!II97+'[3]CB-8'!II97+'[3]CB-9'!II97+'[3]CB-10'!II97+'[3]CB-11'!II97+'[3]CB-12'!II97+'[3]CB-13'!II97+'[3]CB-14'!II97+'[3]CB-15'!II97+'[3]CB-16'!II97+'[3]CB-17'!II97+'[3]CB-18'!II97+'[3]CB-19'!II97+'[3]CB-20'!II97+'[3]CB-21'!II97+'[3]CB-22'!II97+'[3]CB-23'!II97+'[3]CB-24'!II97+'[4]LCT-1'!II97+'[4]LCT-2'!II97+'[4]LCT-3'!II97+'[4]LCT-4'!II97+'[4]LCT-5'!II97+'[4]LCT-6'!II97+'[4]LCT-7'!II97+'[4]LCT-8'!II97+'[5]TB-1'!II97+'[5]TB-2'!II97+'[5]TB-3'!II97+'[5]TB-4'!II97+'[5]TB-5'!II97+'[5]TB-6'!II97+'[5]TB-7'!II97+'[5]TB-8'!II97+'[5]TB-9'!II97+'[5]TB-10'!II97+'[6]DSV-1'!II97+'[6]DSV-2'!II97+'[6]DSV-3'!II97+'[7]TUB-1'!II97+'[7]TUB-2'!II97+'[8]Barge-1'!II97+'[8]Barge-2'!II97+'[8]Barge-3'!II97+'[8]Barge-4'!II97</f>
        <v>0</v>
      </c>
      <c r="AX26" s="67"/>
      <c r="AY26" s="67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</row>
    <row r="27" spans="1:97" s="69" customFormat="1" ht="14.25" customHeight="1" x14ac:dyDescent="0.25">
      <c r="A27" s="111">
        <f>[1]Control!AZ27</f>
        <v>46002</v>
      </c>
      <c r="B27" s="66"/>
      <c r="C27" s="176">
        <f>'[2]AHTS-1'!AV27+'[2]AHTS-2'!AV27+'[2]AHTS-3'!AV27+'[2]AHTS-4'!AV27+'[2]AHTS-5'!AV27+'[2]AHTS-6'!AV27+'[2]AHTS-7'!AV27+'[2]AHTS-8'!AV27+'[3]CB-1'!AV27+'[3]CB-2'!AV27+'[3]CB-3'!AV27+'[3]CB-4'!AV27+'[3]CB-5'!AV27+'[3]CB-6'!AV27+'[3]CB-7'!AV27+'[3]CB-8'!AV27+'[3]CB-9'!AV27+'[3]CB-10'!AV27+'[3]CB-11'!AV27+'[3]CB-12'!AV27+'[3]CB-13'!AV27+'[3]CB-14'!AV27+'[3]CB-15'!AV27+'[3]CB-16'!AV27+'[3]CB-17'!AV27+'[3]CB-18'!AV27+'[3]CB-19'!AV27+'[3]CB-20'!AV27+'[3]CB-21'!AV27+'[3]CB-22'!AV27+'[3]CB-23'!AV27+'[3]CB-24'!AV27+'[4]LCT-1'!AV27+'[4]LCT-2'!AV27+'[4]LCT-3'!AV27+'[4]LCT-4'!AV27+'[4]LCT-5'!AV27+'[4]LCT-6'!AV27+'[4]LCT-7'!AV27+'[4]LCT-8'!AV27+'[5]TB-1'!AV27+'[5]TB-2'!AV27+'[5]TB-3'!AV27+'[5]TB-4'!AV27+'[5]TB-5'!AV27+'[5]TB-6'!AV27+'[5]TB-7'!AV27+'[5]TB-8'!AV27+'[5]TB-9'!AV27+'[5]TB-10'!AV27+'[6]DSV-1'!AV27+'[6]DSV-2'!AV27+'[6]DSV-3'!AV27+'[7]TUB-1'!AV27+'[7]TUB-2'!AV27+'[8]Barge-1'!AV27+'[8]Barge-2'!AV27+'[8]Barge-3'!AV27+'[8]Barge-4'!AV27</f>
        <v>0</v>
      </c>
      <c r="D27" s="177">
        <f>'[2]AHTS-1'!BR27+'[2]AHTS-2'!BR27+'[2]AHTS-3'!BR27+'[2]AHTS-4'!BR27+'[2]AHTS-5'!BR27+'[2]AHTS-6'!BR27+'[2]AHTS-7'!BR27+'[2]AHTS-8'!BR27+'[3]CB-1'!BR27+'[3]CB-2'!BR27+'[3]CB-3'!BR27+'[3]CB-4'!BR27+'[3]CB-5'!BR27+'[3]CB-6'!BR27+'[3]CB-7'!BR27+'[3]CB-8'!BR27+'[3]CB-9'!BR27+'[3]CB-10'!BR27+'[3]CB-11'!BR27+'[3]CB-12'!BR27+'[3]CB-13'!BR27+'[3]CB-14'!BR27+'[3]CB-15'!BR27+'[3]CB-16'!BR27+'[3]CB-17'!BR27+'[3]CB-18'!BR27+'[3]CB-19'!BR27+'[3]CB-20'!BR27+'[3]CB-21'!BR27+'[3]CB-22'!BR27+'[3]CB-23'!BR27+'[3]CB-24'!BR27+'[4]LCT-1'!BR27+'[4]LCT-2'!BR27+'[4]LCT-3'!BR27+'[4]LCT-4'!BR27+'[4]LCT-5'!BR27+'[4]LCT-6'!BR27+'[4]LCT-7'!BR27+'[4]LCT-8'!BR27+'[5]TB-1'!BR27+'[5]TB-2'!BR27+'[5]TB-3'!BR27+'[5]TB-4'!BR27+'[5]TB-5'!BR27+'[5]TB-6'!BR27+'[5]TB-7'!BR27+'[5]TB-8'!BR27+'[5]TB-9'!BR27+'[5]TB-10'!BR27+'[6]DSV-1'!BR27+'[6]DSV-2'!BR27+'[6]DSV-3'!BR27+'[7]TUB-1'!BR27+'[7]TUB-2'!BR27+'[8]Barge-1'!BR27+'[8]Barge-2'!BR27+'[8]Barge-3'!BR27+'[8]Barge-4'!BR27</f>
        <v>0</v>
      </c>
      <c r="E27" s="178">
        <f>'[2]AHTS-1'!CN27+'[2]AHTS-2'!CN27+'[2]AHTS-3'!CN27+'[2]AHTS-4'!CN27+'[2]AHTS-5'!CN27+'[2]AHTS-6'!CN27+'[2]AHTS-7'!CN27+'[2]AHTS-8'!CN27+'[3]CB-1'!CN27+'[3]CB-2'!CN27+'[3]CB-3'!CN27+'[3]CB-4'!CN27+'[3]CB-5'!CN27+'[3]CB-6'!CN27+'[3]CB-7'!CN27+'[3]CB-8'!CN27+'[3]CB-9'!CN27+'[3]CB-10'!CN27+'[3]CB-11'!CN27+'[3]CB-12'!CN27+'[3]CB-13'!CN27+'[3]CB-14'!CN27+'[3]CB-15'!CN27+'[3]CB-16'!CN27+'[3]CB-17'!CN27+'[3]CB-18'!CN27+'[3]CB-19'!CN27+'[3]CB-20'!CN27+'[3]CB-21'!CN27+'[3]CB-22'!CN27+'[3]CB-23'!CN27+'[3]CB-24'!CN27+'[4]LCT-1'!CN27+'[4]LCT-2'!CN27+'[4]LCT-3'!CN27+'[4]LCT-4'!CN27+'[4]LCT-5'!CN27+'[4]LCT-6'!CN27+'[4]LCT-7'!CN27+'[4]LCT-8'!CN27+'[5]TB-1'!CN27+'[5]TB-2'!CN27+'[5]TB-3'!CN27+'[5]TB-4'!CN27+'[5]TB-5'!CN27+'[5]TB-6'!CN27+'[5]TB-7'!CN27+'[5]TB-8'!CN27+'[5]TB-9'!CN27+'[5]TB-10'!CN27+'[6]DSV-1'!CN27+'[6]DSV-2'!CN27+'[6]DSV-3'!CN27+'[7]TUB-1'!CN27+'[7]TUB-2'!CN27+'[8]Barge-1'!CN27+'[8]Barge-2'!CN27+'[8]Barge-3'!CN27+'[8]Barge-4'!CN27</f>
        <v>0</v>
      </c>
      <c r="F27" s="179">
        <f>'[2]AHTS-1'!AW27+'[2]AHTS-2'!AW27+'[2]AHTS-3'!AW27+'[2]AHTS-4'!AW27+'[2]AHTS-5'!AW27+'[2]AHTS-6'!AW27+'[2]AHTS-7'!AW27+'[2]AHTS-8'!AW27+'[3]CB-1'!AW27+'[3]CB-2'!AW27+'[3]CB-3'!AW27+'[3]CB-4'!AW27+'[3]CB-5'!AW27+'[3]CB-6'!AW27+'[3]CB-7'!AW27+'[3]CB-8'!AW27+'[3]CB-9'!AW27+'[3]CB-10'!AW27+'[3]CB-11'!AW27+'[3]CB-12'!AW27+'[3]CB-13'!AW27+'[3]CB-14'!AW27+'[3]CB-15'!AW27+'[3]CB-16'!AW27+'[3]CB-17'!AW27+'[3]CB-18'!AW27+'[3]CB-19'!AW27+'[3]CB-20'!AW27+'[3]CB-21'!AW27+'[3]CB-22'!AW27+'[3]CB-23'!AW27+'[3]CB-24'!AW27+'[4]LCT-1'!AW27+'[4]LCT-2'!AW27+'[4]LCT-3'!AW27+'[4]LCT-4'!AW27+'[4]LCT-5'!AW27+'[4]LCT-6'!AW27+'[4]LCT-7'!AW27+'[4]LCT-8'!AW27+'[5]TB-1'!AW27+'[5]TB-2'!AW27+'[5]TB-3'!AW27+'[5]TB-4'!AW27+'[5]TB-5'!AW27+'[5]TB-6'!AW27+'[5]TB-7'!AW27+'[5]TB-8'!AW27+'[5]TB-9'!AW27+'[5]TB-10'!AW27+'[6]DSV-1'!AW27+'[6]DSV-2'!AW27+'[6]DSV-3'!AW27+'[7]TUB-1'!AW27+'[7]TUB-2'!AW27+'[8]Barge-1'!AW27+'[8]Barge-2'!AW27+'[8]Barge-3'!AW27+'[8]Barge-4'!AW27</f>
        <v>1861.8320110040484</v>
      </c>
      <c r="G27" s="180">
        <f>'[2]AHTS-1'!BS27+'[2]AHTS-2'!BS27+'[2]AHTS-3'!BS27+'[2]AHTS-4'!BS27+'[2]AHTS-5'!BS27+'[2]AHTS-6'!BS27+'[2]AHTS-7'!BS27+'[2]AHTS-8'!BS27+'[3]CB-1'!BS27+'[3]CB-2'!BS27+'[3]CB-3'!BS27+'[3]CB-4'!BS27+'[3]CB-5'!BS27+'[3]CB-6'!BS27+'[3]CB-7'!BS27+'[3]CB-8'!BS27+'[3]CB-9'!BS27+'[3]CB-10'!BS27+'[3]CB-11'!BS27+'[3]CB-12'!BS27+'[3]CB-13'!BS27+'[3]CB-14'!BS27+'[3]CB-15'!BS27+'[3]CB-16'!BS27+'[3]CB-17'!BS27+'[3]CB-18'!BS27+'[3]CB-19'!BS27+'[3]CB-20'!BS27+'[3]CB-21'!BS27+'[3]CB-22'!BS27+'[3]CB-23'!BS27+'[3]CB-24'!BS27+'[4]LCT-1'!BS27+'[4]LCT-2'!BS27+'[4]LCT-3'!BS27+'[4]LCT-4'!BS27+'[4]LCT-5'!BS27+'[4]LCT-6'!BS27+'[4]LCT-7'!BS27+'[4]LCT-8'!BS27+'[5]TB-1'!BS27+'[5]TB-2'!BS27+'[5]TB-3'!BS27+'[5]TB-4'!BS27+'[5]TB-5'!BS27+'[5]TB-6'!BS27+'[5]TB-7'!BS27+'[5]TB-8'!BS27+'[5]TB-9'!BS27+'[5]TB-10'!BS27+'[6]DSV-1'!BS27+'[6]DSV-2'!BS27+'[6]DSV-3'!BS27+'[7]TUB-1'!BS27+'[7]TUB-2'!BS27+'[8]Barge-1'!BS27+'[8]Barge-2'!BS27+'[8]Barge-3'!BS27+'[8]Barge-4'!BS27</f>
        <v>2107.0413148136331</v>
      </c>
      <c r="H27" s="180">
        <f>'[2]AHTS-1'!CO27+'[2]AHTS-2'!CO27+'[2]AHTS-3'!CO27+'[2]AHTS-4'!CO27+'[2]AHTS-5'!CO27+'[2]AHTS-6'!CO27+'[2]AHTS-7'!CO27+'[2]AHTS-8'!CO27+'[3]CB-1'!CO27+'[3]CB-2'!CO27+'[3]CB-3'!CO27+'[3]CB-4'!CO27+'[3]CB-5'!CO27+'[3]CB-6'!CO27+'[3]CB-7'!CO27+'[3]CB-8'!CO27+'[3]CB-9'!CO27+'[3]CB-10'!CO27+'[3]CB-11'!CO27+'[3]CB-12'!CO27+'[3]CB-13'!CO27+'[3]CB-14'!CO27+'[3]CB-15'!CO27+'[3]CB-16'!CO27+'[3]CB-17'!CO27+'[3]CB-18'!CO27+'[3]CB-19'!CO27+'[3]CB-20'!CO27+'[3]CB-21'!CO27+'[3]CB-22'!CO27+'[3]CB-23'!CO27+'[3]CB-24'!CO27+'[4]LCT-1'!CO27+'[4]LCT-2'!CO27+'[4]LCT-3'!CO27+'[4]LCT-4'!CO27+'[4]LCT-5'!CO27+'[4]LCT-6'!CO27+'[4]LCT-7'!CO27+'[4]LCT-8'!CO27+'[5]TB-1'!CO27+'[5]TB-2'!CO27+'[5]TB-3'!CO27+'[5]TB-4'!CO27+'[5]TB-5'!CO27+'[5]TB-6'!CO27+'[5]TB-7'!CO27+'[5]TB-8'!CO27+'[5]TB-9'!CO27+'[5]TB-10'!CO27+'[6]DSV-1'!CO27+'[6]DSV-2'!CO27+'[6]DSV-3'!CO27+'[7]TUB-1'!CO27+'[7]TUB-2'!CO27+'[8]Barge-1'!CO27+'[8]Barge-2'!CO27+'[8]Barge-3'!CO27+'[8]Barge-4'!CO27</f>
        <v>0</v>
      </c>
      <c r="I27" s="179">
        <f>'[2]AHTS-1'!AX27+'[2]AHTS-2'!AX27+'[2]AHTS-3'!AX27+'[2]AHTS-4'!AX27+'[2]AHTS-5'!AX27+'[2]AHTS-6'!AX27+'[2]AHTS-7'!AX27+'[2]AHTS-8'!AX27+'[3]CB-1'!AX27+'[3]CB-2'!AX27+'[3]CB-3'!AX27+'[3]CB-4'!AX27+'[3]CB-5'!AX27+'[3]CB-6'!AX27+'[3]CB-7'!AX27+'[3]CB-8'!AX27+'[3]CB-9'!AX27+'[3]CB-10'!AX27+'[3]CB-11'!AX27+'[3]CB-12'!AX27+'[3]CB-13'!AX27+'[3]CB-14'!AX27+'[3]CB-15'!AX27+'[3]CB-16'!AX27+'[3]CB-17'!AX27+'[3]CB-18'!AX27+'[3]CB-19'!AX27+'[3]CB-20'!AX27+'[3]CB-21'!AX27+'[3]CB-22'!AX27+'[3]CB-23'!AX27+'[3]CB-24'!AX27+'[4]LCT-1'!AX27+'[4]LCT-2'!AX27+'[4]LCT-3'!AX27+'[4]LCT-4'!AX27+'[4]LCT-5'!AX27+'[4]LCT-6'!AX27+'[4]LCT-7'!AX27+'[4]LCT-8'!AX27+'[5]TB-1'!AX27+'[5]TB-2'!AX27+'[5]TB-3'!AX27+'[5]TB-4'!AX27+'[5]TB-5'!AX27+'[5]TB-6'!AX27+'[5]TB-7'!AX27+'[5]TB-8'!AX27+'[5]TB-9'!AX27+'[5]TB-10'!AX27+'[6]DSV-1'!AX27+'[6]DSV-2'!AX27+'[6]DSV-3'!AX27+'[7]TUB-1'!AX27+'[7]TUB-2'!AX27+'[8]Barge-1'!AX27+'[8]Barge-2'!AX27+'[8]Barge-3'!AX27+'[8]Barge-4'!AX27</f>
        <v>2540.0875821581262</v>
      </c>
      <c r="J27" s="180">
        <f>'[2]AHTS-1'!BT27+'[2]AHTS-2'!BT27+'[2]AHTS-3'!BT27+'[2]AHTS-4'!BT27+'[2]AHTS-5'!BT27+'[2]AHTS-6'!BT27+'[2]AHTS-7'!BT27+'[2]AHTS-8'!BT27+'[3]CB-1'!BT27+'[3]CB-2'!BT27+'[3]CB-3'!BT27+'[3]CB-4'!BT27+'[3]CB-5'!BT27+'[3]CB-6'!BT27+'[3]CB-7'!BT27+'[3]CB-8'!BT27+'[3]CB-9'!BT27+'[3]CB-10'!BT27+'[3]CB-11'!BT27+'[3]CB-12'!BT27+'[3]CB-13'!BT27+'[3]CB-14'!BT27+'[3]CB-15'!BT27+'[3]CB-16'!BT27+'[3]CB-17'!BT27+'[3]CB-18'!BT27+'[3]CB-19'!BT27+'[3]CB-20'!BT27+'[3]CB-21'!BT27+'[3]CB-22'!BT27+'[3]CB-23'!BT27+'[3]CB-24'!BT27+'[4]LCT-1'!BT27+'[4]LCT-2'!BT27+'[4]LCT-3'!BT27+'[4]LCT-4'!BT27+'[4]LCT-5'!BT27+'[4]LCT-6'!BT27+'[4]LCT-7'!BT27+'[4]LCT-8'!BT27+'[5]TB-1'!BT27+'[5]TB-2'!BT27+'[5]TB-3'!BT27+'[5]TB-4'!BT27+'[5]TB-5'!BT27+'[5]TB-6'!BT27+'[5]TB-7'!BT27+'[5]TB-8'!BT27+'[5]TB-9'!BT27+'[5]TB-10'!BT27+'[6]DSV-1'!BT27+'[6]DSV-2'!BT27+'[6]DSV-3'!BT27+'[7]TUB-1'!BT27+'[7]TUB-2'!BT27+'[8]Barge-1'!BT27+'[8]Barge-2'!BT27+'[8]Barge-3'!BT27+'[8]Barge-4'!BT27</f>
        <v>1991.7363282496331</v>
      </c>
      <c r="K27" s="180">
        <f>'[2]AHTS-1'!CP27+'[2]AHTS-2'!CP27+'[2]AHTS-3'!CP27+'[2]AHTS-4'!CP27+'[2]AHTS-5'!CP27+'[2]AHTS-6'!CP27+'[2]AHTS-7'!CP27+'[2]AHTS-8'!CP27+'[3]CB-1'!CP27+'[3]CB-2'!CP27+'[3]CB-3'!CP27+'[3]CB-4'!CP27+'[3]CB-5'!CP27+'[3]CB-6'!CP27+'[3]CB-7'!CP27+'[3]CB-8'!CP27+'[3]CB-9'!CP27+'[3]CB-10'!CP27+'[3]CB-11'!CP27+'[3]CB-12'!CP27+'[3]CB-13'!CP27+'[3]CB-14'!CP27+'[3]CB-15'!CP27+'[3]CB-16'!CP27+'[3]CB-17'!CP27+'[3]CB-18'!CP27+'[3]CB-19'!CP27+'[3]CB-20'!CP27+'[3]CB-21'!CP27+'[3]CB-22'!CP27+'[3]CB-23'!CP27+'[3]CB-24'!CP27+'[4]LCT-1'!CP27+'[4]LCT-2'!CP27+'[4]LCT-3'!CP27+'[4]LCT-4'!CP27+'[4]LCT-5'!CP27+'[4]LCT-6'!CP27+'[4]LCT-7'!CP27+'[4]LCT-8'!CP27+'[5]TB-1'!CP27+'[5]TB-2'!CP27+'[5]TB-3'!CP27+'[5]TB-4'!CP27+'[5]TB-5'!CP27+'[5]TB-6'!CP27+'[5]TB-7'!CP27+'[5]TB-8'!CP27+'[5]TB-9'!CP27+'[5]TB-10'!CP27+'[6]DSV-1'!CP27+'[6]DSV-2'!CP27+'[6]DSV-3'!CP27+'[7]TUB-1'!CP27+'[7]TUB-2'!CP27+'[8]Barge-1'!CP27+'[8]Barge-2'!CP27+'[8]Barge-3'!CP27+'[8]Barge-4'!CP27</f>
        <v>0</v>
      </c>
      <c r="L27" s="181">
        <f>'[2]AHTS-1'!AY27+'[2]AHTS-2'!AY27+'[2]AHTS-3'!AY27+'[2]AHTS-4'!AY27+'[2]AHTS-5'!AY27+'[2]AHTS-6'!AY27+'[2]AHTS-7'!AY27+'[2]AHTS-8'!AY27+'[3]CB-1'!AY27+'[3]CB-2'!AY27+'[3]CB-3'!AY27+'[3]CB-4'!AY27+'[3]CB-5'!AY27+'[3]CB-6'!AY27+'[3]CB-7'!AY27+'[3]CB-8'!AY27+'[3]CB-9'!AY27+'[3]CB-10'!AY27+'[3]CB-11'!AY27+'[3]CB-12'!AY27+'[3]CB-13'!AY27+'[3]CB-14'!AY27+'[3]CB-15'!AY27+'[3]CB-16'!AY27+'[3]CB-17'!AY27+'[3]CB-18'!AY27+'[3]CB-19'!AY27+'[3]CB-20'!AY27+'[3]CB-21'!AY27+'[3]CB-22'!AY27+'[3]CB-23'!AY27+'[3]CB-24'!AY27+'[4]LCT-1'!AY27+'[4]LCT-2'!AY27+'[4]LCT-3'!AY27+'[4]LCT-4'!AY27+'[4]LCT-5'!AY27+'[4]LCT-6'!AY27+'[4]LCT-7'!AY27+'[4]LCT-8'!AY27+'[5]TB-1'!AY27+'[5]TB-2'!AY27+'[5]TB-3'!AY27+'[5]TB-4'!AY27+'[5]TB-5'!AY27+'[5]TB-6'!AY27+'[5]TB-7'!AY27+'[5]TB-8'!AY27+'[5]TB-9'!AY27+'[5]TB-10'!AY27+'[6]DSV-1'!AY27+'[6]DSV-2'!AY27+'[6]DSV-3'!AY27+'[7]TUB-1'!AY27+'[7]TUB-2'!AY27+'[8]Barge-1'!AY27+'[8]Barge-2'!AY27+'[8]Barge-3'!AY27+'[8]Barge-4'!AY27</f>
        <v>5722.1605371563883</v>
      </c>
      <c r="M27" s="182">
        <f>'[2]AHTS-1'!BU27+'[2]AHTS-2'!BU27+'[2]AHTS-3'!BU27+'[2]AHTS-4'!BU27+'[2]AHTS-5'!BU27+'[2]AHTS-6'!BU27+'[2]AHTS-7'!BU27+'[2]AHTS-8'!BU27+'[3]CB-1'!BU27+'[3]CB-2'!BU27+'[3]CB-3'!BU27+'[3]CB-4'!BU27+'[3]CB-5'!BU27+'[3]CB-6'!BU27+'[3]CB-7'!BU27+'[3]CB-8'!BU27+'[3]CB-9'!BU27+'[3]CB-10'!BU27+'[3]CB-11'!BU27+'[3]CB-12'!BU27+'[3]CB-13'!BU27+'[3]CB-14'!BU27+'[3]CB-15'!BU27+'[3]CB-16'!BU27+'[3]CB-17'!BU27+'[3]CB-18'!BU27+'[3]CB-19'!BU27+'[3]CB-20'!BU27+'[3]CB-21'!BU27+'[3]CB-22'!BU27+'[3]CB-23'!BU27+'[3]CB-24'!BU27+'[4]LCT-1'!BU27+'[4]LCT-2'!BU27+'[4]LCT-3'!BU27+'[4]LCT-4'!BU27+'[4]LCT-5'!BU27+'[4]LCT-6'!BU27+'[4]LCT-7'!BU27+'[4]LCT-8'!BU27+'[5]TB-1'!BU27+'[5]TB-2'!BU27+'[5]TB-3'!BU27+'[5]TB-4'!BU27+'[5]TB-5'!BU27+'[5]TB-6'!BU27+'[5]TB-7'!BU27+'[5]TB-8'!BU27+'[5]TB-9'!BU27+'[5]TB-10'!BU27+'[6]DSV-1'!BU27+'[6]DSV-2'!BU27+'[6]DSV-3'!BU27+'[7]TUB-1'!BU27+'[7]TUB-2'!BU27+'[8]Barge-1'!BU27+'[8]Barge-2'!BU27+'[8]Barge-3'!BU27+'[8]Barge-4'!BU27</f>
        <v>4650.4867448010837</v>
      </c>
      <c r="N27" s="182">
        <f>'[2]AHTS-1'!CQ27+'[2]AHTS-2'!CQ27+'[2]AHTS-3'!CQ27+'[2]AHTS-4'!CQ27+'[2]AHTS-5'!CQ27+'[2]AHTS-6'!CQ27+'[2]AHTS-7'!CQ27+'[2]AHTS-8'!CQ27+'[3]CB-1'!CQ27+'[3]CB-2'!CQ27+'[3]CB-3'!CQ27+'[3]CB-4'!CQ27+'[3]CB-5'!CQ27+'[3]CB-6'!CQ27+'[3]CB-7'!CQ27+'[3]CB-8'!CQ27+'[3]CB-9'!CQ27+'[3]CB-10'!CQ27+'[3]CB-11'!CQ27+'[3]CB-12'!CQ27+'[3]CB-13'!CQ27+'[3]CB-14'!CQ27+'[3]CB-15'!CQ27+'[3]CB-16'!CQ27+'[3]CB-17'!CQ27+'[3]CB-18'!CQ27+'[3]CB-19'!CQ27+'[3]CB-20'!CQ27+'[3]CB-21'!CQ27+'[3]CB-22'!CQ27+'[3]CB-23'!CQ27+'[3]CB-24'!CQ27+'[4]LCT-1'!CQ27+'[4]LCT-2'!CQ27+'[4]LCT-3'!CQ27+'[4]LCT-4'!CQ27+'[4]LCT-5'!CQ27+'[4]LCT-6'!CQ27+'[4]LCT-7'!CQ27+'[4]LCT-8'!CQ27+'[5]TB-1'!CQ27+'[5]TB-2'!CQ27+'[5]TB-3'!CQ27+'[5]TB-4'!CQ27+'[5]TB-5'!CQ27+'[5]TB-6'!CQ27+'[5]TB-7'!CQ27+'[5]TB-8'!CQ27+'[5]TB-9'!CQ27+'[5]TB-10'!CQ27+'[6]DSV-1'!CQ27+'[6]DSV-2'!CQ27+'[6]DSV-3'!CQ27+'[7]TUB-1'!CQ27+'[7]TUB-2'!CQ27+'[8]Barge-1'!CQ27+'[8]Barge-2'!CQ27+'[8]Barge-3'!CQ27+'[8]Barge-4'!CQ27</f>
        <v>0</v>
      </c>
      <c r="O27" s="179">
        <f>'[2]AHTS-1'!AZ27+'[2]AHTS-2'!AZ27+'[2]AHTS-3'!AZ27+'[2]AHTS-4'!AZ27+'[2]AHTS-5'!AZ27+'[2]AHTS-6'!AZ27+'[2]AHTS-7'!AZ27+'[2]AHTS-8'!AZ27+'[3]CB-1'!AZ27+'[3]CB-2'!AZ27+'[3]CB-3'!AZ27+'[3]CB-4'!AZ27+'[3]CB-5'!AZ27+'[3]CB-6'!AZ27+'[3]CB-7'!AZ27+'[3]CB-8'!AZ27+'[3]CB-9'!AZ27+'[3]CB-10'!AZ27+'[3]CB-11'!AZ27+'[3]CB-12'!AZ27+'[3]CB-13'!AZ27+'[3]CB-14'!AZ27+'[3]CB-15'!AZ27+'[3]CB-16'!AZ27+'[3]CB-17'!AZ27+'[3]CB-18'!AZ27+'[3]CB-19'!AZ27+'[3]CB-20'!AZ27+'[3]CB-21'!AZ27+'[3]CB-22'!AZ27+'[3]CB-23'!AZ27+'[3]CB-24'!AZ27+'[4]LCT-1'!AZ27+'[4]LCT-2'!AZ27+'[4]LCT-3'!AZ27+'[4]LCT-4'!AZ27+'[4]LCT-5'!AZ27+'[4]LCT-6'!AZ27+'[4]LCT-7'!AZ27+'[4]LCT-8'!AZ27+'[5]TB-1'!AZ27+'[5]TB-2'!AZ27+'[5]TB-3'!AZ27+'[5]TB-4'!AZ27+'[5]TB-5'!AZ27+'[5]TB-6'!AZ27+'[5]TB-7'!AZ27+'[5]TB-8'!AZ27+'[5]TB-9'!AZ27+'[5]TB-10'!AZ27+'[6]DSV-1'!AZ27+'[6]DSV-2'!AZ27+'[6]DSV-3'!AZ27+'[7]TUB-1'!AZ27+'[7]TUB-2'!AZ27+'[8]Barge-1'!AZ27+'[8]Barge-2'!AZ27+'[8]Barge-3'!AZ27+'[8]Barge-4'!AZ27</f>
        <v>37.558405831011271</v>
      </c>
      <c r="P27" s="180">
        <f>'[2]AHTS-1'!BV27+'[2]AHTS-2'!BV27+'[2]AHTS-3'!BV27+'[2]AHTS-4'!BV27+'[2]AHTS-5'!BV27+'[2]AHTS-6'!BV27+'[2]AHTS-7'!BV27+'[2]AHTS-8'!BV27+'[3]CB-1'!BV27+'[3]CB-2'!BV27+'[3]CB-3'!BV27+'[3]CB-4'!BV27+'[3]CB-5'!BV27+'[3]CB-6'!BV27+'[3]CB-7'!BV27+'[3]CB-8'!BV27+'[3]CB-9'!BV27+'[3]CB-10'!BV27+'[3]CB-11'!BV27+'[3]CB-12'!BV27+'[3]CB-13'!BV27+'[3]CB-14'!BV27+'[3]CB-15'!BV27+'[3]CB-16'!BV27+'[3]CB-17'!BV27+'[3]CB-18'!BV27+'[3]CB-19'!BV27+'[3]CB-20'!BV27+'[3]CB-21'!BV27+'[3]CB-22'!BV27+'[3]CB-23'!BV27+'[3]CB-24'!BV27+'[4]LCT-1'!BV27+'[4]LCT-2'!BV27+'[4]LCT-3'!BV27+'[4]LCT-4'!BV27+'[4]LCT-5'!BV27+'[4]LCT-6'!BV27+'[4]LCT-7'!BV27+'[4]LCT-8'!BV27+'[5]TB-1'!BV27+'[5]TB-2'!BV27+'[5]TB-3'!BV27+'[5]TB-4'!BV27+'[5]TB-5'!BV27+'[5]TB-6'!BV27+'[5]TB-7'!BV27+'[5]TB-8'!BV27+'[5]TB-9'!BV27+'[5]TB-10'!BV27+'[6]DSV-1'!BV27+'[6]DSV-2'!BV27+'[6]DSV-3'!BV27+'[7]TUB-1'!BV27+'[7]TUB-2'!BV27+'[8]Barge-1'!BV27+'[8]Barge-2'!BV27+'[8]Barge-3'!BV27+'[8]Barge-4'!BV27</f>
        <v>92.173086876679506</v>
      </c>
      <c r="Q27" s="180">
        <f>'[2]AHTS-1'!CR27+'[2]AHTS-2'!CR27+'[2]AHTS-3'!CR27+'[2]AHTS-4'!CR27+'[2]AHTS-5'!CR27+'[2]AHTS-6'!CR27+'[2]AHTS-7'!CR27+'[2]AHTS-8'!CR27+'[3]CB-1'!CR27+'[3]CB-2'!CR27+'[3]CB-3'!CR27+'[3]CB-4'!CR27+'[3]CB-5'!CR27+'[3]CB-6'!CR27+'[3]CB-7'!CR27+'[3]CB-8'!CR27+'[3]CB-9'!CR27+'[3]CB-10'!CR27+'[3]CB-11'!CR27+'[3]CB-12'!CR27+'[3]CB-13'!CR27+'[3]CB-14'!CR27+'[3]CB-15'!CR27+'[3]CB-16'!CR27+'[3]CB-17'!CR27+'[3]CB-18'!CR27+'[3]CB-19'!CR27+'[3]CB-20'!CR27+'[3]CB-21'!CR27+'[3]CB-22'!CR27+'[3]CB-23'!CR27+'[3]CB-24'!CR27+'[4]LCT-1'!CR27+'[4]LCT-2'!CR27+'[4]LCT-3'!CR27+'[4]LCT-4'!CR27+'[4]LCT-5'!CR27+'[4]LCT-6'!CR27+'[4]LCT-7'!CR27+'[4]LCT-8'!CR27+'[5]TB-1'!CR27+'[5]TB-2'!CR27+'[5]TB-3'!CR27+'[5]TB-4'!CR27+'[5]TB-5'!CR27+'[5]TB-6'!CR27+'[5]TB-7'!CR27+'[5]TB-8'!CR27+'[5]TB-9'!CR27+'[5]TB-10'!CR27+'[6]DSV-1'!CR27+'[6]DSV-2'!CR27+'[6]DSV-3'!CR27+'[7]TUB-1'!CR27+'[7]TUB-2'!CR27+'[8]Barge-1'!CR27+'[8]Barge-2'!CR27+'[8]Barge-3'!CR27+'[8]Barge-4'!CR27</f>
        <v>0</v>
      </c>
      <c r="R27" s="183">
        <f>'[2]AHTS-1'!BA27+'[2]AHTS-2'!BA27+'[2]AHTS-3'!BA27+'[2]AHTS-4'!BA27+'[2]AHTS-5'!BA27+'[2]AHTS-6'!BA27+'[2]AHTS-7'!BA27+'[2]AHTS-8'!BA27+'[3]CB-1'!BA27+'[3]CB-2'!BA27+'[3]CB-3'!BA27+'[3]CB-4'!BA27+'[3]CB-5'!BA27+'[3]CB-6'!BA27+'[3]CB-7'!BA27+'[3]CB-8'!BA27+'[3]CB-9'!BA27+'[3]CB-10'!BA27+'[3]CB-11'!BA27+'[3]CB-12'!BA27+'[3]CB-13'!BA27+'[3]CB-14'!BA27+'[3]CB-15'!BA27+'[3]CB-16'!BA27+'[3]CB-17'!BA27+'[3]CB-18'!BA27+'[3]CB-19'!BA27+'[3]CB-20'!BA27+'[3]CB-21'!BA27+'[3]CB-22'!BA27+'[3]CB-23'!BA27+'[3]CB-24'!BA27+'[4]LCT-1'!BA27+'[4]LCT-2'!BA27+'[4]LCT-3'!BA27+'[4]LCT-4'!BA27+'[4]LCT-5'!BA27+'[4]LCT-6'!BA27+'[4]LCT-7'!BA27+'[4]LCT-8'!BA27+'[5]TB-1'!BA27+'[5]TB-2'!BA27+'[5]TB-3'!BA27+'[5]TB-4'!BA27+'[5]TB-5'!BA27+'[5]TB-6'!BA27+'[5]TB-7'!BA27+'[5]TB-8'!BA27+'[5]TB-9'!BA27+'[5]TB-10'!BA27+'[6]DSV-1'!BA27+'[6]DSV-2'!BA27+'[6]DSV-3'!BA27+'[7]TUB-1'!BA27+'[7]TUB-2'!BA27+'[8]Barge-1'!BA27+'[8]Barge-2'!BA27+'[8]Barge-3'!BA27+'[8]Barge-4'!BA27</f>
        <v>4712.4348584434083</v>
      </c>
      <c r="S27" s="180">
        <f>'[2]AHTS-1'!BW27+'[2]AHTS-2'!BW27+'[2]AHTS-3'!BW27+'[2]AHTS-4'!BW27+'[2]AHTS-5'!BW27+'[2]AHTS-6'!BW27+'[2]AHTS-7'!BW27+'[2]AHTS-8'!BW27+'[3]CB-1'!BW27+'[3]CB-2'!BW27+'[3]CB-3'!BW27+'[3]CB-4'!BW27+'[3]CB-5'!BW27+'[3]CB-6'!BW27+'[3]CB-7'!BW27+'[3]CB-8'!BW27+'[3]CB-9'!BW27+'[3]CB-10'!BW27+'[3]CB-11'!BW27+'[3]CB-12'!BW27+'[3]CB-13'!BW27+'[3]CB-14'!BW27+'[3]CB-15'!BW27+'[3]CB-16'!BW27+'[3]CB-17'!BW27+'[3]CB-18'!BW27+'[3]CB-19'!BW27+'[3]CB-20'!BW27+'[3]CB-21'!BW27+'[3]CB-22'!BW27+'[3]CB-23'!BW27+'[3]CB-24'!BW27+'[4]LCT-1'!BW27+'[4]LCT-2'!BW27+'[4]LCT-3'!BW27+'[4]LCT-4'!BW27+'[4]LCT-5'!BW27+'[4]LCT-6'!BW27+'[4]LCT-7'!BW27+'[4]LCT-8'!BW27+'[5]TB-1'!BW27+'[5]TB-2'!BW27+'[5]TB-3'!BW27+'[5]TB-4'!BW27+'[5]TB-5'!BW27+'[5]TB-6'!BW27+'[5]TB-7'!BW27+'[5]TB-8'!BW27+'[5]TB-9'!BW27+'[5]TB-10'!BW27+'[6]DSV-1'!BW27+'[6]DSV-2'!BW27+'[6]DSV-3'!BW27+'[7]TUB-1'!BW27+'[7]TUB-2'!BW27+'[8]Barge-1'!BW27+'[8]Barge-2'!BW27+'[8]Barge-3'!BW27+'[8]Barge-4'!BW27</f>
        <v>5736.711122455491</v>
      </c>
      <c r="T27" s="184">
        <f>'[2]AHTS-1'!CS27+'[2]AHTS-2'!CS27+'[2]AHTS-3'!CS27+'[2]AHTS-4'!CS27+'[2]AHTS-5'!CS27+'[2]AHTS-6'!CS27+'[2]AHTS-7'!CS27+'[2]AHTS-8'!CS27+'[3]CB-1'!CS27+'[3]CB-2'!CS27+'[3]CB-3'!CS27+'[3]CB-4'!CS27+'[3]CB-5'!CS27+'[3]CB-6'!CS27+'[3]CB-7'!CS27+'[3]CB-8'!CS27+'[3]CB-9'!CS27+'[3]CB-10'!CS27+'[3]CB-11'!CS27+'[3]CB-12'!CS27+'[3]CB-13'!CS27+'[3]CB-14'!CS27+'[3]CB-15'!CS27+'[3]CB-16'!CS27+'[3]CB-17'!CS27+'[3]CB-18'!CS27+'[3]CB-19'!CS27+'[3]CB-20'!CS27+'[3]CB-21'!CS27+'[3]CB-22'!CS27+'[3]CB-23'!CS27+'[3]CB-24'!CS27+'[4]LCT-1'!CS27+'[4]LCT-2'!CS27+'[4]LCT-3'!CS27+'[4]LCT-4'!CS27+'[4]LCT-5'!CS27+'[4]LCT-6'!CS27+'[4]LCT-7'!CS27+'[4]LCT-8'!CS27+'[5]TB-1'!CS27+'[5]TB-2'!CS27+'[5]TB-3'!CS27+'[5]TB-4'!CS27+'[5]TB-5'!CS27+'[5]TB-6'!CS27+'[5]TB-7'!CS27+'[5]TB-8'!CS27+'[5]TB-9'!CS27+'[5]TB-10'!CS27+'[6]DSV-1'!CS27+'[6]DSV-2'!CS27+'[6]DSV-3'!CS27+'[7]TUB-1'!CS27+'[7]TUB-2'!CS27+'[8]Barge-1'!CS27+'[8]Barge-2'!CS27+'[8]Barge-3'!CS27+'[8]Barge-4'!CS27</f>
        <v>0</v>
      </c>
      <c r="U27" s="183">
        <f>'[2]AHTS-1'!BB27+'[2]AHTS-2'!BB27+'[2]AHTS-3'!BB27+'[2]AHTS-4'!BB27+'[2]AHTS-5'!BB27+'[2]AHTS-6'!BB27+'[2]AHTS-7'!BB27+'[2]AHTS-8'!BB27+'[3]CB-1'!BB27+'[3]CB-2'!BB27+'[3]CB-3'!BB27+'[3]CB-4'!BB27+'[3]CB-5'!BB27+'[3]CB-6'!BB27+'[3]CB-7'!BB27+'[3]CB-8'!BB27+'[3]CB-9'!BB27+'[3]CB-10'!BB27+'[3]CB-11'!BB27+'[3]CB-12'!BB27+'[3]CB-13'!BB27+'[3]CB-14'!BB27+'[3]CB-15'!BB27+'[3]CB-16'!BB27+'[3]CB-17'!BB27+'[3]CB-18'!BB27+'[3]CB-19'!BB27+'[3]CB-20'!BB27+'[3]CB-21'!BB27+'[3]CB-22'!BB27+'[3]CB-23'!BB27+'[3]CB-24'!BB27+'[4]LCT-1'!BB27+'[4]LCT-2'!BB27+'[4]LCT-3'!BB27+'[4]LCT-4'!BB27+'[4]LCT-5'!BB27+'[4]LCT-6'!BB27+'[4]LCT-7'!BB27+'[4]LCT-8'!BB27+'[5]TB-1'!BB27+'[5]TB-2'!BB27+'[5]TB-3'!BB27+'[5]TB-4'!BB27+'[5]TB-5'!BB27+'[5]TB-6'!BB27+'[5]TB-7'!BB27+'[5]TB-8'!BB27+'[5]TB-9'!BB27+'[5]TB-10'!BB27+'[6]DSV-1'!BB27+'[6]DSV-2'!BB27+'[6]DSV-3'!BB27+'[7]TUB-1'!BB27+'[7]TUB-2'!BB27+'[8]Barge-1'!BB27+'[8]Barge-2'!BB27+'[8]Barge-3'!BB27+'[8]Barge-4'!BB27</f>
        <v>0</v>
      </c>
      <c r="V27" s="180">
        <f>'[2]AHTS-1'!BX27+'[2]AHTS-2'!BX27+'[2]AHTS-3'!BX27+'[2]AHTS-4'!BX27+'[2]AHTS-5'!BX27+'[2]AHTS-6'!BX27+'[2]AHTS-7'!BX27+'[2]AHTS-8'!BX27+'[3]CB-1'!BX27+'[3]CB-2'!BX27+'[3]CB-3'!BX27+'[3]CB-4'!BX27+'[3]CB-5'!BX27+'[3]CB-6'!BX27+'[3]CB-7'!BX27+'[3]CB-8'!BX27+'[3]CB-9'!BX27+'[3]CB-10'!BX27+'[3]CB-11'!BX27+'[3]CB-12'!BX27+'[3]CB-13'!BX27+'[3]CB-14'!BX27+'[3]CB-15'!BX27+'[3]CB-16'!BX27+'[3]CB-17'!BX27+'[3]CB-18'!BX27+'[3]CB-19'!BX27+'[3]CB-20'!BX27+'[3]CB-21'!BX27+'[3]CB-22'!BX27+'[3]CB-23'!BX27+'[3]CB-24'!BX27+'[4]LCT-1'!BX27+'[4]LCT-2'!BX27+'[4]LCT-3'!BX27+'[4]LCT-4'!BX27+'[4]LCT-5'!BX27+'[4]LCT-6'!BX27+'[4]LCT-7'!BX27+'[4]LCT-8'!BX27+'[5]TB-1'!BX27+'[5]TB-2'!BX27+'[5]TB-3'!BX27+'[5]TB-4'!BX27+'[5]TB-5'!BX27+'[5]TB-6'!BX27+'[5]TB-7'!BX27+'[5]TB-8'!BX27+'[5]TB-9'!BX27+'[5]TB-10'!BX27+'[6]DSV-1'!BX27+'[6]DSV-2'!BX27+'[6]DSV-3'!BX27+'[7]TUB-1'!BX27+'[7]TUB-2'!BX27+'[8]Barge-1'!BX27+'[8]Barge-2'!BX27+'[8]Barge-3'!BX27+'[8]Barge-4'!BX27</f>
        <v>0</v>
      </c>
      <c r="W27" s="184">
        <f>'[2]AHTS-1'!CT27+'[2]AHTS-2'!CT27+'[2]AHTS-3'!CT27+'[2]AHTS-4'!CT27+'[2]AHTS-5'!CT27+'[2]AHTS-6'!CT27+'[2]AHTS-7'!CT27+'[2]AHTS-8'!CT27+'[3]CB-1'!CT27+'[3]CB-2'!CT27+'[3]CB-3'!CT27+'[3]CB-4'!CT27+'[3]CB-5'!CT27+'[3]CB-6'!CT27+'[3]CB-7'!CT27+'[3]CB-8'!CT27+'[3]CB-9'!CT27+'[3]CB-10'!CT27+'[3]CB-11'!CT27+'[3]CB-12'!CT27+'[3]CB-13'!CT27+'[3]CB-14'!CT27+'[3]CB-15'!CT27+'[3]CB-16'!CT27+'[3]CB-17'!CT27+'[3]CB-18'!CT27+'[3]CB-19'!CT27+'[3]CB-20'!CT27+'[3]CB-21'!CT27+'[3]CB-22'!CT27+'[3]CB-23'!CT27+'[3]CB-24'!CT27+'[4]LCT-1'!CT27+'[4]LCT-2'!CT27+'[4]LCT-3'!CT27+'[4]LCT-4'!CT27+'[4]LCT-5'!CT27+'[4]LCT-6'!CT27+'[4]LCT-7'!CT27+'[4]LCT-8'!CT27+'[5]TB-1'!CT27+'[5]TB-2'!CT27+'[5]TB-3'!CT27+'[5]TB-4'!CT27+'[5]TB-5'!CT27+'[5]TB-6'!CT27+'[5]TB-7'!CT27+'[5]TB-8'!CT27+'[5]TB-9'!CT27+'[5]TB-10'!CT27+'[6]DSV-1'!CT27+'[6]DSV-2'!CT27+'[6]DSV-3'!CT27+'[7]TUB-1'!CT27+'[7]TUB-2'!CT27+'[8]Barge-1'!CT27+'[8]Barge-2'!CT27+'[8]Barge-3'!CT27+'[8]Barge-4'!CT27</f>
        <v>0</v>
      </c>
      <c r="X27" s="67"/>
      <c r="Y27" s="67"/>
      <c r="Z27" s="68"/>
      <c r="AA27" s="111">
        <f>[1]Control!AZ27</f>
        <v>46002</v>
      </c>
      <c r="AB27" s="66"/>
      <c r="AC27" s="132">
        <f>'[2]AHTS-1'!IC65+'[2]AHTS-2'!IC65+'[2]AHTS-3'!IC65+'[2]AHTS-4'!IC65+'[2]AHTS-5'!IC65+'[2]AHTS-6'!IC65+'[2]AHTS-7'!IC65+'[2]AHTS-8'!IC65+'[3]CB-1'!IC65+'[3]CB-2'!IC65+'[3]CB-3'!IC65+'[3]CB-4'!IC65+'[3]CB-5'!IC65+'[3]CB-6'!IC65+'[3]CB-7'!IC65+'[3]CB-8'!IC65+'[3]CB-9'!IC65+'[3]CB-10'!IC65+'[3]CB-11'!IC65+'[3]CB-12'!IC65+'[3]CB-13'!IC65+'[3]CB-14'!IC65+'[3]CB-15'!IC65+'[3]CB-16'!IC65+'[3]CB-17'!IC65+'[3]CB-18'!IC65+'[3]CB-19'!IC65+'[3]CB-20'!IC65+'[3]CB-21'!IC65+'[3]CB-22'!IC65+'[3]CB-23'!IC65+'[3]CB-24'!IC65+'[4]LCT-1'!IC65+'[4]LCT-2'!IC65+'[4]LCT-3'!IC65+'[4]LCT-4'!IC65+'[4]LCT-5'!IC65+'[4]LCT-6'!IC65+'[4]LCT-7'!IC65+'[4]LCT-8'!IC65+'[5]TB-1'!IC65+'[5]TB-2'!IC65+'[5]TB-3'!IC65+'[5]TB-4'!IC65+'[5]TB-5'!IC65+'[5]TB-6'!IC65+'[5]TB-7'!IC65+'[5]TB-8'!IC65+'[5]TB-9'!IC65+'[5]TB-10'!IC65+'[6]DSV-1'!IC65+'[6]DSV-2'!IC65+'[6]DSV-3'!IC65+'[7]TUB-1'!IC65+'[7]TUB-2'!IC65+'[8]Barge-1'!IC65+'[8]Barge-2'!IC65+'[8]Barge-3'!IC65+'[8]Barge-4'!IC65</f>
        <v>0</v>
      </c>
      <c r="AD27" s="133">
        <f>'[2]AHTS-1'!IC27+'[2]AHTS-2'!IC27+'[2]AHTS-3'!IC27+'[2]AHTS-4'!IC27+'[2]AHTS-5'!IC27+'[2]AHTS-6'!IC27+'[2]AHTS-7'!IC27+'[2]AHTS-8'!IC27+'[3]CB-1'!IC27+'[3]CB-2'!IC27+'[3]CB-3'!IC27+'[3]CB-4'!IC27+'[3]CB-5'!IC27+'[3]CB-6'!IC27+'[3]CB-7'!IC27+'[3]CB-8'!IC27+'[3]CB-9'!IC27+'[3]CB-10'!IC27+'[3]CB-11'!IC27+'[3]CB-12'!IC27+'[3]CB-13'!IC27+'[3]CB-14'!IC27+'[3]CB-15'!IC27+'[3]CB-16'!IC27+'[3]CB-17'!IC27+'[3]CB-18'!IC27+'[3]CB-19'!IC27+'[3]CB-20'!IC27+'[3]CB-21'!IC27+'[3]CB-22'!IC27+'[3]CB-23'!IC27+'[3]CB-24'!IC27+'[4]LCT-1'!IC27+'[4]LCT-2'!IC27+'[4]LCT-3'!IC27+'[4]LCT-4'!IC27+'[4]LCT-5'!IC27+'[4]LCT-6'!IC27+'[4]LCT-7'!IC27+'[4]LCT-8'!IC27+'[5]TB-1'!IC27+'[5]TB-2'!IC27+'[5]TB-3'!IC27+'[5]TB-4'!IC27+'[5]TB-5'!IC27+'[5]TB-6'!IC27+'[5]TB-7'!IC27+'[5]TB-8'!IC27+'[5]TB-9'!IC27+'[5]TB-10'!IC27+'[6]DSV-1'!IC27+'[6]DSV-2'!IC27+'[6]DSV-3'!IC27+'[7]TUB-1'!IC27+'[7]TUB-2'!IC27+'[8]Barge-1'!IC27+'[8]Barge-2'!IC27+'[8]Barge-3'!IC27+'[8]Barge-4'!IC27</f>
        <v>0</v>
      </c>
      <c r="AE27" s="134">
        <f>'[2]AHTS-1'!IC98+'[2]AHTS-2'!IC98+'[2]AHTS-3'!IC98+'[2]AHTS-4'!IC98+'[2]AHTS-5'!IC98+'[2]AHTS-6'!IC98+'[2]AHTS-7'!IC98+'[2]AHTS-8'!IC98+'[3]CB-1'!IC98+'[3]CB-2'!IC98+'[3]CB-3'!IC98+'[3]CB-4'!IC98+'[3]CB-5'!IC98+'[3]CB-6'!IC98+'[3]CB-7'!IC98+'[3]CB-8'!IC98+'[3]CB-9'!IC98+'[3]CB-10'!IC98+'[3]CB-11'!IC98+'[3]CB-12'!IC98+'[3]CB-13'!IC98+'[3]CB-14'!IC98+'[3]CB-15'!IC98+'[3]CB-16'!IC98+'[3]CB-17'!IC98+'[3]CB-18'!IC98+'[3]CB-19'!IC98+'[3]CB-20'!IC98+'[3]CB-21'!IC98+'[3]CB-22'!IC98+'[3]CB-23'!IC98+'[3]CB-24'!IC98+'[4]LCT-1'!IC98+'[4]LCT-2'!IC98+'[4]LCT-3'!IC98+'[4]LCT-4'!IC98+'[4]LCT-5'!IC98+'[4]LCT-6'!IC98+'[4]LCT-7'!IC98+'[4]LCT-8'!IC98+'[5]TB-1'!IC98+'[5]TB-2'!IC98+'[5]TB-3'!IC98+'[5]TB-4'!IC98+'[5]TB-5'!IC98+'[5]TB-6'!IC98+'[5]TB-7'!IC98+'[5]TB-8'!IC98+'[5]TB-9'!IC98+'[5]TB-10'!IC98+'[6]DSV-1'!IC98+'[6]DSV-2'!IC98+'[6]DSV-3'!IC98+'[7]TUB-1'!IC98+'[7]TUB-2'!IC98+'[8]Barge-1'!IC98+'[8]Barge-2'!IC98+'[8]Barge-3'!IC98+'[8]Barge-4'!IC98</f>
        <v>0</v>
      </c>
      <c r="AF27" s="135">
        <f>'[2]AHTS-1'!ID65+'[2]AHTS-2'!ID65+'[2]AHTS-3'!ID65+'[2]AHTS-4'!ID65+'[2]AHTS-5'!ID65+'[2]AHTS-6'!ID65+'[2]AHTS-7'!ID65+'[2]AHTS-8'!ID65+'[3]CB-1'!ID65+'[3]CB-2'!ID65+'[3]CB-3'!ID65+'[3]CB-4'!ID65+'[3]CB-5'!ID65+'[3]CB-6'!ID65+'[3]CB-7'!ID65+'[3]CB-8'!ID65+'[3]CB-9'!ID65+'[3]CB-10'!ID65+'[3]CB-11'!ID65+'[3]CB-12'!ID65+'[3]CB-13'!ID65+'[3]CB-14'!ID65+'[3]CB-15'!ID65+'[3]CB-16'!ID65+'[3]CB-17'!ID65+'[3]CB-18'!ID65+'[3]CB-19'!ID65+'[3]CB-20'!ID65+'[3]CB-21'!ID65+'[3]CB-22'!ID65+'[3]CB-23'!ID65+'[3]CB-24'!ID65+'[4]LCT-1'!ID65+'[4]LCT-2'!ID65+'[4]LCT-3'!ID65+'[4]LCT-4'!ID65+'[4]LCT-5'!ID65+'[4]LCT-6'!ID65+'[4]LCT-7'!ID65+'[4]LCT-8'!ID65+'[5]TB-1'!ID65+'[5]TB-2'!ID65+'[5]TB-3'!ID65+'[5]TB-4'!ID65+'[5]TB-5'!ID65+'[5]TB-6'!ID65+'[5]TB-7'!ID65+'[5]TB-8'!ID65+'[5]TB-9'!ID65+'[5]TB-10'!ID65+'[6]DSV-1'!ID65+'[6]DSV-2'!ID65+'[6]DSV-3'!ID65+'[7]TUB-1'!ID65+'[7]TUB-2'!ID65+'[8]Barge-1'!ID65+'[8]Barge-2'!ID65+'[8]Barge-3'!ID65+'[8]Barge-4'!ID65</f>
        <v>29176769.444444444</v>
      </c>
      <c r="AG27" s="136">
        <f>'[2]AHTS-1'!ID27+'[2]AHTS-2'!ID27+'[2]AHTS-3'!ID27+'[2]AHTS-4'!ID27+'[2]AHTS-5'!ID27+'[2]AHTS-6'!ID27+'[2]AHTS-7'!ID27+'[2]AHTS-8'!ID27+'[3]CB-1'!ID27+'[3]CB-2'!ID27+'[3]CB-3'!ID27+'[3]CB-4'!ID27+'[3]CB-5'!ID27+'[3]CB-6'!ID27+'[3]CB-7'!ID27+'[3]CB-8'!ID27+'[3]CB-9'!ID27+'[3]CB-10'!ID27+'[3]CB-11'!ID27+'[3]CB-12'!ID27+'[3]CB-13'!ID27+'[3]CB-14'!ID27+'[3]CB-15'!ID27+'[3]CB-16'!ID27+'[3]CB-17'!ID27+'[3]CB-18'!ID27+'[3]CB-19'!ID27+'[3]CB-20'!ID27+'[3]CB-21'!ID27+'[3]CB-22'!ID27+'[3]CB-23'!ID27+'[3]CB-24'!ID27+'[4]LCT-1'!ID27+'[4]LCT-2'!ID27+'[4]LCT-3'!ID27+'[4]LCT-4'!ID27+'[4]LCT-5'!ID27+'[4]LCT-6'!ID27+'[4]LCT-7'!ID27+'[4]LCT-8'!ID27+'[5]TB-1'!ID27+'[5]TB-2'!ID27+'[5]TB-3'!ID27+'[5]TB-4'!ID27+'[5]TB-5'!ID27+'[5]TB-6'!ID27+'[5]TB-7'!ID27+'[5]TB-8'!ID27+'[5]TB-9'!ID27+'[5]TB-10'!ID27+'[6]DSV-1'!ID27+'[6]DSV-2'!ID27+'[6]DSV-3'!ID27+'[7]TUB-1'!ID27+'[7]TUB-2'!ID27+'[8]Barge-1'!ID27+'[8]Barge-2'!ID27+'[8]Barge-3'!ID27+'[8]Barge-4'!ID27</f>
        <v>33019444.444444444</v>
      </c>
      <c r="AH27" s="136">
        <f>'[2]AHTS-1'!ID98+'[2]AHTS-2'!ID98+'[2]AHTS-3'!ID98+'[2]AHTS-4'!ID98+'[2]AHTS-5'!ID98+'[2]AHTS-6'!ID98+'[2]AHTS-7'!ID98+'[2]AHTS-8'!ID98+'[3]CB-1'!ID98+'[3]CB-2'!ID98+'[3]CB-3'!ID98+'[3]CB-4'!ID98+'[3]CB-5'!ID98+'[3]CB-6'!ID98+'[3]CB-7'!ID98+'[3]CB-8'!ID98+'[3]CB-9'!ID98+'[3]CB-10'!ID98+'[3]CB-11'!ID98+'[3]CB-12'!ID98+'[3]CB-13'!ID98+'[3]CB-14'!ID98+'[3]CB-15'!ID98+'[3]CB-16'!ID98+'[3]CB-17'!ID98+'[3]CB-18'!ID98+'[3]CB-19'!ID98+'[3]CB-20'!ID98+'[3]CB-21'!ID98+'[3]CB-22'!ID98+'[3]CB-23'!ID98+'[3]CB-24'!ID98+'[4]LCT-1'!ID98+'[4]LCT-2'!ID98+'[4]LCT-3'!ID98+'[4]LCT-4'!ID98+'[4]LCT-5'!ID98+'[4]LCT-6'!ID98+'[4]LCT-7'!ID98+'[4]LCT-8'!ID98+'[5]TB-1'!ID98+'[5]TB-2'!ID98+'[5]TB-3'!ID98+'[5]TB-4'!ID98+'[5]TB-5'!ID98+'[5]TB-6'!ID98+'[5]TB-7'!ID98+'[5]TB-8'!ID98+'[5]TB-9'!ID98+'[5]TB-10'!ID98+'[6]DSV-1'!ID98+'[6]DSV-2'!ID98+'[6]DSV-3'!ID98+'[7]TUB-1'!ID98+'[7]TUB-2'!ID98+'[8]Barge-1'!ID98+'[8]Barge-2'!ID98+'[8]Barge-3'!ID98+'[8]Barge-4'!ID98</f>
        <v>0</v>
      </c>
      <c r="AI27" s="135">
        <f>'[2]AHTS-1'!IE65+'[2]AHTS-2'!IE65+'[2]AHTS-3'!IE65+'[2]AHTS-4'!IE65+'[2]AHTS-5'!IE65+'[2]AHTS-6'!IE65+'[2]AHTS-7'!IE65+'[2]AHTS-8'!IE65+'[3]CB-1'!IE65+'[3]CB-2'!IE65+'[3]CB-3'!IE65+'[3]CB-4'!IE65+'[3]CB-5'!IE65+'[3]CB-6'!IE65+'[3]CB-7'!IE65+'[3]CB-8'!IE65+'[3]CB-9'!IE65+'[3]CB-10'!IE65+'[3]CB-11'!IE65+'[3]CB-12'!IE65+'[3]CB-13'!IE65+'[3]CB-14'!IE65+'[3]CB-15'!IE65+'[3]CB-16'!IE65+'[3]CB-17'!IE65+'[3]CB-18'!IE65+'[3]CB-19'!IE65+'[3]CB-20'!IE65+'[3]CB-21'!IE65+'[3]CB-22'!IE65+'[3]CB-23'!IE65+'[3]CB-24'!IE65+'[4]LCT-1'!IE65+'[4]LCT-2'!IE65+'[4]LCT-3'!IE65+'[4]LCT-4'!IE65+'[4]LCT-5'!IE65+'[4]LCT-6'!IE65+'[4]LCT-7'!IE65+'[4]LCT-8'!IE65+'[5]TB-1'!IE65+'[5]TB-2'!IE65+'[5]TB-3'!IE65+'[5]TB-4'!IE65+'[5]TB-5'!IE65+'[5]TB-6'!IE65+'[5]TB-7'!IE65+'[5]TB-8'!IE65+'[5]TB-9'!IE65+'[5]TB-10'!IE65+'[6]DSV-1'!IE65+'[6]DSV-2'!IE65+'[6]DSV-3'!IE65+'[7]TUB-1'!IE65+'[7]TUB-2'!IE65+'[8]Barge-1'!IE65+'[8]Barge-2'!IE65+'[8]Barge-3'!IE65+'[8]Barge-4'!IE65</f>
        <v>39805712.5</v>
      </c>
      <c r="AJ27" s="136">
        <f>'[2]AHTS-1'!IE27+'[2]AHTS-2'!IE27+'[2]AHTS-3'!IE27+'[2]AHTS-4'!IE27+'[2]AHTS-5'!IE27+'[2]AHTS-6'!IE27+'[2]AHTS-7'!IE27+'[2]AHTS-8'!IE27+'[3]CB-1'!IE27+'[3]CB-2'!IE27+'[3]CB-3'!IE27+'[3]CB-4'!IE27+'[3]CB-5'!IE27+'[3]CB-6'!IE27+'[3]CB-7'!IE27+'[3]CB-8'!IE27+'[3]CB-9'!IE27+'[3]CB-10'!IE27+'[3]CB-11'!IE27+'[3]CB-12'!IE27+'[3]CB-13'!IE27+'[3]CB-14'!IE27+'[3]CB-15'!IE27+'[3]CB-16'!IE27+'[3]CB-17'!IE27+'[3]CB-18'!IE27+'[3]CB-19'!IE27+'[3]CB-20'!IE27+'[3]CB-21'!IE27+'[3]CB-22'!IE27+'[3]CB-23'!IE27+'[3]CB-24'!IE27+'[4]LCT-1'!IE27+'[4]LCT-2'!IE27+'[4]LCT-3'!IE27+'[4]LCT-4'!IE27+'[4]LCT-5'!IE27+'[4]LCT-6'!IE27+'[4]LCT-7'!IE27+'[4]LCT-8'!IE27+'[5]TB-1'!IE27+'[5]TB-2'!IE27+'[5]TB-3'!IE27+'[5]TB-4'!IE27+'[5]TB-5'!IE27+'[5]TB-6'!IE27+'[5]TB-7'!IE27+'[5]TB-8'!IE27+'[5]TB-9'!IE27+'[5]TB-10'!IE27+'[6]DSV-1'!IE27+'[6]DSV-2'!IE27+'[6]DSV-3'!IE27+'[7]TUB-1'!IE27+'[7]TUB-2'!IE27+'[8]Barge-1'!IE27+'[8]Barge-2'!IE27+'[8]Barge-3'!IE27+'[8]Barge-4'!IE27</f>
        <v>31212500</v>
      </c>
      <c r="AK27" s="136">
        <f>'[2]AHTS-1'!IE98+'[2]AHTS-2'!IE98+'[2]AHTS-3'!IE98+'[2]AHTS-4'!IE98+'[2]AHTS-5'!IE98+'[2]AHTS-6'!IE98+'[2]AHTS-7'!IE98+'[2]AHTS-8'!IE98+'[3]CB-1'!IE98+'[3]CB-2'!IE98+'[3]CB-3'!IE98+'[3]CB-4'!IE98+'[3]CB-5'!IE98+'[3]CB-6'!IE98+'[3]CB-7'!IE98+'[3]CB-8'!IE98+'[3]CB-9'!IE98+'[3]CB-10'!IE98+'[3]CB-11'!IE98+'[3]CB-12'!IE98+'[3]CB-13'!IE98+'[3]CB-14'!IE98+'[3]CB-15'!IE98+'[3]CB-16'!IE98+'[3]CB-17'!IE98+'[3]CB-18'!IE98+'[3]CB-19'!IE98+'[3]CB-20'!IE98+'[3]CB-21'!IE98+'[3]CB-22'!IE98+'[3]CB-23'!IE98+'[3]CB-24'!IE98+'[4]LCT-1'!IE98+'[4]LCT-2'!IE98+'[4]LCT-3'!IE98+'[4]LCT-4'!IE98+'[4]LCT-5'!IE98+'[4]LCT-6'!IE98+'[4]LCT-7'!IE98+'[4]LCT-8'!IE98+'[5]TB-1'!IE98+'[5]TB-2'!IE98+'[5]TB-3'!IE98+'[5]TB-4'!IE98+'[5]TB-5'!IE98+'[5]TB-6'!IE98+'[5]TB-7'!IE98+'[5]TB-8'!IE98+'[5]TB-9'!IE98+'[5]TB-10'!IE98+'[6]DSV-1'!IE98+'[6]DSV-2'!IE98+'[6]DSV-3'!IE98+'[7]TUB-1'!IE98+'[7]TUB-2'!IE98+'[8]Barge-1'!IE98+'[8]Barge-2'!IE98+'[8]Barge-3'!IE98+'[8]Barge-4'!IE98</f>
        <v>0</v>
      </c>
      <c r="AL27" s="137">
        <f>'[2]AHTS-1'!IF65+'[2]AHTS-2'!IF65+'[2]AHTS-3'!IF65+'[2]AHTS-4'!IF65+'[2]AHTS-5'!IF65+'[2]AHTS-6'!IF65+'[2]AHTS-7'!IF65+'[2]AHTS-8'!IF65+'[3]CB-1'!IF65+'[3]CB-2'!IF65+'[3]CB-3'!IF65+'[3]CB-4'!IF65+'[3]CB-5'!IF65+'[3]CB-6'!IF65+'[3]CB-7'!IF65+'[3]CB-8'!IF65+'[3]CB-9'!IF65+'[3]CB-10'!IF65+'[3]CB-11'!IF65+'[3]CB-12'!IF65+'[3]CB-13'!IF65+'[3]CB-14'!IF65+'[3]CB-15'!IF65+'[3]CB-16'!IF65+'[3]CB-17'!IF65+'[3]CB-18'!IF65+'[3]CB-19'!IF65+'[3]CB-20'!IF65+'[3]CB-21'!IF65+'[3]CB-22'!IF65+'[3]CB-23'!IF65+'[3]CB-24'!IF65+'[4]LCT-1'!IF65+'[4]LCT-2'!IF65+'[4]LCT-3'!IF65+'[4]LCT-4'!IF65+'[4]LCT-5'!IF65+'[4]LCT-6'!IF65+'[4]LCT-7'!IF65+'[4]LCT-8'!IF65+'[5]TB-1'!IF65+'[5]TB-2'!IF65+'[5]TB-3'!IF65+'[5]TB-4'!IF65+'[5]TB-5'!IF65+'[5]TB-6'!IF65+'[5]TB-7'!IF65+'[5]TB-8'!IF65+'[5]TB-9'!IF65+'[5]TB-10'!IF65+'[6]DSV-1'!IF65+'[6]DSV-2'!IF65+'[6]DSV-3'!IF65+'[7]TUB-1'!IF65+'[7]TUB-2'!IF65+'[8]Barge-1'!IF65+'[8]Barge-2'!IF65+'[8]Barge-3'!IF65+'[8]Barge-4'!IF65</f>
        <v>89671977.777777776</v>
      </c>
      <c r="AM27" s="138">
        <f>'[2]AHTS-1'!IF27+'[2]AHTS-2'!IF27+'[2]AHTS-3'!IF27+'[2]AHTS-4'!IF27+'[2]AHTS-5'!IF27+'[2]AHTS-6'!IF27+'[2]AHTS-7'!IF27+'[2]AHTS-8'!IF27+'[3]CB-1'!IF27+'[3]CB-2'!IF27+'[3]CB-3'!IF27+'[3]CB-4'!IF27+'[3]CB-5'!IF27+'[3]CB-6'!IF27+'[3]CB-7'!IF27+'[3]CB-8'!IF27+'[3]CB-9'!IF27+'[3]CB-10'!IF27+'[3]CB-11'!IF27+'[3]CB-12'!IF27+'[3]CB-13'!IF27+'[3]CB-14'!IF27+'[3]CB-15'!IF27+'[3]CB-16'!IF27+'[3]CB-17'!IF27+'[3]CB-18'!IF27+'[3]CB-19'!IF27+'[3]CB-20'!IF27+'[3]CB-21'!IF27+'[3]CB-22'!IF27+'[3]CB-23'!IF27+'[3]CB-24'!IF27+'[4]LCT-1'!IF27+'[4]LCT-2'!IF27+'[4]LCT-3'!IF27+'[4]LCT-4'!IF27+'[4]LCT-5'!IF27+'[4]LCT-6'!IF27+'[4]LCT-7'!IF27+'[4]LCT-8'!IF27+'[5]TB-1'!IF27+'[5]TB-2'!IF27+'[5]TB-3'!IF27+'[5]TB-4'!IF27+'[5]TB-5'!IF27+'[5]TB-6'!IF27+'[5]TB-7'!IF27+'[5]TB-8'!IF27+'[5]TB-9'!IF27+'[5]TB-10'!IF27+'[6]DSV-1'!IF27+'[6]DSV-2'!IF27+'[6]DSV-3'!IF27+'[7]TUB-1'!IF27+'[7]TUB-2'!IF27+'[8]Barge-1'!IF27+'[8]Barge-2'!IF27+'[8]Barge-3'!IF27+'[8]Barge-4'!IF27</f>
        <v>72877777.777777776</v>
      </c>
      <c r="AN27" s="138">
        <f>'[2]AHTS-1'!IF98+'[2]AHTS-2'!IF98+'[2]AHTS-3'!IF98+'[2]AHTS-4'!IF98+'[2]AHTS-5'!IF98+'[2]AHTS-6'!IF98+'[2]AHTS-7'!IF98+'[2]AHTS-8'!IF98+'[3]CB-1'!IF98+'[3]CB-2'!IF98+'[3]CB-3'!IF98+'[3]CB-4'!IF98+'[3]CB-5'!IF98+'[3]CB-6'!IF98+'[3]CB-7'!IF98+'[3]CB-8'!IF98+'[3]CB-9'!IF98+'[3]CB-10'!IF98+'[3]CB-11'!IF98+'[3]CB-12'!IF98+'[3]CB-13'!IF98+'[3]CB-14'!IF98+'[3]CB-15'!IF98+'[3]CB-16'!IF98+'[3]CB-17'!IF98+'[3]CB-18'!IF98+'[3]CB-19'!IF98+'[3]CB-20'!IF98+'[3]CB-21'!IF98+'[3]CB-22'!IF98+'[3]CB-23'!IF98+'[3]CB-24'!IF98+'[4]LCT-1'!IF98+'[4]LCT-2'!IF98+'[4]LCT-3'!IF98+'[4]LCT-4'!IF98+'[4]LCT-5'!IF98+'[4]LCT-6'!IF98+'[4]LCT-7'!IF98+'[4]LCT-8'!IF98+'[5]TB-1'!IF98+'[5]TB-2'!IF98+'[5]TB-3'!IF98+'[5]TB-4'!IF98+'[5]TB-5'!IF98+'[5]TB-6'!IF98+'[5]TB-7'!IF98+'[5]TB-8'!IF98+'[5]TB-9'!IF98+'[5]TB-10'!IF98+'[6]DSV-1'!IF98+'[6]DSV-2'!IF98+'[6]DSV-3'!IF98+'[7]TUB-1'!IF98+'[7]TUB-2'!IF98+'[8]Barge-1'!IF98+'[8]Barge-2'!IF98+'[8]Barge-3'!IF98+'[8]Barge-4'!IF98</f>
        <v>0</v>
      </c>
      <c r="AO27" s="135">
        <f>'[2]AHTS-1'!IG65+'[2]AHTS-2'!IG65+'[2]AHTS-3'!IG65+'[2]AHTS-4'!IG65+'[2]AHTS-5'!IG65+'[2]AHTS-6'!IG65+'[2]AHTS-7'!IG65+'[2]AHTS-8'!IG65+'[3]CB-1'!IG65+'[3]CB-2'!IG65+'[3]CB-3'!IG65+'[3]CB-4'!IG65+'[3]CB-5'!IG65+'[3]CB-6'!IG65+'[3]CB-7'!IG65+'[3]CB-8'!IG65+'[3]CB-9'!IG65+'[3]CB-10'!IG65+'[3]CB-11'!IG65+'[3]CB-12'!IG65+'[3]CB-13'!IG65+'[3]CB-14'!IG65+'[3]CB-15'!IG65+'[3]CB-16'!IG65+'[3]CB-17'!IG65+'[3]CB-18'!IG65+'[3]CB-19'!IG65+'[3]CB-20'!IG65+'[3]CB-21'!IG65+'[3]CB-22'!IG65+'[3]CB-23'!IG65+'[3]CB-24'!IG65+'[4]LCT-1'!IG65+'[4]LCT-2'!IG65+'[4]LCT-3'!IG65+'[4]LCT-4'!IG65+'[4]LCT-5'!IG65+'[4]LCT-6'!IG65+'[4]LCT-7'!IG65+'[4]LCT-8'!IG65+'[5]TB-1'!IG65+'[5]TB-2'!IG65+'[5]TB-3'!IG65+'[5]TB-4'!IG65+'[5]TB-5'!IG65+'[5]TB-6'!IG65+'[5]TB-7'!IG65+'[5]TB-8'!IG65+'[5]TB-9'!IG65+'[5]TB-10'!IG65+'[6]DSV-1'!IG65+'[6]DSV-2'!IG65+'[6]DSV-3'!IG65+'[7]TUB-1'!IG65+'[7]TUB-2'!IG65+'[8]Barge-1'!IG65+'[8]Barge-2'!IG65+'[8]Barge-3'!IG65+'[8]Barge-4'!IG65</f>
        <v>588577.77777777775</v>
      </c>
      <c r="AP27" s="136">
        <f>'[2]AHTS-1'!IG27+'[2]AHTS-2'!IG27+'[2]AHTS-3'!IG27+'[2]AHTS-4'!IG27+'[2]AHTS-5'!IG27+'[2]AHTS-6'!IG27+'[2]AHTS-7'!IG27+'[2]AHTS-8'!IG27+'[3]CB-1'!IG27+'[3]CB-2'!IG27+'[3]CB-3'!IG27+'[3]CB-4'!IG27+'[3]CB-5'!IG27+'[3]CB-6'!IG27+'[3]CB-7'!IG27+'[3]CB-8'!IG27+'[3]CB-9'!IG27+'[3]CB-10'!IG27+'[3]CB-11'!IG27+'[3]CB-12'!IG27+'[3]CB-13'!IG27+'[3]CB-14'!IG27+'[3]CB-15'!IG27+'[3]CB-16'!IG27+'[3]CB-17'!IG27+'[3]CB-18'!IG27+'[3]CB-19'!IG27+'[3]CB-20'!IG27+'[3]CB-21'!IG27+'[3]CB-22'!IG27+'[3]CB-23'!IG27+'[3]CB-24'!IG27+'[4]LCT-1'!IG27+'[4]LCT-2'!IG27+'[4]LCT-3'!IG27+'[4]LCT-4'!IG27+'[4]LCT-5'!IG27+'[4]LCT-6'!IG27+'[4]LCT-7'!IG27+'[4]LCT-8'!IG27+'[5]TB-1'!IG27+'[5]TB-2'!IG27+'[5]TB-3'!IG27+'[5]TB-4'!IG27+'[5]TB-5'!IG27+'[5]TB-6'!IG27+'[5]TB-7'!IG27+'[5]TB-8'!IG27+'[5]TB-9'!IG27+'[5]TB-10'!IG27+'[6]DSV-1'!IG27+'[6]DSV-2'!IG27+'[6]DSV-3'!IG27+'[7]TUB-1'!IG27+'[7]TUB-2'!IG27+'[8]Barge-1'!IG27+'[8]Barge-2'!IG27+'[8]Barge-3'!IG27+'[8]Barge-4'!IG27</f>
        <v>1444444.4444444443</v>
      </c>
      <c r="AQ27" s="136">
        <f>'[2]AHTS-1'!IG98+'[2]AHTS-2'!IG98+'[2]AHTS-3'!IG98+'[2]AHTS-4'!IG98+'[2]AHTS-5'!IG98+'[2]AHTS-6'!IG98+'[2]AHTS-7'!IG98+'[2]AHTS-8'!IG98+'[3]CB-1'!IG98+'[3]CB-2'!IG98+'[3]CB-3'!IG98+'[3]CB-4'!IG98+'[3]CB-5'!IG98+'[3]CB-6'!IG98+'[3]CB-7'!IG98+'[3]CB-8'!IG98+'[3]CB-9'!IG98+'[3]CB-10'!IG98+'[3]CB-11'!IG98+'[3]CB-12'!IG98+'[3]CB-13'!IG98+'[3]CB-14'!IG98+'[3]CB-15'!IG98+'[3]CB-16'!IG98+'[3]CB-17'!IG98+'[3]CB-18'!IG98+'[3]CB-19'!IG98+'[3]CB-20'!IG98+'[3]CB-21'!IG98+'[3]CB-22'!IG98+'[3]CB-23'!IG98+'[3]CB-24'!IG98+'[4]LCT-1'!IG98+'[4]LCT-2'!IG98+'[4]LCT-3'!IG98+'[4]LCT-4'!IG98+'[4]LCT-5'!IG98+'[4]LCT-6'!IG98+'[4]LCT-7'!IG98+'[4]LCT-8'!IG98+'[5]TB-1'!IG98+'[5]TB-2'!IG98+'[5]TB-3'!IG98+'[5]TB-4'!IG98+'[5]TB-5'!IG98+'[5]TB-6'!IG98+'[5]TB-7'!IG98+'[5]TB-8'!IG98+'[5]TB-9'!IG98+'[5]TB-10'!IG98+'[6]DSV-1'!IG98+'[6]DSV-2'!IG98+'[6]DSV-3'!IG98+'[7]TUB-1'!IG98+'[7]TUB-2'!IG98+'[8]Barge-1'!IG98+'[8]Barge-2'!IG98+'[8]Barge-3'!IG98+'[8]Barge-4'!IG98</f>
        <v>0</v>
      </c>
      <c r="AR27" s="139">
        <f>'[2]AHTS-1'!IH65+'[2]AHTS-2'!IH65+'[2]AHTS-3'!IH65+'[2]AHTS-4'!IH65+'[2]AHTS-5'!IH65+'[2]AHTS-6'!IH65+'[2]AHTS-7'!IH65+'[2]AHTS-8'!IH65+'[3]CB-1'!IH65+'[3]CB-2'!IH65+'[3]CB-3'!IH65+'[3]CB-4'!IH65+'[3]CB-5'!IH65+'[3]CB-6'!IH65+'[3]CB-7'!IH65+'[3]CB-8'!IH65+'[3]CB-9'!IH65+'[3]CB-10'!IH65+'[3]CB-11'!IH65+'[3]CB-12'!IH65+'[3]CB-13'!IH65+'[3]CB-14'!IH65+'[3]CB-15'!IH65+'[3]CB-16'!IH65+'[3]CB-17'!IH65+'[3]CB-18'!IH65+'[3]CB-19'!IH65+'[3]CB-20'!IH65+'[3]CB-21'!IH65+'[3]CB-22'!IH65+'[3]CB-23'!IH65+'[3]CB-24'!IH65+'[4]LCT-1'!IH65+'[4]LCT-2'!IH65+'[4]LCT-3'!IH65+'[4]LCT-4'!IH65+'[4]LCT-5'!IH65+'[4]LCT-6'!IH65+'[4]LCT-7'!IH65+'[4]LCT-8'!IH65+'[5]TB-1'!IH65+'[5]TB-2'!IH65+'[5]TB-3'!IH65+'[5]TB-4'!IH65+'[5]TB-5'!IH65+'[5]TB-6'!IH65+'[5]TB-7'!IH65+'[5]TB-8'!IH65+'[5]TB-9'!IH65+'[5]TB-10'!IH65+'[6]DSV-1'!IH65+'[6]DSV-2'!IH65+'[6]DSV-3'!IH65+'[7]TUB-1'!IH65+'[7]TUB-2'!IH65+'[8]Barge-1'!IH65+'[8]Barge-2'!IH65+'[8]Barge-3'!IH65+'[8]Barge-4'!IH65</f>
        <v>73848566.666666657</v>
      </c>
      <c r="AS27" s="136">
        <f>'[2]AHTS-1'!IH27+'[2]AHTS-2'!IH27+'[2]AHTS-3'!IH27+'[2]AHTS-4'!IH27+'[2]AHTS-5'!IH27+'[2]AHTS-6'!IH27+'[2]AHTS-7'!IH27+'[2]AHTS-8'!IH27+'[3]CB-1'!IH27+'[3]CB-2'!IH27+'[3]CB-3'!IH27+'[3]CB-4'!IH27+'[3]CB-5'!IH27+'[3]CB-6'!IH27+'[3]CB-7'!IH27+'[3]CB-8'!IH27+'[3]CB-9'!IH27+'[3]CB-10'!IH27+'[3]CB-11'!IH27+'[3]CB-12'!IH27+'[3]CB-13'!IH27+'[3]CB-14'!IH27+'[3]CB-15'!IH27+'[3]CB-16'!IH27+'[3]CB-17'!IH27+'[3]CB-18'!IH27+'[3]CB-19'!IH27+'[3]CB-20'!IH27+'[3]CB-21'!IH27+'[3]CB-22'!IH27+'[3]CB-23'!IH27+'[3]CB-24'!IH27+'[4]LCT-1'!IH27+'[4]LCT-2'!IH27+'[4]LCT-3'!IH27+'[4]LCT-4'!IH27+'[4]LCT-5'!IH27+'[4]LCT-6'!IH27+'[4]LCT-7'!IH27+'[4]LCT-8'!IH27+'[5]TB-1'!IH27+'[5]TB-2'!IH27+'[5]TB-3'!IH27+'[5]TB-4'!IH27+'[5]TB-5'!IH27+'[5]TB-6'!IH27+'[5]TB-7'!IH27+'[5]TB-8'!IH27+'[5]TB-9'!IH27+'[5]TB-10'!IH27+'[6]DSV-1'!IH27+'[6]DSV-2'!IH27+'[6]DSV-3'!IH27+'[7]TUB-1'!IH27+'[7]TUB-2'!IH27+'[8]Barge-1'!IH27+'[8]Barge-2'!IH27+'[8]Barge-3'!IH27+'[8]Barge-4'!IH27</f>
        <v>89900000</v>
      </c>
      <c r="AT27" s="140">
        <f>'[2]AHTS-1'!IH98+'[2]AHTS-2'!IH98+'[2]AHTS-3'!IH98+'[2]AHTS-4'!IH98+'[2]AHTS-5'!IH98+'[2]AHTS-6'!IH98+'[2]AHTS-7'!IH98+'[2]AHTS-8'!IH98+'[3]CB-1'!IH98+'[3]CB-2'!IH98+'[3]CB-3'!IH98+'[3]CB-4'!IH98+'[3]CB-5'!IH98+'[3]CB-6'!IH98+'[3]CB-7'!IH98+'[3]CB-8'!IH98+'[3]CB-9'!IH98+'[3]CB-10'!IH98+'[3]CB-11'!IH98+'[3]CB-12'!IH98+'[3]CB-13'!IH98+'[3]CB-14'!IH98+'[3]CB-15'!IH98+'[3]CB-16'!IH98+'[3]CB-17'!IH98+'[3]CB-18'!IH98+'[3]CB-19'!IH98+'[3]CB-20'!IH98+'[3]CB-21'!IH98+'[3]CB-22'!IH98+'[3]CB-23'!IH98+'[3]CB-24'!IH98+'[4]LCT-1'!IH98+'[4]LCT-2'!IH98+'[4]LCT-3'!IH98+'[4]LCT-4'!IH98+'[4]LCT-5'!IH98+'[4]LCT-6'!IH98+'[4]LCT-7'!IH98+'[4]LCT-8'!IH98+'[5]TB-1'!IH98+'[5]TB-2'!IH98+'[5]TB-3'!IH98+'[5]TB-4'!IH98+'[5]TB-5'!IH98+'[5]TB-6'!IH98+'[5]TB-7'!IH98+'[5]TB-8'!IH98+'[5]TB-9'!IH98+'[5]TB-10'!IH98+'[6]DSV-1'!IH98+'[6]DSV-2'!IH98+'[6]DSV-3'!IH98+'[7]TUB-1'!IH98+'[7]TUB-2'!IH98+'[8]Barge-1'!IH98+'[8]Barge-2'!IH98+'[8]Barge-3'!IH98+'[8]Barge-4'!IH98</f>
        <v>0</v>
      </c>
      <c r="AU27" s="139">
        <f>'[2]AHTS-1'!II65+'[2]AHTS-2'!II65+'[2]AHTS-3'!II65+'[2]AHTS-4'!II65+'[2]AHTS-5'!II65+'[2]AHTS-6'!II65+'[2]AHTS-7'!II65+'[2]AHTS-8'!II65+'[3]CB-1'!II65+'[3]CB-2'!II65+'[3]CB-3'!II65+'[3]CB-4'!II65+'[3]CB-5'!II65+'[3]CB-6'!II65+'[3]CB-7'!II65+'[3]CB-8'!II65+'[3]CB-9'!II65+'[3]CB-10'!II65+'[3]CB-11'!II65+'[3]CB-12'!II65+'[3]CB-13'!II65+'[3]CB-14'!II65+'[3]CB-15'!II65+'[3]CB-16'!II65+'[3]CB-17'!II65+'[3]CB-18'!II65+'[3]CB-19'!II65+'[3]CB-20'!II65+'[3]CB-21'!II65+'[3]CB-22'!II65+'[3]CB-23'!II65+'[3]CB-24'!II65+'[4]LCT-1'!II65+'[4]LCT-2'!II65+'[4]LCT-3'!II65+'[4]LCT-4'!II65+'[4]LCT-5'!II65+'[4]LCT-6'!II65+'[4]LCT-7'!II65+'[4]LCT-8'!II65+'[5]TB-1'!II65+'[5]TB-2'!II65+'[5]TB-3'!II65+'[5]TB-4'!II65+'[5]TB-5'!II65+'[5]TB-6'!II65+'[5]TB-7'!II65+'[5]TB-8'!II65+'[5]TB-9'!II65+'[5]TB-10'!II65+'[6]DSV-1'!II65+'[6]DSV-2'!II65+'[6]DSV-3'!II65+'[7]TUB-1'!II65+'[7]TUB-2'!II65+'[8]Barge-1'!II65+'[8]Barge-2'!II65+'[8]Barge-3'!II65+'[8]Barge-4'!II65</f>
        <v>0</v>
      </c>
      <c r="AV27" s="136">
        <f>'[2]AHTS-1'!II27+'[2]AHTS-2'!II27+'[2]AHTS-3'!II27+'[2]AHTS-4'!II27+'[2]AHTS-5'!II27+'[2]AHTS-6'!II27+'[2]AHTS-7'!II27+'[2]AHTS-8'!II27+'[3]CB-1'!II27+'[3]CB-2'!II27+'[3]CB-3'!II27+'[3]CB-4'!II27+'[3]CB-5'!II27+'[3]CB-6'!II27+'[3]CB-7'!II27+'[3]CB-8'!II27+'[3]CB-9'!II27+'[3]CB-10'!II27+'[3]CB-11'!II27+'[3]CB-12'!II27+'[3]CB-13'!II27+'[3]CB-14'!II27+'[3]CB-15'!II27+'[3]CB-16'!II27+'[3]CB-17'!II27+'[3]CB-18'!II27+'[3]CB-19'!II27+'[3]CB-20'!II27+'[3]CB-21'!II27+'[3]CB-22'!II27+'[3]CB-23'!II27+'[3]CB-24'!II27+'[4]LCT-1'!II27+'[4]LCT-2'!II27+'[4]LCT-3'!II27+'[4]LCT-4'!II27+'[4]LCT-5'!II27+'[4]LCT-6'!II27+'[4]LCT-7'!II27+'[4]LCT-8'!II27+'[5]TB-1'!II27+'[5]TB-2'!II27+'[5]TB-3'!II27+'[5]TB-4'!II27+'[5]TB-5'!II27+'[5]TB-6'!II27+'[5]TB-7'!II27+'[5]TB-8'!II27+'[5]TB-9'!II27+'[5]TB-10'!II27+'[6]DSV-1'!II27+'[6]DSV-2'!II27+'[6]DSV-3'!II27+'[7]TUB-1'!II27+'[7]TUB-2'!II27+'[8]Barge-1'!II27+'[8]Barge-2'!II27+'[8]Barge-3'!II27+'[8]Barge-4'!II27</f>
        <v>0</v>
      </c>
      <c r="AW27" s="140">
        <f>'[2]AHTS-1'!II98+'[2]AHTS-2'!II98+'[2]AHTS-3'!II98+'[2]AHTS-4'!II98+'[2]AHTS-5'!II98+'[2]AHTS-6'!II98+'[2]AHTS-7'!II98+'[2]AHTS-8'!II98+'[3]CB-1'!II98+'[3]CB-2'!II98+'[3]CB-3'!II98+'[3]CB-4'!II98+'[3]CB-5'!II98+'[3]CB-6'!II98+'[3]CB-7'!II98+'[3]CB-8'!II98+'[3]CB-9'!II98+'[3]CB-10'!II98+'[3]CB-11'!II98+'[3]CB-12'!II98+'[3]CB-13'!II98+'[3]CB-14'!II98+'[3]CB-15'!II98+'[3]CB-16'!II98+'[3]CB-17'!II98+'[3]CB-18'!II98+'[3]CB-19'!II98+'[3]CB-20'!II98+'[3]CB-21'!II98+'[3]CB-22'!II98+'[3]CB-23'!II98+'[3]CB-24'!II98+'[4]LCT-1'!II98+'[4]LCT-2'!II98+'[4]LCT-3'!II98+'[4]LCT-4'!II98+'[4]LCT-5'!II98+'[4]LCT-6'!II98+'[4]LCT-7'!II98+'[4]LCT-8'!II98+'[5]TB-1'!II98+'[5]TB-2'!II98+'[5]TB-3'!II98+'[5]TB-4'!II98+'[5]TB-5'!II98+'[5]TB-6'!II98+'[5]TB-7'!II98+'[5]TB-8'!II98+'[5]TB-9'!II98+'[5]TB-10'!II98+'[6]DSV-1'!II98+'[6]DSV-2'!II98+'[6]DSV-3'!II98+'[7]TUB-1'!II98+'[7]TUB-2'!II98+'[8]Barge-1'!II98+'[8]Barge-2'!II98+'[8]Barge-3'!II98+'[8]Barge-4'!II98</f>
        <v>0</v>
      </c>
      <c r="AX27" s="67"/>
      <c r="AY27" s="67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</row>
    <row r="28" spans="1:97" s="69" customFormat="1" ht="14.25" customHeight="1" x14ac:dyDescent="0.25">
      <c r="A28" s="111">
        <f>[1]Control!AZ28</f>
        <v>46003</v>
      </c>
      <c r="B28" s="66"/>
      <c r="C28" s="176">
        <f>'[2]AHTS-1'!AV28+'[2]AHTS-2'!AV28+'[2]AHTS-3'!AV28+'[2]AHTS-4'!AV28+'[2]AHTS-5'!AV28+'[2]AHTS-6'!AV28+'[2]AHTS-7'!AV28+'[2]AHTS-8'!AV28+'[3]CB-1'!AV28+'[3]CB-2'!AV28+'[3]CB-3'!AV28+'[3]CB-4'!AV28+'[3]CB-5'!AV28+'[3]CB-6'!AV28+'[3]CB-7'!AV28+'[3]CB-8'!AV28+'[3]CB-9'!AV28+'[3]CB-10'!AV28+'[3]CB-11'!AV28+'[3]CB-12'!AV28+'[3]CB-13'!AV28+'[3]CB-14'!AV28+'[3]CB-15'!AV28+'[3]CB-16'!AV28+'[3]CB-17'!AV28+'[3]CB-18'!AV28+'[3]CB-19'!AV28+'[3]CB-20'!AV28+'[3]CB-21'!AV28+'[3]CB-22'!AV28+'[3]CB-23'!AV28+'[3]CB-24'!AV28+'[4]LCT-1'!AV28+'[4]LCT-2'!AV28+'[4]LCT-3'!AV28+'[4]LCT-4'!AV28+'[4]LCT-5'!AV28+'[4]LCT-6'!AV28+'[4]LCT-7'!AV28+'[4]LCT-8'!AV28+'[5]TB-1'!AV28+'[5]TB-2'!AV28+'[5]TB-3'!AV28+'[5]TB-4'!AV28+'[5]TB-5'!AV28+'[5]TB-6'!AV28+'[5]TB-7'!AV28+'[5]TB-8'!AV28+'[5]TB-9'!AV28+'[5]TB-10'!AV28+'[6]DSV-1'!AV28+'[6]DSV-2'!AV28+'[6]DSV-3'!AV28+'[7]TUB-1'!AV28+'[7]TUB-2'!AV28+'[8]Barge-1'!AV28+'[8]Barge-2'!AV28+'[8]Barge-3'!AV28+'[8]Barge-4'!AV28</f>
        <v>0</v>
      </c>
      <c r="D28" s="177">
        <f>'[2]AHTS-1'!BR28+'[2]AHTS-2'!BR28+'[2]AHTS-3'!BR28+'[2]AHTS-4'!BR28+'[2]AHTS-5'!BR28+'[2]AHTS-6'!BR28+'[2]AHTS-7'!BR28+'[2]AHTS-8'!BR28+'[3]CB-1'!BR28+'[3]CB-2'!BR28+'[3]CB-3'!BR28+'[3]CB-4'!BR28+'[3]CB-5'!BR28+'[3]CB-6'!BR28+'[3]CB-7'!BR28+'[3]CB-8'!BR28+'[3]CB-9'!BR28+'[3]CB-10'!BR28+'[3]CB-11'!BR28+'[3]CB-12'!BR28+'[3]CB-13'!BR28+'[3]CB-14'!BR28+'[3]CB-15'!BR28+'[3]CB-16'!BR28+'[3]CB-17'!BR28+'[3]CB-18'!BR28+'[3]CB-19'!BR28+'[3]CB-20'!BR28+'[3]CB-21'!BR28+'[3]CB-22'!BR28+'[3]CB-23'!BR28+'[3]CB-24'!BR28+'[4]LCT-1'!BR28+'[4]LCT-2'!BR28+'[4]LCT-3'!BR28+'[4]LCT-4'!BR28+'[4]LCT-5'!BR28+'[4]LCT-6'!BR28+'[4]LCT-7'!BR28+'[4]LCT-8'!BR28+'[5]TB-1'!BR28+'[5]TB-2'!BR28+'[5]TB-3'!BR28+'[5]TB-4'!BR28+'[5]TB-5'!BR28+'[5]TB-6'!BR28+'[5]TB-7'!BR28+'[5]TB-8'!BR28+'[5]TB-9'!BR28+'[5]TB-10'!BR28+'[6]DSV-1'!BR28+'[6]DSV-2'!BR28+'[6]DSV-3'!BR28+'[7]TUB-1'!BR28+'[7]TUB-2'!BR28+'[8]Barge-1'!BR28+'[8]Barge-2'!BR28+'[8]Barge-3'!BR28+'[8]Barge-4'!BR28</f>
        <v>0</v>
      </c>
      <c r="E28" s="178">
        <f>'[2]AHTS-1'!CN28+'[2]AHTS-2'!CN28+'[2]AHTS-3'!CN28+'[2]AHTS-4'!CN28+'[2]AHTS-5'!CN28+'[2]AHTS-6'!CN28+'[2]AHTS-7'!CN28+'[2]AHTS-8'!CN28+'[3]CB-1'!CN28+'[3]CB-2'!CN28+'[3]CB-3'!CN28+'[3]CB-4'!CN28+'[3]CB-5'!CN28+'[3]CB-6'!CN28+'[3]CB-7'!CN28+'[3]CB-8'!CN28+'[3]CB-9'!CN28+'[3]CB-10'!CN28+'[3]CB-11'!CN28+'[3]CB-12'!CN28+'[3]CB-13'!CN28+'[3]CB-14'!CN28+'[3]CB-15'!CN28+'[3]CB-16'!CN28+'[3]CB-17'!CN28+'[3]CB-18'!CN28+'[3]CB-19'!CN28+'[3]CB-20'!CN28+'[3]CB-21'!CN28+'[3]CB-22'!CN28+'[3]CB-23'!CN28+'[3]CB-24'!CN28+'[4]LCT-1'!CN28+'[4]LCT-2'!CN28+'[4]LCT-3'!CN28+'[4]LCT-4'!CN28+'[4]LCT-5'!CN28+'[4]LCT-6'!CN28+'[4]LCT-7'!CN28+'[4]LCT-8'!CN28+'[5]TB-1'!CN28+'[5]TB-2'!CN28+'[5]TB-3'!CN28+'[5]TB-4'!CN28+'[5]TB-5'!CN28+'[5]TB-6'!CN28+'[5]TB-7'!CN28+'[5]TB-8'!CN28+'[5]TB-9'!CN28+'[5]TB-10'!CN28+'[6]DSV-1'!CN28+'[6]DSV-2'!CN28+'[6]DSV-3'!CN28+'[7]TUB-1'!CN28+'[7]TUB-2'!CN28+'[8]Barge-1'!CN28+'[8]Barge-2'!CN28+'[8]Barge-3'!CN28+'[8]Barge-4'!CN28</f>
        <v>0</v>
      </c>
      <c r="F28" s="179">
        <f>'[2]AHTS-1'!AW28+'[2]AHTS-2'!AW28+'[2]AHTS-3'!AW28+'[2]AHTS-4'!AW28+'[2]AHTS-5'!AW28+'[2]AHTS-6'!AW28+'[2]AHTS-7'!AW28+'[2]AHTS-8'!AW28+'[3]CB-1'!AW28+'[3]CB-2'!AW28+'[3]CB-3'!AW28+'[3]CB-4'!AW28+'[3]CB-5'!AW28+'[3]CB-6'!AW28+'[3]CB-7'!AW28+'[3]CB-8'!AW28+'[3]CB-9'!AW28+'[3]CB-10'!AW28+'[3]CB-11'!AW28+'[3]CB-12'!AW28+'[3]CB-13'!AW28+'[3]CB-14'!AW28+'[3]CB-15'!AW28+'[3]CB-16'!AW28+'[3]CB-17'!AW28+'[3]CB-18'!AW28+'[3]CB-19'!AW28+'[3]CB-20'!AW28+'[3]CB-21'!AW28+'[3]CB-22'!AW28+'[3]CB-23'!AW28+'[3]CB-24'!AW28+'[4]LCT-1'!AW28+'[4]LCT-2'!AW28+'[4]LCT-3'!AW28+'[4]LCT-4'!AW28+'[4]LCT-5'!AW28+'[4]LCT-6'!AW28+'[4]LCT-7'!AW28+'[4]LCT-8'!AW28+'[5]TB-1'!AW28+'[5]TB-2'!AW28+'[5]TB-3'!AW28+'[5]TB-4'!AW28+'[5]TB-5'!AW28+'[5]TB-6'!AW28+'[5]TB-7'!AW28+'[5]TB-8'!AW28+'[5]TB-9'!AW28+'[5]TB-10'!AW28+'[6]DSV-1'!AW28+'[6]DSV-2'!AW28+'[6]DSV-3'!AW28+'[7]TUB-1'!AW28+'[7]TUB-2'!AW28+'[8]Barge-1'!AW28+'[8]Barge-2'!AW28+'[8]Barge-3'!AW28+'[8]Barge-4'!AW28</f>
        <v>780.1832833662902</v>
      </c>
      <c r="G28" s="180">
        <f>'[2]AHTS-1'!BS28+'[2]AHTS-2'!BS28+'[2]AHTS-3'!BS28+'[2]AHTS-4'!BS28+'[2]AHTS-5'!BS28+'[2]AHTS-6'!BS28+'[2]AHTS-7'!BS28+'[2]AHTS-8'!BS28+'[3]CB-1'!BS28+'[3]CB-2'!BS28+'[3]CB-3'!BS28+'[3]CB-4'!BS28+'[3]CB-5'!BS28+'[3]CB-6'!BS28+'[3]CB-7'!BS28+'[3]CB-8'!BS28+'[3]CB-9'!BS28+'[3]CB-10'!BS28+'[3]CB-11'!BS28+'[3]CB-12'!BS28+'[3]CB-13'!BS28+'[3]CB-14'!BS28+'[3]CB-15'!BS28+'[3]CB-16'!BS28+'[3]CB-17'!BS28+'[3]CB-18'!BS28+'[3]CB-19'!BS28+'[3]CB-20'!BS28+'[3]CB-21'!BS28+'[3]CB-22'!BS28+'[3]CB-23'!BS28+'[3]CB-24'!BS28+'[4]LCT-1'!BS28+'[4]LCT-2'!BS28+'[4]LCT-3'!BS28+'[4]LCT-4'!BS28+'[4]LCT-5'!BS28+'[4]LCT-6'!BS28+'[4]LCT-7'!BS28+'[4]LCT-8'!BS28+'[5]TB-1'!BS28+'[5]TB-2'!BS28+'[5]TB-3'!BS28+'[5]TB-4'!BS28+'[5]TB-5'!BS28+'[5]TB-6'!BS28+'[5]TB-7'!BS28+'[5]TB-8'!BS28+'[5]TB-9'!BS28+'[5]TB-10'!BS28+'[6]DSV-1'!BS28+'[6]DSV-2'!BS28+'[6]DSV-3'!BS28+'[7]TUB-1'!BS28+'[7]TUB-2'!BS28+'[8]Barge-1'!BS28+'[8]Barge-2'!BS28+'[8]Barge-3'!BS28+'[8]Barge-4'!BS28</f>
        <v>1471.3699474814484</v>
      </c>
      <c r="H28" s="180">
        <f>'[2]AHTS-1'!CO28+'[2]AHTS-2'!CO28+'[2]AHTS-3'!CO28+'[2]AHTS-4'!CO28+'[2]AHTS-5'!CO28+'[2]AHTS-6'!CO28+'[2]AHTS-7'!CO28+'[2]AHTS-8'!CO28+'[3]CB-1'!CO28+'[3]CB-2'!CO28+'[3]CB-3'!CO28+'[3]CB-4'!CO28+'[3]CB-5'!CO28+'[3]CB-6'!CO28+'[3]CB-7'!CO28+'[3]CB-8'!CO28+'[3]CB-9'!CO28+'[3]CB-10'!CO28+'[3]CB-11'!CO28+'[3]CB-12'!CO28+'[3]CB-13'!CO28+'[3]CB-14'!CO28+'[3]CB-15'!CO28+'[3]CB-16'!CO28+'[3]CB-17'!CO28+'[3]CB-18'!CO28+'[3]CB-19'!CO28+'[3]CB-20'!CO28+'[3]CB-21'!CO28+'[3]CB-22'!CO28+'[3]CB-23'!CO28+'[3]CB-24'!CO28+'[4]LCT-1'!CO28+'[4]LCT-2'!CO28+'[4]LCT-3'!CO28+'[4]LCT-4'!CO28+'[4]LCT-5'!CO28+'[4]LCT-6'!CO28+'[4]LCT-7'!CO28+'[4]LCT-8'!CO28+'[5]TB-1'!CO28+'[5]TB-2'!CO28+'[5]TB-3'!CO28+'[5]TB-4'!CO28+'[5]TB-5'!CO28+'[5]TB-6'!CO28+'[5]TB-7'!CO28+'[5]TB-8'!CO28+'[5]TB-9'!CO28+'[5]TB-10'!CO28+'[6]DSV-1'!CO28+'[6]DSV-2'!CO28+'[6]DSV-3'!CO28+'[7]TUB-1'!CO28+'[7]TUB-2'!CO28+'[8]Barge-1'!CO28+'[8]Barge-2'!CO28+'[8]Barge-3'!CO28+'[8]Barge-4'!CO28</f>
        <v>0</v>
      </c>
      <c r="I28" s="179">
        <f>'[2]AHTS-1'!AX28+'[2]AHTS-2'!AX28+'[2]AHTS-3'!AX28+'[2]AHTS-4'!AX28+'[2]AHTS-5'!AX28+'[2]AHTS-6'!AX28+'[2]AHTS-7'!AX28+'[2]AHTS-8'!AX28+'[3]CB-1'!AX28+'[3]CB-2'!AX28+'[3]CB-3'!AX28+'[3]CB-4'!AX28+'[3]CB-5'!AX28+'[3]CB-6'!AX28+'[3]CB-7'!AX28+'[3]CB-8'!AX28+'[3]CB-9'!AX28+'[3]CB-10'!AX28+'[3]CB-11'!AX28+'[3]CB-12'!AX28+'[3]CB-13'!AX28+'[3]CB-14'!AX28+'[3]CB-15'!AX28+'[3]CB-16'!AX28+'[3]CB-17'!AX28+'[3]CB-18'!AX28+'[3]CB-19'!AX28+'[3]CB-20'!AX28+'[3]CB-21'!AX28+'[3]CB-22'!AX28+'[3]CB-23'!AX28+'[3]CB-24'!AX28+'[4]LCT-1'!AX28+'[4]LCT-2'!AX28+'[4]LCT-3'!AX28+'[4]LCT-4'!AX28+'[4]LCT-5'!AX28+'[4]LCT-6'!AX28+'[4]LCT-7'!AX28+'[4]LCT-8'!AX28+'[5]TB-1'!AX28+'[5]TB-2'!AX28+'[5]TB-3'!AX28+'[5]TB-4'!AX28+'[5]TB-5'!AX28+'[5]TB-6'!AX28+'[5]TB-7'!AX28+'[5]TB-8'!AX28+'[5]TB-9'!AX28+'[5]TB-10'!AX28+'[6]DSV-1'!AX28+'[6]DSV-2'!AX28+'[6]DSV-3'!AX28+'[7]TUB-1'!AX28+'[7]TUB-2'!AX28+'[8]Barge-1'!AX28+'[8]Barge-2'!AX28+'[8]Barge-3'!AX28+'[8]Barge-4'!AX28</f>
        <v>4686.5939486721518</v>
      </c>
      <c r="J28" s="180">
        <f>'[2]AHTS-1'!BT28+'[2]AHTS-2'!BT28+'[2]AHTS-3'!BT28+'[2]AHTS-4'!BT28+'[2]AHTS-5'!BT28+'[2]AHTS-6'!BT28+'[2]AHTS-7'!BT28+'[2]AHTS-8'!BT28+'[3]CB-1'!BT28+'[3]CB-2'!BT28+'[3]CB-3'!BT28+'[3]CB-4'!BT28+'[3]CB-5'!BT28+'[3]CB-6'!BT28+'[3]CB-7'!BT28+'[3]CB-8'!BT28+'[3]CB-9'!BT28+'[3]CB-10'!BT28+'[3]CB-11'!BT28+'[3]CB-12'!BT28+'[3]CB-13'!BT28+'[3]CB-14'!BT28+'[3]CB-15'!BT28+'[3]CB-16'!BT28+'[3]CB-17'!BT28+'[3]CB-18'!BT28+'[3]CB-19'!BT28+'[3]CB-20'!BT28+'[3]CB-21'!BT28+'[3]CB-22'!BT28+'[3]CB-23'!BT28+'[3]CB-24'!BT28+'[4]LCT-1'!BT28+'[4]LCT-2'!BT28+'[4]LCT-3'!BT28+'[4]LCT-4'!BT28+'[4]LCT-5'!BT28+'[4]LCT-6'!BT28+'[4]LCT-7'!BT28+'[4]LCT-8'!BT28+'[5]TB-1'!BT28+'[5]TB-2'!BT28+'[5]TB-3'!BT28+'[5]TB-4'!BT28+'[5]TB-5'!BT28+'[5]TB-6'!BT28+'[5]TB-7'!BT28+'[5]TB-8'!BT28+'[5]TB-9'!BT28+'[5]TB-10'!BT28+'[6]DSV-1'!BT28+'[6]DSV-2'!BT28+'[6]DSV-3'!BT28+'[7]TUB-1'!BT28+'[7]TUB-2'!BT28+'[8]Barge-1'!BT28+'[8]Barge-2'!BT28+'[8]Barge-3'!BT28+'[8]Barge-4'!BT28</f>
        <v>3378.6226106185277</v>
      </c>
      <c r="K28" s="180">
        <f>'[2]AHTS-1'!CP28+'[2]AHTS-2'!CP28+'[2]AHTS-3'!CP28+'[2]AHTS-4'!CP28+'[2]AHTS-5'!CP28+'[2]AHTS-6'!CP28+'[2]AHTS-7'!CP28+'[2]AHTS-8'!CP28+'[3]CB-1'!CP28+'[3]CB-2'!CP28+'[3]CB-3'!CP28+'[3]CB-4'!CP28+'[3]CB-5'!CP28+'[3]CB-6'!CP28+'[3]CB-7'!CP28+'[3]CB-8'!CP28+'[3]CB-9'!CP28+'[3]CB-10'!CP28+'[3]CB-11'!CP28+'[3]CB-12'!CP28+'[3]CB-13'!CP28+'[3]CB-14'!CP28+'[3]CB-15'!CP28+'[3]CB-16'!CP28+'[3]CB-17'!CP28+'[3]CB-18'!CP28+'[3]CB-19'!CP28+'[3]CB-20'!CP28+'[3]CB-21'!CP28+'[3]CB-22'!CP28+'[3]CB-23'!CP28+'[3]CB-24'!CP28+'[4]LCT-1'!CP28+'[4]LCT-2'!CP28+'[4]LCT-3'!CP28+'[4]LCT-4'!CP28+'[4]LCT-5'!CP28+'[4]LCT-6'!CP28+'[4]LCT-7'!CP28+'[4]LCT-8'!CP28+'[5]TB-1'!CP28+'[5]TB-2'!CP28+'[5]TB-3'!CP28+'[5]TB-4'!CP28+'[5]TB-5'!CP28+'[5]TB-6'!CP28+'[5]TB-7'!CP28+'[5]TB-8'!CP28+'[5]TB-9'!CP28+'[5]TB-10'!CP28+'[6]DSV-1'!CP28+'[6]DSV-2'!CP28+'[6]DSV-3'!CP28+'[7]TUB-1'!CP28+'[7]TUB-2'!CP28+'[8]Barge-1'!CP28+'[8]Barge-2'!CP28+'[8]Barge-3'!CP28+'[8]Barge-4'!CP28</f>
        <v>0</v>
      </c>
      <c r="L28" s="181">
        <f>'[2]AHTS-1'!AY28+'[2]AHTS-2'!AY28+'[2]AHTS-3'!AY28+'[2]AHTS-4'!AY28+'[2]AHTS-5'!AY28+'[2]AHTS-6'!AY28+'[2]AHTS-7'!AY28+'[2]AHTS-8'!AY28+'[3]CB-1'!AY28+'[3]CB-2'!AY28+'[3]CB-3'!AY28+'[3]CB-4'!AY28+'[3]CB-5'!AY28+'[3]CB-6'!AY28+'[3]CB-7'!AY28+'[3]CB-8'!AY28+'[3]CB-9'!AY28+'[3]CB-10'!AY28+'[3]CB-11'!AY28+'[3]CB-12'!AY28+'[3]CB-13'!AY28+'[3]CB-14'!AY28+'[3]CB-15'!AY28+'[3]CB-16'!AY28+'[3]CB-17'!AY28+'[3]CB-18'!AY28+'[3]CB-19'!AY28+'[3]CB-20'!AY28+'[3]CB-21'!AY28+'[3]CB-22'!AY28+'[3]CB-23'!AY28+'[3]CB-24'!AY28+'[4]LCT-1'!AY28+'[4]LCT-2'!AY28+'[4]LCT-3'!AY28+'[4]LCT-4'!AY28+'[4]LCT-5'!AY28+'[4]LCT-6'!AY28+'[4]LCT-7'!AY28+'[4]LCT-8'!AY28+'[5]TB-1'!AY28+'[5]TB-2'!AY28+'[5]TB-3'!AY28+'[5]TB-4'!AY28+'[5]TB-5'!AY28+'[5]TB-6'!AY28+'[5]TB-7'!AY28+'[5]TB-8'!AY28+'[5]TB-9'!AY28+'[5]TB-10'!AY28+'[6]DSV-1'!AY28+'[6]DSV-2'!AY28+'[6]DSV-3'!AY28+'[7]TUB-1'!AY28+'[7]TUB-2'!AY28+'[8]Barge-1'!AY28+'[8]Barge-2'!AY28+'[8]Barge-3'!AY28+'[8]Barge-4'!AY28</f>
        <v>2807.2175798941121</v>
      </c>
      <c r="M28" s="182">
        <f>'[2]AHTS-1'!BU28+'[2]AHTS-2'!BU28+'[2]AHTS-3'!BU28+'[2]AHTS-4'!BU28+'[2]AHTS-5'!BU28+'[2]AHTS-6'!BU28+'[2]AHTS-7'!BU28+'[2]AHTS-8'!BU28+'[3]CB-1'!BU28+'[3]CB-2'!BU28+'[3]CB-3'!BU28+'[3]CB-4'!BU28+'[3]CB-5'!BU28+'[3]CB-6'!BU28+'[3]CB-7'!BU28+'[3]CB-8'!BU28+'[3]CB-9'!BU28+'[3]CB-10'!BU28+'[3]CB-11'!BU28+'[3]CB-12'!BU28+'[3]CB-13'!BU28+'[3]CB-14'!BU28+'[3]CB-15'!BU28+'[3]CB-16'!BU28+'[3]CB-17'!BU28+'[3]CB-18'!BU28+'[3]CB-19'!BU28+'[3]CB-20'!BU28+'[3]CB-21'!BU28+'[3]CB-22'!BU28+'[3]CB-23'!BU28+'[3]CB-24'!BU28+'[4]LCT-1'!BU28+'[4]LCT-2'!BU28+'[4]LCT-3'!BU28+'[4]LCT-4'!BU28+'[4]LCT-5'!BU28+'[4]LCT-6'!BU28+'[4]LCT-7'!BU28+'[4]LCT-8'!BU28+'[5]TB-1'!BU28+'[5]TB-2'!BU28+'[5]TB-3'!BU28+'[5]TB-4'!BU28+'[5]TB-5'!BU28+'[5]TB-6'!BU28+'[5]TB-7'!BU28+'[5]TB-8'!BU28+'[5]TB-9'!BU28+'[5]TB-10'!BU28+'[6]DSV-1'!BU28+'[6]DSV-2'!BU28+'[6]DSV-3'!BU28+'[7]TUB-1'!BU28+'[7]TUB-2'!BU28+'[8]Barge-1'!BU28+'[8]Barge-2'!BU28+'[8]Barge-3'!BU28+'[8]Barge-4'!BU28</f>
        <v>4031.3835555272058</v>
      </c>
      <c r="N28" s="182">
        <f>'[2]AHTS-1'!CQ28+'[2]AHTS-2'!CQ28+'[2]AHTS-3'!CQ28+'[2]AHTS-4'!CQ28+'[2]AHTS-5'!CQ28+'[2]AHTS-6'!CQ28+'[2]AHTS-7'!CQ28+'[2]AHTS-8'!CQ28+'[3]CB-1'!CQ28+'[3]CB-2'!CQ28+'[3]CB-3'!CQ28+'[3]CB-4'!CQ28+'[3]CB-5'!CQ28+'[3]CB-6'!CQ28+'[3]CB-7'!CQ28+'[3]CB-8'!CQ28+'[3]CB-9'!CQ28+'[3]CB-10'!CQ28+'[3]CB-11'!CQ28+'[3]CB-12'!CQ28+'[3]CB-13'!CQ28+'[3]CB-14'!CQ28+'[3]CB-15'!CQ28+'[3]CB-16'!CQ28+'[3]CB-17'!CQ28+'[3]CB-18'!CQ28+'[3]CB-19'!CQ28+'[3]CB-20'!CQ28+'[3]CB-21'!CQ28+'[3]CB-22'!CQ28+'[3]CB-23'!CQ28+'[3]CB-24'!CQ28+'[4]LCT-1'!CQ28+'[4]LCT-2'!CQ28+'[4]LCT-3'!CQ28+'[4]LCT-4'!CQ28+'[4]LCT-5'!CQ28+'[4]LCT-6'!CQ28+'[4]LCT-7'!CQ28+'[4]LCT-8'!CQ28+'[5]TB-1'!CQ28+'[5]TB-2'!CQ28+'[5]TB-3'!CQ28+'[5]TB-4'!CQ28+'[5]TB-5'!CQ28+'[5]TB-6'!CQ28+'[5]TB-7'!CQ28+'[5]TB-8'!CQ28+'[5]TB-9'!CQ28+'[5]TB-10'!CQ28+'[6]DSV-1'!CQ28+'[6]DSV-2'!CQ28+'[6]DSV-3'!CQ28+'[7]TUB-1'!CQ28+'[7]TUB-2'!CQ28+'[8]Barge-1'!CQ28+'[8]Barge-2'!CQ28+'[8]Barge-3'!CQ28+'[8]Barge-4'!CQ28</f>
        <v>0</v>
      </c>
      <c r="O28" s="179">
        <f>'[2]AHTS-1'!AZ28+'[2]AHTS-2'!AZ28+'[2]AHTS-3'!AZ28+'[2]AHTS-4'!AZ28+'[2]AHTS-5'!AZ28+'[2]AHTS-6'!AZ28+'[2]AHTS-7'!AZ28+'[2]AHTS-8'!AZ28+'[3]CB-1'!AZ28+'[3]CB-2'!AZ28+'[3]CB-3'!AZ28+'[3]CB-4'!AZ28+'[3]CB-5'!AZ28+'[3]CB-6'!AZ28+'[3]CB-7'!AZ28+'[3]CB-8'!AZ28+'[3]CB-9'!AZ28+'[3]CB-10'!AZ28+'[3]CB-11'!AZ28+'[3]CB-12'!AZ28+'[3]CB-13'!AZ28+'[3]CB-14'!AZ28+'[3]CB-15'!AZ28+'[3]CB-16'!AZ28+'[3]CB-17'!AZ28+'[3]CB-18'!AZ28+'[3]CB-19'!AZ28+'[3]CB-20'!AZ28+'[3]CB-21'!AZ28+'[3]CB-22'!AZ28+'[3]CB-23'!AZ28+'[3]CB-24'!AZ28+'[4]LCT-1'!AZ28+'[4]LCT-2'!AZ28+'[4]LCT-3'!AZ28+'[4]LCT-4'!AZ28+'[4]LCT-5'!AZ28+'[4]LCT-6'!AZ28+'[4]LCT-7'!AZ28+'[4]LCT-8'!AZ28+'[5]TB-1'!AZ28+'[5]TB-2'!AZ28+'[5]TB-3'!AZ28+'[5]TB-4'!AZ28+'[5]TB-5'!AZ28+'[5]TB-6'!AZ28+'[5]TB-7'!AZ28+'[5]TB-8'!AZ28+'[5]TB-9'!AZ28+'[5]TB-10'!AZ28+'[6]DSV-1'!AZ28+'[6]DSV-2'!AZ28+'[6]DSV-3'!AZ28+'[7]TUB-1'!AZ28+'[7]TUB-2'!AZ28+'[8]Barge-1'!AZ28+'[8]Barge-2'!AZ28+'[8]Barge-3'!AZ28+'[8]Barge-4'!AZ28</f>
        <v>105.07750207310073</v>
      </c>
      <c r="P28" s="180">
        <f>'[2]AHTS-1'!BV28+'[2]AHTS-2'!BV28+'[2]AHTS-3'!BV28+'[2]AHTS-4'!BV28+'[2]AHTS-5'!BV28+'[2]AHTS-6'!BV28+'[2]AHTS-7'!BV28+'[2]AHTS-8'!BV28+'[3]CB-1'!BV28+'[3]CB-2'!BV28+'[3]CB-3'!BV28+'[3]CB-4'!BV28+'[3]CB-5'!BV28+'[3]CB-6'!BV28+'[3]CB-7'!BV28+'[3]CB-8'!BV28+'[3]CB-9'!BV28+'[3]CB-10'!BV28+'[3]CB-11'!BV28+'[3]CB-12'!BV28+'[3]CB-13'!BV28+'[3]CB-14'!BV28+'[3]CB-15'!BV28+'[3]CB-16'!BV28+'[3]CB-17'!BV28+'[3]CB-18'!BV28+'[3]CB-19'!BV28+'[3]CB-20'!BV28+'[3]CB-21'!BV28+'[3]CB-22'!BV28+'[3]CB-23'!BV28+'[3]CB-24'!BV28+'[4]LCT-1'!BV28+'[4]LCT-2'!BV28+'[4]LCT-3'!BV28+'[4]LCT-4'!BV28+'[4]LCT-5'!BV28+'[4]LCT-6'!BV28+'[4]LCT-7'!BV28+'[4]LCT-8'!BV28+'[5]TB-1'!BV28+'[5]TB-2'!BV28+'[5]TB-3'!BV28+'[5]TB-4'!BV28+'[5]TB-5'!BV28+'[5]TB-6'!BV28+'[5]TB-7'!BV28+'[5]TB-8'!BV28+'[5]TB-9'!BV28+'[5]TB-10'!BV28+'[6]DSV-1'!BV28+'[6]DSV-2'!BV28+'[6]DSV-3'!BV28+'[7]TUB-1'!BV28+'[7]TUB-2'!BV28+'[8]Barge-1'!BV28+'[8]Barge-2'!BV28+'[8]Barge-3'!BV28+'[8]Barge-4'!BV28</f>
        <v>829.24028832046952</v>
      </c>
      <c r="Q28" s="180">
        <f>'[2]AHTS-1'!CR28+'[2]AHTS-2'!CR28+'[2]AHTS-3'!CR28+'[2]AHTS-4'!CR28+'[2]AHTS-5'!CR28+'[2]AHTS-6'!CR28+'[2]AHTS-7'!CR28+'[2]AHTS-8'!CR28+'[3]CB-1'!CR28+'[3]CB-2'!CR28+'[3]CB-3'!CR28+'[3]CB-4'!CR28+'[3]CB-5'!CR28+'[3]CB-6'!CR28+'[3]CB-7'!CR28+'[3]CB-8'!CR28+'[3]CB-9'!CR28+'[3]CB-10'!CR28+'[3]CB-11'!CR28+'[3]CB-12'!CR28+'[3]CB-13'!CR28+'[3]CB-14'!CR28+'[3]CB-15'!CR28+'[3]CB-16'!CR28+'[3]CB-17'!CR28+'[3]CB-18'!CR28+'[3]CB-19'!CR28+'[3]CB-20'!CR28+'[3]CB-21'!CR28+'[3]CB-22'!CR28+'[3]CB-23'!CR28+'[3]CB-24'!CR28+'[4]LCT-1'!CR28+'[4]LCT-2'!CR28+'[4]LCT-3'!CR28+'[4]LCT-4'!CR28+'[4]LCT-5'!CR28+'[4]LCT-6'!CR28+'[4]LCT-7'!CR28+'[4]LCT-8'!CR28+'[5]TB-1'!CR28+'[5]TB-2'!CR28+'[5]TB-3'!CR28+'[5]TB-4'!CR28+'[5]TB-5'!CR28+'[5]TB-6'!CR28+'[5]TB-7'!CR28+'[5]TB-8'!CR28+'[5]TB-9'!CR28+'[5]TB-10'!CR28+'[6]DSV-1'!CR28+'[6]DSV-2'!CR28+'[6]DSV-3'!CR28+'[7]TUB-1'!CR28+'[7]TUB-2'!CR28+'[8]Barge-1'!CR28+'[8]Barge-2'!CR28+'[8]Barge-3'!CR28+'[8]Barge-4'!CR28</f>
        <v>0</v>
      </c>
      <c r="R28" s="183">
        <f>'[2]AHTS-1'!BA28+'[2]AHTS-2'!BA28+'[2]AHTS-3'!BA28+'[2]AHTS-4'!BA28+'[2]AHTS-5'!BA28+'[2]AHTS-6'!BA28+'[2]AHTS-7'!BA28+'[2]AHTS-8'!BA28+'[3]CB-1'!BA28+'[3]CB-2'!BA28+'[3]CB-3'!BA28+'[3]CB-4'!BA28+'[3]CB-5'!BA28+'[3]CB-6'!BA28+'[3]CB-7'!BA28+'[3]CB-8'!BA28+'[3]CB-9'!BA28+'[3]CB-10'!BA28+'[3]CB-11'!BA28+'[3]CB-12'!BA28+'[3]CB-13'!BA28+'[3]CB-14'!BA28+'[3]CB-15'!BA28+'[3]CB-16'!BA28+'[3]CB-17'!BA28+'[3]CB-18'!BA28+'[3]CB-19'!BA28+'[3]CB-20'!BA28+'[3]CB-21'!BA28+'[3]CB-22'!BA28+'[3]CB-23'!BA28+'[3]CB-24'!BA28+'[4]LCT-1'!BA28+'[4]LCT-2'!BA28+'[4]LCT-3'!BA28+'[4]LCT-4'!BA28+'[4]LCT-5'!BA28+'[4]LCT-6'!BA28+'[4]LCT-7'!BA28+'[4]LCT-8'!BA28+'[5]TB-1'!BA28+'[5]TB-2'!BA28+'[5]TB-3'!BA28+'[5]TB-4'!BA28+'[5]TB-5'!BA28+'[5]TB-6'!BA28+'[5]TB-7'!BA28+'[5]TB-8'!BA28+'[5]TB-9'!BA28+'[5]TB-10'!BA28+'[6]DSV-1'!BA28+'[6]DSV-2'!BA28+'[6]DSV-3'!BA28+'[7]TUB-1'!BA28+'[7]TUB-2'!BA28+'[8]Barge-1'!BA28+'[8]Barge-2'!BA28+'[8]Barge-3'!BA28+'[8]Barge-4'!BA28</f>
        <v>6079.3859369352131</v>
      </c>
      <c r="S28" s="180">
        <f>'[2]AHTS-1'!BW28+'[2]AHTS-2'!BW28+'[2]AHTS-3'!BW28+'[2]AHTS-4'!BW28+'[2]AHTS-5'!BW28+'[2]AHTS-6'!BW28+'[2]AHTS-7'!BW28+'[2]AHTS-8'!BW28+'[3]CB-1'!BW28+'[3]CB-2'!BW28+'[3]CB-3'!BW28+'[3]CB-4'!BW28+'[3]CB-5'!BW28+'[3]CB-6'!BW28+'[3]CB-7'!BW28+'[3]CB-8'!BW28+'[3]CB-9'!BW28+'[3]CB-10'!BW28+'[3]CB-11'!BW28+'[3]CB-12'!BW28+'[3]CB-13'!BW28+'[3]CB-14'!BW28+'[3]CB-15'!BW28+'[3]CB-16'!BW28+'[3]CB-17'!BW28+'[3]CB-18'!BW28+'[3]CB-19'!BW28+'[3]CB-20'!BW28+'[3]CB-21'!BW28+'[3]CB-22'!BW28+'[3]CB-23'!BW28+'[3]CB-24'!BW28+'[4]LCT-1'!BW28+'[4]LCT-2'!BW28+'[4]LCT-3'!BW28+'[4]LCT-4'!BW28+'[4]LCT-5'!BW28+'[4]LCT-6'!BW28+'[4]LCT-7'!BW28+'[4]LCT-8'!BW28+'[5]TB-1'!BW28+'[5]TB-2'!BW28+'[5]TB-3'!BW28+'[5]TB-4'!BW28+'[5]TB-5'!BW28+'[5]TB-6'!BW28+'[5]TB-7'!BW28+'[5]TB-8'!BW28+'[5]TB-9'!BW28+'[5]TB-10'!BW28+'[6]DSV-1'!BW28+'[6]DSV-2'!BW28+'[6]DSV-3'!BW28+'[7]TUB-1'!BW28+'[7]TUB-2'!BW28+'[8]Barge-1'!BW28+'[8]Barge-2'!BW28+'[8]Barge-3'!BW28+'[8]Barge-4'!BW28</f>
        <v>6037.5071761178797</v>
      </c>
      <c r="T28" s="184">
        <f>'[2]AHTS-1'!CS28+'[2]AHTS-2'!CS28+'[2]AHTS-3'!CS28+'[2]AHTS-4'!CS28+'[2]AHTS-5'!CS28+'[2]AHTS-6'!CS28+'[2]AHTS-7'!CS28+'[2]AHTS-8'!CS28+'[3]CB-1'!CS28+'[3]CB-2'!CS28+'[3]CB-3'!CS28+'[3]CB-4'!CS28+'[3]CB-5'!CS28+'[3]CB-6'!CS28+'[3]CB-7'!CS28+'[3]CB-8'!CS28+'[3]CB-9'!CS28+'[3]CB-10'!CS28+'[3]CB-11'!CS28+'[3]CB-12'!CS28+'[3]CB-13'!CS28+'[3]CB-14'!CS28+'[3]CB-15'!CS28+'[3]CB-16'!CS28+'[3]CB-17'!CS28+'[3]CB-18'!CS28+'[3]CB-19'!CS28+'[3]CB-20'!CS28+'[3]CB-21'!CS28+'[3]CB-22'!CS28+'[3]CB-23'!CS28+'[3]CB-24'!CS28+'[4]LCT-1'!CS28+'[4]LCT-2'!CS28+'[4]LCT-3'!CS28+'[4]LCT-4'!CS28+'[4]LCT-5'!CS28+'[4]LCT-6'!CS28+'[4]LCT-7'!CS28+'[4]LCT-8'!CS28+'[5]TB-1'!CS28+'[5]TB-2'!CS28+'[5]TB-3'!CS28+'[5]TB-4'!CS28+'[5]TB-5'!CS28+'[5]TB-6'!CS28+'[5]TB-7'!CS28+'[5]TB-8'!CS28+'[5]TB-9'!CS28+'[5]TB-10'!CS28+'[6]DSV-1'!CS28+'[6]DSV-2'!CS28+'[6]DSV-3'!CS28+'[7]TUB-1'!CS28+'[7]TUB-2'!CS28+'[8]Barge-1'!CS28+'[8]Barge-2'!CS28+'[8]Barge-3'!CS28+'[8]Barge-4'!CS28</f>
        <v>0</v>
      </c>
      <c r="U28" s="183">
        <f>'[2]AHTS-1'!BB28+'[2]AHTS-2'!BB28+'[2]AHTS-3'!BB28+'[2]AHTS-4'!BB28+'[2]AHTS-5'!BB28+'[2]AHTS-6'!BB28+'[2]AHTS-7'!BB28+'[2]AHTS-8'!BB28+'[3]CB-1'!BB28+'[3]CB-2'!BB28+'[3]CB-3'!BB28+'[3]CB-4'!BB28+'[3]CB-5'!BB28+'[3]CB-6'!BB28+'[3]CB-7'!BB28+'[3]CB-8'!BB28+'[3]CB-9'!BB28+'[3]CB-10'!BB28+'[3]CB-11'!BB28+'[3]CB-12'!BB28+'[3]CB-13'!BB28+'[3]CB-14'!BB28+'[3]CB-15'!BB28+'[3]CB-16'!BB28+'[3]CB-17'!BB28+'[3]CB-18'!BB28+'[3]CB-19'!BB28+'[3]CB-20'!BB28+'[3]CB-21'!BB28+'[3]CB-22'!BB28+'[3]CB-23'!BB28+'[3]CB-24'!BB28+'[4]LCT-1'!BB28+'[4]LCT-2'!BB28+'[4]LCT-3'!BB28+'[4]LCT-4'!BB28+'[4]LCT-5'!BB28+'[4]LCT-6'!BB28+'[4]LCT-7'!BB28+'[4]LCT-8'!BB28+'[5]TB-1'!BB28+'[5]TB-2'!BB28+'[5]TB-3'!BB28+'[5]TB-4'!BB28+'[5]TB-5'!BB28+'[5]TB-6'!BB28+'[5]TB-7'!BB28+'[5]TB-8'!BB28+'[5]TB-9'!BB28+'[5]TB-10'!BB28+'[6]DSV-1'!BB28+'[6]DSV-2'!BB28+'[6]DSV-3'!BB28+'[7]TUB-1'!BB28+'[7]TUB-2'!BB28+'[8]Barge-1'!BB28+'[8]Barge-2'!BB28+'[8]Barge-3'!BB28+'[8]Barge-4'!BB28</f>
        <v>0</v>
      </c>
      <c r="V28" s="180">
        <f>'[2]AHTS-1'!BX28+'[2]AHTS-2'!BX28+'[2]AHTS-3'!BX28+'[2]AHTS-4'!BX28+'[2]AHTS-5'!BX28+'[2]AHTS-6'!BX28+'[2]AHTS-7'!BX28+'[2]AHTS-8'!BX28+'[3]CB-1'!BX28+'[3]CB-2'!BX28+'[3]CB-3'!BX28+'[3]CB-4'!BX28+'[3]CB-5'!BX28+'[3]CB-6'!BX28+'[3]CB-7'!BX28+'[3]CB-8'!BX28+'[3]CB-9'!BX28+'[3]CB-10'!BX28+'[3]CB-11'!BX28+'[3]CB-12'!BX28+'[3]CB-13'!BX28+'[3]CB-14'!BX28+'[3]CB-15'!BX28+'[3]CB-16'!BX28+'[3]CB-17'!BX28+'[3]CB-18'!BX28+'[3]CB-19'!BX28+'[3]CB-20'!BX28+'[3]CB-21'!BX28+'[3]CB-22'!BX28+'[3]CB-23'!BX28+'[3]CB-24'!BX28+'[4]LCT-1'!BX28+'[4]LCT-2'!BX28+'[4]LCT-3'!BX28+'[4]LCT-4'!BX28+'[4]LCT-5'!BX28+'[4]LCT-6'!BX28+'[4]LCT-7'!BX28+'[4]LCT-8'!BX28+'[5]TB-1'!BX28+'[5]TB-2'!BX28+'[5]TB-3'!BX28+'[5]TB-4'!BX28+'[5]TB-5'!BX28+'[5]TB-6'!BX28+'[5]TB-7'!BX28+'[5]TB-8'!BX28+'[5]TB-9'!BX28+'[5]TB-10'!BX28+'[6]DSV-1'!BX28+'[6]DSV-2'!BX28+'[6]DSV-3'!BX28+'[7]TUB-1'!BX28+'[7]TUB-2'!BX28+'[8]Barge-1'!BX28+'[8]Barge-2'!BX28+'[8]Barge-3'!BX28+'[8]Barge-4'!BX28</f>
        <v>0</v>
      </c>
      <c r="W28" s="184">
        <f>'[2]AHTS-1'!CT28+'[2]AHTS-2'!CT28+'[2]AHTS-3'!CT28+'[2]AHTS-4'!CT28+'[2]AHTS-5'!CT28+'[2]AHTS-6'!CT28+'[2]AHTS-7'!CT28+'[2]AHTS-8'!CT28+'[3]CB-1'!CT28+'[3]CB-2'!CT28+'[3]CB-3'!CT28+'[3]CB-4'!CT28+'[3]CB-5'!CT28+'[3]CB-6'!CT28+'[3]CB-7'!CT28+'[3]CB-8'!CT28+'[3]CB-9'!CT28+'[3]CB-10'!CT28+'[3]CB-11'!CT28+'[3]CB-12'!CT28+'[3]CB-13'!CT28+'[3]CB-14'!CT28+'[3]CB-15'!CT28+'[3]CB-16'!CT28+'[3]CB-17'!CT28+'[3]CB-18'!CT28+'[3]CB-19'!CT28+'[3]CB-20'!CT28+'[3]CB-21'!CT28+'[3]CB-22'!CT28+'[3]CB-23'!CT28+'[3]CB-24'!CT28+'[4]LCT-1'!CT28+'[4]LCT-2'!CT28+'[4]LCT-3'!CT28+'[4]LCT-4'!CT28+'[4]LCT-5'!CT28+'[4]LCT-6'!CT28+'[4]LCT-7'!CT28+'[4]LCT-8'!CT28+'[5]TB-1'!CT28+'[5]TB-2'!CT28+'[5]TB-3'!CT28+'[5]TB-4'!CT28+'[5]TB-5'!CT28+'[5]TB-6'!CT28+'[5]TB-7'!CT28+'[5]TB-8'!CT28+'[5]TB-9'!CT28+'[5]TB-10'!CT28+'[6]DSV-1'!CT28+'[6]DSV-2'!CT28+'[6]DSV-3'!CT28+'[7]TUB-1'!CT28+'[7]TUB-2'!CT28+'[8]Barge-1'!CT28+'[8]Barge-2'!CT28+'[8]Barge-3'!CT28+'[8]Barge-4'!CT28</f>
        <v>0</v>
      </c>
      <c r="X28" s="67"/>
      <c r="Y28" s="67"/>
      <c r="Z28" s="68"/>
      <c r="AA28" s="111">
        <f>[1]Control!AZ28</f>
        <v>46003</v>
      </c>
      <c r="AB28" s="66"/>
      <c r="AC28" s="132">
        <f>'[2]AHTS-1'!IC66+'[2]AHTS-2'!IC66+'[2]AHTS-3'!IC66+'[2]AHTS-4'!IC66+'[2]AHTS-5'!IC66+'[2]AHTS-6'!IC66+'[2]AHTS-7'!IC66+'[2]AHTS-8'!IC66+'[3]CB-1'!IC66+'[3]CB-2'!IC66+'[3]CB-3'!IC66+'[3]CB-4'!IC66+'[3]CB-5'!IC66+'[3]CB-6'!IC66+'[3]CB-7'!IC66+'[3]CB-8'!IC66+'[3]CB-9'!IC66+'[3]CB-10'!IC66+'[3]CB-11'!IC66+'[3]CB-12'!IC66+'[3]CB-13'!IC66+'[3]CB-14'!IC66+'[3]CB-15'!IC66+'[3]CB-16'!IC66+'[3]CB-17'!IC66+'[3]CB-18'!IC66+'[3]CB-19'!IC66+'[3]CB-20'!IC66+'[3]CB-21'!IC66+'[3]CB-22'!IC66+'[3]CB-23'!IC66+'[3]CB-24'!IC66+'[4]LCT-1'!IC66+'[4]LCT-2'!IC66+'[4]LCT-3'!IC66+'[4]LCT-4'!IC66+'[4]LCT-5'!IC66+'[4]LCT-6'!IC66+'[4]LCT-7'!IC66+'[4]LCT-8'!IC66+'[5]TB-1'!IC66+'[5]TB-2'!IC66+'[5]TB-3'!IC66+'[5]TB-4'!IC66+'[5]TB-5'!IC66+'[5]TB-6'!IC66+'[5]TB-7'!IC66+'[5]TB-8'!IC66+'[5]TB-9'!IC66+'[5]TB-10'!IC66+'[6]DSV-1'!IC66+'[6]DSV-2'!IC66+'[6]DSV-3'!IC66+'[7]TUB-1'!IC66+'[7]TUB-2'!IC66+'[8]Barge-1'!IC66+'[8]Barge-2'!IC66+'[8]Barge-3'!IC66+'[8]Barge-4'!IC66</f>
        <v>0</v>
      </c>
      <c r="AD28" s="133">
        <f>'[2]AHTS-1'!IC28+'[2]AHTS-2'!IC28+'[2]AHTS-3'!IC28+'[2]AHTS-4'!IC28+'[2]AHTS-5'!IC28+'[2]AHTS-6'!IC28+'[2]AHTS-7'!IC28+'[2]AHTS-8'!IC28+'[3]CB-1'!IC28+'[3]CB-2'!IC28+'[3]CB-3'!IC28+'[3]CB-4'!IC28+'[3]CB-5'!IC28+'[3]CB-6'!IC28+'[3]CB-7'!IC28+'[3]CB-8'!IC28+'[3]CB-9'!IC28+'[3]CB-10'!IC28+'[3]CB-11'!IC28+'[3]CB-12'!IC28+'[3]CB-13'!IC28+'[3]CB-14'!IC28+'[3]CB-15'!IC28+'[3]CB-16'!IC28+'[3]CB-17'!IC28+'[3]CB-18'!IC28+'[3]CB-19'!IC28+'[3]CB-20'!IC28+'[3]CB-21'!IC28+'[3]CB-22'!IC28+'[3]CB-23'!IC28+'[3]CB-24'!IC28+'[4]LCT-1'!IC28+'[4]LCT-2'!IC28+'[4]LCT-3'!IC28+'[4]LCT-4'!IC28+'[4]LCT-5'!IC28+'[4]LCT-6'!IC28+'[4]LCT-7'!IC28+'[4]LCT-8'!IC28+'[5]TB-1'!IC28+'[5]TB-2'!IC28+'[5]TB-3'!IC28+'[5]TB-4'!IC28+'[5]TB-5'!IC28+'[5]TB-6'!IC28+'[5]TB-7'!IC28+'[5]TB-8'!IC28+'[5]TB-9'!IC28+'[5]TB-10'!IC28+'[6]DSV-1'!IC28+'[6]DSV-2'!IC28+'[6]DSV-3'!IC28+'[7]TUB-1'!IC28+'[7]TUB-2'!IC28+'[8]Barge-1'!IC28+'[8]Barge-2'!IC28+'[8]Barge-3'!IC28+'[8]Barge-4'!IC28</f>
        <v>0</v>
      </c>
      <c r="AE28" s="134">
        <f>'[2]AHTS-1'!IC99+'[2]AHTS-2'!IC99+'[2]AHTS-3'!IC99+'[2]AHTS-4'!IC99+'[2]AHTS-5'!IC99+'[2]AHTS-6'!IC99+'[2]AHTS-7'!IC99+'[2]AHTS-8'!IC99+'[3]CB-1'!IC99+'[3]CB-2'!IC99+'[3]CB-3'!IC99+'[3]CB-4'!IC99+'[3]CB-5'!IC99+'[3]CB-6'!IC99+'[3]CB-7'!IC99+'[3]CB-8'!IC99+'[3]CB-9'!IC99+'[3]CB-10'!IC99+'[3]CB-11'!IC99+'[3]CB-12'!IC99+'[3]CB-13'!IC99+'[3]CB-14'!IC99+'[3]CB-15'!IC99+'[3]CB-16'!IC99+'[3]CB-17'!IC99+'[3]CB-18'!IC99+'[3]CB-19'!IC99+'[3]CB-20'!IC99+'[3]CB-21'!IC99+'[3]CB-22'!IC99+'[3]CB-23'!IC99+'[3]CB-24'!IC99+'[4]LCT-1'!IC99+'[4]LCT-2'!IC99+'[4]LCT-3'!IC99+'[4]LCT-4'!IC99+'[4]LCT-5'!IC99+'[4]LCT-6'!IC99+'[4]LCT-7'!IC99+'[4]LCT-8'!IC99+'[5]TB-1'!IC99+'[5]TB-2'!IC99+'[5]TB-3'!IC99+'[5]TB-4'!IC99+'[5]TB-5'!IC99+'[5]TB-6'!IC99+'[5]TB-7'!IC99+'[5]TB-8'!IC99+'[5]TB-9'!IC99+'[5]TB-10'!IC99+'[6]DSV-1'!IC99+'[6]DSV-2'!IC99+'[6]DSV-3'!IC99+'[7]TUB-1'!IC99+'[7]TUB-2'!IC99+'[8]Barge-1'!IC99+'[8]Barge-2'!IC99+'[8]Barge-3'!IC99+'[8]Barge-4'!IC99</f>
        <v>0</v>
      </c>
      <c r="AF28" s="135">
        <f>'[2]AHTS-1'!ID66+'[2]AHTS-2'!ID66+'[2]AHTS-3'!ID66+'[2]AHTS-4'!ID66+'[2]AHTS-5'!ID66+'[2]AHTS-6'!ID66+'[2]AHTS-7'!ID66+'[2]AHTS-8'!ID66+'[3]CB-1'!ID66+'[3]CB-2'!ID66+'[3]CB-3'!ID66+'[3]CB-4'!ID66+'[3]CB-5'!ID66+'[3]CB-6'!ID66+'[3]CB-7'!ID66+'[3]CB-8'!ID66+'[3]CB-9'!ID66+'[3]CB-10'!ID66+'[3]CB-11'!ID66+'[3]CB-12'!ID66+'[3]CB-13'!ID66+'[3]CB-14'!ID66+'[3]CB-15'!ID66+'[3]CB-16'!ID66+'[3]CB-17'!ID66+'[3]CB-18'!ID66+'[3]CB-19'!ID66+'[3]CB-20'!ID66+'[3]CB-21'!ID66+'[3]CB-22'!ID66+'[3]CB-23'!ID66+'[3]CB-24'!ID66+'[4]LCT-1'!ID66+'[4]LCT-2'!ID66+'[4]LCT-3'!ID66+'[4]LCT-4'!ID66+'[4]LCT-5'!ID66+'[4]LCT-6'!ID66+'[4]LCT-7'!ID66+'[4]LCT-8'!ID66+'[5]TB-1'!ID66+'[5]TB-2'!ID66+'[5]TB-3'!ID66+'[5]TB-4'!ID66+'[5]TB-5'!ID66+'[5]TB-6'!ID66+'[5]TB-7'!ID66+'[5]TB-8'!ID66+'[5]TB-9'!ID66+'[5]TB-10'!ID66+'[6]DSV-1'!ID66+'[6]DSV-2'!ID66+'[6]DSV-3'!ID66+'[7]TUB-1'!ID66+'[7]TUB-2'!ID66+'[8]Barge-1'!ID66+'[8]Barge-2'!ID66+'[8]Barge-3'!ID66+'[8]Barge-4'!ID66</f>
        <v>12230933.333333332</v>
      </c>
      <c r="AG28" s="136">
        <f>'[2]AHTS-1'!ID28+'[2]AHTS-2'!ID28+'[2]AHTS-3'!ID28+'[2]AHTS-4'!ID28+'[2]AHTS-5'!ID28+'[2]AHTS-6'!ID28+'[2]AHTS-7'!ID28+'[2]AHTS-8'!ID28+'[3]CB-1'!ID28+'[3]CB-2'!ID28+'[3]CB-3'!ID28+'[3]CB-4'!ID28+'[3]CB-5'!ID28+'[3]CB-6'!ID28+'[3]CB-7'!ID28+'[3]CB-8'!ID28+'[3]CB-9'!ID28+'[3]CB-10'!ID28+'[3]CB-11'!ID28+'[3]CB-12'!ID28+'[3]CB-13'!ID28+'[3]CB-14'!ID28+'[3]CB-15'!ID28+'[3]CB-16'!ID28+'[3]CB-17'!ID28+'[3]CB-18'!ID28+'[3]CB-19'!ID28+'[3]CB-20'!ID28+'[3]CB-21'!ID28+'[3]CB-22'!ID28+'[3]CB-23'!ID28+'[3]CB-24'!ID28+'[4]LCT-1'!ID28+'[4]LCT-2'!ID28+'[4]LCT-3'!ID28+'[4]LCT-4'!ID28+'[4]LCT-5'!ID28+'[4]LCT-6'!ID28+'[4]LCT-7'!ID28+'[4]LCT-8'!ID28+'[5]TB-1'!ID28+'[5]TB-2'!ID28+'[5]TB-3'!ID28+'[5]TB-4'!ID28+'[5]TB-5'!ID28+'[5]TB-6'!ID28+'[5]TB-7'!ID28+'[5]TB-8'!ID28+'[5]TB-9'!ID28+'[5]TB-10'!ID28+'[6]DSV-1'!ID28+'[6]DSV-2'!ID28+'[6]DSV-3'!ID28+'[7]TUB-1'!ID28+'[7]TUB-2'!ID28+'[8]Barge-1'!ID28+'[8]Barge-2'!ID28+'[8]Barge-3'!ID28+'[8]Barge-4'!ID28</f>
        <v>23066666.666666668</v>
      </c>
      <c r="AH28" s="136">
        <f>'[2]AHTS-1'!ID99+'[2]AHTS-2'!ID99+'[2]AHTS-3'!ID99+'[2]AHTS-4'!ID99+'[2]AHTS-5'!ID99+'[2]AHTS-6'!ID99+'[2]AHTS-7'!ID99+'[2]AHTS-8'!ID99+'[3]CB-1'!ID99+'[3]CB-2'!ID99+'[3]CB-3'!ID99+'[3]CB-4'!ID99+'[3]CB-5'!ID99+'[3]CB-6'!ID99+'[3]CB-7'!ID99+'[3]CB-8'!ID99+'[3]CB-9'!ID99+'[3]CB-10'!ID99+'[3]CB-11'!ID99+'[3]CB-12'!ID99+'[3]CB-13'!ID99+'[3]CB-14'!ID99+'[3]CB-15'!ID99+'[3]CB-16'!ID99+'[3]CB-17'!ID99+'[3]CB-18'!ID99+'[3]CB-19'!ID99+'[3]CB-20'!ID99+'[3]CB-21'!ID99+'[3]CB-22'!ID99+'[3]CB-23'!ID99+'[3]CB-24'!ID99+'[4]LCT-1'!ID99+'[4]LCT-2'!ID99+'[4]LCT-3'!ID99+'[4]LCT-4'!ID99+'[4]LCT-5'!ID99+'[4]LCT-6'!ID99+'[4]LCT-7'!ID99+'[4]LCT-8'!ID99+'[5]TB-1'!ID99+'[5]TB-2'!ID99+'[5]TB-3'!ID99+'[5]TB-4'!ID99+'[5]TB-5'!ID99+'[5]TB-6'!ID99+'[5]TB-7'!ID99+'[5]TB-8'!ID99+'[5]TB-9'!ID99+'[5]TB-10'!ID99+'[6]DSV-1'!ID99+'[6]DSV-2'!ID99+'[6]DSV-3'!ID99+'[7]TUB-1'!ID99+'[7]TUB-2'!ID99+'[8]Barge-1'!ID99+'[8]Barge-2'!ID99+'[8]Barge-3'!ID99+'[8]Barge-4'!ID99</f>
        <v>0</v>
      </c>
      <c r="AI28" s="135">
        <f>'[2]AHTS-1'!IE66+'[2]AHTS-2'!IE66+'[2]AHTS-3'!IE66+'[2]AHTS-4'!IE66+'[2]AHTS-5'!IE66+'[2]AHTS-6'!IE66+'[2]AHTS-7'!IE66+'[2]AHTS-8'!IE66+'[3]CB-1'!IE66+'[3]CB-2'!IE66+'[3]CB-3'!IE66+'[3]CB-4'!IE66+'[3]CB-5'!IE66+'[3]CB-6'!IE66+'[3]CB-7'!IE66+'[3]CB-8'!IE66+'[3]CB-9'!IE66+'[3]CB-10'!IE66+'[3]CB-11'!IE66+'[3]CB-12'!IE66+'[3]CB-13'!IE66+'[3]CB-14'!IE66+'[3]CB-15'!IE66+'[3]CB-16'!IE66+'[3]CB-17'!IE66+'[3]CB-18'!IE66+'[3]CB-19'!IE66+'[3]CB-20'!IE66+'[3]CB-21'!IE66+'[3]CB-22'!IE66+'[3]CB-23'!IE66+'[3]CB-24'!IE66+'[4]LCT-1'!IE66+'[4]LCT-2'!IE66+'[4]LCT-3'!IE66+'[4]LCT-4'!IE66+'[4]LCT-5'!IE66+'[4]LCT-6'!IE66+'[4]LCT-7'!IE66+'[4]LCT-8'!IE66+'[5]TB-1'!IE66+'[5]TB-2'!IE66+'[5]TB-3'!IE66+'[5]TB-4'!IE66+'[5]TB-5'!IE66+'[5]TB-6'!IE66+'[5]TB-7'!IE66+'[5]TB-8'!IE66+'[5]TB-9'!IE66+'[5]TB-10'!IE66+'[6]DSV-1'!IE66+'[6]DSV-2'!IE66+'[6]DSV-3'!IE66+'[7]TUB-1'!IE66+'[7]TUB-2'!IE66+'[8]Barge-1'!IE66+'[8]Barge-2'!IE66+'[8]Barge-3'!IE66+'[8]Barge-4'!IE66</f>
        <v>73471733.333333328</v>
      </c>
      <c r="AJ28" s="136">
        <f>'[2]AHTS-1'!IE28+'[2]AHTS-2'!IE28+'[2]AHTS-3'!IE28+'[2]AHTS-4'!IE28+'[2]AHTS-5'!IE28+'[2]AHTS-6'!IE28+'[2]AHTS-7'!IE28+'[2]AHTS-8'!IE28+'[3]CB-1'!IE28+'[3]CB-2'!IE28+'[3]CB-3'!IE28+'[3]CB-4'!IE28+'[3]CB-5'!IE28+'[3]CB-6'!IE28+'[3]CB-7'!IE28+'[3]CB-8'!IE28+'[3]CB-9'!IE28+'[3]CB-10'!IE28+'[3]CB-11'!IE28+'[3]CB-12'!IE28+'[3]CB-13'!IE28+'[3]CB-14'!IE28+'[3]CB-15'!IE28+'[3]CB-16'!IE28+'[3]CB-17'!IE28+'[3]CB-18'!IE28+'[3]CB-19'!IE28+'[3]CB-20'!IE28+'[3]CB-21'!IE28+'[3]CB-22'!IE28+'[3]CB-23'!IE28+'[3]CB-24'!IE28+'[4]LCT-1'!IE28+'[4]LCT-2'!IE28+'[4]LCT-3'!IE28+'[4]LCT-4'!IE28+'[4]LCT-5'!IE28+'[4]LCT-6'!IE28+'[4]LCT-7'!IE28+'[4]LCT-8'!IE28+'[5]TB-1'!IE28+'[5]TB-2'!IE28+'[5]TB-3'!IE28+'[5]TB-4'!IE28+'[5]TB-5'!IE28+'[5]TB-6'!IE28+'[5]TB-7'!IE28+'[5]TB-8'!IE28+'[5]TB-9'!IE28+'[5]TB-10'!IE28+'[6]DSV-1'!IE28+'[6]DSV-2'!IE28+'[6]DSV-3'!IE28+'[7]TUB-1'!IE28+'[7]TUB-2'!IE28+'[8]Barge-1'!IE28+'[8]Barge-2'!IE28+'[8]Barge-3'!IE28+'[8]Barge-4'!IE28</f>
        <v>52966666.666666664</v>
      </c>
      <c r="AK28" s="136">
        <f>'[2]AHTS-1'!IE99+'[2]AHTS-2'!IE99+'[2]AHTS-3'!IE99+'[2]AHTS-4'!IE99+'[2]AHTS-5'!IE99+'[2]AHTS-6'!IE99+'[2]AHTS-7'!IE99+'[2]AHTS-8'!IE99+'[3]CB-1'!IE99+'[3]CB-2'!IE99+'[3]CB-3'!IE99+'[3]CB-4'!IE99+'[3]CB-5'!IE99+'[3]CB-6'!IE99+'[3]CB-7'!IE99+'[3]CB-8'!IE99+'[3]CB-9'!IE99+'[3]CB-10'!IE99+'[3]CB-11'!IE99+'[3]CB-12'!IE99+'[3]CB-13'!IE99+'[3]CB-14'!IE99+'[3]CB-15'!IE99+'[3]CB-16'!IE99+'[3]CB-17'!IE99+'[3]CB-18'!IE99+'[3]CB-19'!IE99+'[3]CB-20'!IE99+'[3]CB-21'!IE99+'[3]CB-22'!IE99+'[3]CB-23'!IE99+'[3]CB-24'!IE99+'[4]LCT-1'!IE99+'[4]LCT-2'!IE99+'[4]LCT-3'!IE99+'[4]LCT-4'!IE99+'[4]LCT-5'!IE99+'[4]LCT-6'!IE99+'[4]LCT-7'!IE99+'[4]LCT-8'!IE99+'[5]TB-1'!IE99+'[5]TB-2'!IE99+'[5]TB-3'!IE99+'[5]TB-4'!IE99+'[5]TB-5'!IE99+'[5]TB-6'!IE99+'[5]TB-7'!IE99+'[5]TB-8'!IE99+'[5]TB-9'!IE99+'[5]TB-10'!IE99+'[6]DSV-1'!IE99+'[6]DSV-2'!IE99+'[6]DSV-3'!IE99+'[7]TUB-1'!IE99+'[7]TUB-2'!IE99+'[8]Barge-1'!IE99+'[8]Barge-2'!IE99+'[8]Barge-3'!IE99+'[8]Barge-4'!IE99</f>
        <v>0</v>
      </c>
      <c r="AL28" s="137">
        <f>'[2]AHTS-1'!IF66+'[2]AHTS-2'!IF66+'[2]AHTS-3'!IF66+'[2]AHTS-4'!IF66+'[2]AHTS-5'!IF66+'[2]AHTS-6'!IF66+'[2]AHTS-7'!IF66+'[2]AHTS-8'!IF66+'[3]CB-1'!IF66+'[3]CB-2'!IF66+'[3]CB-3'!IF66+'[3]CB-4'!IF66+'[3]CB-5'!IF66+'[3]CB-6'!IF66+'[3]CB-7'!IF66+'[3]CB-8'!IF66+'[3]CB-9'!IF66+'[3]CB-10'!IF66+'[3]CB-11'!IF66+'[3]CB-12'!IF66+'[3]CB-13'!IF66+'[3]CB-14'!IF66+'[3]CB-15'!IF66+'[3]CB-16'!IF66+'[3]CB-17'!IF66+'[3]CB-18'!IF66+'[3]CB-19'!IF66+'[3]CB-20'!IF66+'[3]CB-21'!IF66+'[3]CB-22'!IF66+'[3]CB-23'!IF66+'[3]CB-24'!IF66+'[4]LCT-1'!IF66+'[4]LCT-2'!IF66+'[4]LCT-3'!IF66+'[4]LCT-4'!IF66+'[4]LCT-5'!IF66+'[4]LCT-6'!IF66+'[4]LCT-7'!IF66+'[4]LCT-8'!IF66+'[5]TB-1'!IF66+'[5]TB-2'!IF66+'[5]TB-3'!IF66+'[5]TB-4'!IF66+'[5]TB-5'!IF66+'[5]TB-6'!IF66+'[5]TB-7'!IF66+'[5]TB-8'!IF66+'[5]TB-9'!IF66+'[5]TB-10'!IF66+'[6]DSV-1'!IF66+'[6]DSV-2'!IF66+'[6]DSV-3'!IF66+'[7]TUB-1'!IF66+'[7]TUB-2'!IF66+'[8]Barge-1'!IF66+'[8]Barge-2'!IF66+'[8]Barge-3'!IF66+'[8]Barge-4'!IF66</f>
        <v>44008750</v>
      </c>
      <c r="AM28" s="138">
        <f>'[2]AHTS-1'!IF28+'[2]AHTS-2'!IF28+'[2]AHTS-3'!IF28+'[2]AHTS-4'!IF28+'[2]AHTS-5'!IF28+'[2]AHTS-6'!IF28+'[2]AHTS-7'!IF28+'[2]AHTS-8'!IF28+'[3]CB-1'!IF28+'[3]CB-2'!IF28+'[3]CB-3'!IF28+'[3]CB-4'!IF28+'[3]CB-5'!IF28+'[3]CB-6'!IF28+'[3]CB-7'!IF28+'[3]CB-8'!IF28+'[3]CB-9'!IF28+'[3]CB-10'!IF28+'[3]CB-11'!IF28+'[3]CB-12'!IF28+'[3]CB-13'!IF28+'[3]CB-14'!IF28+'[3]CB-15'!IF28+'[3]CB-16'!IF28+'[3]CB-17'!IF28+'[3]CB-18'!IF28+'[3]CB-19'!IF28+'[3]CB-20'!IF28+'[3]CB-21'!IF28+'[3]CB-22'!IF28+'[3]CB-23'!IF28+'[3]CB-24'!IF28+'[4]LCT-1'!IF28+'[4]LCT-2'!IF28+'[4]LCT-3'!IF28+'[4]LCT-4'!IF28+'[4]LCT-5'!IF28+'[4]LCT-6'!IF28+'[4]LCT-7'!IF28+'[4]LCT-8'!IF28+'[5]TB-1'!IF28+'[5]TB-2'!IF28+'[5]TB-3'!IF28+'[5]TB-4'!IF28+'[5]TB-5'!IF28+'[5]TB-6'!IF28+'[5]TB-7'!IF28+'[5]TB-8'!IF28+'[5]TB-9'!IF28+'[5]TB-10'!IF28+'[6]DSV-1'!IF28+'[6]DSV-2'!IF28+'[6]DSV-3'!IF28+'[7]TUB-1'!IF28+'[7]TUB-2'!IF28+'[8]Barge-1'!IF28+'[8]Barge-2'!IF28+'[8]Barge-3'!IF28+'[8]Barge-4'!IF28</f>
        <v>63200000</v>
      </c>
      <c r="AN28" s="138">
        <f>'[2]AHTS-1'!IF99+'[2]AHTS-2'!IF99+'[2]AHTS-3'!IF99+'[2]AHTS-4'!IF99+'[2]AHTS-5'!IF99+'[2]AHTS-6'!IF99+'[2]AHTS-7'!IF99+'[2]AHTS-8'!IF99+'[3]CB-1'!IF99+'[3]CB-2'!IF99+'[3]CB-3'!IF99+'[3]CB-4'!IF99+'[3]CB-5'!IF99+'[3]CB-6'!IF99+'[3]CB-7'!IF99+'[3]CB-8'!IF99+'[3]CB-9'!IF99+'[3]CB-10'!IF99+'[3]CB-11'!IF99+'[3]CB-12'!IF99+'[3]CB-13'!IF99+'[3]CB-14'!IF99+'[3]CB-15'!IF99+'[3]CB-16'!IF99+'[3]CB-17'!IF99+'[3]CB-18'!IF99+'[3]CB-19'!IF99+'[3]CB-20'!IF99+'[3]CB-21'!IF99+'[3]CB-22'!IF99+'[3]CB-23'!IF99+'[3]CB-24'!IF99+'[4]LCT-1'!IF99+'[4]LCT-2'!IF99+'[4]LCT-3'!IF99+'[4]LCT-4'!IF99+'[4]LCT-5'!IF99+'[4]LCT-6'!IF99+'[4]LCT-7'!IF99+'[4]LCT-8'!IF99+'[5]TB-1'!IF99+'[5]TB-2'!IF99+'[5]TB-3'!IF99+'[5]TB-4'!IF99+'[5]TB-5'!IF99+'[5]TB-6'!IF99+'[5]TB-7'!IF99+'[5]TB-8'!IF99+'[5]TB-9'!IF99+'[5]TB-10'!IF99+'[6]DSV-1'!IF99+'[6]DSV-2'!IF99+'[6]DSV-3'!IF99+'[7]TUB-1'!IF99+'[7]TUB-2'!IF99+'[8]Barge-1'!IF99+'[8]Barge-2'!IF99+'[8]Barge-3'!IF99+'[8]Barge-4'!IF99</f>
        <v>0</v>
      </c>
      <c r="AO28" s="135">
        <f>'[2]AHTS-1'!IG66+'[2]AHTS-2'!IG66+'[2]AHTS-3'!IG66+'[2]AHTS-4'!IG66+'[2]AHTS-5'!IG66+'[2]AHTS-6'!IG66+'[2]AHTS-7'!IG66+'[2]AHTS-8'!IG66+'[3]CB-1'!IG66+'[3]CB-2'!IG66+'[3]CB-3'!IG66+'[3]CB-4'!IG66+'[3]CB-5'!IG66+'[3]CB-6'!IG66+'[3]CB-7'!IG66+'[3]CB-8'!IG66+'[3]CB-9'!IG66+'[3]CB-10'!IG66+'[3]CB-11'!IG66+'[3]CB-12'!IG66+'[3]CB-13'!IG66+'[3]CB-14'!IG66+'[3]CB-15'!IG66+'[3]CB-16'!IG66+'[3]CB-17'!IG66+'[3]CB-18'!IG66+'[3]CB-19'!IG66+'[3]CB-20'!IG66+'[3]CB-21'!IG66+'[3]CB-22'!IG66+'[3]CB-23'!IG66+'[3]CB-24'!IG66+'[4]LCT-1'!IG66+'[4]LCT-2'!IG66+'[4]LCT-3'!IG66+'[4]LCT-4'!IG66+'[4]LCT-5'!IG66+'[4]LCT-6'!IG66+'[4]LCT-7'!IG66+'[4]LCT-8'!IG66+'[5]TB-1'!IG66+'[5]TB-2'!IG66+'[5]TB-3'!IG66+'[5]TB-4'!IG66+'[5]TB-5'!IG66+'[5]TB-6'!IG66+'[5]TB-7'!IG66+'[5]TB-8'!IG66+'[5]TB-9'!IG66+'[5]TB-10'!IG66+'[6]DSV-1'!IG66+'[6]DSV-2'!IG66+'[6]DSV-3'!IG66+'[7]TUB-1'!IG66+'[7]TUB-2'!IG66+'[8]Barge-1'!IG66+'[8]Barge-2'!IG66+'[8]Barge-3'!IG66+'[8]Barge-4'!IG66</f>
        <v>1647300</v>
      </c>
      <c r="AP28" s="136">
        <f>'[2]AHTS-1'!IG28+'[2]AHTS-2'!IG28+'[2]AHTS-3'!IG28+'[2]AHTS-4'!IG28+'[2]AHTS-5'!IG28+'[2]AHTS-6'!IG28+'[2]AHTS-7'!IG28+'[2]AHTS-8'!IG28+'[3]CB-1'!IG28+'[3]CB-2'!IG28+'[3]CB-3'!IG28+'[3]CB-4'!IG28+'[3]CB-5'!IG28+'[3]CB-6'!IG28+'[3]CB-7'!IG28+'[3]CB-8'!IG28+'[3]CB-9'!IG28+'[3]CB-10'!IG28+'[3]CB-11'!IG28+'[3]CB-12'!IG28+'[3]CB-13'!IG28+'[3]CB-14'!IG28+'[3]CB-15'!IG28+'[3]CB-16'!IG28+'[3]CB-17'!IG28+'[3]CB-18'!IG28+'[3]CB-19'!IG28+'[3]CB-20'!IG28+'[3]CB-21'!IG28+'[3]CB-22'!IG28+'[3]CB-23'!IG28+'[3]CB-24'!IG28+'[4]LCT-1'!IG28+'[4]LCT-2'!IG28+'[4]LCT-3'!IG28+'[4]LCT-4'!IG28+'[4]LCT-5'!IG28+'[4]LCT-6'!IG28+'[4]LCT-7'!IG28+'[4]LCT-8'!IG28+'[5]TB-1'!IG28+'[5]TB-2'!IG28+'[5]TB-3'!IG28+'[5]TB-4'!IG28+'[5]TB-5'!IG28+'[5]TB-6'!IG28+'[5]TB-7'!IG28+'[5]TB-8'!IG28+'[5]TB-9'!IG28+'[5]TB-10'!IG28+'[6]DSV-1'!IG28+'[6]DSV-2'!IG28+'[6]DSV-3'!IG28+'[7]TUB-1'!IG28+'[7]TUB-2'!IG28+'[8]Barge-1'!IG28+'[8]Barge-2'!IG28+'[8]Barge-3'!IG28+'[8]Barge-4'!IG28</f>
        <v>13000000</v>
      </c>
      <c r="AQ28" s="136">
        <f>'[2]AHTS-1'!IG99+'[2]AHTS-2'!IG99+'[2]AHTS-3'!IG99+'[2]AHTS-4'!IG99+'[2]AHTS-5'!IG99+'[2]AHTS-6'!IG99+'[2]AHTS-7'!IG99+'[2]AHTS-8'!IG99+'[3]CB-1'!IG99+'[3]CB-2'!IG99+'[3]CB-3'!IG99+'[3]CB-4'!IG99+'[3]CB-5'!IG99+'[3]CB-6'!IG99+'[3]CB-7'!IG99+'[3]CB-8'!IG99+'[3]CB-9'!IG99+'[3]CB-10'!IG99+'[3]CB-11'!IG99+'[3]CB-12'!IG99+'[3]CB-13'!IG99+'[3]CB-14'!IG99+'[3]CB-15'!IG99+'[3]CB-16'!IG99+'[3]CB-17'!IG99+'[3]CB-18'!IG99+'[3]CB-19'!IG99+'[3]CB-20'!IG99+'[3]CB-21'!IG99+'[3]CB-22'!IG99+'[3]CB-23'!IG99+'[3]CB-24'!IG99+'[4]LCT-1'!IG99+'[4]LCT-2'!IG99+'[4]LCT-3'!IG99+'[4]LCT-4'!IG99+'[4]LCT-5'!IG99+'[4]LCT-6'!IG99+'[4]LCT-7'!IG99+'[4]LCT-8'!IG99+'[5]TB-1'!IG99+'[5]TB-2'!IG99+'[5]TB-3'!IG99+'[5]TB-4'!IG99+'[5]TB-5'!IG99+'[5]TB-6'!IG99+'[5]TB-7'!IG99+'[5]TB-8'!IG99+'[5]TB-9'!IG99+'[5]TB-10'!IG99+'[6]DSV-1'!IG99+'[6]DSV-2'!IG99+'[6]DSV-3'!IG99+'[7]TUB-1'!IG99+'[7]TUB-2'!IG99+'[8]Barge-1'!IG99+'[8]Barge-2'!IG99+'[8]Barge-3'!IG99+'[8]Barge-4'!IG99</f>
        <v>0</v>
      </c>
      <c r="AR28" s="139">
        <f>'[2]AHTS-1'!IH66+'[2]AHTS-2'!IH66+'[2]AHTS-3'!IH66+'[2]AHTS-4'!IH66+'[2]AHTS-5'!IH66+'[2]AHTS-6'!IH66+'[2]AHTS-7'!IH66+'[2]AHTS-8'!IH66+'[3]CB-1'!IH66+'[3]CB-2'!IH66+'[3]CB-3'!IH66+'[3]CB-4'!IH66+'[3]CB-5'!IH66+'[3]CB-6'!IH66+'[3]CB-7'!IH66+'[3]CB-8'!IH66+'[3]CB-9'!IH66+'[3]CB-10'!IH66+'[3]CB-11'!IH66+'[3]CB-12'!IH66+'[3]CB-13'!IH66+'[3]CB-14'!IH66+'[3]CB-15'!IH66+'[3]CB-16'!IH66+'[3]CB-17'!IH66+'[3]CB-18'!IH66+'[3]CB-19'!IH66+'[3]CB-20'!IH66+'[3]CB-21'!IH66+'[3]CB-22'!IH66+'[3]CB-23'!IH66+'[3]CB-24'!IH66+'[4]LCT-1'!IH66+'[4]LCT-2'!IH66+'[4]LCT-3'!IH66+'[4]LCT-4'!IH66+'[4]LCT-5'!IH66+'[4]LCT-6'!IH66+'[4]LCT-7'!IH66+'[4]LCT-8'!IH66+'[5]TB-1'!IH66+'[5]TB-2'!IH66+'[5]TB-3'!IH66+'[5]TB-4'!IH66+'[5]TB-5'!IH66+'[5]TB-6'!IH66+'[5]TB-7'!IH66+'[5]TB-8'!IH66+'[5]TB-9'!IH66+'[5]TB-10'!IH66+'[6]DSV-1'!IH66+'[6]DSV-2'!IH66+'[6]DSV-3'!IH66+'[7]TUB-1'!IH66+'[7]TUB-2'!IH66+'[8]Barge-1'!IH66+'[8]Barge-2'!IH66+'[8]Barge-3'!IH66+'[8]Barge-4'!IH66</f>
        <v>95306533.333333328</v>
      </c>
      <c r="AS28" s="136">
        <f>'[2]AHTS-1'!IH28+'[2]AHTS-2'!IH28+'[2]AHTS-3'!IH28+'[2]AHTS-4'!IH28+'[2]AHTS-5'!IH28+'[2]AHTS-6'!IH28+'[2]AHTS-7'!IH28+'[2]AHTS-8'!IH28+'[3]CB-1'!IH28+'[3]CB-2'!IH28+'[3]CB-3'!IH28+'[3]CB-4'!IH28+'[3]CB-5'!IH28+'[3]CB-6'!IH28+'[3]CB-7'!IH28+'[3]CB-8'!IH28+'[3]CB-9'!IH28+'[3]CB-10'!IH28+'[3]CB-11'!IH28+'[3]CB-12'!IH28+'[3]CB-13'!IH28+'[3]CB-14'!IH28+'[3]CB-15'!IH28+'[3]CB-16'!IH28+'[3]CB-17'!IH28+'[3]CB-18'!IH28+'[3]CB-19'!IH28+'[3]CB-20'!IH28+'[3]CB-21'!IH28+'[3]CB-22'!IH28+'[3]CB-23'!IH28+'[3]CB-24'!IH28+'[4]LCT-1'!IH28+'[4]LCT-2'!IH28+'[4]LCT-3'!IH28+'[4]LCT-4'!IH28+'[4]LCT-5'!IH28+'[4]LCT-6'!IH28+'[4]LCT-7'!IH28+'[4]LCT-8'!IH28+'[5]TB-1'!IH28+'[5]TB-2'!IH28+'[5]TB-3'!IH28+'[5]TB-4'!IH28+'[5]TB-5'!IH28+'[5]TB-6'!IH28+'[5]TB-7'!IH28+'[5]TB-8'!IH28+'[5]TB-9'!IH28+'[5]TB-10'!IH28+'[6]DSV-1'!IH28+'[6]DSV-2'!IH28+'[6]DSV-3'!IH28+'[7]TUB-1'!IH28+'[7]TUB-2'!IH28+'[8]Barge-1'!IH28+'[8]Barge-2'!IH28+'[8]Barge-3'!IH28+'[8]Barge-4'!IH28</f>
        <v>94650000</v>
      </c>
      <c r="AT28" s="140">
        <f>'[2]AHTS-1'!IH99+'[2]AHTS-2'!IH99+'[2]AHTS-3'!IH99+'[2]AHTS-4'!IH99+'[2]AHTS-5'!IH99+'[2]AHTS-6'!IH99+'[2]AHTS-7'!IH99+'[2]AHTS-8'!IH99+'[3]CB-1'!IH99+'[3]CB-2'!IH99+'[3]CB-3'!IH99+'[3]CB-4'!IH99+'[3]CB-5'!IH99+'[3]CB-6'!IH99+'[3]CB-7'!IH99+'[3]CB-8'!IH99+'[3]CB-9'!IH99+'[3]CB-10'!IH99+'[3]CB-11'!IH99+'[3]CB-12'!IH99+'[3]CB-13'!IH99+'[3]CB-14'!IH99+'[3]CB-15'!IH99+'[3]CB-16'!IH99+'[3]CB-17'!IH99+'[3]CB-18'!IH99+'[3]CB-19'!IH99+'[3]CB-20'!IH99+'[3]CB-21'!IH99+'[3]CB-22'!IH99+'[3]CB-23'!IH99+'[3]CB-24'!IH99+'[4]LCT-1'!IH99+'[4]LCT-2'!IH99+'[4]LCT-3'!IH99+'[4]LCT-4'!IH99+'[4]LCT-5'!IH99+'[4]LCT-6'!IH99+'[4]LCT-7'!IH99+'[4]LCT-8'!IH99+'[5]TB-1'!IH99+'[5]TB-2'!IH99+'[5]TB-3'!IH99+'[5]TB-4'!IH99+'[5]TB-5'!IH99+'[5]TB-6'!IH99+'[5]TB-7'!IH99+'[5]TB-8'!IH99+'[5]TB-9'!IH99+'[5]TB-10'!IH99+'[6]DSV-1'!IH99+'[6]DSV-2'!IH99+'[6]DSV-3'!IH99+'[7]TUB-1'!IH99+'[7]TUB-2'!IH99+'[8]Barge-1'!IH99+'[8]Barge-2'!IH99+'[8]Barge-3'!IH99+'[8]Barge-4'!IH99</f>
        <v>0</v>
      </c>
      <c r="AU28" s="139">
        <f>'[2]AHTS-1'!II66+'[2]AHTS-2'!II66+'[2]AHTS-3'!II66+'[2]AHTS-4'!II66+'[2]AHTS-5'!II66+'[2]AHTS-6'!II66+'[2]AHTS-7'!II66+'[2]AHTS-8'!II66+'[3]CB-1'!II66+'[3]CB-2'!II66+'[3]CB-3'!II66+'[3]CB-4'!II66+'[3]CB-5'!II66+'[3]CB-6'!II66+'[3]CB-7'!II66+'[3]CB-8'!II66+'[3]CB-9'!II66+'[3]CB-10'!II66+'[3]CB-11'!II66+'[3]CB-12'!II66+'[3]CB-13'!II66+'[3]CB-14'!II66+'[3]CB-15'!II66+'[3]CB-16'!II66+'[3]CB-17'!II66+'[3]CB-18'!II66+'[3]CB-19'!II66+'[3]CB-20'!II66+'[3]CB-21'!II66+'[3]CB-22'!II66+'[3]CB-23'!II66+'[3]CB-24'!II66+'[4]LCT-1'!II66+'[4]LCT-2'!II66+'[4]LCT-3'!II66+'[4]LCT-4'!II66+'[4]LCT-5'!II66+'[4]LCT-6'!II66+'[4]LCT-7'!II66+'[4]LCT-8'!II66+'[5]TB-1'!II66+'[5]TB-2'!II66+'[5]TB-3'!II66+'[5]TB-4'!II66+'[5]TB-5'!II66+'[5]TB-6'!II66+'[5]TB-7'!II66+'[5]TB-8'!II66+'[5]TB-9'!II66+'[5]TB-10'!II66+'[6]DSV-1'!II66+'[6]DSV-2'!II66+'[6]DSV-3'!II66+'[7]TUB-1'!II66+'[7]TUB-2'!II66+'[8]Barge-1'!II66+'[8]Barge-2'!II66+'[8]Barge-3'!II66+'[8]Barge-4'!II66</f>
        <v>0</v>
      </c>
      <c r="AV28" s="136">
        <f>'[2]AHTS-1'!II28+'[2]AHTS-2'!II28+'[2]AHTS-3'!II28+'[2]AHTS-4'!II28+'[2]AHTS-5'!II28+'[2]AHTS-6'!II28+'[2]AHTS-7'!II28+'[2]AHTS-8'!II28+'[3]CB-1'!II28+'[3]CB-2'!II28+'[3]CB-3'!II28+'[3]CB-4'!II28+'[3]CB-5'!II28+'[3]CB-6'!II28+'[3]CB-7'!II28+'[3]CB-8'!II28+'[3]CB-9'!II28+'[3]CB-10'!II28+'[3]CB-11'!II28+'[3]CB-12'!II28+'[3]CB-13'!II28+'[3]CB-14'!II28+'[3]CB-15'!II28+'[3]CB-16'!II28+'[3]CB-17'!II28+'[3]CB-18'!II28+'[3]CB-19'!II28+'[3]CB-20'!II28+'[3]CB-21'!II28+'[3]CB-22'!II28+'[3]CB-23'!II28+'[3]CB-24'!II28+'[4]LCT-1'!II28+'[4]LCT-2'!II28+'[4]LCT-3'!II28+'[4]LCT-4'!II28+'[4]LCT-5'!II28+'[4]LCT-6'!II28+'[4]LCT-7'!II28+'[4]LCT-8'!II28+'[5]TB-1'!II28+'[5]TB-2'!II28+'[5]TB-3'!II28+'[5]TB-4'!II28+'[5]TB-5'!II28+'[5]TB-6'!II28+'[5]TB-7'!II28+'[5]TB-8'!II28+'[5]TB-9'!II28+'[5]TB-10'!II28+'[6]DSV-1'!II28+'[6]DSV-2'!II28+'[6]DSV-3'!II28+'[7]TUB-1'!II28+'[7]TUB-2'!II28+'[8]Barge-1'!II28+'[8]Barge-2'!II28+'[8]Barge-3'!II28+'[8]Barge-4'!II28</f>
        <v>0</v>
      </c>
      <c r="AW28" s="140">
        <f>'[2]AHTS-1'!II99+'[2]AHTS-2'!II99+'[2]AHTS-3'!II99+'[2]AHTS-4'!II99+'[2]AHTS-5'!II99+'[2]AHTS-6'!II99+'[2]AHTS-7'!II99+'[2]AHTS-8'!II99+'[3]CB-1'!II99+'[3]CB-2'!II99+'[3]CB-3'!II99+'[3]CB-4'!II99+'[3]CB-5'!II99+'[3]CB-6'!II99+'[3]CB-7'!II99+'[3]CB-8'!II99+'[3]CB-9'!II99+'[3]CB-10'!II99+'[3]CB-11'!II99+'[3]CB-12'!II99+'[3]CB-13'!II99+'[3]CB-14'!II99+'[3]CB-15'!II99+'[3]CB-16'!II99+'[3]CB-17'!II99+'[3]CB-18'!II99+'[3]CB-19'!II99+'[3]CB-20'!II99+'[3]CB-21'!II99+'[3]CB-22'!II99+'[3]CB-23'!II99+'[3]CB-24'!II99+'[4]LCT-1'!II99+'[4]LCT-2'!II99+'[4]LCT-3'!II99+'[4]LCT-4'!II99+'[4]LCT-5'!II99+'[4]LCT-6'!II99+'[4]LCT-7'!II99+'[4]LCT-8'!II99+'[5]TB-1'!II99+'[5]TB-2'!II99+'[5]TB-3'!II99+'[5]TB-4'!II99+'[5]TB-5'!II99+'[5]TB-6'!II99+'[5]TB-7'!II99+'[5]TB-8'!II99+'[5]TB-9'!II99+'[5]TB-10'!II99+'[6]DSV-1'!II99+'[6]DSV-2'!II99+'[6]DSV-3'!II99+'[7]TUB-1'!II99+'[7]TUB-2'!II99+'[8]Barge-1'!II99+'[8]Barge-2'!II99+'[8]Barge-3'!II99+'[8]Barge-4'!II99</f>
        <v>0</v>
      </c>
      <c r="AX28" s="67"/>
      <c r="AY28" s="67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</row>
    <row r="29" spans="1:97" s="69" customFormat="1" ht="14.25" customHeight="1" x14ac:dyDescent="0.25">
      <c r="A29" s="111">
        <f>[1]Control!AZ29</f>
        <v>46004</v>
      </c>
      <c r="B29" s="66"/>
      <c r="C29" s="176">
        <f>'[2]AHTS-1'!AV29+'[2]AHTS-2'!AV29+'[2]AHTS-3'!AV29+'[2]AHTS-4'!AV29+'[2]AHTS-5'!AV29+'[2]AHTS-6'!AV29+'[2]AHTS-7'!AV29+'[2]AHTS-8'!AV29+'[3]CB-1'!AV29+'[3]CB-2'!AV29+'[3]CB-3'!AV29+'[3]CB-4'!AV29+'[3]CB-5'!AV29+'[3]CB-6'!AV29+'[3]CB-7'!AV29+'[3]CB-8'!AV29+'[3]CB-9'!AV29+'[3]CB-10'!AV29+'[3]CB-11'!AV29+'[3]CB-12'!AV29+'[3]CB-13'!AV29+'[3]CB-14'!AV29+'[3]CB-15'!AV29+'[3]CB-16'!AV29+'[3]CB-17'!AV29+'[3]CB-18'!AV29+'[3]CB-19'!AV29+'[3]CB-20'!AV29+'[3]CB-21'!AV29+'[3]CB-22'!AV29+'[3]CB-23'!AV29+'[3]CB-24'!AV29+'[4]LCT-1'!AV29+'[4]LCT-2'!AV29+'[4]LCT-3'!AV29+'[4]LCT-4'!AV29+'[4]LCT-5'!AV29+'[4]LCT-6'!AV29+'[4]LCT-7'!AV29+'[4]LCT-8'!AV29+'[5]TB-1'!AV29+'[5]TB-2'!AV29+'[5]TB-3'!AV29+'[5]TB-4'!AV29+'[5]TB-5'!AV29+'[5]TB-6'!AV29+'[5]TB-7'!AV29+'[5]TB-8'!AV29+'[5]TB-9'!AV29+'[5]TB-10'!AV29+'[6]DSV-1'!AV29+'[6]DSV-2'!AV29+'[6]DSV-3'!AV29+'[7]TUB-1'!AV29+'[7]TUB-2'!AV29+'[8]Barge-1'!AV29+'[8]Barge-2'!AV29+'[8]Barge-3'!AV29+'[8]Barge-4'!AV29</f>
        <v>0</v>
      </c>
      <c r="D29" s="177">
        <f>'[2]AHTS-1'!BR29+'[2]AHTS-2'!BR29+'[2]AHTS-3'!BR29+'[2]AHTS-4'!BR29+'[2]AHTS-5'!BR29+'[2]AHTS-6'!BR29+'[2]AHTS-7'!BR29+'[2]AHTS-8'!BR29+'[3]CB-1'!BR29+'[3]CB-2'!BR29+'[3]CB-3'!BR29+'[3]CB-4'!BR29+'[3]CB-5'!BR29+'[3]CB-6'!BR29+'[3]CB-7'!BR29+'[3]CB-8'!BR29+'[3]CB-9'!BR29+'[3]CB-10'!BR29+'[3]CB-11'!BR29+'[3]CB-12'!BR29+'[3]CB-13'!BR29+'[3]CB-14'!BR29+'[3]CB-15'!BR29+'[3]CB-16'!BR29+'[3]CB-17'!BR29+'[3]CB-18'!BR29+'[3]CB-19'!BR29+'[3]CB-20'!BR29+'[3]CB-21'!BR29+'[3]CB-22'!BR29+'[3]CB-23'!BR29+'[3]CB-24'!BR29+'[4]LCT-1'!BR29+'[4]LCT-2'!BR29+'[4]LCT-3'!BR29+'[4]LCT-4'!BR29+'[4]LCT-5'!BR29+'[4]LCT-6'!BR29+'[4]LCT-7'!BR29+'[4]LCT-8'!BR29+'[5]TB-1'!BR29+'[5]TB-2'!BR29+'[5]TB-3'!BR29+'[5]TB-4'!BR29+'[5]TB-5'!BR29+'[5]TB-6'!BR29+'[5]TB-7'!BR29+'[5]TB-8'!BR29+'[5]TB-9'!BR29+'[5]TB-10'!BR29+'[6]DSV-1'!BR29+'[6]DSV-2'!BR29+'[6]DSV-3'!BR29+'[7]TUB-1'!BR29+'[7]TUB-2'!BR29+'[8]Barge-1'!BR29+'[8]Barge-2'!BR29+'[8]Barge-3'!BR29+'[8]Barge-4'!BR29</f>
        <v>0</v>
      </c>
      <c r="E29" s="178">
        <f>'[2]AHTS-1'!CN29+'[2]AHTS-2'!CN29+'[2]AHTS-3'!CN29+'[2]AHTS-4'!CN29+'[2]AHTS-5'!CN29+'[2]AHTS-6'!CN29+'[2]AHTS-7'!CN29+'[2]AHTS-8'!CN29+'[3]CB-1'!CN29+'[3]CB-2'!CN29+'[3]CB-3'!CN29+'[3]CB-4'!CN29+'[3]CB-5'!CN29+'[3]CB-6'!CN29+'[3]CB-7'!CN29+'[3]CB-8'!CN29+'[3]CB-9'!CN29+'[3]CB-10'!CN29+'[3]CB-11'!CN29+'[3]CB-12'!CN29+'[3]CB-13'!CN29+'[3]CB-14'!CN29+'[3]CB-15'!CN29+'[3]CB-16'!CN29+'[3]CB-17'!CN29+'[3]CB-18'!CN29+'[3]CB-19'!CN29+'[3]CB-20'!CN29+'[3]CB-21'!CN29+'[3]CB-22'!CN29+'[3]CB-23'!CN29+'[3]CB-24'!CN29+'[4]LCT-1'!CN29+'[4]LCT-2'!CN29+'[4]LCT-3'!CN29+'[4]LCT-4'!CN29+'[4]LCT-5'!CN29+'[4]LCT-6'!CN29+'[4]LCT-7'!CN29+'[4]LCT-8'!CN29+'[5]TB-1'!CN29+'[5]TB-2'!CN29+'[5]TB-3'!CN29+'[5]TB-4'!CN29+'[5]TB-5'!CN29+'[5]TB-6'!CN29+'[5]TB-7'!CN29+'[5]TB-8'!CN29+'[5]TB-9'!CN29+'[5]TB-10'!CN29+'[6]DSV-1'!CN29+'[6]DSV-2'!CN29+'[6]DSV-3'!CN29+'[7]TUB-1'!CN29+'[7]TUB-2'!CN29+'[8]Barge-1'!CN29+'[8]Barge-2'!CN29+'[8]Barge-3'!CN29+'[8]Barge-4'!CN29</f>
        <v>0</v>
      </c>
      <c r="F29" s="179">
        <f>'[2]AHTS-1'!AW29+'[2]AHTS-2'!AW29+'[2]AHTS-3'!AW29+'[2]AHTS-4'!AW29+'[2]AHTS-5'!AW29+'[2]AHTS-6'!AW29+'[2]AHTS-7'!AW29+'[2]AHTS-8'!AW29+'[3]CB-1'!AW29+'[3]CB-2'!AW29+'[3]CB-3'!AW29+'[3]CB-4'!AW29+'[3]CB-5'!AW29+'[3]CB-6'!AW29+'[3]CB-7'!AW29+'[3]CB-8'!AW29+'[3]CB-9'!AW29+'[3]CB-10'!AW29+'[3]CB-11'!AW29+'[3]CB-12'!AW29+'[3]CB-13'!AW29+'[3]CB-14'!AW29+'[3]CB-15'!AW29+'[3]CB-16'!AW29+'[3]CB-17'!AW29+'[3]CB-18'!AW29+'[3]CB-19'!AW29+'[3]CB-20'!AW29+'[3]CB-21'!AW29+'[3]CB-22'!AW29+'[3]CB-23'!AW29+'[3]CB-24'!AW29+'[4]LCT-1'!AW29+'[4]LCT-2'!AW29+'[4]LCT-3'!AW29+'[4]LCT-4'!AW29+'[4]LCT-5'!AW29+'[4]LCT-6'!AW29+'[4]LCT-7'!AW29+'[4]LCT-8'!AW29+'[5]TB-1'!AW29+'[5]TB-2'!AW29+'[5]TB-3'!AW29+'[5]TB-4'!AW29+'[5]TB-5'!AW29+'[5]TB-6'!AW29+'[5]TB-7'!AW29+'[5]TB-8'!AW29+'[5]TB-9'!AW29+'[5]TB-10'!AW29+'[6]DSV-1'!AW29+'[6]DSV-2'!AW29+'[6]DSV-3'!AW29+'[7]TUB-1'!AW29+'[7]TUB-2'!AW29+'[8]Barge-1'!AW29+'[8]Barge-2'!AW29+'[8]Barge-3'!AW29+'[8]Barge-4'!AW29</f>
        <v>1577.1791051085327</v>
      </c>
      <c r="G29" s="180">
        <f>'[2]AHTS-1'!BS29+'[2]AHTS-2'!BS29+'[2]AHTS-3'!BS29+'[2]AHTS-4'!BS29+'[2]AHTS-5'!BS29+'[2]AHTS-6'!BS29+'[2]AHTS-7'!BS29+'[2]AHTS-8'!BS29+'[3]CB-1'!BS29+'[3]CB-2'!BS29+'[3]CB-3'!BS29+'[3]CB-4'!BS29+'[3]CB-5'!BS29+'[3]CB-6'!BS29+'[3]CB-7'!BS29+'[3]CB-8'!BS29+'[3]CB-9'!BS29+'[3]CB-10'!BS29+'[3]CB-11'!BS29+'[3]CB-12'!BS29+'[3]CB-13'!BS29+'[3]CB-14'!BS29+'[3]CB-15'!BS29+'[3]CB-16'!BS29+'[3]CB-17'!BS29+'[3]CB-18'!BS29+'[3]CB-19'!BS29+'[3]CB-20'!BS29+'[3]CB-21'!BS29+'[3]CB-22'!BS29+'[3]CB-23'!BS29+'[3]CB-24'!BS29+'[4]LCT-1'!BS29+'[4]LCT-2'!BS29+'[4]LCT-3'!BS29+'[4]LCT-4'!BS29+'[4]LCT-5'!BS29+'[4]LCT-6'!BS29+'[4]LCT-7'!BS29+'[4]LCT-8'!BS29+'[5]TB-1'!BS29+'[5]TB-2'!BS29+'[5]TB-3'!BS29+'[5]TB-4'!BS29+'[5]TB-5'!BS29+'[5]TB-6'!BS29+'[5]TB-7'!BS29+'[5]TB-8'!BS29+'[5]TB-9'!BS29+'[5]TB-10'!BS29+'[6]DSV-1'!BS29+'[6]DSV-2'!BS29+'[6]DSV-3'!BS29+'[7]TUB-1'!BS29+'[7]TUB-2'!BS29+'[8]Barge-1'!BS29+'[8]Barge-2'!BS29+'[8]Barge-3'!BS29+'[8]Barge-4'!BS29</f>
        <v>1594.1707353158752</v>
      </c>
      <c r="H29" s="180">
        <f>'[2]AHTS-1'!CO29+'[2]AHTS-2'!CO29+'[2]AHTS-3'!CO29+'[2]AHTS-4'!CO29+'[2]AHTS-5'!CO29+'[2]AHTS-6'!CO29+'[2]AHTS-7'!CO29+'[2]AHTS-8'!CO29+'[3]CB-1'!CO29+'[3]CB-2'!CO29+'[3]CB-3'!CO29+'[3]CB-4'!CO29+'[3]CB-5'!CO29+'[3]CB-6'!CO29+'[3]CB-7'!CO29+'[3]CB-8'!CO29+'[3]CB-9'!CO29+'[3]CB-10'!CO29+'[3]CB-11'!CO29+'[3]CB-12'!CO29+'[3]CB-13'!CO29+'[3]CB-14'!CO29+'[3]CB-15'!CO29+'[3]CB-16'!CO29+'[3]CB-17'!CO29+'[3]CB-18'!CO29+'[3]CB-19'!CO29+'[3]CB-20'!CO29+'[3]CB-21'!CO29+'[3]CB-22'!CO29+'[3]CB-23'!CO29+'[3]CB-24'!CO29+'[4]LCT-1'!CO29+'[4]LCT-2'!CO29+'[4]LCT-3'!CO29+'[4]LCT-4'!CO29+'[4]LCT-5'!CO29+'[4]LCT-6'!CO29+'[4]LCT-7'!CO29+'[4]LCT-8'!CO29+'[5]TB-1'!CO29+'[5]TB-2'!CO29+'[5]TB-3'!CO29+'[5]TB-4'!CO29+'[5]TB-5'!CO29+'[5]TB-6'!CO29+'[5]TB-7'!CO29+'[5]TB-8'!CO29+'[5]TB-9'!CO29+'[5]TB-10'!CO29+'[6]DSV-1'!CO29+'[6]DSV-2'!CO29+'[6]DSV-3'!CO29+'[7]TUB-1'!CO29+'[7]TUB-2'!CO29+'[8]Barge-1'!CO29+'[8]Barge-2'!CO29+'[8]Barge-3'!CO29+'[8]Barge-4'!CO29</f>
        <v>0</v>
      </c>
      <c r="I29" s="179">
        <f>'[2]AHTS-1'!AX29+'[2]AHTS-2'!AX29+'[2]AHTS-3'!AX29+'[2]AHTS-4'!AX29+'[2]AHTS-5'!AX29+'[2]AHTS-6'!AX29+'[2]AHTS-7'!AX29+'[2]AHTS-8'!AX29+'[3]CB-1'!AX29+'[3]CB-2'!AX29+'[3]CB-3'!AX29+'[3]CB-4'!AX29+'[3]CB-5'!AX29+'[3]CB-6'!AX29+'[3]CB-7'!AX29+'[3]CB-8'!AX29+'[3]CB-9'!AX29+'[3]CB-10'!AX29+'[3]CB-11'!AX29+'[3]CB-12'!AX29+'[3]CB-13'!AX29+'[3]CB-14'!AX29+'[3]CB-15'!AX29+'[3]CB-16'!AX29+'[3]CB-17'!AX29+'[3]CB-18'!AX29+'[3]CB-19'!AX29+'[3]CB-20'!AX29+'[3]CB-21'!AX29+'[3]CB-22'!AX29+'[3]CB-23'!AX29+'[3]CB-24'!AX29+'[4]LCT-1'!AX29+'[4]LCT-2'!AX29+'[4]LCT-3'!AX29+'[4]LCT-4'!AX29+'[4]LCT-5'!AX29+'[4]LCT-6'!AX29+'[4]LCT-7'!AX29+'[4]LCT-8'!AX29+'[5]TB-1'!AX29+'[5]TB-2'!AX29+'[5]TB-3'!AX29+'[5]TB-4'!AX29+'[5]TB-5'!AX29+'[5]TB-6'!AX29+'[5]TB-7'!AX29+'[5]TB-8'!AX29+'[5]TB-9'!AX29+'[5]TB-10'!AX29+'[6]DSV-1'!AX29+'[6]DSV-2'!AX29+'[6]DSV-3'!AX29+'[7]TUB-1'!AX29+'[7]TUB-2'!AX29+'[8]Barge-1'!AX29+'[8]Barge-2'!AX29+'[8]Barge-3'!AX29+'[8]Barge-4'!AX29</f>
        <v>3637.7010546784186</v>
      </c>
      <c r="J29" s="180">
        <f>'[2]AHTS-1'!BT29+'[2]AHTS-2'!BT29+'[2]AHTS-3'!BT29+'[2]AHTS-4'!BT29+'[2]AHTS-5'!BT29+'[2]AHTS-6'!BT29+'[2]AHTS-7'!BT29+'[2]AHTS-8'!BT29+'[3]CB-1'!BT29+'[3]CB-2'!BT29+'[3]CB-3'!BT29+'[3]CB-4'!BT29+'[3]CB-5'!BT29+'[3]CB-6'!BT29+'[3]CB-7'!BT29+'[3]CB-8'!BT29+'[3]CB-9'!BT29+'[3]CB-10'!BT29+'[3]CB-11'!BT29+'[3]CB-12'!BT29+'[3]CB-13'!BT29+'[3]CB-14'!BT29+'[3]CB-15'!BT29+'[3]CB-16'!BT29+'[3]CB-17'!BT29+'[3]CB-18'!BT29+'[3]CB-19'!BT29+'[3]CB-20'!BT29+'[3]CB-21'!BT29+'[3]CB-22'!BT29+'[3]CB-23'!BT29+'[3]CB-24'!BT29+'[4]LCT-1'!BT29+'[4]LCT-2'!BT29+'[4]LCT-3'!BT29+'[4]LCT-4'!BT29+'[4]LCT-5'!BT29+'[4]LCT-6'!BT29+'[4]LCT-7'!BT29+'[4]LCT-8'!BT29+'[5]TB-1'!BT29+'[5]TB-2'!BT29+'[5]TB-3'!BT29+'[5]TB-4'!BT29+'[5]TB-5'!BT29+'[5]TB-6'!BT29+'[5]TB-7'!BT29+'[5]TB-8'!BT29+'[5]TB-9'!BT29+'[5]TB-10'!BT29+'[6]DSV-1'!BT29+'[6]DSV-2'!BT29+'[6]DSV-3'!BT29+'[7]TUB-1'!BT29+'[7]TUB-2'!BT29+'[8]Barge-1'!BT29+'[8]Barge-2'!BT29+'[8]Barge-3'!BT29+'[8]Barge-4'!BT29</f>
        <v>2878.7014139876992</v>
      </c>
      <c r="K29" s="180">
        <f>'[2]AHTS-1'!CP29+'[2]AHTS-2'!CP29+'[2]AHTS-3'!CP29+'[2]AHTS-4'!CP29+'[2]AHTS-5'!CP29+'[2]AHTS-6'!CP29+'[2]AHTS-7'!CP29+'[2]AHTS-8'!CP29+'[3]CB-1'!CP29+'[3]CB-2'!CP29+'[3]CB-3'!CP29+'[3]CB-4'!CP29+'[3]CB-5'!CP29+'[3]CB-6'!CP29+'[3]CB-7'!CP29+'[3]CB-8'!CP29+'[3]CB-9'!CP29+'[3]CB-10'!CP29+'[3]CB-11'!CP29+'[3]CB-12'!CP29+'[3]CB-13'!CP29+'[3]CB-14'!CP29+'[3]CB-15'!CP29+'[3]CB-16'!CP29+'[3]CB-17'!CP29+'[3]CB-18'!CP29+'[3]CB-19'!CP29+'[3]CB-20'!CP29+'[3]CB-21'!CP29+'[3]CB-22'!CP29+'[3]CB-23'!CP29+'[3]CB-24'!CP29+'[4]LCT-1'!CP29+'[4]LCT-2'!CP29+'[4]LCT-3'!CP29+'[4]LCT-4'!CP29+'[4]LCT-5'!CP29+'[4]LCT-6'!CP29+'[4]LCT-7'!CP29+'[4]LCT-8'!CP29+'[5]TB-1'!CP29+'[5]TB-2'!CP29+'[5]TB-3'!CP29+'[5]TB-4'!CP29+'[5]TB-5'!CP29+'[5]TB-6'!CP29+'[5]TB-7'!CP29+'[5]TB-8'!CP29+'[5]TB-9'!CP29+'[5]TB-10'!CP29+'[6]DSV-1'!CP29+'[6]DSV-2'!CP29+'[6]DSV-3'!CP29+'[7]TUB-1'!CP29+'[7]TUB-2'!CP29+'[8]Barge-1'!CP29+'[8]Barge-2'!CP29+'[8]Barge-3'!CP29+'[8]Barge-4'!CP29</f>
        <v>0</v>
      </c>
      <c r="L29" s="181">
        <f>'[2]AHTS-1'!AY29+'[2]AHTS-2'!AY29+'[2]AHTS-3'!AY29+'[2]AHTS-4'!AY29+'[2]AHTS-5'!AY29+'[2]AHTS-6'!AY29+'[2]AHTS-7'!AY29+'[2]AHTS-8'!AY29+'[3]CB-1'!AY29+'[3]CB-2'!AY29+'[3]CB-3'!AY29+'[3]CB-4'!AY29+'[3]CB-5'!AY29+'[3]CB-6'!AY29+'[3]CB-7'!AY29+'[3]CB-8'!AY29+'[3]CB-9'!AY29+'[3]CB-10'!AY29+'[3]CB-11'!AY29+'[3]CB-12'!AY29+'[3]CB-13'!AY29+'[3]CB-14'!AY29+'[3]CB-15'!AY29+'[3]CB-16'!AY29+'[3]CB-17'!AY29+'[3]CB-18'!AY29+'[3]CB-19'!AY29+'[3]CB-20'!AY29+'[3]CB-21'!AY29+'[3]CB-22'!AY29+'[3]CB-23'!AY29+'[3]CB-24'!AY29+'[4]LCT-1'!AY29+'[4]LCT-2'!AY29+'[4]LCT-3'!AY29+'[4]LCT-4'!AY29+'[4]LCT-5'!AY29+'[4]LCT-6'!AY29+'[4]LCT-7'!AY29+'[4]LCT-8'!AY29+'[5]TB-1'!AY29+'[5]TB-2'!AY29+'[5]TB-3'!AY29+'[5]TB-4'!AY29+'[5]TB-5'!AY29+'[5]TB-6'!AY29+'[5]TB-7'!AY29+'[5]TB-8'!AY29+'[5]TB-9'!AY29+'[5]TB-10'!AY29+'[6]DSV-1'!AY29+'[6]DSV-2'!AY29+'[6]DSV-3'!AY29+'[7]TUB-1'!AY29+'[7]TUB-2'!AY29+'[8]Barge-1'!AY29+'[8]Barge-2'!AY29+'[8]Barge-3'!AY29+'[8]Barge-4'!AY29</f>
        <v>2825.30277090863</v>
      </c>
      <c r="M29" s="182">
        <f>'[2]AHTS-1'!BU29+'[2]AHTS-2'!BU29+'[2]AHTS-3'!BU29+'[2]AHTS-4'!BU29+'[2]AHTS-5'!BU29+'[2]AHTS-6'!BU29+'[2]AHTS-7'!BU29+'[2]AHTS-8'!BU29+'[3]CB-1'!BU29+'[3]CB-2'!BU29+'[3]CB-3'!BU29+'[3]CB-4'!BU29+'[3]CB-5'!BU29+'[3]CB-6'!BU29+'[3]CB-7'!BU29+'[3]CB-8'!BU29+'[3]CB-9'!BU29+'[3]CB-10'!BU29+'[3]CB-11'!BU29+'[3]CB-12'!BU29+'[3]CB-13'!BU29+'[3]CB-14'!BU29+'[3]CB-15'!BU29+'[3]CB-16'!BU29+'[3]CB-17'!BU29+'[3]CB-18'!BU29+'[3]CB-19'!BU29+'[3]CB-20'!BU29+'[3]CB-21'!BU29+'[3]CB-22'!BU29+'[3]CB-23'!BU29+'[3]CB-24'!BU29+'[4]LCT-1'!BU29+'[4]LCT-2'!BU29+'[4]LCT-3'!BU29+'[4]LCT-4'!BU29+'[4]LCT-5'!BU29+'[4]LCT-6'!BU29+'[4]LCT-7'!BU29+'[4]LCT-8'!BU29+'[5]TB-1'!BU29+'[5]TB-2'!BU29+'[5]TB-3'!BU29+'[5]TB-4'!BU29+'[5]TB-5'!BU29+'[5]TB-6'!BU29+'[5]TB-7'!BU29+'[5]TB-8'!BU29+'[5]TB-9'!BU29+'[5]TB-10'!BU29+'[6]DSV-1'!BU29+'[6]DSV-2'!BU29+'[6]DSV-3'!BU29+'[7]TUB-1'!BU29+'[7]TUB-2'!BU29+'[8]Barge-1'!BU29+'[8]Barge-2'!BU29+'[8]Barge-3'!BU29+'[8]Barge-4'!BU29</f>
        <v>4007.3552723352991</v>
      </c>
      <c r="N29" s="182">
        <f>'[2]AHTS-1'!CQ29+'[2]AHTS-2'!CQ29+'[2]AHTS-3'!CQ29+'[2]AHTS-4'!CQ29+'[2]AHTS-5'!CQ29+'[2]AHTS-6'!CQ29+'[2]AHTS-7'!CQ29+'[2]AHTS-8'!CQ29+'[3]CB-1'!CQ29+'[3]CB-2'!CQ29+'[3]CB-3'!CQ29+'[3]CB-4'!CQ29+'[3]CB-5'!CQ29+'[3]CB-6'!CQ29+'[3]CB-7'!CQ29+'[3]CB-8'!CQ29+'[3]CB-9'!CQ29+'[3]CB-10'!CQ29+'[3]CB-11'!CQ29+'[3]CB-12'!CQ29+'[3]CB-13'!CQ29+'[3]CB-14'!CQ29+'[3]CB-15'!CQ29+'[3]CB-16'!CQ29+'[3]CB-17'!CQ29+'[3]CB-18'!CQ29+'[3]CB-19'!CQ29+'[3]CB-20'!CQ29+'[3]CB-21'!CQ29+'[3]CB-22'!CQ29+'[3]CB-23'!CQ29+'[3]CB-24'!CQ29+'[4]LCT-1'!CQ29+'[4]LCT-2'!CQ29+'[4]LCT-3'!CQ29+'[4]LCT-4'!CQ29+'[4]LCT-5'!CQ29+'[4]LCT-6'!CQ29+'[4]LCT-7'!CQ29+'[4]LCT-8'!CQ29+'[5]TB-1'!CQ29+'[5]TB-2'!CQ29+'[5]TB-3'!CQ29+'[5]TB-4'!CQ29+'[5]TB-5'!CQ29+'[5]TB-6'!CQ29+'[5]TB-7'!CQ29+'[5]TB-8'!CQ29+'[5]TB-9'!CQ29+'[5]TB-10'!CQ29+'[6]DSV-1'!CQ29+'[6]DSV-2'!CQ29+'[6]DSV-3'!CQ29+'[7]TUB-1'!CQ29+'[7]TUB-2'!CQ29+'[8]Barge-1'!CQ29+'[8]Barge-2'!CQ29+'[8]Barge-3'!CQ29+'[8]Barge-4'!CQ29</f>
        <v>0</v>
      </c>
      <c r="O29" s="179">
        <f>'[2]AHTS-1'!AZ29+'[2]AHTS-2'!AZ29+'[2]AHTS-3'!AZ29+'[2]AHTS-4'!AZ29+'[2]AHTS-5'!AZ29+'[2]AHTS-6'!AZ29+'[2]AHTS-7'!AZ29+'[2]AHTS-8'!AZ29+'[3]CB-1'!AZ29+'[3]CB-2'!AZ29+'[3]CB-3'!AZ29+'[3]CB-4'!AZ29+'[3]CB-5'!AZ29+'[3]CB-6'!AZ29+'[3]CB-7'!AZ29+'[3]CB-8'!AZ29+'[3]CB-9'!AZ29+'[3]CB-10'!AZ29+'[3]CB-11'!AZ29+'[3]CB-12'!AZ29+'[3]CB-13'!AZ29+'[3]CB-14'!AZ29+'[3]CB-15'!AZ29+'[3]CB-16'!AZ29+'[3]CB-17'!AZ29+'[3]CB-18'!AZ29+'[3]CB-19'!AZ29+'[3]CB-20'!AZ29+'[3]CB-21'!AZ29+'[3]CB-22'!AZ29+'[3]CB-23'!AZ29+'[3]CB-24'!AZ29+'[4]LCT-1'!AZ29+'[4]LCT-2'!AZ29+'[4]LCT-3'!AZ29+'[4]LCT-4'!AZ29+'[4]LCT-5'!AZ29+'[4]LCT-6'!AZ29+'[4]LCT-7'!AZ29+'[4]LCT-8'!AZ29+'[5]TB-1'!AZ29+'[5]TB-2'!AZ29+'[5]TB-3'!AZ29+'[5]TB-4'!AZ29+'[5]TB-5'!AZ29+'[5]TB-6'!AZ29+'[5]TB-7'!AZ29+'[5]TB-8'!AZ29+'[5]TB-9'!AZ29+'[5]TB-10'!AZ29+'[6]DSV-1'!AZ29+'[6]DSV-2'!AZ29+'[6]DSV-3'!AZ29+'[7]TUB-1'!AZ29+'[7]TUB-2'!AZ29+'[8]Barge-1'!AZ29+'[8]Barge-2'!AZ29+'[8]Barge-3'!AZ29+'[8]Barge-4'!AZ29</f>
        <v>11.605689768139836</v>
      </c>
      <c r="P29" s="180">
        <f>'[2]AHTS-1'!BV29+'[2]AHTS-2'!BV29+'[2]AHTS-3'!BV29+'[2]AHTS-4'!BV29+'[2]AHTS-5'!BV29+'[2]AHTS-6'!BV29+'[2]AHTS-7'!BV29+'[2]AHTS-8'!BV29+'[3]CB-1'!BV29+'[3]CB-2'!BV29+'[3]CB-3'!BV29+'[3]CB-4'!BV29+'[3]CB-5'!BV29+'[3]CB-6'!BV29+'[3]CB-7'!BV29+'[3]CB-8'!BV29+'[3]CB-9'!BV29+'[3]CB-10'!BV29+'[3]CB-11'!BV29+'[3]CB-12'!BV29+'[3]CB-13'!BV29+'[3]CB-14'!BV29+'[3]CB-15'!BV29+'[3]CB-16'!BV29+'[3]CB-17'!BV29+'[3]CB-18'!BV29+'[3]CB-19'!BV29+'[3]CB-20'!BV29+'[3]CB-21'!BV29+'[3]CB-22'!BV29+'[3]CB-23'!BV29+'[3]CB-24'!BV29+'[4]LCT-1'!BV29+'[4]LCT-2'!BV29+'[4]LCT-3'!BV29+'[4]LCT-4'!BV29+'[4]LCT-5'!BV29+'[4]LCT-6'!BV29+'[4]LCT-7'!BV29+'[4]LCT-8'!BV29+'[5]TB-1'!BV29+'[5]TB-2'!BV29+'[5]TB-3'!BV29+'[5]TB-4'!BV29+'[5]TB-5'!BV29+'[5]TB-6'!BV29+'[5]TB-7'!BV29+'[5]TB-8'!BV29+'[5]TB-9'!BV29+'[5]TB-10'!BV29+'[6]DSV-1'!BV29+'[6]DSV-2'!BV29+'[6]DSV-3'!BV29+'[7]TUB-1'!BV29+'[7]TUB-2'!BV29+'[8]Barge-1'!BV29+'[8]Barge-2'!BV29+'[8]Barge-3'!BV29+'[8]Barge-4'!BV29</f>
        <v>137.38296028575655</v>
      </c>
      <c r="Q29" s="180">
        <f>'[2]AHTS-1'!CR29+'[2]AHTS-2'!CR29+'[2]AHTS-3'!CR29+'[2]AHTS-4'!CR29+'[2]AHTS-5'!CR29+'[2]AHTS-6'!CR29+'[2]AHTS-7'!CR29+'[2]AHTS-8'!CR29+'[3]CB-1'!CR29+'[3]CB-2'!CR29+'[3]CB-3'!CR29+'[3]CB-4'!CR29+'[3]CB-5'!CR29+'[3]CB-6'!CR29+'[3]CB-7'!CR29+'[3]CB-8'!CR29+'[3]CB-9'!CR29+'[3]CB-10'!CR29+'[3]CB-11'!CR29+'[3]CB-12'!CR29+'[3]CB-13'!CR29+'[3]CB-14'!CR29+'[3]CB-15'!CR29+'[3]CB-16'!CR29+'[3]CB-17'!CR29+'[3]CB-18'!CR29+'[3]CB-19'!CR29+'[3]CB-20'!CR29+'[3]CB-21'!CR29+'[3]CB-22'!CR29+'[3]CB-23'!CR29+'[3]CB-24'!CR29+'[4]LCT-1'!CR29+'[4]LCT-2'!CR29+'[4]LCT-3'!CR29+'[4]LCT-4'!CR29+'[4]LCT-5'!CR29+'[4]LCT-6'!CR29+'[4]LCT-7'!CR29+'[4]LCT-8'!CR29+'[5]TB-1'!CR29+'[5]TB-2'!CR29+'[5]TB-3'!CR29+'[5]TB-4'!CR29+'[5]TB-5'!CR29+'[5]TB-6'!CR29+'[5]TB-7'!CR29+'[5]TB-8'!CR29+'[5]TB-9'!CR29+'[5]TB-10'!CR29+'[6]DSV-1'!CR29+'[6]DSV-2'!CR29+'[6]DSV-3'!CR29+'[7]TUB-1'!CR29+'[7]TUB-2'!CR29+'[8]Barge-1'!CR29+'[8]Barge-2'!CR29+'[8]Barge-3'!CR29+'[8]Barge-4'!CR29</f>
        <v>0</v>
      </c>
      <c r="R29" s="183">
        <f>'[2]AHTS-1'!BA29+'[2]AHTS-2'!BA29+'[2]AHTS-3'!BA29+'[2]AHTS-4'!BA29+'[2]AHTS-5'!BA29+'[2]AHTS-6'!BA29+'[2]AHTS-7'!BA29+'[2]AHTS-8'!BA29+'[3]CB-1'!BA29+'[3]CB-2'!BA29+'[3]CB-3'!BA29+'[3]CB-4'!BA29+'[3]CB-5'!BA29+'[3]CB-6'!BA29+'[3]CB-7'!BA29+'[3]CB-8'!BA29+'[3]CB-9'!BA29+'[3]CB-10'!BA29+'[3]CB-11'!BA29+'[3]CB-12'!BA29+'[3]CB-13'!BA29+'[3]CB-14'!BA29+'[3]CB-15'!BA29+'[3]CB-16'!BA29+'[3]CB-17'!BA29+'[3]CB-18'!BA29+'[3]CB-19'!BA29+'[3]CB-20'!BA29+'[3]CB-21'!BA29+'[3]CB-22'!BA29+'[3]CB-23'!BA29+'[3]CB-24'!BA29+'[4]LCT-1'!BA29+'[4]LCT-2'!BA29+'[4]LCT-3'!BA29+'[4]LCT-4'!BA29+'[4]LCT-5'!BA29+'[4]LCT-6'!BA29+'[4]LCT-7'!BA29+'[4]LCT-8'!BA29+'[5]TB-1'!BA29+'[5]TB-2'!BA29+'[5]TB-3'!BA29+'[5]TB-4'!BA29+'[5]TB-5'!BA29+'[5]TB-6'!BA29+'[5]TB-7'!BA29+'[5]TB-8'!BA29+'[5]TB-9'!BA29+'[5]TB-10'!BA29+'[6]DSV-1'!BA29+'[6]DSV-2'!BA29+'[6]DSV-3'!BA29+'[7]TUB-1'!BA29+'[7]TUB-2'!BA29+'[8]Barge-1'!BA29+'[8]Barge-2'!BA29+'[8]Barge-3'!BA29+'[8]Barge-4'!BA29</f>
        <v>5081.5853993616975</v>
      </c>
      <c r="S29" s="180">
        <f>'[2]AHTS-1'!BW29+'[2]AHTS-2'!BW29+'[2]AHTS-3'!BW29+'[2]AHTS-4'!BW29+'[2]AHTS-5'!BW29+'[2]AHTS-6'!BW29+'[2]AHTS-7'!BW29+'[2]AHTS-8'!BW29+'[3]CB-1'!BW29+'[3]CB-2'!BW29+'[3]CB-3'!BW29+'[3]CB-4'!BW29+'[3]CB-5'!BW29+'[3]CB-6'!BW29+'[3]CB-7'!BW29+'[3]CB-8'!BW29+'[3]CB-9'!BW29+'[3]CB-10'!BW29+'[3]CB-11'!BW29+'[3]CB-12'!BW29+'[3]CB-13'!BW29+'[3]CB-14'!BW29+'[3]CB-15'!BW29+'[3]CB-16'!BW29+'[3]CB-17'!BW29+'[3]CB-18'!BW29+'[3]CB-19'!BW29+'[3]CB-20'!BW29+'[3]CB-21'!BW29+'[3]CB-22'!BW29+'[3]CB-23'!BW29+'[3]CB-24'!BW29+'[4]LCT-1'!BW29+'[4]LCT-2'!BW29+'[4]LCT-3'!BW29+'[4]LCT-4'!BW29+'[4]LCT-5'!BW29+'[4]LCT-6'!BW29+'[4]LCT-7'!BW29+'[4]LCT-8'!BW29+'[5]TB-1'!BW29+'[5]TB-2'!BW29+'[5]TB-3'!BW29+'[5]TB-4'!BW29+'[5]TB-5'!BW29+'[5]TB-6'!BW29+'[5]TB-7'!BW29+'[5]TB-8'!BW29+'[5]TB-9'!BW29+'[5]TB-10'!BW29+'[6]DSV-1'!BW29+'[6]DSV-2'!BW29+'[6]DSV-3'!BW29+'[7]TUB-1'!BW29+'[7]TUB-2'!BW29+'[8]Barge-1'!BW29+'[8]Barge-2'!BW29+'[8]Barge-3'!BW29+'[8]Barge-4'!BW29</f>
        <v>6001.5217804831655</v>
      </c>
      <c r="T29" s="184">
        <f>'[2]AHTS-1'!CS29+'[2]AHTS-2'!CS29+'[2]AHTS-3'!CS29+'[2]AHTS-4'!CS29+'[2]AHTS-5'!CS29+'[2]AHTS-6'!CS29+'[2]AHTS-7'!CS29+'[2]AHTS-8'!CS29+'[3]CB-1'!CS29+'[3]CB-2'!CS29+'[3]CB-3'!CS29+'[3]CB-4'!CS29+'[3]CB-5'!CS29+'[3]CB-6'!CS29+'[3]CB-7'!CS29+'[3]CB-8'!CS29+'[3]CB-9'!CS29+'[3]CB-10'!CS29+'[3]CB-11'!CS29+'[3]CB-12'!CS29+'[3]CB-13'!CS29+'[3]CB-14'!CS29+'[3]CB-15'!CS29+'[3]CB-16'!CS29+'[3]CB-17'!CS29+'[3]CB-18'!CS29+'[3]CB-19'!CS29+'[3]CB-20'!CS29+'[3]CB-21'!CS29+'[3]CB-22'!CS29+'[3]CB-23'!CS29+'[3]CB-24'!CS29+'[4]LCT-1'!CS29+'[4]LCT-2'!CS29+'[4]LCT-3'!CS29+'[4]LCT-4'!CS29+'[4]LCT-5'!CS29+'[4]LCT-6'!CS29+'[4]LCT-7'!CS29+'[4]LCT-8'!CS29+'[5]TB-1'!CS29+'[5]TB-2'!CS29+'[5]TB-3'!CS29+'[5]TB-4'!CS29+'[5]TB-5'!CS29+'[5]TB-6'!CS29+'[5]TB-7'!CS29+'[5]TB-8'!CS29+'[5]TB-9'!CS29+'[5]TB-10'!CS29+'[6]DSV-1'!CS29+'[6]DSV-2'!CS29+'[6]DSV-3'!CS29+'[7]TUB-1'!CS29+'[7]TUB-2'!CS29+'[8]Barge-1'!CS29+'[8]Barge-2'!CS29+'[8]Barge-3'!CS29+'[8]Barge-4'!CS29</f>
        <v>0</v>
      </c>
      <c r="U29" s="183">
        <f>'[2]AHTS-1'!BB29+'[2]AHTS-2'!BB29+'[2]AHTS-3'!BB29+'[2]AHTS-4'!BB29+'[2]AHTS-5'!BB29+'[2]AHTS-6'!BB29+'[2]AHTS-7'!BB29+'[2]AHTS-8'!BB29+'[3]CB-1'!BB29+'[3]CB-2'!BB29+'[3]CB-3'!BB29+'[3]CB-4'!BB29+'[3]CB-5'!BB29+'[3]CB-6'!BB29+'[3]CB-7'!BB29+'[3]CB-8'!BB29+'[3]CB-9'!BB29+'[3]CB-10'!BB29+'[3]CB-11'!BB29+'[3]CB-12'!BB29+'[3]CB-13'!BB29+'[3]CB-14'!BB29+'[3]CB-15'!BB29+'[3]CB-16'!BB29+'[3]CB-17'!BB29+'[3]CB-18'!BB29+'[3]CB-19'!BB29+'[3]CB-20'!BB29+'[3]CB-21'!BB29+'[3]CB-22'!BB29+'[3]CB-23'!BB29+'[3]CB-24'!BB29+'[4]LCT-1'!BB29+'[4]LCT-2'!BB29+'[4]LCT-3'!BB29+'[4]LCT-4'!BB29+'[4]LCT-5'!BB29+'[4]LCT-6'!BB29+'[4]LCT-7'!BB29+'[4]LCT-8'!BB29+'[5]TB-1'!BB29+'[5]TB-2'!BB29+'[5]TB-3'!BB29+'[5]TB-4'!BB29+'[5]TB-5'!BB29+'[5]TB-6'!BB29+'[5]TB-7'!BB29+'[5]TB-8'!BB29+'[5]TB-9'!BB29+'[5]TB-10'!BB29+'[6]DSV-1'!BB29+'[6]DSV-2'!BB29+'[6]DSV-3'!BB29+'[7]TUB-1'!BB29+'[7]TUB-2'!BB29+'[8]Barge-1'!BB29+'[8]Barge-2'!BB29+'[8]Barge-3'!BB29+'[8]Barge-4'!BB29</f>
        <v>0</v>
      </c>
      <c r="V29" s="180">
        <f>'[2]AHTS-1'!BX29+'[2]AHTS-2'!BX29+'[2]AHTS-3'!BX29+'[2]AHTS-4'!BX29+'[2]AHTS-5'!BX29+'[2]AHTS-6'!BX29+'[2]AHTS-7'!BX29+'[2]AHTS-8'!BX29+'[3]CB-1'!BX29+'[3]CB-2'!BX29+'[3]CB-3'!BX29+'[3]CB-4'!BX29+'[3]CB-5'!BX29+'[3]CB-6'!BX29+'[3]CB-7'!BX29+'[3]CB-8'!BX29+'[3]CB-9'!BX29+'[3]CB-10'!BX29+'[3]CB-11'!BX29+'[3]CB-12'!BX29+'[3]CB-13'!BX29+'[3]CB-14'!BX29+'[3]CB-15'!BX29+'[3]CB-16'!BX29+'[3]CB-17'!BX29+'[3]CB-18'!BX29+'[3]CB-19'!BX29+'[3]CB-20'!BX29+'[3]CB-21'!BX29+'[3]CB-22'!BX29+'[3]CB-23'!BX29+'[3]CB-24'!BX29+'[4]LCT-1'!BX29+'[4]LCT-2'!BX29+'[4]LCT-3'!BX29+'[4]LCT-4'!BX29+'[4]LCT-5'!BX29+'[4]LCT-6'!BX29+'[4]LCT-7'!BX29+'[4]LCT-8'!BX29+'[5]TB-1'!BX29+'[5]TB-2'!BX29+'[5]TB-3'!BX29+'[5]TB-4'!BX29+'[5]TB-5'!BX29+'[5]TB-6'!BX29+'[5]TB-7'!BX29+'[5]TB-8'!BX29+'[5]TB-9'!BX29+'[5]TB-10'!BX29+'[6]DSV-1'!BX29+'[6]DSV-2'!BX29+'[6]DSV-3'!BX29+'[7]TUB-1'!BX29+'[7]TUB-2'!BX29+'[8]Barge-1'!BX29+'[8]Barge-2'!BX29+'[8]Barge-3'!BX29+'[8]Barge-4'!BX29</f>
        <v>0</v>
      </c>
      <c r="W29" s="184">
        <f>'[2]AHTS-1'!CT29+'[2]AHTS-2'!CT29+'[2]AHTS-3'!CT29+'[2]AHTS-4'!CT29+'[2]AHTS-5'!CT29+'[2]AHTS-6'!CT29+'[2]AHTS-7'!CT29+'[2]AHTS-8'!CT29+'[3]CB-1'!CT29+'[3]CB-2'!CT29+'[3]CB-3'!CT29+'[3]CB-4'!CT29+'[3]CB-5'!CT29+'[3]CB-6'!CT29+'[3]CB-7'!CT29+'[3]CB-8'!CT29+'[3]CB-9'!CT29+'[3]CB-10'!CT29+'[3]CB-11'!CT29+'[3]CB-12'!CT29+'[3]CB-13'!CT29+'[3]CB-14'!CT29+'[3]CB-15'!CT29+'[3]CB-16'!CT29+'[3]CB-17'!CT29+'[3]CB-18'!CT29+'[3]CB-19'!CT29+'[3]CB-20'!CT29+'[3]CB-21'!CT29+'[3]CB-22'!CT29+'[3]CB-23'!CT29+'[3]CB-24'!CT29+'[4]LCT-1'!CT29+'[4]LCT-2'!CT29+'[4]LCT-3'!CT29+'[4]LCT-4'!CT29+'[4]LCT-5'!CT29+'[4]LCT-6'!CT29+'[4]LCT-7'!CT29+'[4]LCT-8'!CT29+'[5]TB-1'!CT29+'[5]TB-2'!CT29+'[5]TB-3'!CT29+'[5]TB-4'!CT29+'[5]TB-5'!CT29+'[5]TB-6'!CT29+'[5]TB-7'!CT29+'[5]TB-8'!CT29+'[5]TB-9'!CT29+'[5]TB-10'!CT29+'[6]DSV-1'!CT29+'[6]DSV-2'!CT29+'[6]DSV-3'!CT29+'[7]TUB-1'!CT29+'[7]TUB-2'!CT29+'[8]Barge-1'!CT29+'[8]Barge-2'!CT29+'[8]Barge-3'!CT29+'[8]Barge-4'!CT29</f>
        <v>0</v>
      </c>
      <c r="X29" s="67"/>
      <c r="Y29" s="67"/>
      <c r="Z29" s="68"/>
      <c r="AA29" s="111">
        <f>[1]Control!AZ29</f>
        <v>46004</v>
      </c>
      <c r="AB29" s="66"/>
      <c r="AC29" s="132">
        <f>'[2]AHTS-1'!IC67+'[2]AHTS-2'!IC67+'[2]AHTS-3'!IC67+'[2]AHTS-4'!IC67+'[2]AHTS-5'!IC67+'[2]AHTS-6'!IC67+'[2]AHTS-7'!IC67+'[2]AHTS-8'!IC67+'[3]CB-1'!IC67+'[3]CB-2'!IC67+'[3]CB-3'!IC67+'[3]CB-4'!IC67+'[3]CB-5'!IC67+'[3]CB-6'!IC67+'[3]CB-7'!IC67+'[3]CB-8'!IC67+'[3]CB-9'!IC67+'[3]CB-10'!IC67+'[3]CB-11'!IC67+'[3]CB-12'!IC67+'[3]CB-13'!IC67+'[3]CB-14'!IC67+'[3]CB-15'!IC67+'[3]CB-16'!IC67+'[3]CB-17'!IC67+'[3]CB-18'!IC67+'[3]CB-19'!IC67+'[3]CB-20'!IC67+'[3]CB-21'!IC67+'[3]CB-22'!IC67+'[3]CB-23'!IC67+'[3]CB-24'!IC67+'[4]LCT-1'!IC67+'[4]LCT-2'!IC67+'[4]LCT-3'!IC67+'[4]LCT-4'!IC67+'[4]LCT-5'!IC67+'[4]LCT-6'!IC67+'[4]LCT-7'!IC67+'[4]LCT-8'!IC67+'[5]TB-1'!IC67+'[5]TB-2'!IC67+'[5]TB-3'!IC67+'[5]TB-4'!IC67+'[5]TB-5'!IC67+'[5]TB-6'!IC67+'[5]TB-7'!IC67+'[5]TB-8'!IC67+'[5]TB-9'!IC67+'[5]TB-10'!IC67+'[6]DSV-1'!IC67+'[6]DSV-2'!IC67+'[6]DSV-3'!IC67+'[7]TUB-1'!IC67+'[7]TUB-2'!IC67+'[8]Barge-1'!IC67+'[8]Barge-2'!IC67+'[8]Barge-3'!IC67+'[8]Barge-4'!IC67</f>
        <v>0</v>
      </c>
      <c r="AD29" s="133">
        <f>'[2]AHTS-1'!IC29+'[2]AHTS-2'!IC29+'[2]AHTS-3'!IC29+'[2]AHTS-4'!IC29+'[2]AHTS-5'!IC29+'[2]AHTS-6'!IC29+'[2]AHTS-7'!IC29+'[2]AHTS-8'!IC29+'[3]CB-1'!IC29+'[3]CB-2'!IC29+'[3]CB-3'!IC29+'[3]CB-4'!IC29+'[3]CB-5'!IC29+'[3]CB-6'!IC29+'[3]CB-7'!IC29+'[3]CB-8'!IC29+'[3]CB-9'!IC29+'[3]CB-10'!IC29+'[3]CB-11'!IC29+'[3]CB-12'!IC29+'[3]CB-13'!IC29+'[3]CB-14'!IC29+'[3]CB-15'!IC29+'[3]CB-16'!IC29+'[3]CB-17'!IC29+'[3]CB-18'!IC29+'[3]CB-19'!IC29+'[3]CB-20'!IC29+'[3]CB-21'!IC29+'[3]CB-22'!IC29+'[3]CB-23'!IC29+'[3]CB-24'!IC29+'[4]LCT-1'!IC29+'[4]LCT-2'!IC29+'[4]LCT-3'!IC29+'[4]LCT-4'!IC29+'[4]LCT-5'!IC29+'[4]LCT-6'!IC29+'[4]LCT-7'!IC29+'[4]LCT-8'!IC29+'[5]TB-1'!IC29+'[5]TB-2'!IC29+'[5]TB-3'!IC29+'[5]TB-4'!IC29+'[5]TB-5'!IC29+'[5]TB-6'!IC29+'[5]TB-7'!IC29+'[5]TB-8'!IC29+'[5]TB-9'!IC29+'[5]TB-10'!IC29+'[6]DSV-1'!IC29+'[6]DSV-2'!IC29+'[6]DSV-3'!IC29+'[7]TUB-1'!IC29+'[7]TUB-2'!IC29+'[8]Barge-1'!IC29+'[8]Barge-2'!IC29+'[8]Barge-3'!IC29+'[8]Barge-4'!IC29</f>
        <v>0</v>
      </c>
      <c r="AE29" s="134">
        <f>'[2]AHTS-1'!IC100+'[2]AHTS-2'!IC100+'[2]AHTS-3'!IC100+'[2]AHTS-4'!IC100+'[2]AHTS-5'!IC100+'[2]AHTS-6'!IC100+'[2]AHTS-7'!IC100+'[2]AHTS-8'!IC100+'[3]CB-1'!IC100+'[3]CB-2'!IC100+'[3]CB-3'!IC100+'[3]CB-4'!IC100+'[3]CB-5'!IC100+'[3]CB-6'!IC100+'[3]CB-7'!IC100+'[3]CB-8'!IC100+'[3]CB-9'!IC100+'[3]CB-10'!IC100+'[3]CB-11'!IC100+'[3]CB-12'!IC100+'[3]CB-13'!IC100+'[3]CB-14'!IC100+'[3]CB-15'!IC100+'[3]CB-16'!IC100+'[3]CB-17'!IC100+'[3]CB-18'!IC100+'[3]CB-19'!IC100+'[3]CB-20'!IC100+'[3]CB-21'!IC100+'[3]CB-22'!IC100+'[3]CB-23'!IC100+'[3]CB-24'!IC100+'[4]LCT-1'!IC100+'[4]LCT-2'!IC100+'[4]LCT-3'!IC100+'[4]LCT-4'!IC100+'[4]LCT-5'!IC100+'[4]LCT-6'!IC100+'[4]LCT-7'!IC100+'[4]LCT-8'!IC100+'[5]TB-1'!IC100+'[5]TB-2'!IC100+'[5]TB-3'!IC100+'[5]TB-4'!IC100+'[5]TB-5'!IC100+'[5]TB-6'!IC100+'[5]TB-7'!IC100+'[5]TB-8'!IC100+'[5]TB-9'!IC100+'[5]TB-10'!IC100+'[6]DSV-1'!IC100+'[6]DSV-2'!IC100+'[6]DSV-3'!IC100+'[7]TUB-1'!IC100+'[7]TUB-2'!IC100+'[8]Barge-1'!IC100+'[8]Barge-2'!IC100+'[8]Barge-3'!IC100+'[8]Barge-4'!IC100</f>
        <v>0</v>
      </c>
      <c r="AF29" s="135">
        <f>'[2]AHTS-1'!ID67+'[2]AHTS-2'!ID67+'[2]AHTS-3'!ID67+'[2]AHTS-4'!ID67+'[2]AHTS-5'!ID67+'[2]AHTS-6'!ID67+'[2]AHTS-7'!ID67+'[2]AHTS-8'!ID67+'[3]CB-1'!ID67+'[3]CB-2'!ID67+'[3]CB-3'!ID67+'[3]CB-4'!ID67+'[3]CB-5'!ID67+'[3]CB-6'!ID67+'[3]CB-7'!ID67+'[3]CB-8'!ID67+'[3]CB-9'!ID67+'[3]CB-10'!ID67+'[3]CB-11'!ID67+'[3]CB-12'!ID67+'[3]CB-13'!ID67+'[3]CB-14'!ID67+'[3]CB-15'!ID67+'[3]CB-16'!ID67+'[3]CB-17'!ID67+'[3]CB-18'!ID67+'[3]CB-19'!ID67+'[3]CB-20'!ID67+'[3]CB-21'!ID67+'[3]CB-22'!ID67+'[3]CB-23'!ID67+'[3]CB-24'!ID67+'[4]LCT-1'!ID67+'[4]LCT-2'!ID67+'[4]LCT-3'!ID67+'[4]LCT-4'!ID67+'[4]LCT-5'!ID67+'[4]LCT-6'!ID67+'[4]LCT-7'!ID67+'[4]LCT-8'!ID67+'[5]TB-1'!ID67+'[5]TB-2'!ID67+'[5]TB-3'!ID67+'[5]TB-4'!ID67+'[5]TB-5'!ID67+'[5]TB-6'!ID67+'[5]TB-7'!ID67+'[5]TB-8'!ID67+'[5]TB-9'!ID67+'[5]TB-10'!ID67+'[6]DSV-1'!ID67+'[6]DSV-2'!ID67+'[6]DSV-3'!ID67+'[7]TUB-1'!ID67+'[7]TUB-2'!ID67+'[8]Barge-1'!ID67+'[8]Barge-2'!ID67+'[8]Barge-3'!ID67+'[8]Barge-4'!ID67</f>
        <v>24873691.666666668</v>
      </c>
      <c r="AG29" s="136">
        <f>'[2]AHTS-1'!ID29+'[2]AHTS-2'!ID29+'[2]AHTS-3'!ID29+'[2]AHTS-4'!ID29+'[2]AHTS-5'!ID29+'[2]AHTS-6'!ID29+'[2]AHTS-7'!ID29+'[2]AHTS-8'!ID29+'[3]CB-1'!ID29+'[3]CB-2'!ID29+'[3]CB-3'!ID29+'[3]CB-4'!ID29+'[3]CB-5'!ID29+'[3]CB-6'!ID29+'[3]CB-7'!ID29+'[3]CB-8'!ID29+'[3]CB-9'!ID29+'[3]CB-10'!ID29+'[3]CB-11'!ID29+'[3]CB-12'!ID29+'[3]CB-13'!ID29+'[3]CB-14'!ID29+'[3]CB-15'!ID29+'[3]CB-16'!ID29+'[3]CB-17'!ID29+'[3]CB-18'!ID29+'[3]CB-19'!ID29+'[3]CB-20'!ID29+'[3]CB-21'!ID29+'[3]CB-22'!ID29+'[3]CB-23'!ID29+'[3]CB-24'!ID29+'[4]LCT-1'!ID29+'[4]LCT-2'!ID29+'[4]LCT-3'!ID29+'[4]LCT-4'!ID29+'[4]LCT-5'!ID29+'[4]LCT-6'!ID29+'[4]LCT-7'!ID29+'[4]LCT-8'!ID29+'[5]TB-1'!ID29+'[5]TB-2'!ID29+'[5]TB-3'!ID29+'[5]TB-4'!ID29+'[5]TB-5'!ID29+'[5]TB-6'!ID29+'[5]TB-7'!ID29+'[5]TB-8'!ID29+'[5]TB-9'!ID29+'[5]TB-10'!ID29+'[6]DSV-1'!ID29+'[6]DSV-2'!ID29+'[6]DSV-3'!ID29+'[7]TUB-1'!ID29+'[7]TUB-2'!ID29+'[8]Barge-1'!ID29+'[8]Barge-2'!ID29+'[8]Barge-3'!ID29+'[8]Barge-4'!ID29</f>
        <v>25141666.666666664</v>
      </c>
      <c r="AH29" s="136">
        <f>'[2]AHTS-1'!ID100+'[2]AHTS-2'!ID100+'[2]AHTS-3'!ID100+'[2]AHTS-4'!ID100+'[2]AHTS-5'!ID100+'[2]AHTS-6'!ID100+'[2]AHTS-7'!ID100+'[2]AHTS-8'!ID100+'[3]CB-1'!ID100+'[3]CB-2'!ID100+'[3]CB-3'!ID100+'[3]CB-4'!ID100+'[3]CB-5'!ID100+'[3]CB-6'!ID100+'[3]CB-7'!ID100+'[3]CB-8'!ID100+'[3]CB-9'!ID100+'[3]CB-10'!ID100+'[3]CB-11'!ID100+'[3]CB-12'!ID100+'[3]CB-13'!ID100+'[3]CB-14'!ID100+'[3]CB-15'!ID100+'[3]CB-16'!ID100+'[3]CB-17'!ID100+'[3]CB-18'!ID100+'[3]CB-19'!ID100+'[3]CB-20'!ID100+'[3]CB-21'!ID100+'[3]CB-22'!ID100+'[3]CB-23'!ID100+'[3]CB-24'!ID100+'[4]LCT-1'!ID100+'[4]LCT-2'!ID100+'[4]LCT-3'!ID100+'[4]LCT-4'!ID100+'[4]LCT-5'!ID100+'[4]LCT-6'!ID100+'[4]LCT-7'!ID100+'[4]LCT-8'!ID100+'[5]TB-1'!ID100+'[5]TB-2'!ID100+'[5]TB-3'!ID100+'[5]TB-4'!ID100+'[5]TB-5'!ID100+'[5]TB-6'!ID100+'[5]TB-7'!ID100+'[5]TB-8'!ID100+'[5]TB-9'!ID100+'[5]TB-10'!ID100+'[6]DSV-1'!ID100+'[6]DSV-2'!ID100+'[6]DSV-3'!ID100+'[7]TUB-1'!ID100+'[7]TUB-2'!ID100+'[8]Barge-1'!ID100+'[8]Barge-2'!ID100+'[8]Barge-3'!ID100+'[8]Barge-4'!ID100</f>
        <v>0</v>
      </c>
      <c r="AI29" s="135">
        <f>'[2]AHTS-1'!IE67+'[2]AHTS-2'!IE67+'[2]AHTS-3'!IE67+'[2]AHTS-4'!IE67+'[2]AHTS-5'!IE67+'[2]AHTS-6'!IE67+'[2]AHTS-7'!IE67+'[2]AHTS-8'!IE67+'[3]CB-1'!IE67+'[3]CB-2'!IE67+'[3]CB-3'!IE67+'[3]CB-4'!IE67+'[3]CB-5'!IE67+'[3]CB-6'!IE67+'[3]CB-7'!IE67+'[3]CB-8'!IE67+'[3]CB-9'!IE67+'[3]CB-10'!IE67+'[3]CB-11'!IE67+'[3]CB-12'!IE67+'[3]CB-13'!IE67+'[3]CB-14'!IE67+'[3]CB-15'!IE67+'[3]CB-16'!IE67+'[3]CB-17'!IE67+'[3]CB-18'!IE67+'[3]CB-19'!IE67+'[3]CB-20'!IE67+'[3]CB-21'!IE67+'[3]CB-22'!IE67+'[3]CB-23'!IE67+'[3]CB-24'!IE67+'[4]LCT-1'!IE67+'[4]LCT-2'!IE67+'[4]LCT-3'!IE67+'[4]LCT-4'!IE67+'[4]LCT-5'!IE67+'[4]LCT-6'!IE67+'[4]LCT-7'!IE67+'[4]LCT-8'!IE67+'[5]TB-1'!IE67+'[5]TB-2'!IE67+'[5]TB-3'!IE67+'[5]TB-4'!IE67+'[5]TB-5'!IE67+'[5]TB-6'!IE67+'[5]TB-7'!IE67+'[5]TB-8'!IE67+'[5]TB-9'!IE67+'[5]TB-10'!IE67+'[6]DSV-1'!IE67+'[6]DSV-2'!IE67+'[6]DSV-3'!IE67+'[7]TUB-1'!IE67+'[7]TUB-2'!IE67+'[8]Barge-1'!IE67+'[8]Barge-2'!IE67+'[8]Barge-3'!IE67+'[8]Barge-4'!IE67</f>
        <v>57370183.333333336</v>
      </c>
      <c r="AJ29" s="136">
        <f>'[2]AHTS-1'!IE29+'[2]AHTS-2'!IE29+'[2]AHTS-3'!IE29+'[2]AHTS-4'!IE29+'[2]AHTS-5'!IE29+'[2]AHTS-6'!IE29+'[2]AHTS-7'!IE29+'[2]AHTS-8'!IE29+'[3]CB-1'!IE29+'[3]CB-2'!IE29+'[3]CB-3'!IE29+'[3]CB-4'!IE29+'[3]CB-5'!IE29+'[3]CB-6'!IE29+'[3]CB-7'!IE29+'[3]CB-8'!IE29+'[3]CB-9'!IE29+'[3]CB-10'!IE29+'[3]CB-11'!IE29+'[3]CB-12'!IE29+'[3]CB-13'!IE29+'[3]CB-14'!IE29+'[3]CB-15'!IE29+'[3]CB-16'!IE29+'[3]CB-17'!IE29+'[3]CB-18'!IE29+'[3]CB-19'!IE29+'[3]CB-20'!IE29+'[3]CB-21'!IE29+'[3]CB-22'!IE29+'[3]CB-23'!IE29+'[3]CB-24'!IE29+'[4]LCT-1'!IE29+'[4]LCT-2'!IE29+'[4]LCT-3'!IE29+'[4]LCT-4'!IE29+'[4]LCT-5'!IE29+'[4]LCT-6'!IE29+'[4]LCT-7'!IE29+'[4]LCT-8'!IE29+'[5]TB-1'!IE29+'[5]TB-2'!IE29+'[5]TB-3'!IE29+'[5]TB-4'!IE29+'[5]TB-5'!IE29+'[5]TB-6'!IE29+'[5]TB-7'!IE29+'[5]TB-8'!IE29+'[5]TB-9'!IE29+'[5]TB-10'!IE29+'[6]DSV-1'!IE29+'[6]DSV-2'!IE29+'[6]DSV-3'!IE29+'[7]TUB-1'!IE29+'[7]TUB-2'!IE29+'[8]Barge-1'!IE29+'[8]Barge-2'!IE29+'[8]Barge-3'!IE29+'[8]Barge-4'!IE29</f>
        <v>45400000</v>
      </c>
      <c r="AK29" s="136">
        <f>'[2]AHTS-1'!IE100+'[2]AHTS-2'!IE100+'[2]AHTS-3'!IE100+'[2]AHTS-4'!IE100+'[2]AHTS-5'!IE100+'[2]AHTS-6'!IE100+'[2]AHTS-7'!IE100+'[2]AHTS-8'!IE100+'[3]CB-1'!IE100+'[3]CB-2'!IE100+'[3]CB-3'!IE100+'[3]CB-4'!IE100+'[3]CB-5'!IE100+'[3]CB-6'!IE100+'[3]CB-7'!IE100+'[3]CB-8'!IE100+'[3]CB-9'!IE100+'[3]CB-10'!IE100+'[3]CB-11'!IE100+'[3]CB-12'!IE100+'[3]CB-13'!IE100+'[3]CB-14'!IE100+'[3]CB-15'!IE100+'[3]CB-16'!IE100+'[3]CB-17'!IE100+'[3]CB-18'!IE100+'[3]CB-19'!IE100+'[3]CB-20'!IE100+'[3]CB-21'!IE100+'[3]CB-22'!IE100+'[3]CB-23'!IE100+'[3]CB-24'!IE100+'[4]LCT-1'!IE100+'[4]LCT-2'!IE100+'[4]LCT-3'!IE100+'[4]LCT-4'!IE100+'[4]LCT-5'!IE100+'[4]LCT-6'!IE100+'[4]LCT-7'!IE100+'[4]LCT-8'!IE100+'[5]TB-1'!IE100+'[5]TB-2'!IE100+'[5]TB-3'!IE100+'[5]TB-4'!IE100+'[5]TB-5'!IE100+'[5]TB-6'!IE100+'[5]TB-7'!IE100+'[5]TB-8'!IE100+'[5]TB-9'!IE100+'[5]TB-10'!IE100+'[6]DSV-1'!IE100+'[6]DSV-2'!IE100+'[6]DSV-3'!IE100+'[7]TUB-1'!IE100+'[7]TUB-2'!IE100+'[8]Barge-1'!IE100+'[8]Barge-2'!IE100+'[8]Barge-3'!IE100+'[8]Barge-4'!IE100</f>
        <v>0</v>
      </c>
      <c r="AL29" s="137">
        <f>'[2]AHTS-1'!IF67+'[2]AHTS-2'!IF67+'[2]AHTS-3'!IF67+'[2]AHTS-4'!IF67+'[2]AHTS-5'!IF67+'[2]AHTS-6'!IF67+'[2]AHTS-7'!IF67+'[2]AHTS-8'!IF67+'[3]CB-1'!IF67+'[3]CB-2'!IF67+'[3]CB-3'!IF67+'[3]CB-4'!IF67+'[3]CB-5'!IF67+'[3]CB-6'!IF67+'[3]CB-7'!IF67+'[3]CB-8'!IF67+'[3]CB-9'!IF67+'[3]CB-10'!IF67+'[3]CB-11'!IF67+'[3]CB-12'!IF67+'[3]CB-13'!IF67+'[3]CB-14'!IF67+'[3]CB-15'!IF67+'[3]CB-16'!IF67+'[3]CB-17'!IF67+'[3]CB-18'!IF67+'[3]CB-19'!IF67+'[3]CB-20'!IF67+'[3]CB-21'!IF67+'[3]CB-22'!IF67+'[3]CB-23'!IF67+'[3]CB-24'!IF67+'[4]LCT-1'!IF67+'[4]LCT-2'!IF67+'[4]LCT-3'!IF67+'[4]LCT-4'!IF67+'[4]LCT-5'!IF67+'[4]LCT-6'!IF67+'[4]LCT-7'!IF67+'[4]LCT-8'!IF67+'[5]TB-1'!IF67+'[5]TB-2'!IF67+'[5]TB-3'!IF67+'[5]TB-4'!IF67+'[5]TB-5'!IF67+'[5]TB-6'!IF67+'[5]TB-7'!IF67+'[5]TB-8'!IF67+'[5]TB-9'!IF67+'[5]TB-10'!IF67+'[6]DSV-1'!IF67+'[6]DSV-2'!IF67+'[6]DSV-3'!IF67+'[7]TUB-1'!IF67+'[7]TUB-2'!IF67+'[8]Barge-1'!IF67+'[8]Barge-2'!IF67+'[8]Barge-3'!IF67+'[8]Barge-4'!IF67</f>
        <v>44557850</v>
      </c>
      <c r="AM29" s="138">
        <f>'[2]AHTS-1'!IF29+'[2]AHTS-2'!IF29+'[2]AHTS-3'!IF29+'[2]AHTS-4'!IF29+'[2]AHTS-5'!IF29+'[2]AHTS-6'!IF29+'[2]AHTS-7'!IF29+'[2]AHTS-8'!IF29+'[3]CB-1'!IF29+'[3]CB-2'!IF29+'[3]CB-3'!IF29+'[3]CB-4'!IF29+'[3]CB-5'!IF29+'[3]CB-6'!IF29+'[3]CB-7'!IF29+'[3]CB-8'!IF29+'[3]CB-9'!IF29+'[3]CB-10'!IF29+'[3]CB-11'!IF29+'[3]CB-12'!IF29+'[3]CB-13'!IF29+'[3]CB-14'!IF29+'[3]CB-15'!IF29+'[3]CB-16'!IF29+'[3]CB-17'!IF29+'[3]CB-18'!IF29+'[3]CB-19'!IF29+'[3]CB-20'!IF29+'[3]CB-21'!IF29+'[3]CB-22'!IF29+'[3]CB-23'!IF29+'[3]CB-24'!IF29+'[4]LCT-1'!IF29+'[4]LCT-2'!IF29+'[4]LCT-3'!IF29+'[4]LCT-4'!IF29+'[4]LCT-5'!IF29+'[4]LCT-6'!IF29+'[4]LCT-7'!IF29+'[4]LCT-8'!IF29+'[5]TB-1'!IF29+'[5]TB-2'!IF29+'[5]TB-3'!IF29+'[5]TB-4'!IF29+'[5]TB-5'!IF29+'[5]TB-6'!IF29+'[5]TB-7'!IF29+'[5]TB-8'!IF29+'[5]TB-9'!IF29+'[5]TB-10'!IF29+'[6]DSV-1'!IF29+'[6]DSV-2'!IF29+'[6]DSV-3'!IF29+'[7]TUB-1'!IF29+'[7]TUB-2'!IF29+'[8]Barge-1'!IF29+'[8]Barge-2'!IF29+'[8]Barge-3'!IF29+'[8]Barge-4'!IF29</f>
        <v>63200000</v>
      </c>
      <c r="AN29" s="138">
        <f>'[2]AHTS-1'!IF100+'[2]AHTS-2'!IF100+'[2]AHTS-3'!IF100+'[2]AHTS-4'!IF100+'[2]AHTS-5'!IF100+'[2]AHTS-6'!IF100+'[2]AHTS-7'!IF100+'[2]AHTS-8'!IF100+'[3]CB-1'!IF100+'[3]CB-2'!IF100+'[3]CB-3'!IF100+'[3]CB-4'!IF100+'[3]CB-5'!IF100+'[3]CB-6'!IF100+'[3]CB-7'!IF100+'[3]CB-8'!IF100+'[3]CB-9'!IF100+'[3]CB-10'!IF100+'[3]CB-11'!IF100+'[3]CB-12'!IF100+'[3]CB-13'!IF100+'[3]CB-14'!IF100+'[3]CB-15'!IF100+'[3]CB-16'!IF100+'[3]CB-17'!IF100+'[3]CB-18'!IF100+'[3]CB-19'!IF100+'[3]CB-20'!IF100+'[3]CB-21'!IF100+'[3]CB-22'!IF100+'[3]CB-23'!IF100+'[3]CB-24'!IF100+'[4]LCT-1'!IF100+'[4]LCT-2'!IF100+'[4]LCT-3'!IF100+'[4]LCT-4'!IF100+'[4]LCT-5'!IF100+'[4]LCT-6'!IF100+'[4]LCT-7'!IF100+'[4]LCT-8'!IF100+'[5]TB-1'!IF100+'[5]TB-2'!IF100+'[5]TB-3'!IF100+'[5]TB-4'!IF100+'[5]TB-5'!IF100+'[5]TB-6'!IF100+'[5]TB-7'!IF100+'[5]TB-8'!IF100+'[5]TB-9'!IF100+'[5]TB-10'!IF100+'[6]DSV-1'!IF100+'[6]DSV-2'!IF100+'[6]DSV-3'!IF100+'[7]TUB-1'!IF100+'[7]TUB-2'!IF100+'[8]Barge-1'!IF100+'[8]Barge-2'!IF100+'[8]Barge-3'!IF100+'[8]Barge-4'!IF100</f>
        <v>0</v>
      </c>
      <c r="AO29" s="135">
        <f>'[2]AHTS-1'!IG67+'[2]AHTS-2'!IG67+'[2]AHTS-3'!IG67+'[2]AHTS-4'!IG67+'[2]AHTS-5'!IG67+'[2]AHTS-6'!IG67+'[2]AHTS-7'!IG67+'[2]AHTS-8'!IG67+'[3]CB-1'!IG67+'[3]CB-2'!IG67+'[3]CB-3'!IG67+'[3]CB-4'!IG67+'[3]CB-5'!IG67+'[3]CB-6'!IG67+'[3]CB-7'!IG67+'[3]CB-8'!IG67+'[3]CB-9'!IG67+'[3]CB-10'!IG67+'[3]CB-11'!IG67+'[3]CB-12'!IG67+'[3]CB-13'!IG67+'[3]CB-14'!IG67+'[3]CB-15'!IG67+'[3]CB-16'!IG67+'[3]CB-17'!IG67+'[3]CB-18'!IG67+'[3]CB-19'!IG67+'[3]CB-20'!IG67+'[3]CB-21'!IG67+'[3]CB-22'!IG67+'[3]CB-23'!IG67+'[3]CB-24'!IG67+'[4]LCT-1'!IG67+'[4]LCT-2'!IG67+'[4]LCT-3'!IG67+'[4]LCT-4'!IG67+'[4]LCT-5'!IG67+'[4]LCT-6'!IG67+'[4]LCT-7'!IG67+'[4]LCT-8'!IG67+'[5]TB-1'!IG67+'[5]TB-2'!IG67+'[5]TB-3'!IG67+'[5]TB-4'!IG67+'[5]TB-5'!IG67+'[5]TB-6'!IG67+'[5]TB-7'!IG67+'[5]TB-8'!IG67+'[5]TB-9'!IG67+'[5]TB-10'!IG67+'[6]DSV-1'!IG67+'[6]DSV-2'!IG67+'[6]DSV-3'!IG67+'[7]TUB-1'!IG67+'[7]TUB-2'!IG67+'[8]Barge-1'!IG67+'[8]Barge-2'!IG67+'[8]Barge-3'!IG67+'[8]Barge-4'!IG67</f>
        <v>183033.33333333334</v>
      </c>
      <c r="AP29" s="136">
        <f>'[2]AHTS-1'!IG29+'[2]AHTS-2'!IG29+'[2]AHTS-3'!IG29+'[2]AHTS-4'!IG29+'[2]AHTS-5'!IG29+'[2]AHTS-6'!IG29+'[2]AHTS-7'!IG29+'[2]AHTS-8'!IG29+'[3]CB-1'!IG29+'[3]CB-2'!IG29+'[3]CB-3'!IG29+'[3]CB-4'!IG29+'[3]CB-5'!IG29+'[3]CB-6'!IG29+'[3]CB-7'!IG29+'[3]CB-8'!IG29+'[3]CB-9'!IG29+'[3]CB-10'!IG29+'[3]CB-11'!IG29+'[3]CB-12'!IG29+'[3]CB-13'!IG29+'[3]CB-14'!IG29+'[3]CB-15'!IG29+'[3]CB-16'!IG29+'[3]CB-17'!IG29+'[3]CB-18'!IG29+'[3]CB-19'!IG29+'[3]CB-20'!IG29+'[3]CB-21'!IG29+'[3]CB-22'!IG29+'[3]CB-23'!IG29+'[3]CB-24'!IG29+'[4]LCT-1'!IG29+'[4]LCT-2'!IG29+'[4]LCT-3'!IG29+'[4]LCT-4'!IG29+'[4]LCT-5'!IG29+'[4]LCT-6'!IG29+'[4]LCT-7'!IG29+'[4]LCT-8'!IG29+'[5]TB-1'!IG29+'[5]TB-2'!IG29+'[5]TB-3'!IG29+'[5]TB-4'!IG29+'[5]TB-5'!IG29+'[5]TB-6'!IG29+'[5]TB-7'!IG29+'[5]TB-8'!IG29+'[5]TB-9'!IG29+'[5]TB-10'!IG29+'[6]DSV-1'!IG29+'[6]DSV-2'!IG29+'[6]DSV-3'!IG29+'[7]TUB-1'!IG29+'[7]TUB-2'!IG29+'[8]Barge-1'!IG29+'[8]Barge-2'!IG29+'[8]Barge-3'!IG29+'[8]Barge-4'!IG29</f>
        <v>2166666.6666666665</v>
      </c>
      <c r="AQ29" s="136">
        <f>'[2]AHTS-1'!IG100+'[2]AHTS-2'!IG100+'[2]AHTS-3'!IG100+'[2]AHTS-4'!IG100+'[2]AHTS-5'!IG100+'[2]AHTS-6'!IG100+'[2]AHTS-7'!IG100+'[2]AHTS-8'!IG100+'[3]CB-1'!IG100+'[3]CB-2'!IG100+'[3]CB-3'!IG100+'[3]CB-4'!IG100+'[3]CB-5'!IG100+'[3]CB-6'!IG100+'[3]CB-7'!IG100+'[3]CB-8'!IG100+'[3]CB-9'!IG100+'[3]CB-10'!IG100+'[3]CB-11'!IG100+'[3]CB-12'!IG100+'[3]CB-13'!IG100+'[3]CB-14'!IG100+'[3]CB-15'!IG100+'[3]CB-16'!IG100+'[3]CB-17'!IG100+'[3]CB-18'!IG100+'[3]CB-19'!IG100+'[3]CB-20'!IG100+'[3]CB-21'!IG100+'[3]CB-22'!IG100+'[3]CB-23'!IG100+'[3]CB-24'!IG100+'[4]LCT-1'!IG100+'[4]LCT-2'!IG100+'[4]LCT-3'!IG100+'[4]LCT-4'!IG100+'[4]LCT-5'!IG100+'[4]LCT-6'!IG100+'[4]LCT-7'!IG100+'[4]LCT-8'!IG100+'[5]TB-1'!IG100+'[5]TB-2'!IG100+'[5]TB-3'!IG100+'[5]TB-4'!IG100+'[5]TB-5'!IG100+'[5]TB-6'!IG100+'[5]TB-7'!IG100+'[5]TB-8'!IG100+'[5]TB-9'!IG100+'[5]TB-10'!IG100+'[6]DSV-1'!IG100+'[6]DSV-2'!IG100+'[6]DSV-3'!IG100+'[7]TUB-1'!IG100+'[7]TUB-2'!IG100+'[8]Barge-1'!IG100+'[8]Barge-2'!IG100+'[8]Barge-3'!IG100+'[8]Barge-4'!IG100</f>
        <v>0</v>
      </c>
      <c r="AR29" s="139">
        <f>'[2]AHTS-1'!IH67+'[2]AHTS-2'!IH67+'[2]AHTS-3'!IH67+'[2]AHTS-4'!IH67+'[2]AHTS-5'!IH67+'[2]AHTS-6'!IH67+'[2]AHTS-7'!IH67+'[2]AHTS-8'!IH67+'[3]CB-1'!IH67+'[3]CB-2'!IH67+'[3]CB-3'!IH67+'[3]CB-4'!IH67+'[3]CB-5'!IH67+'[3]CB-6'!IH67+'[3]CB-7'!IH67+'[3]CB-8'!IH67+'[3]CB-9'!IH67+'[3]CB-10'!IH67+'[3]CB-11'!IH67+'[3]CB-12'!IH67+'[3]CB-13'!IH67+'[3]CB-14'!IH67+'[3]CB-15'!IH67+'[3]CB-16'!IH67+'[3]CB-17'!IH67+'[3]CB-18'!IH67+'[3]CB-19'!IH67+'[3]CB-20'!IH67+'[3]CB-21'!IH67+'[3]CB-22'!IH67+'[3]CB-23'!IH67+'[3]CB-24'!IH67+'[4]LCT-1'!IH67+'[4]LCT-2'!IH67+'[4]LCT-3'!IH67+'[4]LCT-4'!IH67+'[4]LCT-5'!IH67+'[4]LCT-6'!IH67+'[4]LCT-7'!IH67+'[4]LCT-8'!IH67+'[5]TB-1'!IH67+'[5]TB-2'!IH67+'[5]TB-3'!IH67+'[5]TB-4'!IH67+'[5]TB-5'!IH67+'[5]TB-6'!IH67+'[5]TB-7'!IH67+'[5]TB-8'!IH67+'[5]TB-9'!IH67+'[5]TB-10'!IH67+'[6]DSV-1'!IH67+'[6]DSV-2'!IH67+'[6]DSV-3'!IH67+'[7]TUB-1'!IH67+'[7]TUB-2'!IH67+'[8]Barge-1'!IH67+'[8]Barge-2'!IH67+'[8]Barge-3'!IH67+'[8]Barge-4'!IH67</f>
        <v>80141683.333333343</v>
      </c>
      <c r="AS29" s="136">
        <f>'[2]AHTS-1'!IH29+'[2]AHTS-2'!IH29+'[2]AHTS-3'!IH29+'[2]AHTS-4'!IH29+'[2]AHTS-5'!IH29+'[2]AHTS-6'!IH29+'[2]AHTS-7'!IH29+'[2]AHTS-8'!IH29+'[3]CB-1'!IH29+'[3]CB-2'!IH29+'[3]CB-3'!IH29+'[3]CB-4'!IH29+'[3]CB-5'!IH29+'[3]CB-6'!IH29+'[3]CB-7'!IH29+'[3]CB-8'!IH29+'[3]CB-9'!IH29+'[3]CB-10'!IH29+'[3]CB-11'!IH29+'[3]CB-12'!IH29+'[3]CB-13'!IH29+'[3]CB-14'!IH29+'[3]CB-15'!IH29+'[3]CB-16'!IH29+'[3]CB-17'!IH29+'[3]CB-18'!IH29+'[3]CB-19'!IH29+'[3]CB-20'!IH29+'[3]CB-21'!IH29+'[3]CB-22'!IH29+'[3]CB-23'!IH29+'[3]CB-24'!IH29+'[4]LCT-1'!IH29+'[4]LCT-2'!IH29+'[4]LCT-3'!IH29+'[4]LCT-4'!IH29+'[4]LCT-5'!IH29+'[4]LCT-6'!IH29+'[4]LCT-7'!IH29+'[4]LCT-8'!IH29+'[5]TB-1'!IH29+'[5]TB-2'!IH29+'[5]TB-3'!IH29+'[5]TB-4'!IH29+'[5]TB-5'!IH29+'[5]TB-6'!IH29+'[5]TB-7'!IH29+'[5]TB-8'!IH29+'[5]TB-9'!IH29+'[5]TB-10'!IH29+'[6]DSV-1'!IH29+'[6]DSV-2'!IH29+'[6]DSV-3'!IH29+'[7]TUB-1'!IH29+'[7]TUB-2'!IH29+'[8]Barge-1'!IH29+'[8]Barge-2'!IH29+'[8]Barge-3'!IH29+'[8]Barge-4'!IH29</f>
        <v>94650000</v>
      </c>
      <c r="AT29" s="140">
        <f>'[2]AHTS-1'!IH100+'[2]AHTS-2'!IH100+'[2]AHTS-3'!IH100+'[2]AHTS-4'!IH100+'[2]AHTS-5'!IH100+'[2]AHTS-6'!IH100+'[2]AHTS-7'!IH100+'[2]AHTS-8'!IH100+'[3]CB-1'!IH100+'[3]CB-2'!IH100+'[3]CB-3'!IH100+'[3]CB-4'!IH100+'[3]CB-5'!IH100+'[3]CB-6'!IH100+'[3]CB-7'!IH100+'[3]CB-8'!IH100+'[3]CB-9'!IH100+'[3]CB-10'!IH100+'[3]CB-11'!IH100+'[3]CB-12'!IH100+'[3]CB-13'!IH100+'[3]CB-14'!IH100+'[3]CB-15'!IH100+'[3]CB-16'!IH100+'[3]CB-17'!IH100+'[3]CB-18'!IH100+'[3]CB-19'!IH100+'[3]CB-20'!IH100+'[3]CB-21'!IH100+'[3]CB-22'!IH100+'[3]CB-23'!IH100+'[3]CB-24'!IH100+'[4]LCT-1'!IH100+'[4]LCT-2'!IH100+'[4]LCT-3'!IH100+'[4]LCT-4'!IH100+'[4]LCT-5'!IH100+'[4]LCT-6'!IH100+'[4]LCT-7'!IH100+'[4]LCT-8'!IH100+'[5]TB-1'!IH100+'[5]TB-2'!IH100+'[5]TB-3'!IH100+'[5]TB-4'!IH100+'[5]TB-5'!IH100+'[5]TB-6'!IH100+'[5]TB-7'!IH100+'[5]TB-8'!IH100+'[5]TB-9'!IH100+'[5]TB-10'!IH100+'[6]DSV-1'!IH100+'[6]DSV-2'!IH100+'[6]DSV-3'!IH100+'[7]TUB-1'!IH100+'[7]TUB-2'!IH100+'[8]Barge-1'!IH100+'[8]Barge-2'!IH100+'[8]Barge-3'!IH100+'[8]Barge-4'!IH100</f>
        <v>0</v>
      </c>
      <c r="AU29" s="139">
        <f>'[2]AHTS-1'!II67+'[2]AHTS-2'!II67+'[2]AHTS-3'!II67+'[2]AHTS-4'!II67+'[2]AHTS-5'!II67+'[2]AHTS-6'!II67+'[2]AHTS-7'!II67+'[2]AHTS-8'!II67+'[3]CB-1'!II67+'[3]CB-2'!II67+'[3]CB-3'!II67+'[3]CB-4'!II67+'[3]CB-5'!II67+'[3]CB-6'!II67+'[3]CB-7'!II67+'[3]CB-8'!II67+'[3]CB-9'!II67+'[3]CB-10'!II67+'[3]CB-11'!II67+'[3]CB-12'!II67+'[3]CB-13'!II67+'[3]CB-14'!II67+'[3]CB-15'!II67+'[3]CB-16'!II67+'[3]CB-17'!II67+'[3]CB-18'!II67+'[3]CB-19'!II67+'[3]CB-20'!II67+'[3]CB-21'!II67+'[3]CB-22'!II67+'[3]CB-23'!II67+'[3]CB-24'!II67+'[4]LCT-1'!II67+'[4]LCT-2'!II67+'[4]LCT-3'!II67+'[4]LCT-4'!II67+'[4]LCT-5'!II67+'[4]LCT-6'!II67+'[4]LCT-7'!II67+'[4]LCT-8'!II67+'[5]TB-1'!II67+'[5]TB-2'!II67+'[5]TB-3'!II67+'[5]TB-4'!II67+'[5]TB-5'!II67+'[5]TB-6'!II67+'[5]TB-7'!II67+'[5]TB-8'!II67+'[5]TB-9'!II67+'[5]TB-10'!II67+'[6]DSV-1'!II67+'[6]DSV-2'!II67+'[6]DSV-3'!II67+'[7]TUB-1'!II67+'[7]TUB-2'!II67+'[8]Barge-1'!II67+'[8]Barge-2'!II67+'[8]Barge-3'!II67+'[8]Barge-4'!II67</f>
        <v>0</v>
      </c>
      <c r="AV29" s="136">
        <f>'[2]AHTS-1'!II29+'[2]AHTS-2'!II29+'[2]AHTS-3'!II29+'[2]AHTS-4'!II29+'[2]AHTS-5'!II29+'[2]AHTS-6'!II29+'[2]AHTS-7'!II29+'[2]AHTS-8'!II29+'[3]CB-1'!II29+'[3]CB-2'!II29+'[3]CB-3'!II29+'[3]CB-4'!II29+'[3]CB-5'!II29+'[3]CB-6'!II29+'[3]CB-7'!II29+'[3]CB-8'!II29+'[3]CB-9'!II29+'[3]CB-10'!II29+'[3]CB-11'!II29+'[3]CB-12'!II29+'[3]CB-13'!II29+'[3]CB-14'!II29+'[3]CB-15'!II29+'[3]CB-16'!II29+'[3]CB-17'!II29+'[3]CB-18'!II29+'[3]CB-19'!II29+'[3]CB-20'!II29+'[3]CB-21'!II29+'[3]CB-22'!II29+'[3]CB-23'!II29+'[3]CB-24'!II29+'[4]LCT-1'!II29+'[4]LCT-2'!II29+'[4]LCT-3'!II29+'[4]LCT-4'!II29+'[4]LCT-5'!II29+'[4]LCT-6'!II29+'[4]LCT-7'!II29+'[4]LCT-8'!II29+'[5]TB-1'!II29+'[5]TB-2'!II29+'[5]TB-3'!II29+'[5]TB-4'!II29+'[5]TB-5'!II29+'[5]TB-6'!II29+'[5]TB-7'!II29+'[5]TB-8'!II29+'[5]TB-9'!II29+'[5]TB-10'!II29+'[6]DSV-1'!II29+'[6]DSV-2'!II29+'[6]DSV-3'!II29+'[7]TUB-1'!II29+'[7]TUB-2'!II29+'[8]Barge-1'!II29+'[8]Barge-2'!II29+'[8]Barge-3'!II29+'[8]Barge-4'!II29</f>
        <v>0</v>
      </c>
      <c r="AW29" s="140">
        <f>'[2]AHTS-1'!II100+'[2]AHTS-2'!II100+'[2]AHTS-3'!II100+'[2]AHTS-4'!II100+'[2]AHTS-5'!II100+'[2]AHTS-6'!II100+'[2]AHTS-7'!II100+'[2]AHTS-8'!II100+'[3]CB-1'!II100+'[3]CB-2'!II100+'[3]CB-3'!II100+'[3]CB-4'!II100+'[3]CB-5'!II100+'[3]CB-6'!II100+'[3]CB-7'!II100+'[3]CB-8'!II100+'[3]CB-9'!II100+'[3]CB-10'!II100+'[3]CB-11'!II100+'[3]CB-12'!II100+'[3]CB-13'!II100+'[3]CB-14'!II100+'[3]CB-15'!II100+'[3]CB-16'!II100+'[3]CB-17'!II100+'[3]CB-18'!II100+'[3]CB-19'!II100+'[3]CB-20'!II100+'[3]CB-21'!II100+'[3]CB-22'!II100+'[3]CB-23'!II100+'[3]CB-24'!II100+'[4]LCT-1'!II100+'[4]LCT-2'!II100+'[4]LCT-3'!II100+'[4]LCT-4'!II100+'[4]LCT-5'!II100+'[4]LCT-6'!II100+'[4]LCT-7'!II100+'[4]LCT-8'!II100+'[5]TB-1'!II100+'[5]TB-2'!II100+'[5]TB-3'!II100+'[5]TB-4'!II100+'[5]TB-5'!II100+'[5]TB-6'!II100+'[5]TB-7'!II100+'[5]TB-8'!II100+'[5]TB-9'!II100+'[5]TB-10'!II100+'[6]DSV-1'!II100+'[6]DSV-2'!II100+'[6]DSV-3'!II100+'[7]TUB-1'!II100+'[7]TUB-2'!II100+'[8]Barge-1'!II100+'[8]Barge-2'!II100+'[8]Barge-3'!II100+'[8]Barge-4'!II100</f>
        <v>0</v>
      </c>
      <c r="AX29" s="67"/>
      <c r="AY29" s="67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</row>
    <row r="30" spans="1:97" s="69" customFormat="1" ht="14.25" customHeight="1" x14ac:dyDescent="0.25">
      <c r="A30" s="111">
        <f>[1]Control!AZ30</f>
        <v>46005</v>
      </c>
      <c r="B30" s="66"/>
      <c r="C30" s="176">
        <f>'[2]AHTS-1'!AV30+'[2]AHTS-2'!AV30+'[2]AHTS-3'!AV30+'[2]AHTS-4'!AV30+'[2]AHTS-5'!AV30+'[2]AHTS-6'!AV30+'[2]AHTS-7'!AV30+'[2]AHTS-8'!AV30+'[3]CB-1'!AV30+'[3]CB-2'!AV30+'[3]CB-3'!AV30+'[3]CB-4'!AV30+'[3]CB-5'!AV30+'[3]CB-6'!AV30+'[3]CB-7'!AV30+'[3]CB-8'!AV30+'[3]CB-9'!AV30+'[3]CB-10'!AV30+'[3]CB-11'!AV30+'[3]CB-12'!AV30+'[3]CB-13'!AV30+'[3]CB-14'!AV30+'[3]CB-15'!AV30+'[3]CB-16'!AV30+'[3]CB-17'!AV30+'[3]CB-18'!AV30+'[3]CB-19'!AV30+'[3]CB-20'!AV30+'[3]CB-21'!AV30+'[3]CB-22'!AV30+'[3]CB-23'!AV30+'[3]CB-24'!AV30+'[4]LCT-1'!AV30+'[4]LCT-2'!AV30+'[4]LCT-3'!AV30+'[4]LCT-4'!AV30+'[4]LCT-5'!AV30+'[4]LCT-6'!AV30+'[4]LCT-7'!AV30+'[4]LCT-8'!AV30+'[5]TB-1'!AV30+'[5]TB-2'!AV30+'[5]TB-3'!AV30+'[5]TB-4'!AV30+'[5]TB-5'!AV30+'[5]TB-6'!AV30+'[5]TB-7'!AV30+'[5]TB-8'!AV30+'[5]TB-9'!AV30+'[5]TB-10'!AV30+'[6]DSV-1'!AV30+'[6]DSV-2'!AV30+'[6]DSV-3'!AV30+'[7]TUB-1'!AV30+'[7]TUB-2'!AV30+'[8]Barge-1'!AV30+'[8]Barge-2'!AV30+'[8]Barge-3'!AV30+'[8]Barge-4'!AV30</f>
        <v>0</v>
      </c>
      <c r="D30" s="177">
        <f>'[2]AHTS-1'!BR30+'[2]AHTS-2'!BR30+'[2]AHTS-3'!BR30+'[2]AHTS-4'!BR30+'[2]AHTS-5'!BR30+'[2]AHTS-6'!BR30+'[2]AHTS-7'!BR30+'[2]AHTS-8'!BR30+'[3]CB-1'!BR30+'[3]CB-2'!BR30+'[3]CB-3'!BR30+'[3]CB-4'!BR30+'[3]CB-5'!BR30+'[3]CB-6'!BR30+'[3]CB-7'!BR30+'[3]CB-8'!BR30+'[3]CB-9'!BR30+'[3]CB-10'!BR30+'[3]CB-11'!BR30+'[3]CB-12'!BR30+'[3]CB-13'!BR30+'[3]CB-14'!BR30+'[3]CB-15'!BR30+'[3]CB-16'!BR30+'[3]CB-17'!BR30+'[3]CB-18'!BR30+'[3]CB-19'!BR30+'[3]CB-20'!BR30+'[3]CB-21'!BR30+'[3]CB-22'!BR30+'[3]CB-23'!BR30+'[3]CB-24'!BR30+'[4]LCT-1'!BR30+'[4]LCT-2'!BR30+'[4]LCT-3'!BR30+'[4]LCT-4'!BR30+'[4]LCT-5'!BR30+'[4]LCT-6'!BR30+'[4]LCT-7'!BR30+'[4]LCT-8'!BR30+'[5]TB-1'!BR30+'[5]TB-2'!BR30+'[5]TB-3'!BR30+'[5]TB-4'!BR30+'[5]TB-5'!BR30+'[5]TB-6'!BR30+'[5]TB-7'!BR30+'[5]TB-8'!BR30+'[5]TB-9'!BR30+'[5]TB-10'!BR30+'[6]DSV-1'!BR30+'[6]DSV-2'!BR30+'[6]DSV-3'!BR30+'[7]TUB-1'!BR30+'[7]TUB-2'!BR30+'[8]Barge-1'!BR30+'[8]Barge-2'!BR30+'[8]Barge-3'!BR30+'[8]Barge-4'!BR30</f>
        <v>0</v>
      </c>
      <c r="E30" s="178">
        <f>'[2]AHTS-1'!CN30+'[2]AHTS-2'!CN30+'[2]AHTS-3'!CN30+'[2]AHTS-4'!CN30+'[2]AHTS-5'!CN30+'[2]AHTS-6'!CN30+'[2]AHTS-7'!CN30+'[2]AHTS-8'!CN30+'[3]CB-1'!CN30+'[3]CB-2'!CN30+'[3]CB-3'!CN30+'[3]CB-4'!CN30+'[3]CB-5'!CN30+'[3]CB-6'!CN30+'[3]CB-7'!CN30+'[3]CB-8'!CN30+'[3]CB-9'!CN30+'[3]CB-10'!CN30+'[3]CB-11'!CN30+'[3]CB-12'!CN30+'[3]CB-13'!CN30+'[3]CB-14'!CN30+'[3]CB-15'!CN30+'[3]CB-16'!CN30+'[3]CB-17'!CN30+'[3]CB-18'!CN30+'[3]CB-19'!CN30+'[3]CB-20'!CN30+'[3]CB-21'!CN30+'[3]CB-22'!CN30+'[3]CB-23'!CN30+'[3]CB-24'!CN30+'[4]LCT-1'!CN30+'[4]LCT-2'!CN30+'[4]LCT-3'!CN30+'[4]LCT-4'!CN30+'[4]LCT-5'!CN30+'[4]LCT-6'!CN30+'[4]LCT-7'!CN30+'[4]LCT-8'!CN30+'[5]TB-1'!CN30+'[5]TB-2'!CN30+'[5]TB-3'!CN30+'[5]TB-4'!CN30+'[5]TB-5'!CN30+'[5]TB-6'!CN30+'[5]TB-7'!CN30+'[5]TB-8'!CN30+'[5]TB-9'!CN30+'[5]TB-10'!CN30+'[6]DSV-1'!CN30+'[6]DSV-2'!CN30+'[6]DSV-3'!CN30+'[7]TUB-1'!CN30+'[7]TUB-2'!CN30+'[8]Barge-1'!CN30+'[8]Barge-2'!CN30+'[8]Barge-3'!CN30+'[8]Barge-4'!CN30</f>
        <v>0</v>
      </c>
      <c r="F30" s="179">
        <f>'[2]AHTS-1'!AW30+'[2]AHTS-2'!AW30+'[2]AHTS-3'!AW30+'[2]AHTS-4'!AW30+'[2]AHTS-5'!AW30+'[2]AHTS-6'!AW30+'[2]AHTS-7'!AW30+'[2]AHTS-8'!AW30+'[3]CB-1'!AW30+'[3]CB-2'!AW30+'[3]CB-3'!AW30+'[3]CB-4'!AW30+'[3]CB-5'!AW30+'[3]CB-6'!AW30+'[3]CB-7'!AW30+'[3]CB-8'!AW30+'[3]CB-9'!AW30+'[3]CB-10'!AW30+'[3]CB-11'!AW30+'[3]CB-12'!AW30+'[3]CB-13'!AW30+'[3]CB-14'!AW30+'[3]CB-15'!AW30+'[3]CB-16'!AW30+'[3]CB-17'!AW30+'[3]CB-18'!AW30+'[3]CB-19'!AW30+'[3]CB-20'!AW30+'[3]CB-21'!AW30+'[3]CB-22'!AW30+'[3]CB-23'!AW30+'[3]CB-24'!AW30+'[4]LCT-1'!AW30+'[4]LCT-2'!AW30+'[4]LCT-3'!AW30+'[4]LCT-4'!AW30+'[4]LCT-5'!AW30+'[4]LCT-6'!AW30+'[4]LCT-7'!AW30+'[4]LCT-8'!AW30+'[5]TB-1'!AW30+'[5]TB-2'!AW30+'[5]TB-3'!AW30+'[5]TB-4'!AW30+'[5]TB-5'!AW30+'[5]TB-6'!AW30+'[5]TB-7'!AW30+'[5]TB-8'!AW30+'[5]TB-9'!AW30+'[5]TB-10'!AW30+'[6]DSV-1'!AW30+'[6]DSV-2'!AW30+'[6]DSV-3'!AW30+'[7]TUB-1'!AW30+'[7]TUB-2'!AW30+'[8]Barge-1'!AW30+'[8]Barge-2'!AW30+'[8]Barge-3'!AW30+'[8]Barge-4'!AW30</f>
        <v>1612.7487010518312</v>
      </c>
      <c r="G30" s="180">
        <f>'[2]AHTS-1'!BS30+'[2]AHTS-2'!BS30+'[2]AHTS-3'!BS30+'[2]AHTS-4'!BS30+'[2]AHTS-5'!BS30+'[2]AHTS-6'!BS30+'[2]AHTS-7'!BS30+'[2]AHTS-8'!BS30+'[3]CB-1'!BS30+'[3]CB-2'!BS30+'[3]CB-3'!BS30+'[3]CB-4'!BS30+'[3]CB-5'!BS30+'[3]CB-6'!BS30+'[3]CB-7'!BS30+'[3]CB-8'!BS30+'[3]CB-9'!BS30+'[3]CB-10'!BS30+'[3]CB-11'!BS30+'[3]CB-12'!BS30+'[3]CB-13'!BS30+'[3]CB-14'!BS30+'[3]CB-15'!BS30+'[3]CB-16'!BS30+'[3]CB-17'!BS30+'[3]CB-18'!BS30+'[3]CB-19'!BS30+'[3]CB-20'!BS30+'[3]CB-21'!BS30+'[3]CB-22'!BS30+'[3]CB-23'!BS30+'[3]CB-24'!BS30+'[4]LCT-1'!BS30+'[4]LCT-2'!BS30+'[4]LCT-3'!BS30+'[4]LCT-4'!BS30+'[4]LCT-5'!BS30+'[4]LCT-6'!BS30+'[4]LCT-7'!BS30+'[4]LCT-8'!BS30+'[5]TB-1'!BS30+'[5]TB-2'!BS30+'[5]TB-3'!BS30+'[5]TB-4'!BS30+'[5]TB-5'!BS30+'[5]TB-6'!BS30+'[5]TB-7'!BS30+'[5]TB-8'!BS30+'[5]TB-9'!BS30+'[5]TB-10'!BS30+'[6]DSV-1'!BS30+'[6]DSV-2'!BS30+'[6]DSV-3'!BS30+'[7]TUB-1'!BS30+'[7]TUB-2'!BS30+'[8]Barge-1'!BS30+'[8]Barge-2'!BS30+'[8]Barge-3'!BS30+'[8]Barge-4'!BS30</f>
        <v>1701.3052845013306</v>
      </c>
      <c r="H30" s="180">
        <f>'[2]AHTS-1'!CO30+'[2]AHTS-2'!CO30+'[2]AHTS-3'!CO30+'[2]AHTS-4'!CO30+'[2]AHTS-5'!CO30+'[2]AHTS-6'!CO30+'[2]AHTS-7'!CO30+'[2]AHTS-8'!CO30+'[3]CB-1'!CO30+'[3]CB-2'!CO30+'[3]CB-3'!CO30+'[3]CB-4'!CO30+'[3]CB-5'!CO30+'[3]CB-6'!CO30+'[3]CB-7'!CO30+'[3]CB-8'!CO30+'[3]CB-9'!CO30+'[3]CB-10'!CO30+'[3]CB-11'!CO30+'[3]CB-12'!CO30+'[3]CB-13'!CO30+'[3]CB-14'!CO30+'[3]CB-15'!CO30+'[3]CB-16'!CO30+'[3]CB-17'!CO30+'[3]CB-18'!CO30+'[3]CB-19'!CO30+'[3]CB-20'!CO30+'[3]CB-21'!CO30+'[3]CB-22'!CO30+'[3]CB-23'!CO30+'[3]CB-24'!CO30+'[4]LCT-1'!CO30+'[4]LCT-2'!CO30+'[4]LCT-3'!CO30+'[4]LCT-4'!CO30+'[4]LCT-5'!CO30+'[4]LCT-6'!CO30+'[4]LCT-7'!CO30+'[4]LCT-8'!CO30+'[5]TB-1'!CO30+'[5]TB-2'!CO30+'[5]TB-3'!CO30+'[5]TB-4'!CO30+'[5]TB-5'!CO30+'[5]TB-6'!CO30+'[5]TB-7'!CO30+'[5]TB-8'!CO30+'[5]TB-9'!CO30+'[5]TB-10'!CO30+'[6]DSV-1'!CO30+'[6]DSV-2'!CO30+'[6]DSV-3'!CO30+'[7]TUB-1'!CO30+'[7]TUB-2'!CO30+'[8]Barge-1'!CO30+'[8]Barge-2'!CO30+'[8]Barge-3'!CO30+'[8]Barge-4'!CO30</f>
        <v>0</v>
      </c>
      <c r="I30" s="179">
        <f>'[2]AHTS-1'!AX30+'[2]AHTS-2'!AX30+'[2]AHTS-3'!AX30+'[2]AHTS-4'!AX30+'[2]AHTS-5'!AX30+'[2]AHTS-6'!AX30+'[2]AHTS-7'!AX30+'[2]AHTS-8'!AX30+'[3]CB-1'!AX30+'[3]CB-2'!AX30+'[3]CB-3'!AX30+'[3]CB-4'!AX30+'[3]CB-5'!AX30+'[3]CB-6'!AX30+'[3]CB-7'!AX30+'[3]CB-8'!AX30+'[3]CB-9'!AX30+'[3]CB-10'!AX30+'[3]CB-11'!AX30+'[3]CB-12'!AX30+'[3]CB-13'!AX30+'[3]CB-14'!AX30+'[3]CB-15'!AX30+'[3]CB-16'!AX30+'[3]CB-17'!AX30+'[3]CB-18'!AX30+'[3]CB-19'!AX30+'[3]CB-20'!AX30+'[3]CB-21'!AX30+'[3]CB-22'!AX30+'[3]CB-23'!AX30+'[3]CB-24'!AX30+'[4]LCT-1'!AX30+'[4]LCT-2'!AX30+'[4]LCT-3'!AX30+'[4]LCT-4'!AX30+'[4]LCT-5'!AX30+'[4]LCT-6'!AX30+'[4]LCT-7'!AX30+'[4]LCT-8'!AX30+'[5]TB-1'!AX30+'[5]TB-2'!AX30+'[5]TB-3'!AX30+'[5]TB-4'!AX30+'[5]TB-5'!AX30+'[5]TB-6'!AX30+'[5]TB-7'!AX30+'[5]TB-8'!AX30+'[5]TB-9'!AX30+'[5]TB-10'!AX30+'[6]DSV-1'!AX30+'[6]DSV-2'!AX30+'[6]DSV-3'!AX30+'[7]TUB-1'!AX30+'[7]TUB-2'!AX30+'[8]Barge-1'!AX30+'[8]Barge-2'!AX30+'[8]Barge-3'!AX30+'[8]Barge-4'!AX30</f>
        <v>3550.9124318844256</v>
      </c>
      <c r="J30" s="180">
        <f>'[2]AHTS-1'!BT30+'[2]AHTS-2'!BT30+'[2]AHTS-3'!BT30+'[2]AHTS-4'!BT30+'[2]AHTS-5'!BT30+'[2]AHTS-6'!BT30+'[2]AHTS-7'!BT30+'[2]AHTS-8'!BT30+'[3]CB-1'!BT30+'[3]CB-2'!BT30+'[3]CB-3'!BT30+'[3]CB-4'!BT30+'[3]CB-5'!BT30+'[3]CB-6'!BT30+'[3]CB-7'!BT30+'[3]CB-8'!BT30+'[3]CB-9'!BT30+'[3]CB-10'!BT30+'[3]CB-11'!BT30+'[3]CB-12'!BT30+'[3]CB-13'!BT30+'[3]CB-14'!BT30+'[3]CB-15'!BT30+'[3]CB-16'!BT30+'[3]CB-17'!BT30+'[3]CB-18'!BT30+'[3]CB-19'!BT30+'[3]CB-20'!BT30+'[3]CB-21'!BT30+'[3]CB-22'!BT30+'[3]CB-23'!BT30+'[3]CB-24'!BT30+'[4]LCT-1'!BT30+'[4]LCT-2'!BT30+'[4]LCT-3'!BT30+'[4]LCT-4'!BT30+'[4]LCT-5'!BT30+'[4]LCT-6'!BT30+'[4]LCT-7'!BT30+'[4]LCT-8'!BT30+'[5]TB-1'!BT30+'[5]TB-2'!BT30+'[5]TB-3'!BT30+'[5]TB-4'!BT30+'[5]TB-5'!BT30+'[5]TB-6'!BT30+'[5]TB-7'!BT30+'[5]TB-8'!BT30+'[5]TB-9'!BT30+'[5]TB-10'!BT30+'[6]DSV-1'!BT30+'[6]DSV-2'!BT30+'[6]DSV-3'!BT30+'[7]TUB-1'!BT30+'[7]TUB-2'!BT30+'[8]Barge-1'!BT30+'[8]Barge-2'!BT30+'[8]Barge-3'!BT30+'[8]Barge-4'!BT30</f>
        <v>2876.6949689519702</v>
      </c>
      <c r="K30" s="180">
        <f>'[2]AHTS-1'!CP30+'[2]AHTS-2'!CP30+'[2]AHTS-3'!CP30+'[2]AHTS-4'!CP30+'[2]AHTS-5'!CP30+'[2]AHTS-6'!CP30+'[2]AHTS-7'!CP30+'[2]AHTS-8'!CP30+'[3]CB-1'!CP30+'[3]CB-2'!CP30+'[3]CB-3'!CP30+'[3]CB-4'!CP30+'[3]CB-5'!CP30+'[3]CB-6'!CP30+'[3]CB-7'!CP30+'[3]CB-8'!CP30+'[3]CB-9'!CP30+'[3]CB-10'!CP30+'[3]CB-11'!CP30+'[3]CB-12'!CP30+'[3]CB-13'!CP30+'[3]CB-14'!CP30+'[3]CB-15'!CP30+'[3]CB-16'!CP30+'[3]CB-17'!CP30+'[3]CB-18'!CP30+'[3]CB-19'!CP30+'[3]CB-20'!CP30+'[3]CB-21'!CP30+'[3]CB-22'!CP30+'[3]CB-23'!CP30+'[3]CB-24'!CP30+'[4]LCT-1'!CP30+'[4]LCT-2'!CP30+'[4]LCT-3'!CP30+'[4]LCT-4'!CP30+'[4]LCT-5'!CP30+'[4]LCT-6'!CP30+'[4]LCT-7'!CP30+'[4]LCT-8'!CP30+'[5]TB-1'!CP30+'[5]TB-2'!CP30+'[5]TB-3'!CP30+'[5]TB-4'!CP30+'[5]TB-5'!CP30+'[5]TB-6'!CP30+'[5]TB-7'!CP30+'[5]TB-8'!CP30+'[5]TB-9'!CP30+'[5]TB-10'!CP30+'[6]DSV-1'!CP30+'[6]DSV-2'!CP30+'[6]DSV-3'!CP30+'[7]TUB-1'!CP30+'[7]TUB-2'!CP30+'[8]Barge-1'!CP30+'[8]Barge-2'!CP30+'[8]Barge-3'!CP30+'[8]Barge-4'!CP30</f>
        <v>0</v>
      </c>
      <c r="L30" s="181">
        <f>'[2]AHTS-1'!AY30+'[2]AHTS-2'!AY30+'[2]AHTS-3'!AY30+'[2]AHTS-4'!AY30+'[2]AHTS-5'!AY30+'[2]AHTS-6'!AY30+'[2]AHTS-7'!AY30+'[2]AHTS-8'!AY30+'[3]CB-1'!AY30+'[3]CB-2'!AY30+'[3]CB-3'!AY30+'[3]CB-4'!AY30+'[3]CB-5'!AY30+'[3]CB-6'!AY30+'[3]CB-7'!AY30+'[3]CB-8'!AY30+'[3]CB-9'!AY30+'[3]CB-10'!AY30+'[3]CB-11'!AY30+'[3]CB-12'!AY30+'[3]CB-13'!AY30+'[3]CB-14'!AY30+'[3]CB-15'!AY30+'[3]CB-16'!AY30+'[3]CB-17'!AY30+'[3]CB-18'!AY30+'[3]CB-19'!AY30+'[3]CB-20'!AY30+'[3]CB-21'!AY30+'[3]CB-22'!AY30+'[3]CB-23'!AY30+'[3]CB-24'!AY30+'[4]LCT-1'!AY30+'[4]LCT-2'!AY30+'[4]LCT-3'!AY30+'[4]LCT-4'!AY30+'[4]LCT-5'!AY30+'[4]LCT-6'!AY30+'[4]LCT-7'!AY30+'[4]LCT-8'!AY30+'[5]TB-1'!AY30+'[5]TB-2'!AY30+'[5]TB-3'!AY30+'[5]TB-4'!AY30+'[5]TB-5'!AY30+'[5]TB-6'!AY30+'[5]TB-7'!AY30+'[5]TB-8'!AY30+'[5]TB-9'!AY30+'[5]TB-10'!AY30+'[6]DSV-1'!AY30+'[6]DSV-2'!AY30+'[6]DSV-3'!AY30+'[7]TUB-1'!AY30+'[7]TUB-2'!AY30+'[8]Barge-1'!AY30+'[8]Barge-2'!AY30+'[8]Barge-3'!AY30+'[8]Barge-4'!AY30</f>
        <v>2820.2635914332786</v>
      </c>
      <c r="M30" s="182">
        <f>'[2]AHTS-1'!BU30+'[2]AHTS-2'!BU30+'[2]AHTS-3'!BU30+'[2]AHTS-4'!BU30+'[2]AHTS-5'!BU30+'[2]AHTS-6'!BU30+'[2]AHTS-7'!BU30+'[2]AHTS-8'!BU30+'[3]CB-1'!BU30+'[3]CB-2'!BU30+'[3]CB-3'!BU30+'[3]CB-4'!BU30+'[3]CB-5'!BU30+'[3]CB-6'!BU30+'[3]CB-7'!BU30+'[3]CB-8'!BU30+'[3]CB-9'!BU30+'[3]CB-10'!BU30+'[3]CB-11'!BU30+'[3]CB-12'!BU30+'[3]CB-13'!BU30+'[3]CB-14'!BU30+'[3]CB-15'!BU30+'[3]CB-16'!BU30+'[3]CB-17'!BU30+'[3]CB-18'!BU30+'[3]CB-19'!BU30+'[3]CB-20'!BU30+'[3]CB-21'!BU30+'[3]CB-22'!BU30+'[3]CB-23'!BU30+'[3]CB-24'!BU30+'[4]LCT-1'!BU30+'[4]LCT-2'!BU30+'[4]LCT-3'!BU30+'[4]LCT-4'!BU30+'[4]LCT-5'!BU30+'[4]LCT-6'!BU30+'[4]LCT-7'!BU30+'[4]LCT-8'!BU30+'[5]TB-1'!BU30+'[5]TB-2'!BU30+'[5]TB-3'!BU30+'[5]TB-4'!BU30+'[5]TB-5'!BU30+'[5]TB-6'!BU30+'[5]TB-7'!BU30+'[5]TB-8'!BU30+'[5]TB-9'!BU30+'[5]TB-10'!BU30+'[6]DSV-1'!BU30+'[6]DSV-2'!BU30+'[6]DSV-3'!BU30+'[7]TUB-1'!BU30+'[7]TUB-2'!BU30+'[8]Barge-1'!BU30+'[8]Barge-2'!BU30+'[8]Barge-3'!BU30+'[8]Barge-4'!BU30</f>
        <v>4416.4237739196551</v>
      </c>
      <c r="N30" s="182">
        <f>'[2]AHTS-1'!CQ30+'[2]AHTS-2'!CQ30+'[2]AHTS-3'!CQ30+'[2]AHTS-4'!CQ30+'[2]AHTS-5'!CQ30+'[2]AHTS-6'!CQ30+'[2]AHTS-7'!CQ30+'[2]AHTS-8'!CQ30+'[3]CB-1'!CQ30+'[3]CB-2'!CQ30+'[3]CB-3'!CQ30+'[3]CB-4'!CQ30+'[3]CB-5'!CQ30+'[3]CB-6'!CQ30+'[3]CB-7'!CQ30+'[3]CB-8'!CQ30+'[3]CB-9'!CQ30+'[3]CB-10'!CQ30+'[3]CB-11'!CQ30+'[3]CB-12'!CQ30+'[3]CB-13'!CQ30+'[3]CB-14'!CQ30+'[3]CB-15'!CQ30+'[3]CB-16'!CQ30+'[3]CB-17'!CQ30+'[3]CB-18'!CQ30+'[3]CB-19'!CQ30+'[3]CB-20'!CQ30+'[3]CB-21'!CQ30+'[3]CB-22'!CQ30+'[3]CB-23'!CQ30+'[3]CB-24'!CQ30+'[4]LCT-1'!CQ30+'[4]LCT-2'!CQ30+'[4]LCT-3'!CQ30+'[4]LCT-4'!CQ30+'[4]LCT-5'!CQ30+'[4]LCT-6'!CQ30+'[4]LCT-7'!CQ30+'[4]LCT-8'!CQ30+'[5]TB-1'!CQ30+'[5]TB-2'!CQ30+'[5]TB-3'!CQ30+'[5]TB-4'!CQ30+'[5]TB-5'!CQ30+'[5]TB-6'!CQ30+'[5]TB-7'!CQ30+'[5]TB-8'!CQ30+'[5]TB-9'!CQ30+'[5]TB-10'!CQ30+'[6]DSV-1'!CQ30+'[6]DSV-2'!CQ30+'[6]DSV-3'!CQ30+'[7]TUB-1'!CQ30+'[7]TUB-2'!CQ30+'[8]Barge-1'!CQ30+'[8]Barge-2'!CQ30+'[8]Barge-3'!CQ30+'[8]Barge-4'!CQ30</f>
        <v>0</v>
      </c>
      <c r="O30" s="179">
        <f>'[2]AHTS-1'!AZ30+'[2]AHTS-2'!AZ30+'[2]AHTS-3'!AZ30+'[2]AHTS-4'!AZ30+'[2]AHTS-5'!AZ30+'[2]AHTS-6'!AZ30+'[2]AHTS-7'!AZ30+'[2]AHTS-8'!AZ30+'[3]CB-1'!AZ30+'[3]CB-2'!AZ30+'[3]CB-3'!AZ30+'[3]CB-4'!AZ30+'[3]CB-5'!AZ30+'[3]CB-6'!AZ30+'[3]CB-7'!AZ30+'[3]CB-8'!AZ30+'[3]CB-9'!AZ30+'[3]CB-10'!AZ30+'[3]CB-11'!AZ30+'[3]CB-12'!AZ30+'[3]CB-13'!AZ30+'[3]CB-14'!AZ30+'[3]CB-15'!AZ30+'[3]CB-16'!AZ30+'[3]CB-17'!AZ30+'[3]CB-18'!AZ30+'[3]CB-19'!AZ30+'[3]CB-20'!AZ30+'[3]CB-21'!AZ30+'[3]CB-22'!AZ30+'[3]CB-23'!AZ30+'[3]CB-24'!AZ30+'[4]LCT-1'!AZ30+'[4]LCT-2'!AZ30+'[4]LCT-3'!AZ30+'[4]LCT-4'!AZ30+'[4]LCT-5'!AZ30+'[4]LCT-6'!AZ30+'[4]LCT-7'!AZ30+'[4]LCT-8'!AZ30+'[5]TB-1'!AZ30+'[5]TB-2'!AZ30+'[5]TB-3'!AZ30+'[5]TB-4'!AZ30+'[5]TB-5'!AZ30+'[5]TB-6'!AZ30+'[5]TB-7'!AZ30+'[5]TB-8'!AZ30+'[5]TB-9'!AZ30+'[5]TB-10'!AZ30+'[6]DSV-1'!AZ30+'[6]DSV-2'!AZ30+'[6]DSV-3'!AZ30+'[7]TUB-1'!AZ30+'[7]TUB-2'!AZ30+'[8]Barge-1'!AZ30+'[8]Barge-2'!AZ30+'[8]Barge-3'!AZ30+'[8]Barge-4'!AZ30</f>
        <v>139.17120770498036</v>
      </c>
      <c r="P30" s="180">
        <f>'[2]AHTS-1'!BV30+'[2]AHTS-2'!BV30+'[2]AHTS-3'!BV30+'[2]AHTS-4'!BV30+'[2]AHTS-5'!BV30+'[2]AHTS-6'!BV30+'[2]AHTS-7'!BV30+'[2]AHTS-8'!BV30+'[3]CB-1'!BV30+'[3]CB-2'!BV30+'[3]CB-3'!BV30+'[3]CB-4'!BV30+'[3]CB-5'!BV30+'[3]CB-6'!BV30+'[3]CB-7'!BV30+'[3]CB-8'!BV30+'[3]CB-9'!BV30+'[3]CB-10'!BV30+'[3]CB-11'!BV30+'[3]CB-12'!BV30+'[3]CB-13'!BV30+'[3]CB-14'!BV30+'[3]CB-15'!BV30+'[3]CB-16'!BV30+'[3]CB-17'!BV30+'[3]CB-18'!BV30+'[3]CB-19'!BV30+'[3]CB-20'!BV30+'[3]CB-21'!BV30+'[3]CB-22'!BV30+'[3]CB-23'!BV30+'[3]CB-24'!BV30+'[4]LCT-1'!BV30+'[4]LCT-2'!BV30+'[4]LCT-3'!BV30+'[4]LCT-4'!BV30+'[4]LCT-5'!BV30+'[4]LCT-6'!BV30+'[4]LCT-7'!BV30+'[4]LCT-8'!BV30+'[5]TB-1'!BV30+'[5]TB-2'!BV30+'[5]TB-3'!BV30+'[5]TB-4'!BV30+'[5]TB-5'!BV30+'[5]TB-6'!BV30+'[5]TB-7'!BV30+'[5]TB-8'!BV30+'[5]TB-9'!BV30+'[5]TB-10'!BV30+'[6]DSV-1'!BV30+'[6]DSV-2'!BV30+'[6]DSV-3'!BV30+'[7]TUB-1'!BV30+'[7]TUB-2'!BV30+'[8]Barge-1'!BV30+'[8]Barge-2'!BV30+'[8]Barge-3'!BV30+'[8]Barge-4'!BV30</f>
        <v>411.86161449752882</v>
      </c>
      <c r="Q30" s="180">
        <f>'[2]AHTS-1'!CR30+'[2]AHTS-2'!CR30+'[2]AHTS-3'!CR30+'[2]AHTS-4'!CR30+'[2]AHTS-5'!CR30+'[2]AHTS-6'!CR30+'[2]AHTS-7'!CR30+'[2]AHTS-8'!CR30+'[3]CB-1'!CR30+'[3]CB-2'!CR30+'[3]CB-3'!CR30+'[3]CB-4'!CR30+'[3]CB-5'!CR30+'[3]CB-6'!CR30+'[3]CB-7'!CR30+'[3]CB-8'!CR30+'[3]CB-9'!CR30+'[3]CB-10'!CR30+'[3]CB-11'!CR30+'[3]CB-12'!CR30+'[3]CB-13'!CR30+'[3]CB-14'!CR30+'[3]CB-15'!CR30+'[3]CB-16'!CR30+'[3]CB-17'!CR30+'[3]CB-18'!CR30+'[3]CB-19'!CR30+'[3]CB-20'!CR30+'[3]CB-21'!CR30+'[3]CB-22'!CR30+'[3]CB-23'!CR30+'[3]CB-24'!CR30+'[4]LCT-1'!CR30+'[4]LCT-2'!CR30+'[4]LCT-3'!CR30+'[4]LCT-4'!CR30+'[4]LCT-5'!CR30+'[4]LCT-6'!CR30+'[4]LCT-7'!CR30+'[4]LCT-8'!CR30+'[5]TB-1'!CR30+'[5]TB-2'!CR30+'[5]TB-3'!CR30+'[5]TB-4'!CR30+'[5]TB-5'!CR30+'[5]TB-6'!CR30+'[5]TB-7'!CR30+'[5]TB-8'!CR30+'[5]TB-9'!CR30+'[5]TB-10'!CR30+'[6]DSV-1'!CR30+'[6]DSV-2'!CR30+'[6]DSV-3'!CR30+'[7]TUB-1'!CR30+'[7]TUB-2'!CR30+'[8]Barge-1'!CR30+'[8]Barge-2'!CR30+'[8]Barge-3'!CR30+'[8]Barge-4'!CR30</f>
        <v>0</v>
      </c>
      <c r="R30" s="183">
        <f>'[2]AHTS-1'!BA30+'[2]AHTS-2'!BA30+'[2]AHTS-3'!BA30+'[2]AHTS-4'!BA30+'[2]AHTS-5'!BA30+'[2]AHTS-6'!BA30+'[2]AHTS-7'!BA30+'[2]AHTS-8'!BA30+'[3]CB-1'!BA30+'[3]CB-2'!BA30+'[3]CB-3'!BA30+'[3]CB-4'!BA30+'[3]CB-5'!BA30+'[3]CB-6'!BA30+'[3]CB-7'!BA30+'[3]CB-8'!BA30+'[3]CB-9'!BA30+'[3]CB-10'!BA30+'[3]CB-11'!BA30+'[3]CB-12'!BA30+'[3]CB-13'!BA30+'[3]CB-14'!BA30+'[3]CB-15'!BA30+'[3]CB-16'!BA30+'[3]CB-17'!BA30+'[3]CB-18'!BA30+'[3]CB-19'!BA30+'[3]CB-20'!BA30+'[3]CB-21'!BA30+'[3]CB-22'!BA30+'[3]CB-23'!BA30+'[3]CB-24'!BA30+'[4]LCT-1'!BA30+'[4]LCT-2'!BA30+'[4]LCT-3'!BA30+'[4]LCT-4'!BA30+'[4]LCT-5'!BA30+'[4]LCT-6'!BA30+'[4]LCT-7'!BA30+'[4]LCT-8'!BA30+'[5]TB-1'!BA30+'[5]TB-2'!BA30+'[5]TB-3'!BA30+'[5]TB-4'!BA30+'[5]TB-5'!BA30+'[5]TB-6'!BA30+'[5]TB-7'!BA30+'[5]TB-8'!BA30+'[5]TB-9'!BA30+'[5]TB-10'!BA30+'[6]DSV-1'!BA30+'[6]DSV-2'!BA30+'[6]DSV-3'!BA30+'[7]TUB-1'!BA30+'[7]TUB-2'!BA30+'[8]Barge-1'!BA30+'[8]Barge-2'!BA30+'[8]Barge-3'!BA30+'[8]Barge-4'!BA30</f>
        <v>4379.7997718920287</v>
      </c>
      <c r="S30" s="180">
        <f>'[2]AHTS-1'!BW30+'[2]AHTS-2'!BW30+'[2]AHTS-3'!BW30+'[2]AHTS-4'!BW30+'[2]AHTS-5'!BW30+'[2]AHTS-6'!BW30+'[2]AHTS-7'!BW30+'[2]AHTS-8'!BW30+'[3]CB-1'!BW30+'[3]CB-2'!BW30+'[3]CB-3'!BW30+'[3]CB-4'!BW30+'[3]CB-5'!BW30+'[3]CB-6'!BW30+'[3]CB-7'!BW30+'[3]CB-8'!BW30+'[3]CB-9'!BW30+'[3]CB-10'!BW30+'[3]CB-11'!BW30+'[3]CB-12'!BW30+'[3]CB-13'!BW30+'[3]CB-14'!BW30+'[3]CB-15'!BW30+'[3]CB-16'!BW30+'[3]CB-17'!BW30+'[3]CB-18'!BW30+'[3]CB-19'!BW30+'[3]CB-20'!BW30+'[3]CB-21'!BW30+'[3]CB-22'!BW30+'[3]CB-23'!BW30+'[3]CB-24'!BW30+'[4]LCT-1'!BW30+'[4]LCT-2'!BW30+'[4]LCT-3'!BW30+'[4]LCT-4'!BW30+'[4]LCT-5'!BW30+'[4]LCT-6'!BW30+'[4]LCT-7'!BW30+'[4]LCT-8'!BW30+'[5]TB-1'!BW30+'[5]TB-2'!BW30+'[5]TB-3'!BW30+'[5]TB-4'!BW30+'[5]TB-5'!BW30+'[5]TB-6'!BW30+'[5]TB-7'!BW30+'[5]TB-8'!BW30+'[5]TB-9'!BW30+'[5]TB-10'!BW30+'[6]DSV-1'!BW30+'[6]DSV-2'!BW30+'[6]DSV-3'!BW30+'[7]TUB-1'!BW30+'[7]TUB-2'!BW30+'[8]Barge-1'!BW30+'[8]Barge-2'!BW30+'[8]Barge-3'!BW30+'[8]Barge-4'!BW30</f>
        <v>5298.7580788239766</v>
      </c>
      <c r="T30" s="184">
        <f>'[2]AHTS-1'!CS30+'[2]AHTS-2'!CS30+'[2]AHTS-3'!CS30+'[2]AHTS-4'!CS30+'[2]AHTS-5'!CS30+'[2]AHTS-6'!CS30+'[2]AHTS-7'!CS30+'[2]AHTS-8'!CS30+'[3]CB-1'!CS30+'[3]CB-2'!CS30+'[3]CB-3'!CS30+'[3]CB-4'!CS30+'[3]CB-5'!CS30+'[3]CB-6'!CS30+'[3]CB-7'!CS30+'[3]CB-8'!CS30+'[3]CB-9'!CS30+'[3]CB-10'!CS30+'[3]CB-11'!CS30+'[3]CB-12'!CS30+'[3]CB-13'!CS30+'[3]CB-14'!CS30+'[3]CB-15'!CS30+'[3]CB-16'!CS30+'[3]CB-17'!CS30+'[3]CB-18'!CS30+'[3]CB-19'!CS30+'[3]CB-20'!CS30+'[3]CB-21'!CS30+'[3]CB-22'!CS30+'[3]CB-23'!CS30+'[3]CB-24'!CS30+'[4]LCT-1'!CS30+'[4]LCT-2'!CS30+'[4]LCT-3'!CS30+'[4]LCT-4'!CS30+'[4]LCT-5'!CS30+'[4]LCT-6'!CS30+'[4]LCT-7'!CS30+'[4]LCT-8'!CS30+'[5]TB-1'!CS30+'[5]TB-2'!CS30+'[5]TB-3'!CS30+'[5]TB-4'!CS30+'[5]TB-5'!CS30+'[5]TB-6'!CS30+'[5]TB-7'!CS30+'[5]TB-8'!CS30+'[5]TB-9'!CS30+'[5]TB-10'!CS30+'[6]DSV-1'!CS30+'[6]DSV-2'!CS30+'[6]DSV-3'!CS30+'[7]TUB-1'!CS30+'[7]TUB-2'!CS30+'[8]Barge-1'!CS30+'[8]Barge-2'!CS30+'[8]Barge-3'!CS30+'[8]Barge-4'!CS30</f>
        <v>0</v>
      </c>
      <c r="U30" s="183">
        <f>'[2]AHTS-1'!BB30+'[2]AHTS-2'!BB30+'[2]AHTS-3'!BB30+'[2]AHTS-4'!BB30+'[2]AHTS-5'!BB30+'[2]AHTS-6'!BB30+'[2]AHTS-7'!BB30+'[2]AHTS-8'!BB30+'[3]CB-1'!BB30+'[3]CB-2'!BB30+'[3]CB-3'!BB30+'[3]CB-4'!BB30+'[3]CB-5'!BB30+'[3]CB-6'!BB30+'[3]CB-7'!BB30+'[3]CB-8'!BB30+'[3]CB-9'!BB30+'[3]CB-10'!BB30+'[3]CB-11'!BB30+'[3]CB-12'!BB30+'[3]CB-13'!BB30+'[3]CB-14'!BB30+'[3]CB-15'!BB30+'[3]CB-16'!BB30+'[3]CB-17'!BB30+'[3]CB-18'!BB30+'[3]CB-19'!BB30+'[3]CB-20'!BB30+'[3]CB-21'!BB30+'[3]CB-22'!BB30+'[3]CB-23'!BB30+'[3]CB-24'!BB30+'[4]LCT-1'!BB30+'[4]LCT-2'!BB30+'[4]LCT-3'!BB30+'[4]LCT-4'!BB30+'[4]LCT-5'!BB30+'[4]LCT-6'!BB30+'[4]LCT-7'!BB30+'[4]LCT-8'!BB30+'[5]TB-1'!BB30+'[5]TB-2'!BB30+'[5]TB-3'!BB30+'[5]TB-4'!BB30+'[5]TB-5'!BB30+'[5]TB-6'!BB30+'[5]TB-7'!BB30+'[5]TB-8'!BB30+'[5]TB-9'!BB30+'[5]TB-10'!BB30+'[6]DSV-1'!BB30+'[6]DSV-2'!BB30+'[6]DSV-3'!BB30+'[7]TUB-1'!BB30+'[7]TUB-2'!BB30+'[8]Barge-1'!BB30+'[8]Barge-2'!BB30+'[8]Barge-3'!BB30+'[8]Barge-4'!BB30</f>
        <v>0</v>
      </c>
      <c r="V30" s="180">
        <f>'[2]AHTS-1'!BX30+'[2]AHTS-2'!BX30+'[2]AHTS-3'!BX30+'[2]AHTS-4'!BX30+'[2]AHTS-5'!BX30+'[2]AHTS-6'!BX30+'[2]AHTS-7'!BX30+'[2]AHTS-8'!BX30+'[3]CB-1'!BX30+'[3]CB-2'!BX30+'[3]CB-3'!BX30+'[3]CB-4'!BX30+'[3]CB-5'!BX30+'[3]CB-6'!BX30+'[3]CB-7'!BX30+'[3]CB-8'!BX30+'[3]CB-9'!BX30+'[3]CB-10'!BX30+'[3]CB-11'!BX30+'[3]CB-12'!BX30+'[3]CB-13'!BX30+'[3]CB-14'!BX30+'[3]CB-15'!BX30+'[3]CB-16'!BX30+'[3]CB-17'!BX30+'[3]CB-18'!BX30+'[3]CB-19'!BX30+'[3]CB-20'!BX30+'[3]CB-21'!BX30+'[3]CB-22'!BX30+'[3]CB-23'!BX30+'[3]CB-24'!BX30+'[4]LCT-1'!BX30+'[4]LCT-2'!BX30+'[4]LCT-3'!BX30+'[4]LCT-4'!BX30+'[4]LCT-5'!BX30+'[4]LCT-6'!BX30+'[4]LCT-7'!BX30+'[4]LCT-8'!BX30+'[5]TB-1'!BX30+'[5]TB-2'!BX30+'[5]TB-3'!BX30+'[5]TB-4'!BX30+'[5]TB-5'!BX30+'[5]TB-6'!BX30+'[5]TB-7'!BX30+'[5]TB-8'!BX30+'[5]TB-9'!BX30+'[5]TB-10'!BX30+'[6]DSV-1'!BX30+'[6]DSV-2'!BX30+'[6]DSV-3'!BX30+'[7]TUB-1'!BX30+'[7]TUB-2'!BX30+'[8]Barge-1'!BX30+'[8]Barge-2'!BX30+'[8]Barge-3'!BX30+'[8]Barge-4'!BX30</f>
        <v>0</v>
      </c>
      <c r="W30" s="184">
        <f>'[2]AHTS-1'!CT30+'[2]AHTS-2'!CT30+'[2]AHTS-3'!CT30+'[2]AHTS-4'!CT30+'[2]AHTS-5'!CT30+'[2]AHTS-6'!CT30+'[2]AHTS-7'!CT30+'[2]AHTS-8'!CT30+'[3]CB-1'!CT30+'[3]CB-2'!CT30+'[3]CB-3'!CT30+'[3]CB-4'!CT30+'[3]CB-5'!CT30+'[3]CB-6'!CT30+'[3]CB-7'!CT30+'[3]CB-8'!CT30+'[3]CB-9'!CT30+'[3]CB-10'!CT30+'[3]CB-11'!CT30+'[3]CB-12'!CT30+'[3]CB-13'!CT30+'[3]CB-14'!CT30+'[3]CB-15'!CT30+'[3]CB-16'!CT30+'[3]CB-17'!CT30+'[3]CB-18'!CT30+'[3]CB-19'!CT30+'[3]CB-20'!CT30+'[3]CB-21'!CT30+'[3]CB-22'!CT30+'[3]CB-23'!CT30+'[3]CB-24'!CT30+'[4]LCT-1'!CT30+'[4]LCT-2'!CT30+'[4]LCT-3'!CT30+'[4]LCT-4'!CT30+'[4]LCT-5'!CT30+'[4]LCT-6'!CT30+'[4]LCT-7'!CT30+'[4]LCT-8'!CT30+'[5]TB-1'!CT30+'[5]TB-2'!CT30+'[5]TB-3'!CT30+'[5]TB-4'!CT30+'[5]TB-5'!CT30+'[5]TB-6'!CT30+'[5]TB-7'!CT30+'[5]TB-8'!CT30+'[5]TB-9'!CT30+'[5]TB-10'!CT30+'[6]DSV-1'!CT30+'[6]DSV-2'!CT30+'[6]DSV-3'!CT30+'[7]TUB-1'!CT30+'[7]TUB-2'!CT30+'[8]Barge-1'!CT30+'[8]Barge-2'!CT30+'[8]Barge-3'!CT30+'[8]Barge-4'!CT30</f>
        <v>0</v>
      </c>
      <c r="X30" s="67"/>
      <c r="Y30" s="67"/>
      <c r="Z30" s="68"/>
      <c r="AA30" s="111">
        <f>[1]Control!AZ30</f>
        <v>46005</v>
      </c>
      <c r="AB30" s="66"/>
      <c r="AC30" s="132">
        <f>'[2]AHTS-1'!IC68+'[2]AHTS-2'!IC68+'[2]AHTS-3'!IC68+'[2]AHTS-4'!IC68+'[2]AHTS-5'!IC68+'[2]AHTS-6'!IC68+'[2]AHTS-7'!IC68+'[2]AHTS-8'!IC68+'[3]CB-1'!IC68+'[3]CB-2'!IC68+'[3]CB-3'!IC68+'[3]CB-4'!IC68+'[3]CB-5'!IC68+'[3]CB-6'!IC68+'[3]CB-7'!IC68+'[3]CB-8'!IC68+'[3]CB-9'!IC68+'[3]CB-10'!IC68+'[3]CB-11'!IC68+'[3]CB-12'!IC68+'[3]CB-13'!IC68+'[3]CB-14'!IC68+'[3]CB-15'!IC68+'[3]CB-16'!IC68+'[3]CB-17'!IC68+'[3]CB-18'!IC68+'[3]CB-19'!IC68+'[3]CB-20'!IC68+'[3]CB-21'!IC68+'[3]CB-22'!IC68+'[3]CB-23'!IC68+'[3]CB-24'!IC68+'[4]LCT-1'!IC68+'[4]LCT-2'!IC68+'[4]LCT-3'!IC68+'[4]LCT-4'!IC68+'[4]LCT-5'!IC68+'[4]LCT-6'!IC68+'[4]LCT-7'!IC68+'[4]LCT-8'!IC68+'[5]TB-1'!IC68+'[5]TB-2'!IC68+'[5]TB-3'!IC68+'[5]TB-4'!IC68+'[5]TB-5'!IC68+'[5]TB-6'!IC68+'[5]TB-7'!IC68+'[5]TB-8'!IC68+'[5]TB-9'!IC68+'[5]TB-10'!IC68+'[6]DSV-1'!IC68+'[6]DSV-2'!IC68+'[6]DSV-3'!IC68+'[7]TUB-1'!IC68+'[7]TUB-2'!IC68+'[8]Barge-1'!IC68+'[8]Barge-2'!IC68+'[8]Barge-3'!IC68+'[8]Barge-4'!IC68</f>
        <v>0</v>
      </c>
      <c r="AD30" s="133">
        <f>'[2]AHTS-1'!IC30+'[2]AHTS-2'!IC30+'[2]AHTS-3'!IC30+'[2]AHTS-4'!IC30+'[2]AHTS-5'!IC30+'[2]AHTS-6'!IC30+'[2]AHTS-7'!IC30+'[2]AHTS-8'!IC30+'[3]CB-1'!IC30+'[3]CB-2'!IC30+'[3]CB-3'!IC30+'[3]CB-4'!IC30+'[3]CB-5'!IC30+'[3]CB-6'!IC30+'[3]CB-7'!IC30+'[3]CB-8'!IC30+'[3]CB-9'!IC30+'[3]CB-10'!IC30+'[3]CB-11'!IC30+'[3]CB-12'!IC30+'[3]CB-13'!IC30+'[3]CB-14'!IC30+'[3]CB-15'!IC30+'[3]CB-16'!IC30+'[3]CB-17'!IC30+'[3]CB-18'!IC30+'[3]CB-19'!IC30+'[3]CB-20'!IC30+'[3]CB-21'!IC30+'[3]CB-22'!IC30+'[3]CB-23'!IC30+'[3]CB-24'!IC30+'[4]LCT-1'!IC30+'[4]LCT-2'!IC30+'[4]LCT-3'!IC30+'[4]LCT-4'!IC30+'[4]LCT-5'!IC30+'[4]LCT-6'!IC30+'[4]LCT-7'!IC30+'[4]LCT-8'!IC30+'[5]TB-1'!IC30+'[5]TB-2'!IC30+'[5]TB-3'!IC30+'[5]TB-4'!IC30+'[5]TB-5'!IC30+'[5]TB-6'!IC30+'[5]TB-7'!IC30+'[5]TB-8'!IC30+'[5]TB-9'!IC30+'[5]TB-10'!IC30+'[6]DSV-1'!IC30+'[6]DSV-2'!IC30+'[6]DSV-3'!IC30+'[7]TUB-1'!IC30+'[7]TUB-2'!IC30+'[8]Barge-1'!IC30+'[8]Barge-2'!IC30+'[8]Barge-3'!IC30+'[8]Barge-4'!IC30</f>
        <v>0</v>
      </c>
      <c r="AE30" s="134">
        <f>'[2]AHTS-1'!IC101+'[2]AHTS-2'!IC101+'[2]AHTS-3'!IC101+'[2]AHTS-4'!IC101+'[2]AHTS-5'!IC101+'[2]AHTS-6'!IC101+'[2]AHTS-7'!IC101+'[2]AHTS-8'!IC101+'[3]CB-1'!IC101+'[3]CB-2'!IC101+'[3]CB-3'!IC101+'[3]CB-4'!IC101+'[3]CB-5'!IC101+'[3]CB-6'!IC101+'[3]CB-7'!IC101+'[3]CB-8'!IC101+'[3]CB-9'!IC101+'[3]CB-10'!IC101+'[3]CB-11'!IC101+'[3]CB-12'!IC101+'[3]CB-13'!IC101+'[3]CB-14'!IC101+'[3]CB-15'!IC101+'[3]CB-16'!IC101+'[3]CB-17'!IC101+'[3]CB-18'!IC101+'[3]CB-19'!IC101+'[3]CB-20'!IC101+'[3]CB-21'!IC101+'[3]CB-22'!IC101+'[3]CB-23'!IC101+'[3]CB-24'!IC101+'[4]LCT-1'!IC101+'[4]LCT-2'!IC101+'[4]LCT-3'!IC101+'[4]LCT-4'!IC101+'[4]LCT-5'!IC101+'[4]LCT-6'!IC101+'[4]LCT-7'!IC101+'[4]LCT-8'!IC101+'[5]TB-1'!IC101+'[5]TB-2'!IC101+'[5]TB-3'!IC101+'[5]TB-4'!IC101+'[5]TB-5'!IC101+'[5]TB-6'!IC101+'[5]TB-7'!IC101+'[5]TB-8'!IC101+'[5]TB-9'!IC101+'[5]TB-10'!IC101+'[6]DSV-1'!IC101+'[6]DSV-2'!IC101+'[6]DSV-3'!IC101+'[7]TUB-1'!IC101+'[7]TUB-2'!IC101+'[8]Barge-1'!IC101+'[8]Barge-2'!IC101+'[8]Barge-3'!IC101+'[8]Barge-4'!IC101</f>
        <v>0</v>
      </c>
      <c r="AF30" s="135">
        <f>'[2]AHTS-1'!ID68+'[2]AHTS-2'!ID68+'[2]AHTS-3'!ID68+'[2]AHTS-4'!ID68+'[2]AHTS-5'!ID68+'[2]AHTS-6'!ID68+'[2]AHTS-7'!ID68+'[2]AHTS-8'!ID68+'[3]CB-1'!ID68+'[3]CB-2'!ID68+'[3]CB-3'!ID68+'[3]CB-4'!ID68+'[3]CB-5'!ID68+'[3]CB-6'!ID68+'[3]CB-7'!ID68+'[3]CB-8'!ID68+'[3]CB-9'!ID68+'[3]CB-10'!ID68+'[3]CB-11'!ID68+'[3]CB-12'!ID68+'[3]CB-13'!ID68+'[3]CB-14'!ID68+'[3]CB-15'!ID68+'[3]CB-16'!ID68+'[3]CB-17'!ID68+'[3]CB-18'!ID68+'[3]CB-19'!ID68+'[3]CB-20'!ID68+'[3]CB-21'!ID68+'[3]CB-22'!ID68+'[3]CB-23'!ID68+'[3]CB-24'!ID68+'[4]LCT-1'!ID68+'[4]LCT-2'!ID68+'[4]LCT-3'!ID68+'[4]LCT-4'!ID68+'[4]LCT-5'!ID68+'[4]LCT-6'!ID68+'[4]LCT-7'!ID68+'[4]LCT-8'!ID68+'[5]TB-1'!ID68+'[5]TB-2'!ID68+'[5]TB-3'!ID68+'[5]TB-4'!ID68+'[5]TB-5'!ID68+'[5]TB-6'!ID68+'[5]TB-7'!ID68+'[5]TB-8'!ID68+'[5]TB-9'!ID68+'[5]TB-10'!ID68+'[6]DSV-1'!ID68+'[6]DSV-2'!ID68+'[6]DSV-3'!ID68+'[7]TUB-1'!ID68+'[7]TUB-2'!ID68+'[8]Barge-1'!ID68+'[8]Barge-2'!ID68+'[8]Barge-3'!ID68+'[8]Barge-4'!ID68</f>
        <v>25452400</v>
      </c>
      <c r="AG30" s="136">
        <f>'[2]AHTS-1'!ID30+'[2]AHTS-2'!ID30+'[2]AHTS-3'!ID30+'[2]AHTS-4'!ID30+'[2]AHTS-5'!ID30+'[2]AHTS-6'!ID30+'[2]AHTS-7'!ID30+'[2]AHTS-8'!ID30+'[3]CB-1'!ID30+'[3]CB-2'!ID30+'[3]CB-3'!ID30+'[3]CB-4'!ID30+'[3]CB-5'!ID30+'[3]CB-6'!ID30+'[3]CB-7'!ID30+'[3]CB-8'!ID30+'[3]CB-9'!ID30+'[3]CB-10'!ID30+'[3]CB-11'!ID30+'[3]CB-12'!ID30+'[3]CB-13'!ID30+'[3]CB-14'!ID30+'[3]CB-15'!ID30+'[3]CB-16'!ID30+'[3]CB-17'!ID30+'[3]CB-18'!ID30+'[3]CB-19'!ID30+'[3]CB-20'!ID30+'[3]CB-21'!ID30+'[3]CB-22'!ID30+'[3]CB-23'!ID30+'[3]CB-24'!ID30+'[4]LCT-1'!ID30+'[4]LCT-2'!ID30+'[4]LCT-3'!ID30+'[4]LCT-4'!ID30+'[4]LCT-5'!ID30+'[4]LCT-6'!ID30+'[4]LCT-7'!ID30+'[4]LCT-8'!ID30+'[5]TB-1'!ID30+'[5]TB-2'!ID30+'[5]TB-3'!ID30+'[5]TB-4'!ID30+'[5]TB-5'!ID30+'[5]TB-6'!ID30+'[5]TB-7'!ID30+'[5]TB-8'!ID30+'[5]TB-9'!ID30+'[5]TB-10'!ID30+'[6]DSV-1'!ID30+'[6]DSV-2'!ID30+'[6]DSV-3'!ID30+'[7]TUB-1'!ID30+'[7]TUB-2'!ID30+'[8]Barge-1'!ID30+'[8]Barge-2'!ID30+'[8]Barge-3'!ID30+'[8]Barge-4'!ID30</f>
        <v>26850000</v>
      </c>
      <c r="AH30" s="136">
        <f>'[2]AHTS-1'!ID101+'[2]AHTS-2'!ID101+'[2]AHTS-3'!ID101+'[2]AHTS-4'!ID101+'[2]AHTS-5'!ID101+'[2]AHTS-6'!ID101+'[2]AHTS-7'!ID101+'[2]AHTS-8'!ID101+'[3]CB-1'!ID101+'[3]CB-2'!ID101+'[3]CB-3'!ID101+'[3]CB-4'!ID101+'[3]CB-5'!ID101+'[3]CB-6'!ID101+'[3]CB-7'!ID101+'[3]CB-8'!ID101+'[3]CB-9'!ID101+'[3]CB-10'!ID101+'[3]CB-11'!ID101+'[3]CB-12'!ID101+'[3]CB-13'!ID101+'[3]CB-14'!ID101+'[3]CB-15'!ID101+'[3]CB-16'!ID101+'[3]CB-17'!ID101+'[3]CB-18'!ID101+'[3]CB-19'!ID101+'[3]CB-20'!ID101+'[3]CB-21'!ID101+'[3]CB-22'!ID101+'[3]CB-23'!ID101+'[3]CB-24'!ID101+'[4]LCT-1'!ID101+'[4]LCT-2'!ID101+'[4]LCT-3'!ID101+'[4]LCT-4'!ID101+'[4]LCT-5'!ID101+'[4]LCT-6'!ID101+'[4]LCT-7'!ID101+'[4]LCT-8'!ID101+'[5]TB-1'!ID101+'[5]TB-2'!ID101+'[5]TB-3'!ID101+'[5]TB-4'!ID101+'[5]TB-5'!ID101+'[5]TB-6'!ID101+'[5]TB-7'!ID101+'[5]TB-8'!ID101+'[5]TB-9'!ID101+'[5]TB-10'!ID101+'[6]DSV-1'!ID101+'[6]DSV-2'!ID101+'[6]DSV-3'!ID101+'[7]TUB-1'!ID101+'[7]TUB-2'!ID101+'[8]Barge-1'!ID101+'[8]Barge-2'!ID101+'[8]Barge-3'!ID101+'[8]Barge-4'!ID101</f>
        <v>0</v>
      </c>
      <c r="AI30" s="135">
        <f>'[2]AHTS-1'!IE68+'[2]AHTS-2'!IE68+'[2]AHTS-3'!IE68+'[2]AHTS-4'!IE68+'[2]AHTS-5'!IE68+'[2]AHTS-6'!IE68+'[2]AHTS-7'!IE68+'[2]AHTS-8'!IE68+'[3]CB-1'!IE68+'[3]CB-2'!IE68+'[3]CB-3'!IE68+'[3]CB-4'!IE68+'[3]CB-5'!IE68+'[3]CB-6'!IE68+'[3]CB-7'!IE68+'[3]CB-8'!IE68+'[3]CB-9'!IE68+'[3]CB-10'!IE68+'[3]CB-11'!IE68+'[3]CB-12'!IE68+'[3]CB-13'!IE68+'[3]CB-14'!IE68+'[3]CB-15'!IE68+'[3]CB-16'!IE68+'[3]CB-17'!IE68+'[3]CB-18'!IE68+'[3]CB-19'!IE68+'[3]CB-20'!IE68+'[3]CB-21'!IE68+'[3]CB-22'!IE68+'[3]CB-23'!IE68+'[3]CB-24'!IE68+'[4]LCT-1'!IE68+'[4]LCT-2'!IE68+'[4]LCT-3'!IE68+'[4]LCT-4'!IE68+'[4]LCT-5'!IE68+'[4]LCT-6'!IE68+'[4]LCT-7'!IE68+'[4]LCT-8'!IE68+'[5]TB-1'!IE68+'[5]TB-2'!IE68+'[5]TB-3'!IE68+'[5]TB-4'!IE68+'[5]TB-5'!IE68+'[5]TB-6'!IE68+'[5]TB-7'!IE68+'[5]TB-8'!IE68+'[5]TB-9'!IE68+'[5]TB-10'!IE68+'[6]DSV-1'!IE68+'[6]DSV-2'!IE68+'[6]DSV-3'!IE68+'[7]TUB-1'!IE68+'[7]TUB-2'!IE68+'[8]Barge-1'!IE68+'[8]Barge-2'!IE68+'[8]Barge-3'!IE68+'[8]Barge-4'!IE68</f>
        <v>56040500</v>
      </c>
      <c r="AJ30" s="136">
        <f>'[2]AHTS-1'!IE30+'[2]AHTS-2'!IE30+'[2]AHTS-3'!IE30+'[2]AHTS-4'!IE30+'[2]AHTS-5'!IE30+'[2]AHTS-6'!IE30+'[2]AHTS-7'!IE30+'[2]AHTS-8'!IE30+'[3]CB-1'!IE30+'[3]CB-2'!IE30+'[3]CB-3'!IE30+'[3]CB-4'!IE30+'[3]CB-5'!IE30+'[3]CB-6'!IE30+'[3]CB-7'!IE30+'[3]CB-8'!IE30+'[3]CB-9'!IE30+'[3]CB-10'!IE30+'[3]CB-11'!IE30+'[3]CB-12'!IE30+'[3]CB-13'!IE30+'[3]CB-14'!IE30+'[3]CB-15'!IE30+'[3]CB-16'!IE30+'[3]CB-17'!IE30+'[3]CB-18'!IE30+'[3]CB-19'!IE30+'[3]CB-20'!IE30+'[3]CB-21'!IE30+'[3]CB-22'!IE30+'[3]CB-23'!IE30+'[3]CB-24'!IE30+'[4]LCT-1'!IE30+'[4]LCT-2'!IE30+'[4]LCT-3'!IE30+'[4]LCT-4'!IE30+'[4]LCT-5'!IE30+'[4]LCT-6'!IE30+'[4]LCT-7'!IE30+'[4]LCT-8'!IE30+'[5]TB-1'!IE30+'[5]TB-2'!IE30+'[5]TB-3'!IE30+'[5]TB-4'!IE30+'[5]TB-5'!IE30+'[5]TB-6'!IE30+'[5]TB-7'!IE30+'[5]TB-8'!IE30+'[5]TB-9'!IE30+'[5]TB-10'!IE30+'[6]DSV-1'!IE30+'[6]DSV-2'!IE30+'[6]DSV-3'!IE30+'[7]TUB-1'!IE30+'[7]TUB-2'!IE30+'[8]Barge-1'!IE30+'[8]Barge-2'!IE30+'[8]Barge-3'!IE30+'[8]Barge-4'!IE30</f>
        <v>45400000</v>
      </c>
      <c r="AK30" s="136">
        <f>'[2]AHTS-1'!IE101+'[2]AHTS-2'!IE101+'[2]AHTS-3'!IE101+'[2]AHTS-4'!IE101+'[2]AHTS-5'!IE101+'[2]AHTS-6'!IE101+'[2]AHTS-7'!IE101+'[2]AHTS-8'!IE101+'[3]CB-1'!IE101+'[3]CB-2'!IE101+'[3]CB-3'!IE101+'[3]CB-4'!IE101+'[3]CB-5'!IE101+'[3]CB-6'!IE101+'[3]CB-7'!IE101+'[3]CB-8'!IE101+'[3]CB-9'!IE101+'[3]CB-10'!IE101+'[3]CB-11'!IE101+'[3]CB-12'!IE101+'[3]CB-13'!IE101+'[3]CB-14'!IE101+'[3]CB-15'!IE101+'[3]CB-16'!IE101+'[3]CB-17'!IE101+'[3]CB-18'!IE101+'[3]CB-19'!IE101+'[3]CB-20'!IE101+'[3]CB-21'!IE101+'[3]CB-22'!IE101+'[3]CB-23'!IE101+'[3]CB-24'!IE101+'[4]LCT-1'!IE101+'[4]LCT-2'!IE101+'[4]LCT-3'!IE101+'[4]LCT-4'!IE101+'[4]LCT-5'!IE101+'[4]LCT-6'!IE101+'[4]LCT-7'!IE101+'[4]LCT-8'!IE101+'[5]TB-1'!IE101+'[5]TB-2'!IE101+'[5]TB-3'!IE101+'[5]TB-4'!IE101+'[5]TB-5'!IE101+'[5]TB-6'!IE101+'[5]TB-7'!IE101+'[5]TB-8'!IE101+'[5]TB-9'!IE101+'[5]TB-10'!IE101+'[6]DSV-1'!IE101+'[6]DSV-2'!IE101+'[6]DSV-3'!IE101+'[7]TUB-1'!IE101+'[7]TUB-2'!IE101+'[8]Barge-1'!IE101+'[8]Barge-2'!IE101+'[8]Barge-3'!IE101+'[8]Barge-4'!IE101</f>
        <v>0</v>
      </c>
      <c r="AL30" s="137">
        <f>'[2]AHTS-1'!IF68+'[2]AHTS-2'!IF68+'[2]AHTS-3'!IF68+'[2]AHTS-4'!IF68+'[2]AHTS-5'!IF68+'[2]AHTS-6'!IF68+'[2]AHTS-7'!IF68+'[2]AHTS-8'!IF68+'[3]CB-1'!IF68+'[3]CB-2'!IF68+'[3]CB-3'!IF68+'[3]CB-4'!IF68+'[3]CB-5'!IF68+'[3]CB-6'!IF68+'[3]CB-7'!IF68+'[3]CB-8'!IF68+'[3]CB-9'!IF68+'[3]CB-10'!IF68+'[3]CB-11'!IF68+'[3]CB-12'!IF68+'[3]CB-13'!IF68+'[3]CB-14'!IF68+'[3]CB-15'!IF68+'[3]CB-16'!IF68+'[3]CB-17'!IF68+'[3]CB-18'!IF68+'[3]CB-19'!IF68+'[3]CB-20'!IF68+'[3]CB-21'!IF68+'[3]CB-22'!IF68+'[3]CB-23'!IF68+'[3]CB-24'!IF68+'[4]LCT-1'!IF68+'[4]LCT-2'!IF68+'[4]LCT-3'!IF68+'[4]LCT-4'!IF68+'[4]LCT-5'!IF68+'[4]LCT-6'!IF68+'[4]LCT-7'!IF68+'[4]LCT-8'!IF68+'[5]TB-1'!IF68+'[5]TB-2'!IF68+'[5]TB-3'!IF68+'[5]TB-4'!IF68+'[5]TB-5'!IF68+'[5]TB-6'!IF68+'[5]TB-7'!IF68+'[5]TB-8'!IF68+'[5]TB-9'!IF68+'[5]TB-10'!IF68+'[6]DSV-1'!IF68+'[6]DSV-2'!IF68+'[6]DSV-3'!IF68+'[7]TUB-1'!IF68+'[7]TUB-2'!IF68+'[8]Barge-1'!IF68+'[8]Barge-2'!IF68+'[8]Barge-3'!IF68+'[8]Barge-4'!IF68</f>
        <v>44509400</v>
      </c>
      <c r="AM30" s="138">
        <f>'[2]AHTS-1'!IF30+'[2]AHTS-2'!IF30+'[2]AHTS-3'!IF30+'[2]AHTS-4'!IF30+'[2]AHTS-5'!IF30+'[2]AHTS-6'!IF30+'[2]AHTS-7'!IF30+'[2]AHTS-8'!IF30+'[3]CB-1'!IF30+'[3]CB-2'!IF30+'[3]CB-3'!IF30+'[3]CB-4'!IF30+'[3]CB-5'!IF30+'[3]CB-6'!IF30+'[3]CB-7'!IF30+'[3]CB-8'!IF30+'[3]CB-9'!IF30+'[3]CB-10'!IF30+'[3]CB-11'!IF30+'[3]CB-12'!IF30+'[3]CB-13'!IF30+'[3]CB-14'!IF30+'[3]CB-15'!IF30+'[3]CB-16'!IF30+'[3]CB-17'!IF30+'[3]CB-18'!IF30+'[3]CB-19'!IF30+'[3]CB-20'!IF30+'[3]CB-21'!IF30+'[3]CB-22'!IF30+'[3]CB-23'!IF30+'[3]CB-24'!IF30+'[4]LCT-1'!IF30+'[4]LCT-2'!IF30+'[4]LCT-3'!IF30+'[4]LCT-4'!IF30+'[4]LCT-5'!IF30+'[4]LCT-6'!IF30+'[4]LCT-7'!IF30+'[4]LCT-8'!IF30+'[5]TB-1'!IF30+'[5]TB-2'!IF30+'[5]TB-3'!IF30+'[5]TB-4'!IF30+'[5]TB-5'!IF30+'[5]TB-6'!IF30+'[5]TB-7'!IF30+'[5]TB-8'!IF30+'[5]TB-9'!IF30+'[5]TB-10'!IF30+'[6]DSV-1'!IF30+'[6]DSV-2'!IF30+'[6]DSV-3'!IF30+'[7]TUB-1'!IF30+'[7]TUB-2'!IF30+'[8]Barge-1'!IF30+'[8]Barge-2'!IF30+'[8]Barge-3'!IF30+'[8]Barge-4'!IF30</f>
        <v>69700000</v>
      </c>
      <c r="AN30" s="138">
        <f>'[2]AHTS-1'!IF101+'[2]AHTS-2'!IF101+'[2]AHTS-3'!IF101+'[2]AHTS-4'!IF101+'[2]AHTS-5'!IF101+'[2]AHTS-6'!IF101+'[2]AHTS-7'!IF101+'[2]AHTS-8'!IF101+'[3]CB-1'!IF101+'[3]CB-2'!IF101+'[3]CB-3'!IF101+'[3]CB-4'!IF101+'[3]CB-5'!IF101+'[3]CB-6'!IF101+'[3]CB-7'!IF101+'[3]CB-8'!IF101+'[3]CB-9'!IF101+'[3]CB-10'!IF101+'[3]CB-11'!IF101+'[3]CB-12'!IF101+'[3]CB-13'!IF101+'[3]CB-14'!IF101+'[3]CB-15'!IF101+'[3]CB-16'!IF101+'[3]CB-17'!IF101+'[3]CB-18'!IF101+'[3]CB-19'!IF101+'[3]CB-20'!IF101+'[3]CB-21'!IF101+'[3]CB-22'!IF101+'[3]CB-23'!IF101+'[3]CB-24'!IF101+'[4]LCT-1'!IF101+'[4]LCT-2'!IF101+'[4]LCT-3'!IF101+'[4]LCT-4'!IF101+'[4]LCT-5'!IF101+'[4]LCT-6'!IF101+'[4]LCT-7'!IF101+'[4]LCT-8'!IF101+'[5]TB-1'!IF101+'[5]TB-2'!IF101+'[5]TB-3'!IF101+'[5]TB-4'!IF101+'[5]TB-5'!IF101+'[5]TB-6'!IF101+'[5]TB-7'!IF101+'[5]TB-8'!IF101+'[5]TB-9'!IF101+'[5]TB-10'!IF101+'[6]DSV-1'!IF101+'[6]DSV-2'!IF101+'[6]DSV-3'!IF101+'[7]TUB-1'!IF101+'[7]TUB-2'!IF101+'[8]Barge-1'!IF101+'[8]Barge-2'!IF101+'[8]Barge-3'!IF101+'[8]Barge-4'!IF101</f>
        <v>0</v>
      </c>
      <c r="AO30" s="135">
        <f>'[2]AHTS-1'!IG68+'[2]AHTS-2'!IG68+'[2]AHTS-3'!IG68+'[2]AHTS-4'!IG68+'[2]AHTS-5'!IG68+'[2]AHTS-6'!IG68+'[2]AHTS-7'!IG68+'[2]AHTS-8'!IG68+'[3]CB-1'!IG68+'[3]CB-2'!IG68+'[3]CB-3'!IG68+'[3]CB-4'!IG68+'[3]CB-5'!IG68+'[3]CB-6'!IG68+'[3]CB-7'!IG68+'[3]CB-8'!IG68+'[3]CB-9'!IG68+'[3]CB-10'!IG68+'[3]CB-11'!IG68+'[3]CB-12'!IG68+'[3]CB-13'!IG68+'[3]CB-14'!IG68+'[3]CB-15'!IG68+'[3]CB-16'!IG68+'[3]CB-17'!IG68+'[3]CB-18'!IG68+'[3]CB-19'!IG68+'[3]CB-20'!IG68+'[3]CB-21'!IG68+'[3]CB-22'!IG68+'[3]CB-23'!IG68+'[3]CB-24'!IG68+'[4]LCT-1'!IG68+'[4]LCT-2'!IG68+'[4]LCT-3'!IG68+'[4]LCT-4'!IG68+'[4]LCT-5'!IG68+'[4]LCT-6'!IG68+'[4]LCT-7'!IG68+'[4]LCT-8'!IG68+'[5]TB-1'!IG68+'[5]TB-2'!IG68+'[5]TB-3'!IG68+'[5]TB-4'!IG68+'[5]TB-5'!IG68+'[5]TB-6'!IG68+'[5]TB-7'!IG68+'[5]TB-8'!IG68+'[5]TB-9'!IG68+'[5]TB-10'!IG68+'[6]DSV-1'!IG68+'[6]DSV-2'!IG68+'[6]DSV-3'!IG68+'[7]TUB-1'!IG68+'[7]TUB-2'!IG68+'[8]Barge-1'!IG68+'[8]Barge-2'!IG68+'[8]Barge-3'!IG68+'[8]Barge-4'!IG68</f>
        <v>2196400</v>
      </c>
      <c r="AP30" s="136">
        <f>'[2]AHTS-1'!IG30+'[2]AHTS-2'!IG30+'[2]AHTS-3'!IG30+'[2]AHTS-4'!IG30+'[2]AHTS-5'!IG30+'[2]AHTS-6'!IG30+'[2]AHTS-7'!IG30+'[2]AHTS-8'!IG30+'[3]CB-1'!IG30+'[3]CB-2'!IG30+'[3]CB-3'!IG30+'[3]CB-4'!IG30+'[3]CB-5'!IG30+'[3]CB-6'!IG30+'[3]CB-7'!IG30+'[3]CB-8'!IG30+'[3]CB-9'!IG30+'[3]CB-10'!IG30+'[3]CB-11'!IG30+'[3]CB-12'!IG30+'[3]CB-13'!IG30+'[3]CB-14'!IG30+'[3]CB-15'!IG30+'[3]CB-16'!IG30+'[3]CB-17'!IG30+'[3]CB-18'!IG30+'[3]CB-19'!IG30+'[3]CB-20'!IG30+'[3]CB-21'!IG30+'[3]CB-22'!IG30+'[3]CB-23'!IG30+'[3]CB-24'!IG30+'[4]LCT-1'!IG30+'[4]LCT-2'!IG30+'[4]LCT-3'!IG30+'[4]LCT-4'!IG30+'[4]LCT-5'!IG30+'[4]LCT-6'!IG30+'[4]LCT-7'!IG30+'[4]LCT-8'!IG30+'[5]TB-1'!IG30+'[5]TB-2'!IG30+'[5]TB-3'!IG30+'[5]TB-4'!IG30+'[5]TB-5'!IG30+'[5]TB-6'!IG30+'[5]TB-7'!IG30+'[5]TB-8'!IG30+'[5]TB-9'!IG30+'[5]TB-10'!IG30+'[6]DSV-1'!IG30+'[6]DSV-2'!IG30+'[6]DSV-3'!IG30+'[7]TUB-1'!IG30+'[7]TUB-2'!IG30+'[8]Barge-1'!IG30+'[8]Barge-2'!IG30+'[8]Barge-3'!IG30+'[8]Barge-4'!IG30</f>
        <v>6500000</v>
      </c>
      <c r="AQ30" s="136">
        <f>'[2]AHTS-1'!IG101+'[2]AHTS-2'!IG101+'[2]AHTS-3'!IG101+'[2]AHTS-4'!IG101+'[2]AHTS-5'!IG101+'[2]AHTS-6'!IG101+'[2]AHTS-7'!IG101+'[2]AHTS-8'!IG101+'[3]CB-1'!IG101+'[3]CB-2'!IG101+'[3]CB-3'!IG101+'[3]CB-4'!IG101+'[3]CB-5'!IG101+'[3]CB-6'!IG101+'[3]CB-7'!IG101+'[3]CB-8'!IG101+'[3]CB-9'!IG101+'[3]CB-10'!IG101+'[3]CB-11'!IG101+'[3]CB-12'!IG101+'[3]CB-13'!IG101+'[3]CB-14'!IG101+'[3]CB-15'!IG101+'[3]CB-16'!IG101+'[3]CB-17'!IG101+'[3]CB-18'!IG101+'[3]CB-19'!IG101+'[3]CB-20'!IG101+'[3]CB-21'!IG101+'[3]CB-22'!IG101+'[3]CB-23'!IG101+'[3]CB-24'!IG101+'[4]LCT-1'!IG101+'[4]LCT-2'!IG101+'[4]LCT-3'!IG101+'[4]LCT-4'!IG101+'[4]LCT-5'!IG101+'[4]LCT-6'!IG101+'[4]LCT-7'!IG101+'[4]LCT-8'!IG101+'[5]TB-1'!IG101+'[5]TB-2'!IG101+'[5]TB-3'!IG101+'[5]TB-4'!IG101+'[5]TB-5'!IG101+'[5]TB-6'!IG101+'[5]TB-7'!IG101+'[5]TB-8'!IG101+'[5]TB-9'!IG101+'[5]TB-10'!IG101+'[6]DSV-1'!IG101+'[6]DSV-2'!IG101+'[6]DSV-3'!IG101+'[7]TUB-1'!IG101+'[7]TUB-2'!IG101+'[8]Barge-1'!IG101+'[8]Barge-2'!IG101+'[8]Barge-3'!IG101+'[8]Barge-4'!IG101</f>
        <v>0</v>
      </c>
      <c r="AR30" s="139">
        <f>'[2]AHTS-1'!IH68+'[2]AHTS-2'!IH68+'[2]AHTS-3'!IH68+'[2]AHTS-4'!IH68+'[2]AHTS-5'!IH68+'[2]AHTS-6'!IH68+'[2]AHTS-7'!IH68+'[2]AHTS-8'!IH68+'[3]CB-1'!IH68+'[3]CB-2'!IH68+'[3]CB-3'!IH68+'[3]CB-4'!IH68+'[3]CB-5'!IH68+'[3]CB-6'!IH68+'[3]CB-7'!IH68+'[3]CB-8'!IH68+'[3]CB-9'!IH68+'[3]CB-10'!IH68+'[3]CB-11'!IH68+'[3]CB-12'!IH68+'[3]CB-13'!IH68+'[3]CB-14'!IH68+'[3]CB-15'!IH68+'[3]CB-16'!IH68+'[3]CB-17'!IH68+'[3]CB-18'!IH68+'[3]CB-19'!IH68+'[3]CB-20'!IH68+'[3]CB-21'!IH68+'[3]CB-22'!IH68+'[3]CB-23'!IH68+'[3]CB-24'!IH68+'[4]LCT-1'!IH68+'[4]LCT-2'!IH68+'[4]LCT-3'!IH68+'[4]LCT-4'!IH68+'[4]LCT-5'!IH68+'[4]LCT-6'!IH68+'[4]LCT-7'!IH68+'[4]LCT-8'!IH68+'[5]TB-1'!IH68+'[5]TB-2'!IH68+'[5]TB-3'!IH68+'[5]TB-4'!IH68+'[5]TB-5'!IH68+'[5]TB-6'!IH68+'[5]TB-7'!IH68+'[5]TB-8'!IH68+'[5]TB-9'!IH68+'[5]TB-10'!IH68+'[6]DSV-1'!IH68+'[6]DSV-2'!IH68+'[6]DSV-3'!IH68+'[7]TUB-1'!IH68+'[7]TUB-2'!IH68+'[8]Barge-1'!IH68+'[8]Barge-2'!IH68+'[8]Barge-3'!IH68+'[8]Barge-4'!IH68</f>
        <v>69122000</v>
      </c>
      <c r="AS30" s="136">
        <f>'[2]AHTS-1'!IH30+'[2]AHTS-2'!IH30+'[2]AHTS-3'!IH30+'[2]AHTS-4'!IH30+'[2]AHTS-5'!IH30+'[2]AHTS-6'!IH30+'[2]AHTS-7'!IH30+'[2]AHTS-8'!IH30+'[3]CB-1'!IH30+'[3]CB-2'!IH30+'[3]CB-3'!IH30+'[3]CB-4'!IH30+'[3]CB-5'!IH30+'[3]CB-6'!IH30+'[3]CB-7'!IH30+'[3]CB-8'!IH30+'[3]CB-9'!IH30+'[3]CB-10'!IH30+'[3]CB-11'!IH30+'[3]CB-12'!IH30+'[3]CB-13'!IH30+'[3]CB-14'!IH30+'[3]CB-15'!IH30+'[3]CB-16'!IH30+'[3]CB-17'!IH30+'[3]CB-18'!IH30+'[3]CB-19'!IH30+'[3]CB-20'!IH30+'[3]CB-21'!IH30+'[3]CB-22'!IH30+'[3]CB-23'!IH30+'[3]CB-24'!IH30+'[4]LCT-1'!IH30+'[4]LCT-2'!IH30+'[4]LCT-3'!IH30+'[4]LCT-4'!IH30+'[4]LCT-5'!IH30+'[4]LCT-6'!IH30+'[4]LCT-7'!IH30+'[4]LCT-8'!IH30+'[5]TB-1'!IH30+'[5]TB-2'!IH30+'[5]TB-3'!IH30+'[5]TB-4'!IH30+'[5]TB-5'!IH30+'[5]TB-6'!IH30+'[5]TB-7'!IH30+'[5]TB-8'!IH30+'[5]TB-9'!IH30+'[5]TB-10'!IH30+'[6]DSV-1'!IH30+'[6]DSV-2'!IH30+'[6]DSV-3'!IH30+'[7]TUB-1'!IH30+'[7]TUB-2'!IH30+'[8]Barge-1'!IH30+'[8]Barge-2'!IH30+'[8]Barge-3'!IH30+'[8]Barge-4'!IH30</f>
        <v>83625000</v>
      </c>
      <c r="AT30" s="140">
        <f>'[2]AHTS-1'!IH101+'[2]AHTS-2'!IH101+'[2]AHTS-3'!IH101+'[2]AHTS-4'!IH101+'[2]AHTS-5'!IH101+'[2]AHTS-6'!IH101+'[2]AHTS-7'!IH101+'[2]AHTS-8'!IH101+'[3]CB-1'!IH101+'[3]CB-2'!IH101+'[3]CB-3'!IH101+'[3]CB-4'!IH101+'[3]CB-5'!IH101+'[3]CB-6'!IH101+'[3]CB-7'!IH101+'[3]CB-8'!IH101+'[3]CB-9'!IH101+'[3]CB-10'!IH101+'[3]CB-11'!IH101+'[3]CB-12'!IH101+'[3]CB-13'!IH101+'[3]CB-14'!IH101+'[3]CB-15'!IH101+'[3]CB-16'!IH101+'[3]CB-17'!IH101+'[3]CB-18'!IH101+'[3]CB-19'!IH101+'[3]CB-20'!IH101+'[3]CB-21'!IH101+'[3]CB-22'!IH101+'[3]CB-23'!IH101+'[3]CB-24'!IH101+'[4]LCT-1'!IH101+'[4]LCT-2'!IH101+'[4]LCT-3'!IH101+'[4]LCT-4'!IH101+'[4]LCT-5'!IH101+'[4]LCT-6'!IH101+'[4]LCT-7'!IH101+'[4]LCT-8'!IH101+'[5]TB-1'!IH101+'[5]TB-2'!IH101+'[5]TB-3'!IH101+'[5]TB-4'!IH101+'[5]TB-5'!IH101+'[5]TB-6'!IH101+'[5]TB-7'!IH101+'[5]TB-8'!IH101+'[5]TB-9'!IH101+'[5]TB-10'!IH101+'[6]DSV-1'!IH101+'[6]DSV-2'!IH101+'[6]DSV-3'!IH101+'[7]TUB-1'!IH101+'[7]TUB-2'!IH101+'[8]Barge-1'!IH101+'[8]Barge-2'!IH101+'[8]Barge-3'!IH101+'[8]Barge-4'!IH101</f>
        <v>0</v>
      </c>
      <c r="AU30" s="139">
        <f>'[2]AHTS-1'!II68+'[2]AHTS-2'!II68+'[2]AHTS-3'!II68+'[2]AHTS-4'!II68+'[2]AHTS-5'!II68+'[2]AHTS-6'!II68+'[2]AHTS-7'!II68+'[2]AHTS-8'!II68+'[3]CB-1'!II68+'[3]CB-2'!II68+'[3]CB-3'!II68+'[3]CB-4'!II68+'[3]CB-5'!II68+'[3]CB-6'!II68+'[3]CB-7'!II68+'[3]CB-8'!II68+'[3]CB-9'!II68+'[3]CB-10'!II68+'[3]CB-11'!II68+'[3]CB-12'!II68+'[3]CB-13'!II68+'[3]CB-14'!II68+'[3]CB-15'!II68+'[3]CB-16'!II68+'[3]CB-17'!II68+'[3]CB-18'!II68+'[3]CB-19'!II68+'[3]CB-20'!II68+'[3]CB-21'!II68+'[3]CB-22'!II68+'[3]CB-23'!II68+'[3]CB-24'!II68+'[4]LCT-1'!II68+'[4]LCT-2'!II68+'[4]LCT-3'!II68+'[4]LCT-4'!II68+'[4]LCT-5'!II68+'[4]LCT-6'!II68+'[4]LCT-7'!II68+'[4]LCT-8'!II68+'[5]TB-1'!II68+'[5]TB-2'!II68+'[5]TB-3'!II68+'[5]TB-4'!II68+'[5]TB-5'!II68+'[5]TB-6'!II68+'[5]TB-7'!II68+'[5]TB-8'!II68+'[5]TB-9'!II68+'[5]TB-10'!II68+'[6]DSV-1'!II68+'[6]DSV-2'!II68+'[6]DSV-3'!II68+'[7]TUB-1'!II68+'[7]TUB-2'!II68+'[8]Barge-1'!II68+'[8]Barge-2'!II68+'[8]Barge-3'!II68+'[8]Barge-4'!II68</f>
        <v>0</v>
      </c>
      <c r="AV30" s="136">
        <f>'[2]AHTS-1'!II30+'[2]AHTS-2'!II30+'[2]AHTS-3'!II30+'[2]AHTS-4'!II30+'[2]AHTS-5'!II30+'[2]AHTS-6'!II30+'[2]AHTS-7'!II30+'[2]AHTS-8'!II30+'[3]CB-1'!II30+'[3]CB-2'!II30+'[3]CB-3'!II30+'[3]CB-4'!II30+'[3]CB-5'!II30+'[3]CB-6'!II30+'[3]CB-7'!II30+'[3]CB-8'!II30+'[3]CB-9'!II30+'[3]CB-10'!II30+'[3]CB-11'!II30+'[3]CB-12'!II30+'[3]CB-13'!II30+'[3]CB-14'!II30+'[3]CB-15'!II30+'[3]CB-16'!II30+'[3]CB-17'!II30+'[3]CB-18'!II30+'[3]CB-19'!II30+'[3]CB-20'!II30+'[3]CB-21'!II30+'[3]CB-22'!II30+'[3]CB-23'!II30+'[3]CB-24'!II30+'[4]LCT-1'!II30+'[4]LCT-2'!II30+'[4]LCT-3'!II30+'[4]LCT-4'!II30+'[4]LCT-5'!II30+'[4]LCT-6'!II30+'[4]LCT-7'!II30+'[4]LCT-8'!II30+'[5]TB-1'!II30+'[5]TB-2'!II30+'[5]TB-3'!II30+'[5]TB-4'!II30+'[5]TB-5'!II30+'[5]TB-6'!II30+'[5]TB-7'!II30+'[5]TB-8'!II30+'[5]TB-9'!II30+'[5]TB-10'!II30+'[6]DSV-1'!II30+'[6]DSV-2'!II30+'[6]DSV-3'!II30+'[7]TUB-1'!II30+'[7]TUB-2'!II30+'[8]Barge-1'!II30+'[8]Barge-2'!II30+'[8]Barge-3'!II30+'[8]Barge-4'!II30</f>
        <v>0</v>
      </c>
      <c r="AW30" s="140">
        <f>'[2]AHTS-1'!II101+'[2]AHTS-2'!II101+'[2]AHTS-3'!II101+'[2]AHTS-4'!II101+'[2]AHTS-5'!II101+'[2]AHTS-6'!II101+'[2]AHTS-7'!II101+'[2]AHTS-8'!II101+'[3]CB-1'!II101+'[3]CB-2'!II101+'[3]CB-3'!II101+'[3]CB-4'!II101+'[3]CB-5'!II101+'[3]CB-6'!II101+'[3]CB-7'!II101+'[3]CB-8'!II101+'[3]CB-9'!II101+'[3]CB-10'!II101+'[3]CB-11'!II101+'[3]CB-12'!II101+'[3]CB-13'!II101+'[3]CB-14'!II101+'[3]CB-15'!II101+'[3]CB-16'!II101+'[3]CB-17'!II101+'[3]CB-18'!II101+'[3]CB-19'!II101+'[3]CB-20'!II101+'[3]CB-21'!II101+'[3]CB-22'!II101+'[3]CB-23'!II101+'[3]CB-24'!II101+'[4]LCT-1'!II101+'[4]LCT-2'!II101+'[4]LCT-3'!II101+'[4]LCT-4'!II101+'[4]LCT-5'!II101+'[4]LCT-6'!II101+'[4]LCT-7'!II101+'[4]LCT-8'!II101+'[5]TB-1'!II101+'[5]TB-2'!II101+'[5]TB-3'!II101+'[5]TB-4'!II101+'[5]TB-5'!II101+'[5]TB-6'!II101+'[5]TB-7'!II101+'[5]TB-8'!II101+'[5]TB-9'!II101+'[5]TB-10'!II101+'[6]DSV-1'!II101+'[6]DSV-2'!II101+'[6]DSV-3'!II101+'[7]TUB-1'!II101+'[7]TUB-2'!II101+'[8]Barge-1'!II101+'[8]Barge-2'!II101+'[8]Barge-3'!II101+'[8]Barge-4'!II101</f>
        <v>0</v>
      </c>
      <c r="AX30" s="67"/>
      <c r="AY30" s="67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</row>
    <row r="31" spans="1:97" s="69" customFormat="1" ht="14.25" customHeight="1" x14ac:dyDescent="0.25">
      <c r="A31" s="111">
        <f>[1]Control!AZ31</f>
        <v>46006</v>
      </c>
      <c r="B31" s="66"/>
      <c r="C31" s="176">
        <f>'[2]AHTS-1'!AV31+'[2]AHTS-2'!AV31+'[2]AHTS-3'!AV31+'[2]AHTS-4'!AV31+'[2]AHTS-5'!AV31+'[2]AHTS-6'!AV31+'[2]AHTS-7'!AV31+'[2]AHTS-8'!AV31+'[3]CB-1'!AV31+'[3]CB-2'!AV31+'[3]CB-3'!AV31+'[3]CB-4'!AV31+'[3]CB-5'!AV31+'[3]CB-6'!AV31+'[3]CB-7'!AV31+'[3]CB-8'!AV31+'[3]CB-9'!AV31+'[3]CB-10'!AV31+'[3]CB-11'!AV31+'[3]CB-12'!AV31+'[3]CB-13'!AV31+'[3]CB-14'!AV31+'[3]CB-15'!AV31+'[3]CB-16'!AV31+'[3]CB-17'!AV31+'[3]CB-18'!AV31+'[3]CB-19'!AV31+'[3]CB-20'!AV31+'[3]CB-21'!AV31+'[3]CB-22'!AV31+'[3]CB-23'!AV31+'[3]CB-24'!AV31+'[4]LCT-1'!AV31+'[4]LCT-2'!AV31+'[4]LCT-3'!AV31+'[4]LCT-4'!AV31+'[4]LCT-5'!AV31+'[4]LCT-6'!AV31+'[4]LCT-7'!AV31+'[4]LCT-8'!AV31+'[5]TB-1'!AV31+'[5]TB-2'!AV31+'[5]TB-3'!AV31+'[5]TB-4'!AV31+'[5]TB-5'!AV31+'[5]TB-6'!AV31+'[5]TB-7'!AV31+'[5]TB-8'!AV31+'[5]TB-9'!AV31+'[5]TB-10'!AV31+'[6]DSV-1'!AV31+'[6]DSV-2'!AV31+'[6]DSV-3'!AV31+'[7]TUB-1'!AV31+'[7]TUB-2'!AV31+'[8]Barge-1'!AV31+'[8]Barge-2'!AV31+'[8]Barge-3'!AV31+'[8]Barge-4'!AV31</f>
        <v>0</v>
      </c>
      <c r="D31" s="177">
        <f>'[2]AHTS-1'!BR31+'[2]AHTS-2'!BR31+'[2]AHTS-3'!BR31+'[2]AHTS-4'!BR31+'[2]AHTS-5'!BR31+'[2]AHTS-6'!BR31+'[2]AHTS-7'!BR31+'[2]AHTS-8'!BR31+'[3]CB-1'!BR31+'[3]CB-2'!BR31+'[3]CB-3'!BR31+'[3]CB-4'!BR31+'[3]CB-5'!BR31+'[3]CB-6'!BR31+'[3]CB-7'!BR31+'[3]CB-8'!BR31+'[3]CB-9'!BR31+'[3]CB-10'!BR31+'[3]CB-11'!BR31+'[3]CB-12'!BR31+'[3]CB-13'!BR31+'[3]CB-14'!BR31+'[3]CB-15'!BR31+'[3]CB-16'!BR31+'[3]CB-17'!BR31+'[3]CB-18'!BR31+'[3]CB-19'!BR31+'[3]CB-20'!BR31+'[3]CB-21'!BR31+'[3]CB-22'!BR31+'[3]CB-23'!BR31+'[3]CB-24'!BR31+'[4]LCT-1'!BR31+'[4]LCT-2'!BR31+'[4]LCT-3'!BR31+'[4]LCT-4'!BR31+'[4]LCT-5'!BR31+'[4]LCT-6'!BR31+'[4]LCT-7'!BR31+'[4]LCT-8'!BR31+'[5]TB-1'!BR31+'[5]TB-2'!BR31+'[5]TB-3'!BR31+'[5]TB-4'!BR31+'[5]TB-5'!BR31+'[5]TB-6'!BR31+'[5]TB-7'!BR31+'[5]TB-8'!BR31+'[5]TB-9'!BR31+'[5]TB-10'!BR31+'[6]DSV-1'!BR31+'[6]DSV-2'!BR31+'[6]DSV-3'!BR31+'[7]TUB-1'!BR31+'[7]TUB-2'!BR31+'[8]Barge-1'!BR31+'[8]Barge-2'!BR31+'[8]Barge-3'!BR31+'[8]Barge-4'!BR31</f>
        <v>0</v>
      </c>
      <c r="E31" s="178">
        <f>'[2]AHTS-1'!CN31+'[2]AHTS-2'!CN31+'[2]AHTS-3'!CN31+'[2]AHTS-4'!CN31+'[2]AHTS-5'!CN31+'[2]AHTS-6'!CN31+'[2]AHTS-7'!CN31+'[2]AHTS-8'!CN31+'[3]CB-1'!CN31+'[3]CB-2'!CN31+'[3]CB-3'!CN31+'[3]CB-4'!CN31+'[3]CB-5'!CN31+'[3]CB-6'!CN31+'[3]CB-7'!CN31+'[3]CB-8'!CN31+'[3]CB-9'!CN31+'[3]CB-10'!CN31+'[3]CB-11'!CN31+'[3]CB-12'!CN31+'[3]CB-13'!CN31+'[3]CB-14'!CN31+'[3]CB-15'!CN31+'[3]CB-16'!CN31+'[3]CB-17'!CN31+'[3]CB-18'!CN31+'[3]CB-19'!CN31+'[3]CB-20'!CN31+'[3]CB-21'!CN31+'[3]CB-22'!CN31+'[3]CB-23'!CN31+'[3]CB-24'!CN31+'[4]LCT-1'!CN31+'[4]LCT-2'!CN31+'[4]LCT-3'!CN31+'[4]LCT-4'!CN31+'[4]LCT-5'!CN31+'[4]LCT-6'!CN31+'[4]LCT-7'!CN31+'[4]LCT-8'!CN31+'[5]TB-1'!CN31+'[5]TB-2'!CN31+'[5]TB-3'!CN31+'[5]TB-4'!CN31+'[5]TB-5'!CN31+'[5]TB-6'!CN31+'[5]TB-7'!CN31+'[5]TB-8'!CN31+'[5]TB-9'!CN31+'[5]TB-10'!CN31+'[6]DSV-1'!CN31+'[6]DSV-2'!CN31+'[6]DSV-3'!CN31+'[7]TUB-1'!CN31+'[7]TUB-2'!CN31+'[8]Barge-1'!CN31+'[8]Barge-2'!CN31+'[8]Barge-3'!CN31+'[8]Barge-4'!CN31</f>
        <v>0</v>
      </c>
      <c r="F31" s="179">
        <f>'[2]AHTS-1'!AW31+'[2]AHTS-2'!AW31+'[2]AHTS-3'!AW31+'[2]AHTS-4'!AW31+'[2]AHTS-5'!AW31+'[2]AHTS-6'!AW31+'[2]AHTS-7'!AW31+'[2]AHTS-8'!AW31+'[3]CB-1'!AW31+'[3]CB-2'!AW31+'[3]CB-3'!AW31+'[3]CB-4'!AW31+'[3]CB-5'!AW31+'[3]CB-6'!AW31+'[3]CB-7'!AW31+'[3]CB-8'!AW31+'[3]CB-9'!AW31+'[3]CB-10'!AW31+'[3]CB-11'!AW31+'[3]CB-12'!AW31+'[3]CB-13'!AW31+'[3]CB-14'!AW31+'[3]CB-15'!AW31+'[3]CB-16'!AW31+'[3]CB-17'!AW31+'[3]CB-18'!AW31+'[3]CB-19'!AW31+'[3]CB-20'!AW31+'[3]CB-21'!AW31+'[3]CB-22'!AW31+'[3]CB-23'!AW31+'[3]CB-24'!AW31+'[4]LCT-1'!AW31+'[4]LCT-2'!AW31+'[4]LCT-3'!AW31+'[4]LCT-4'!AW31+'[4]LCT-5'!AW31+'[4]LCT-6'!AW31+'[4]LCT-7'!AW31+'[4]LCT-8'!AW31+'[5]TB-1'!AW31+'[5]TB-2'!AW31+'[5]TB-3'!AW31+'[5]TB-4'!AW31+'[5]TB-5'!AW31+'[5]TB-6'!AW31+'[5]TB-7'!AW31+'[5]TB-8'!AW31+'[5]TB-9'!AW31+'[5]TB-10'!AW31+'[6]DSV-1'!AW31+'[6]DSV-2'!AW31+'[6]DSV-3'!AW31+'[7]TUB-1'!AW31+'[7]TUB-2'!AW31+'[8]Barge-1'!AW31+'[8]Barge-2'!AW31+'[8]Barge-3'!AW31+'[8]Barge-4'!AW31</f>
        <v>902.13990213990212</v>
      </c>
      <c r="G31" s="180">
        <f>'[2]AHTS-1'!BS31+'[2]AHTS-2'!BS31+'[2]AHTS-3'!BS31+'[2]AHTS-4'!BS31+'[2]AHTS-5'!BS31+'[2]AHTS-6'!BS31+'[2]AHTS-7'!BS31+'[2]AHTS-8'!BS31+'[3]CB-1'!BS31+'[3]CB-2'!BS31+'[3]CB-3'!BS31+'[3]CB-4'!BS31+'[3]CB-5'!BS31+'[3]CB-6'!BS31+'[3]CB-7'!BS31+'[3]CB-8'!BS31+'[3]CB-9'!BS31+'[3]CB-10'!BS31+'[3]CB-11'!BS31+'[3]CB-12'!BS31+'[3]CB-13'!BS31+'[3]CB-14'!BS31+'[3]CB-15'!BS31+'[3]CB-16'!BS31+'[3]CB-17'!BS31+'[3]CB-18'!BS31+'[3]CB-19'!BS31+'[3]CB-20'!BS31+'[3]CB-21'!BS31+'[3]CB-22'!BS31+'[3]CB-23'!BS31+'[3]CB-24'!BS31+'[4]LCT-1'!BS31+'[4]LCT-2'!BS31+'[4]LCT-3'!BS31+'[4]LCT-4'!BS31+'[4]LCT-5'!BS31+'[4]LCT-6'!BS31+'[4]LCT-7'!BS31+'[4]LCT-8'!BS31+'[5]TB-1'!BS31+'[5]TB-2'!BS31+'[5]TB-3'!BS31+'[5]TB-4'!BS31+'[5]TB-5'!BS31+'[5]TB-6'!BS31+'[5]TB-7'!BS31+'[5]TB-8'!BS31+'[5]TB-9'!BS31+'[5]TB-10'!BS31+'[6]DSV-1'!BS31+'[6]DSV-2'!BS31+'[6]DSV-3'!BS31+'[7]TUB-1'!BS31+'[7]TUB-2'!BS31+'[8]Barge-1'!BS31+'[8]Barge-2'!BS31+'[8]Barge-3'!BS31+'[8]Barge-4'!BS31</f>
        <v>1089.90108990109</v>
      </c>
      <c r="H31" s="180">
        <f>'[2]AHTS-1'!CO31+'[2]AHTS-2'!CO31+'[2]AHTS-3'!CO31+'[2]AHTS-4'!CO31+'[2]AHTS-5'!CO31+'[2]AHTS-6'!CO31+'[2]AHTS-7'!CO31+'[2]AHTS-8'!CO31+'[3]CB-1'!CO31+'[3]CB-2'!CO31+'[3]CB-3'!CO31+'[3]CB-4'!CO31+'[3]CB-5'!CO31+'[3]CB-6'!CO31+'[3]CB-7'!CO31+'[3]CB-8'!CO31+'[3]CB-9'!CO31+'[3]CB-10'!CO31+'[3]CB-11'!CO31+'[3]CB-12'!CO31+'[3]CB-13'!CO31+'[3]CB-14'!CO31+'[3]CB-15'!CO31+'[3]CB-16'!CO31+'[3]CB-17'!CO31+'[3]CB-18'!CO31+'[3]CB-19'!CO31+'[3]CB-20'!CO31+'[3]CB-21'!CO31+'[3]CB-22'!CO31+'[3]CB-23'!CO31+'[3]CB-24'!CO31+'[4]LCT-1'!CO31+'[4]LCT-2'!CO31+'[4]LCT-3'!CO31+'[4]LCT-4'!CO31+'[4]LCT-5'!CO31+'[4]LCT-6'!CO31+'[4]LCT-7'!CO31+'[4]LCT-8'!CO31+'[5]TB-1'!CO31+'[5]TB-2'!CO31+'[5]TB-3'!CO31+'[5]TB-4'!CO31+'[5]TB-5'!CO31+'[5]TB-6'!CO31+'[5]TB-7'!CO31+'[5]TB-8'!CO31+'[5]TB-9'!CO31+'[5]TB-10'!CO31+'[6]DSV-1'!CO31+'[6]DSV-2'!CO31+'[6]DSV-3'!CO31+'[7]TUB-1'!CO31+'[7]TUB-2'!CO31+'[8]Barge-1'!CO31+'[8]Barge-2'!CO31+'[8]Barge-3'!CO31+'[8]Barge-4'!CO31</f>
        <v>0</v>
      </c>
      <c r="I31" s="179">
        <f>'[2]AHTS-1'!AX31+'[2]AHTS-2'!AX31+'[2]AHTS-3'!AX31+'[2]AHTS-4'!AX31+'[2]AHTS-5'!AX31+'[2]AHTS-6'!AX31+'[2]AHTS-7'!AX31+'[2]AHTS-8'!AX31+'[3]CB-1'!AX31+'[3]CB-2'!AX31+'[3]CB-3'!AX31+'[3]CB-4'!AX31+'[3]CB-5'!AX31+'[3]CB-6'!AX31+'[3]CB-7'!AX31+'[3]CB-8'!AX31+'[3]CB-9'!AX31+'[3]CB-10'!AX31+'[3]CB-11'!AX31+'[3]CB-12'!AX31+'[3]CB-13'!AX31+'[3]CB-14'!AX31+'[3]CB-15'!AX31+'[3]CB-16'!AX31+'[3]CB-17'!AX31+'[3]CB-18'!AX31+'[3]CB-19'!AX31+'[3]CB-20'!AX31+'[3]CB-21'!AX31+'[3]CB-22'!AX31+'[3]CB-23'!AX31+'[3]CB-24'!AX31+'[4]LCT-1'!AX31+'[4]LCT-2'!AX31+'[4]LCT-3'!AX31+'[4]LCT-4'!AX31+'[4]LCT-5'!AX31+'[4]LCT-6'!AX31+'[4]LCT-7'!AX31+'[4]LCT-8'!AX31+'[5]TB-1'!AX31+'[5]TB-2'!AX31+'[5]TB-3'!AX31+'[5]TB-4'!AX31+'[5]TB-5'!AX31+'[5]TB-6'!AX31+'[5]TB-7'!AX31+'[5]TB-8'!AX31+'[5]TB-9'!AX31+'[5]TB-10'!AX31+'[6]DSV-1'!AX31+'[6]DSV-2'!AX31+'[6]DSV-3'!AX31+'[7]TUB-1'!AX31+'[7]TUB-2'!AX31+'[8]Barge-1'!AX31+'[8]Barge-2'!AX31+'[8]Barge-3'!AX31+'[8]Barge-4'!AX31</f>
        <v>4261.7631617631614</v>
      </c>
      <c r="J31" s="180">
        <f>'[2]AHTS-1'!BT31+'[2]AHTS-2'!BT31+'[2]AHTS-3'!BT31+'[2]AHTS-4'!BT31+'[2]AHTS-5'!BT31+'[2]AHTS-6'!BT31+'[2]AHTS-7'!BT31+'[2]AHTS-8'!BT31+'[3]CB-1'!BT31+'[3]CB-2'!BT31+'[3]CB-3'!BT31+'[3]CB-4'!BT31+'[3]CB-5'!BT31+'[3]CB-6'!BT31+'[3]CB-7'!BT31+'[3]CB-8'!BT31+'[3]CB-9'!BT31+'[3]CB-10'!BT31+'[3]CB-11'!BT31+'[3]CB-12'!BT31+'[3]CB-13'!BT31+'[3]CB-14'!BT31+'[3]CB-15'!BT31+'[3]CB-16'!BT31+'[3]CB-17'!BT31+'[3]CB-18'!BT31+'[3]CB-19'!BT31+'[3]CB-20'!BT31+'[3]CB-21'!BT31+'[3]CB-22'!BT31+'[3]CB-23'!BT31+'[3]CB-24'!BT31+'[4]LCT-1'!BT31+'[4]LCT-2'!BT31+'[4]LCT-3'!BT31+'[4]LCT-4'!BT31+'[4]LCT-5'!BT31+'[4]LCT-6'!BT31+'[4]LCT-7'!BT31+'[4]LCT-8'!BT31+'[5]TB-1'!BT31+'[5]TB-2'!BT31+'[5]TB-3'!BT31+'[5]TB-4'!BT31+'[5]TB-5'!BT31+'[5]TB-6'!BT31+'[5]TB-7'!BT31+'[5]TB-8'!BT31+'[5]TB-9'!BT31+'[5]TB-10'!BT31+'[6]DSV-1'!BT31+'[6]DSV-2'!BT31+'[6]DSV-3'!BT31+'[7]TUB-1'!BT31+'[7]TUB-2'!BT31+'[8]Barge-1'!BT31+'[8]Barge-2'!BT31+'[8]Barge-3'!BT31+'[8]Barge-4'!BT31</f>
        <v>3575.2535752535755</v>
      </c>
      <c r="K31" s="180">
        <f>'[2]AHTS-1'!CP31+'[2]AHTS-2'!CP31+'[2]AHTS-3'!CP31+'[2]AHTS-4'!CP31+'[2]AHTS-5'!CP31+'[2]AHTS-6'!CP31+'[2]AHTS-7'!CP31+'[2]AHTS-8'!CP31+'[3]CB-1'!CP31+'[3]CB-2'!CP31+'[3]CB-3'!CP31+'[3]CB-4'!CP31+'[3]CB-5'!CP31+'[3]CB-6'!CP31+'[3]CB-7'!CP31+'[3]CB-8'!CP31+'[3]CB-9'!CP31+'[3]CB-10'!CP31+'[3]CB-11'!CP31+'[3]CB-12'!CP31+'[3]CB-13'!CP31+'[3]CB-14'!CP31+'[3]CB-15'!CP31+'[3]CB-16'!CP31+'[3]CB-17'!CP31+'[3]CB-18'!CP31+'[3]CB-19'!CP31+'[3]CB-20'!CP31+'[3]CB-21'!CP31+'[3]CB-22'!CP31+'[3]CB-23'!CP31+'[3]CB-24'!CP31+'[4]LCT-1'!CP31+'[4]LCT-2'!CP31+'[4]LCT-3'!CP31+'[4]LCT-4'!CP31+'[4]LCT-5'!CP31+'[4]LCT-6'!CP31+'[4]LCT-7'!CP31+'[4]LCT-8'!CP31+'[5]TB-1'!CP31+'[5]TB-2'!CP31+'[5]TB-3'!CP31+'[5]TB-4'!CP31+'[5]TB-5'!CP31+'[5]TB-6'!CP31+'[5]TB-7'!CP31+'[5]TB-8'!CP31+'[5]TB-9'!CP31+'[5]TB-10'!CP31+'[6]DSV-1'!CP31+'[6]DSV-2'!CP31+'[6]DSV-3'!CP31+'[7]TUB-1'!CP31+'[7]TUB-2'!CP31+'[8]Barge-1'!CP31+'[8]Barge-2'!CP31+'[8]Barge-3'!CP31+'[8]Barge-4'!CP31</f>
        <v>0</v>
      </c>
      <c r="L31" s="181">
        <f>'[2]AHTS-1'!AY31+'[2]AHTS-2'!AY31+'[2]AHTS-3'!AY31+'[2]AHTS-4'!AY31+'[2]AHTS-5'!AY31+'[2]AHTS-6'!AY31+'[2]AHTS-7'!AY31+'[2]AHTS-8'!AY31+'[3]CB-1'!AY31+'[3]CB-2'!AY31+'[3]CB-3'!AY31+'[3]CB-4'!AY31+'[3]CB-5'!AY31+'[3]CB-6'!AY31+'[3]CB-7'!AY31+'[3]CB-8'!AY31+'[3]CB-9'!AY31+'[3]CB-10'!AY31+'[3]CB-11'!AY31+'[3]CB-12'!AY31+'[3]CB-13'!AY31+'[3]CB-14'!AY31+'[3]CB-15'!AY31+'[3]CB-16'!AY31+'[3]CB-17'!AY31+'[3]CB-18'!AY31+'[3]CB-19'!AY31+'[3]CB-20'!AY31+'[3]CB-21'!AY31+'[3]CB-22'!AY31+'[3]CB-23'!AY31+'[3]CB-24'!AY31+'[4]LCT-1'!AY31+'[4]LCT-2'!AY31+'[4]LCT-3'!AY31+'[4]LCT-4'!AY31+'[4]LCT-5'!AY31+'[4]LCT-6'!AY31+'[4]LCT-7'!AY31+'[4]LCT-8'!AY31+'[5]TB-1'!AY31+'[5]TB-2'!AY31+'[5]TB-3'!AY31+'[5]TB-4'!AY31+'[5]TB-5'!AY31+'[5]TB-6'!AY31+'[5]TB-7'!AY31+'[5]TB-8'!AY31+'[5]TB-9'!AY31+'[5]TB-10'!AY31+'[6]DSV-1'!AY31+'[6]DSV-2'!AY31+'[6]DSV-3'!AY31+'[7]TUB-1'!AY31+'[7]TUB-2'!AY31+'[8]Barge-1'!AY31+'[8]Barge-2'!AY31+'[8]Barge-3'!AY31+'[8]Barge-4'!AY31</f>
        <v>2792.9030429030427</v>
      </c>
      <c r="M31" s="182">
        <f>'[2]AHTS-1'!BU31+'[2]AHTS-2'!BU31+'[2]AHTS-3'!BU31+'[2]AHTS-4'!BU31+'[2]AHTS-5'!BU31+'[2]AHTS-6'!BU31+'[2]AHTS-7'!BU31+'[2]AHTS-8'!BU31+'[3]CB-1'!BU31+'[3]CB-2'!BU31+'[3]CB-3'!BU31+'[3]CB-4'!BU31+'[3]CB-5'!BU31+'[3]CB-6'!BU31+'[3]CB-7'!BU31+'[3]CB-8'!BU31+'[3]CB-9'!BU31+'[3]CB-10'!BU31+'[3]CB-11'!BU31+'[3]CB-12'!BU31+'[3]CB-13'!BU31+'[3]CB-14'!BU31+'[3]CB-15'!BU31+'[3]CB-16'!BU31+'[3]CB-17'!BU31+'[3]CB-18'!BU31+'[3]CB-19'!BU31+'[3]CB-20'!BU31+'[3]CB-21'!BU31+'[3]CB-22'!BU31+'[3]CB-23'!BU31+'[3]CB-24'!BU31+'[4]LCT-1'!BU31+'[4]LCT-2'!BU31+'[4]LCT-3'!BU31+'[4]LCT-4'!BU31+'[4]LCT-5'!BU31+'[4]LCT-6'!BU31+'[4]LCT-7'!BU31+'[4]LCT-8'!BU31+'[5]TB-1'!BU31+'[5]TB-2'!BU31+'[5]TB-3'!BU31+'[5]TB-4'!BU31+'[5]TB-5'!BU31+'[5]TB-6'!BU31+'[5]TB-7'!BU31+'[5]TB-8'!BU31+'[5]TB-9'!BU31+'[5]TB-10'!BU31+'[6]DSV-1'!BU31+'[6]DSV-2'!BU31+'[6]DSV-3'!BU31+'[7]TUB-1'!BU31+'[7]TUB-2'!BU31+'[8]Barge-1'!BU31+'[8]Barge-2'!BU31+'[8]Barge-3'!BU31+'[8]Barge-4'!BU31</f>
        <v>3981.603981603982</v>
      </c>
      <c r="N31" s="182">
        <f>'[2]AHTS-1'!CQ31+'[2]AHTS-2'!CQ31+'[2]AHTS-3'!CQ31+'[2]AHTS-4'!CQ31+'[2]AHTS-5'!CQ31+'[2]AHTS-6'!CQ31+'[2]AHTS-7'!CQ31+'[2]AHTS-8'!CQ31+'[3]CB-1'!CQ31+'[3]CB-2'!CQ31+'[3]CB-3'!CQ31+'[3]CB-4'!CQ31+'[3]CB-5'!CQ31+'[3]CB-6'!CQ31+'[3]CB-7'!CQ31+'[3]CB-8'!CQ31+'[3]CB-9'!CQ31+'[3]CB-10'!CQ31+'[3]CB-11'!CQ31+'[3]CB-12'!CQ31+'[3]CB-13'!CQ31+'[3]CB-14'!CQ31+'[3]CB-15'!CQ31+'[3]CB-16'!CQ31+'[3]CB-17'!CQ31+'[3]CB-18'!CQ31+'[3]CB-19'!CQ31+'[3]CB-20'!CQ31+'[3]CB-21'!CQ31+'[3]CB-22'!CQ31+'[3]CB-23'!CQ31+'[3]CB-24'!CQ31+'[4]LCT-1'!CQ31+'[4]LCT-2'!CQ31+'[4]LCT-3'!CQ31+'[4]LCT-4'!CQ31+'[4]LCT-5'!CQ31+'[4]LCT-6'!CQ31+'[4]LCT-7'!CQ31+'[4]LCT-8'!CQ31+'[5]TB-1'!CQ31+'[5]TB-2'!CQ31+'[5]TB-3'!CQ31+'[5]TB-4'!CQ31+'[5]TB-5'!CQ31+'[5]TB-6'!CQ31+'[5]TB-7'!CQ31+'[5]TB-8'!CQ31+'[5]TB-9'!CQ31+'[5]TB-10'!CQ31+'[6]DSV-1'!CQ31+'[6]DSV-2'!CQ31+'[6]DSV-3'!CQ31+'[7]TUB-1'!CQ31+'[7]TUB-2'!CQ31+'[8]Barge-1'!CQ31+'[8]Barge-2'!CQ31+'[8]Barge-3'!CQ31+'[8]Barge-4'!CQ31</f>
        <v>0</v>
      </c>
      <c r="O31" s="179">
        <f>'[2]AHTS-1'!AZ31+'[2]AHTS-2'!AZ31+'[2]AHTS-3'!AZ31+'[2]AHTS-4'!AZ31+'[2]AHTS-5'!AZ31+'[2]AHTS-6'!AZ31+'[2]AHTS-7'!AZ31+'[2]AHTS-8'!AZ31+'[3]CB-1'!AZ31+'[3]CB-2'!AZ31+'[3]CB-3'!AZ31+'[3]CB-4'!AZ31+'[3]CB-5'!AZ31+'[3]CB-6'!AZ31+'[3]CB-7'!AZ31+'[3]CB-8'!AZ31+'[3]CB-9'!AZ31+'[3]CB-10'!AZ31+'[3]CB-11'!AZ31+'[3]CB-12'!AZ31+'[3]CB-13'!AZ31+'[3]CB-14'!AZ31+'[3]CB-15'!AZ31+'[3]CB-16'!AZ31+'[3]CB-17'!AZ31+'[3]CB-18'!AZ31+'[3]CB-19'!AZ31+'[3]CB-20'!AZ31+'[3]CB-21'!AZ31+'[3]CB-22'!AZ31+'[3]CB-23'!AZ31+'[3]CB-24'!AZ31+'[4]LCT-1'!AZ31+'[4]LCT-2'!AZ31+'[4]LCT-3'!AZ31+'[4]LCT-4'!AZ31+'[4]LCT-5'!AZ31+'[4]LCT-6'!AZ31+'[4]LCT-7'!AZ31+'[4]LCT-8'!AZ31+'[5]TB-1'!AZ31+'[5]TB-2'!AZ31+'[5]TB-3'!AZ31+'[5]TB-4'!AZ31+'[5]TB-5'!AZ31+'[5]TB-6'!AZ31+'[5]TB-7'!AZ31+'[5]TB-8'!AZ31+'[5]TB-9'!AZ31+'[5]TB-10'!AZ31+'[6]DSV-1'!AZ31+'[6]DSV-2'!AZ31+'[6]DSV-3'!AZ31+'[7]TUB-1'!AZ31+'[7]TUB-2'!AZ31+'[8]Barge-1'!AZ31+'[8]Barge-2'!AZ31+'[8]Barge-3'!AZ31+'[8]Barge-4'!AZ31</f>
        <v>80.378630378630362</v>
      </c>
      <c r="P31" s="180">
        <f>'[2]AHTS-1'!BV31+'[2]AHTS-2'!BV31+'[2]AHTS-3'!BV31+'[2]AHTS-4'!BV31+'[2]AHTS-5'!BV31+'[2]AHTS-6'!BV31+'[2]AHTS-7'!BV31+'[2]AHTS-8'!BV31+'[3]CB-1'!BV31+'[3]CB-2'!BV31+'[3]CB-3'!BV31+'[3]CB-4'!BV31+'[3]CB-5'!BV31+'[3]CB-6'!BV31+'[3]CB-7'!BV31+'[3]CB-8'!BV31+'[3]CB-9'!BV31+'[3]CB-10'!BV31+'[3]CB-11'!BV31+'[3]CB-12'!BV31+'[3]CB-13'!BV31+'[3]CB-14'!BV31+'[3]CB-15'!BV31+'[3]CB-16'!BV31+'[3]CB-17'!BV31+'[3]CB-18'!BV31+'[3]CB-19'!BV31+'[3]CB-20'!BV31+'[3]CB-21'!BV31+'[3]CB-22'!BV31+'[3]CB-23'!BV31+'[3]CB-24'!BV31+'[4]LCT-1'!BV31+'[4]LCT-2'!BV31+'[4]LCT-3'!BV31+'[4]LCT-4'!BV31+'[4]LCT-5'!BV31+'[4]LCT-6'!BV31+'[4]LCT-7'!BV31+'[4]LCT-8'!BV31+'[5]TB-1'!BV31+'[5]TB-2'!BV31+'[5]TB-3'!BV31+'[5]TB-4'!BV31+'[5]TB-5'!BV31+'[5]TB-6'!BV31+'[5]TB-7'!BV31+'[5]TB-8'!BV31+'[5]TB-9'!BV31+'[5]TB-10'!BV31+'[6]DSV-1'!BV31+'[6]DSV-2'!BV31+'[6]DSV-3'!BV31+'[7]TUB-1'!BV31+'[7]TUB-2'!BV31+'[8]Barge-1'!BV31+'[8]Barge-2'!BV31+'[8]Barge-3'!BV31+'[8]Barge-4'!BV31</f>
        <v>409.50040950040949</v>
      </c>
      <c r="Q31" s="180">
        <f>'[2]AHTS-1'!CR31+'[2]AHTS-2'!CR31+'[2]AHTS-3'!CR31+'[2]AHTS-4'!CR31+'[2]AHTS-5'!CR31+'[2]AHTS-6'!CR31+'[2]AHTS-7'!CR31+'[2]AHTS-8'!CR31+'[3]CB-1'!CR31+'[3]CB-2'!CR31+'[3]CB-3'!CR31+'[3]CB-4'!CR31+'[3]CB-5'!CR31+'[3]CB-6'!CR31+'[3]CB-7'!CR31+'[3]CB-8'!CR31+'[3]CB-9'!CR31+'[3]CB-10'!CR31+'[3]CB-11'!CR31+'[3]CB-12'!CR31+'[3]CB-13'!CR31+'[3]CB-14'!CR31+'[3]CB-15'!CR31+'[3]CB-16'!CR31+'[3]CB-17'!CR31+'[3]CB-18'!CR31+'[3]CB-19'!CR31+'[3]CB-20'!CR31+'[3]CB-21'!CR31+'[3]CB-22'!CR31+'[3]CB-23'!CR31+'[3]CB-24'!CR31+'[4]LCT-1'!CR31+'[4]LCT-2'!CR31+'[4]LCT-3'!CR31+'[4]LCT-4'!CR31+'[4]LCT-5'!CR31+'[4]LCT-6'!CR31+'[4]LCT-7'!CR31+'[4]LCT-8'!CR31+'[5]TB-1'!CR31+'[5]TB-2'!CR31+'[5]TB-3'!CR31+'[5]TB-4'!CR31+'[5]TB-5'!CR31+'[5]TB-6'!CR31+'[5]TB-7'!CR31+'[5]TB-8'!CR31+'[5]TB-9'!CR31+'[5]TB-10'!CR31+'[6]DSV-1'!CR31+'[6]DSV-2'!CR31+'[6]DSV-3'!CR31+'[7]TUB-1'!CR31+'[7]TUB-2'!CR31+'[8]Barge-1'!CR31+'[8]Barge-2'!CR31+'[8]Barge-3'!CR31+'[8]Barge-4'!CR31</f>
        <v>0</v>
      </c>
      <c r="R31" s="183">
        <f>'[2]AHTS-1'!BA31+'[2]AHTS-2'!BA31+'[2]AHTS-3'!BA31+'[2]AHTS-4'!BA31+'[2]AHTS-5'!BA31+'[2]AHTS-6'!BA31+'[2]AHTS-7'!BA31+'[2]AHTS-8'!BA31+'[3]CB-1'!BA31+'[3]CB-2'!BA31+'[3]CB-3'!BA31+'[3]CB-4'!BA31+'[3]CB-5'!BA31+'[3]CB-6'!BA31+'[3]CB-7'!BA31+'[3]CB-8'!BA31+'[3]CB-9'!BA31+'[3]CB-10'!BA31+'[3]CB-11'!BA31+'[3]CB-12'!BA31+'[3]CB-13'!BA31+'[3]CB-14'!BA31+'[3]CB-15'!BA31+'[3]CB-16'!BA31+'[3]CB-17'!BA31+'[3]CB-18'!BA31+'[3]CB-19'!BA31+'[3]CB-20'!BA31+'[3]CB-21'!BA31+'[3]CB-22'!BA31+'[3]CB-23'!BA31+'[3]CB-24'!BA31+'[4]LCT-1'!BA31+'[4]LCT-2'!BA31+'[4]LCT-3'!BA31+'[4]LCT-4'!BA31+'[4]LCT-5'!BA31+'[4]LCT-6'!BA31+'[4]LCT-7'!BA31+'[4]LCT-8'!BA31+'[5]TB-1'!BA31+'[5]TB-2'!BA31+'[5]TB-3'!BA31+'[5]TB-4'!BA31+'[5]TB-5'!BA31+'[5]TB-6'!BA31+'[5]TB-7'!BA31+'[5]TB-8'!BA31+'[5]TB-9'!BA31+'[5]TB-10'!BA31+'[6]DSV-1'!BA31+'[6]DSV-2'!BA31+'[6]DSV-3'!BA31+'[7]TUB-1'!BA31+'[7]TUB-2'!BA31+'[8]Barge-1'!BA31+'[8]Barge-2'!BA31+'[8]Barge-3'!BA31+'[8]Barge-4'!BA31</f>
        <v>4172.2274722274724</v>
      </c>
      <c r="S31" s="180">
        <f>'[2]AHTS-1'!BW31+'[2]AHTS-2'!BW31+'[2]AHTS-3'!BW31+'[2]AHTS-4'!BW31+'[2]AHTS-5'!BW31+'[2]AHTS-6'!BW31+'[2]AHTS-7'!BW31+'[2]AHTS-8'!BW31+'[3]CB-1'!BW31+'[3]CB-2'!BW31+'[3]CB-3'!BW31+'[3]CB-4'!BW31+'[3]CB-5'!BW31+'[3]CB-6'!BW31+'[3]CB-7'!BW31+'[3]CB-8'!BW31+'[3]CB-9'!BW31+'[3]CB-10'!BW31+'[3]CB-11'!BW31+'[3]CB-12'!BW31+'[3]CB-13'!BW31+'[3]CB-14'!BW31+'[3]CB-15'!BW31+'[3]CB-16'!BW31+'[3]CB-17'!BW31+'[3]CB-18'!BW31+'[3]CB-19'!BW31+'[3]CB-20'!BW31+'[3]CB-21'!BW31+'[3]CB-22'!BW31+'[3]CB-23'!BW31+'[3]CB-24'!BW31+'[4]LCT-1'!BW31+'[4]LCT-2'!BW31+'[4]LCT-3'!BW31+'[4]LCT-4'!BW31+'[4]LCT-5'!BW31+'[4]LCT-6'!BW31+'[4]LCT-7'!BW31+'[4]LCT-8'!BW31+'[5]TB-1'!BW31+'[5]TB-2'!BW31+'[5]TB-3'!BW31+'[5]TB-4'!BW31+'[5]TB-5'!BW31+'[5]TB-6'!BW31+'[5]TB-7'!BW31+'[5]TB-8'!BW31+'[5]TB-9'!BW31+'[5]TB-10'!BW31+'[6]DSV-1'!BW31+'[6]DSV-2'!BW31+'[6]DSV-3'!BW31+'[7]TUB-1'!BW31+'[7]TUB-2'!BW31+'[8]Barge-1'!BW31+'[8]Barge-2'!BW31+'[8]Barge-3'!BW31+'[8]Barge-4'!BW31</f>
        <v>5345.5553455553463</v>
      </c>
      <c r="T31" s="184">
        <f>'[2]AHTS-1'!CS31+'[2]AHTS-2'!CS31+'[2]AHTS-3'!CS31+'[2]AHTS-4'!CS31+'[2]AHTS-5'!CS31+'[2]AHTS-6'!CS31+'[2]AHTS-7'!CS31+'[2]AHTS-8'!CS31+'[3]CB-1'!CS31+'[3]CB-2'!CS31+'[3]CB-3'!CS31+'[3]CB-4'!CS31+'[3]CB-5'!CS31+'[3]CB-6'!CS31+'[3]CB-7'!CS31+'[3]CB-8'!CS31+'[3]CB-9'!CS31+'[3]CB-10'!CS31+'[3]CB-11'!CS31+'[3]CB-12'!CS31+'[3]CB-13'!CS31+'[3]CB-14'!CS31+'[3]CB-15'!CS31+'[3]CB-16'!CS31+'[3]CB-17'!CS31+'[3]CB-18'!CS31+'[3]CB-19'!CS31+'[3]CB-20'!CS31+'[3]CB-21'!CS31+'[3]CB-22'!CS31+'[3]CB-23'!CS31+'[3]CB-24'!CS31+'[4]LCT-1'!CS31+'[4]LCT-2'!CS31+'[4]LCT-3'!CS31+'[4]LCT-4'!CS31+'[4]LCT-5'!CS31+'[4]LCT-6'!CS31+'[4]LCT-7'!CS31+'[4]LCT-8'!CS31+'[5]TB-1'!CS31+'[5]TB-2'!CS31+'[5]TB-3'!CS31+'[5]TB-4'!CS31+'[5]TB-5'!CS31+'[5]TB-6'!CS31+'[5]TB-7'!CS31+'[5]TB-8'!CS31+'[5]TB-9'!CS31+'[5]TB-10'!CS31+'[6]DSV-1'!CS31+'[6]DSV-2'!CS31+'[6]DSV-3'!CS31+'[7]TUB-1'!CS31+'[7]TUB-2'!CS31+'[8]Barge-1'!CS31+'[8]Barge-2'!CS31+'[8]Barge-3'!CS31+'[8]Barge-4'!CS31</f>
        <v>0</v>
      </c>
      <c r="U31" s="183">
        <f>'[2]AHTS-1'!BB31+'[2]AHTS-2'!BB31+'[2]AHTS-3'!BB31+'[2]AHTS-4'!BB31+'[2]AHTS-5'!BB31+'[2]AHTS-6'!BB31+'[2]AHTS-7'!BB31+'[2]AHTS-8'!BB31+'[3]CB-1'!BB31+'[3]CB-2'!BB31+'[3]CB-3'!BB31+'[3]CB-4'!BB31+'[3]CB-5'!BB31+'[3]CB-6'!BB31+'[3]CB-7'!BB31+'[3]CB-8'!BB31+'[3]CB-9'!BB31+'[3]CB-10'!BB31+'[3]CB-11'!BB31+'[3]CB-12'!BB31+'[3]CB-13'!BB31+'[3]CB-14'!BB31+'[3]CB-15'!BB31+'[3]CB-16'!BB31+'[3]CB-17'!BB31+'[3]CB-18'!BB31+'[3]CB-19'!BB31+'[3]CB-20'!BB31+'[3]CB-21'!BB31+'[3]CB-22'!BB31+'[3]CB-23'!BB31+'[3]CB-24'!BB31+'[4]LCT-1'!BB31+'[4]LCT-2'!BB31+'[4]LCT-3'!BB31+'[4]LCT-4'!BB31+'[4]LCT-5'!BB31+'[4]LCT-6'!BB31+'[4]LCT-7'!BB31+'[4]LCT-8'!BB31+'[5]TB-1'!BB31+'[5]TB-2'!BB31+'[5]TB-3'!BB31+'[5]TB-4'!BB31+'[5]TB-5'!BB31+'[5]TB-6'!BB31+'[5]TB-7'!BB31+'[5]TB-8'!BB31+'[5]TB-9'!BB31+'[5]TB-10'!BB31+'[6]DSV-1'!BB31+'[6]DSV-2'!BB31+'[6]DSV-3'!BB31+'[7]TUB-1'!BB31+'[7]TUB-2'!BB31+'[8]Barge-1'!BB31+'[8]Barge-2'!BB31+'[8]Barge-3'!BB31+'[8]Barge-4'!BB31</f>
        <v>0</v>
      </c>
      <c r="V31" s="180">
        <f>'[2]AHTS-1'!BX31+'[2]AHTS-2'!BX31+'[2]AHTS-3'!BX31+'[2]AHTS-4'!BX31+'[2]AHTS-5'!BX31+'[2]AHTS-6'!BX31+'[2]AHTS-7'!BX31+'[2]AHTS-8'!BX31+'[3]CB-1'!BX31+'[3]CB-2'!BX31+'[3]CB-3'!BX31+'[3]CB-4'!BX31+'[3]CB-5'!BX31+'[3]CB-6'!BX31+'[3]CB-7'!BX31+'[3]CB-8'!BX31+'[3]CB-9'!BX31+'[3]CB-10'!BX31+'[3]CB-11'!BX31+'[3]CB-12'!BX31+'[3]CB-13'!BX31+'[3]CB-14'!BX31+'[3]CB-15'!BX31+'[3]CB-16'!BX31+'[3]CB-17'!BX31+'[3]CB-18'!BX31+'[3]CB-19'!BX31+'[3]CB-20'!BX31+'[3]CB-21'!BX31+'[3]CB-22'!BX31+'[3]CB-23'!BX31+'[3]CB-24'!BX31+'[4]LCT-1'!BX31+'[4]LCT-2'!BX31+'[4]LCT-3'!BX31+'[4]LCT-4'!BX31+'[4]LCT-5'!BX31+'[4]LCT-6'!BX31+'[4]LCT-7'!BX31+'[4]LCT-8'!BX31+'[5]TB-1'!BX31+'[5]TB-2'!BX31+'[5]TB-3'!BX31+'[5]TB-4'!BX31+'[5]TB-5'!BX31+'[5]TB-6'!BX31+'[5]TB-7'!BX31+'[5]TB-8'!BX31+'[5]TB-9'!BX31+'[5]TB-10'!BX31+'[6]DSV-1'!BX31+'[6]DSV-2'!BX31+'[6]DSV-3'!BX31+'[7]TUB-1'!BX31+'[7]TUB-2'!BX31+'[8]Barge-1'!BX31+'[8]Barge-2'!BX31+'[8]Barge-3'!BX31+'[8]Barge-4'!BX31</f>
        <v>0</v>
      </c>
      <c r="W31" s="184">
        <f>'[2]AHTS-1'!CT31+'[2]AHTS-2'!CT31+'[2]AHTS-3'!CT31+'[2]AHTS-4'!CT31+'[2]AHTS-5'!CT31+'[2]AHTS-6'!CT31+'[2]AHTS-7'!CT31+'[2]AHTS-8'!CT31+'[3]CB-1'!CT31+'[3]CB-2'!CT31+'[3]CB-3'!CT31+'[3]CB-4'!CT31+'[3]CB-5'!CT31+'[3]CB-6'!CT31+'[3]CB-7'!CT31+'[3]CB-8'!CT31+'[3]CB-9'!CT31+'[3]CB-10'!CT31+'[3]CB-11'!CT31+'[3]CB-12'!CT31+'[3]CB-13'!CT31+'[3]CB-14'!CT31+'[3]CB-15'!CT31+'[3]CB-16'!CT31+'[3]CB-17'!CT31+'[3]CB-18'!CT31+'[3]CB-19'!CT31+'[3]CB-20'!CT31+'[3]CB-21'!CT31+'[3]CB-22'!CT31+'[3]CB-23'!CT31+'[3]CB-24'!CT31+'[4]LCT-1'!CT31+'[4]LCT-2'!CT31+'[4]LCT-3'!CT31+'[4]LCT-4'!CT31+'[4]LCT-5'!CT31+'[4]LCT-6'!CT31+'[4]LCT-7'!CT31+'[4]LCT-8'!CT31+'[5]TB-1'!CT31+'[5]TB-2'!CT31+'[5]TB-3'!CT31+'[5]TB-4'!CT31+'[5]TB-5'!CT31+'[5]TB-6'!CT31+'[5]TB-7'!CT31+'[5]TB-8'!CT31+'[5]TB-9'!CT31+'[5]TB-10'!CT31+'[6]DSV-1'!CT31+'[6]DSV-2'!CT31+'[6]DSV-3'!CT31+'[7]TUB-1'!CT31+'[7]TUB-2'!CT31+'[8]Barge-1'!CT31+'[8]Barge-2'!CT31+'[8]Barge-3'!CT31+'[8]Barge-4'!CT31</f>
        <v>0</v>
      </c>
      <c r="X31" s="67"/>
      <c r="Y31" s="67"/>
      <c r="Z31" s="68"/>
      <c r="AA31" s="111">
        <f>[1]Control!AZ31</f>
        <v>46006</v>
      </c>
      <c r="AB31" s="66"/>
      <c r="AC31" s="132">
        <f>'[2]AHTS-1'!IC69+'[2]AHTS-2'!IC69+'[2]AHTS-3'!IC69+'[2]AHTS-4'!IC69+'[2]AHTS-5'!IC69+'[2]AHTS-6'!IC69+'[2]AHTS-7'!IC69+'[2]AHTS-8'!IC69+'[3]CB-1'!IC69+'[3]CB-2'!IC69+'[3]CB-3'!IC69+'[3]CB-4'!IC69+'[3]CB-5'!IC69+'[3]CB-6'!IC69+'[3]CB-7'!IC69+'[3]CB-8'!IC69+'[3]CB-9'!IC69+'[3]CB-10'!IC69+'[3]CB-11'!IC69+'[3]CB-12'!IC69+'[3]CB-13'!IC69+'[3]CB-14'!IC69+'[3]CB-15'!IC69+'[3]CB-16'!IC69+'[3]CB-17'!IC69+'[3]CB-18'!IC69+'[3]CB-19'!IC69+'[3]CB-20'!IC69+'[3]CB-21'!IC69+'[3]CB-22'!IC69+'[3]CB-23'!IC69+'[3]CB-24'!IC69+'[4]LCT-1'!IC69+'[4]LCT-2'!IC69+'[4]LCT-3'!IC69+'[4]LCT-4'!IC69+'[4]LCT-5'!IC69+'[4]LCT-6'!IC69+'[4]LCT-7'!IC69+'[4]LCT-8'!IC69+'[5]TB-1'!IC69+'[5]TB-2'!IC69+'[5]TB-3'!IC69+'[5]TB-4'!IC69+'[5]TB-5'!IC69+'[5]TB-6'!IC69+'[5]TB-7'!IC69+'[5]TB-8'!IC69+'[5]TB-9'!IC69+'[5]TB-10'!IC69+'[6]DSV-1'!IC69+'[6]DSV-2'!IC69+'[6]DSV-3'!IC69+'[7]TUB-1'!IC69+'[7]TUB-2'!IC69+'[8]Barge-1'!IC69+'[8]Barge-2'!IC69+'[8]Barge-3'!IC69+'[8]Barge-4'!IC69</f>
        <v>0</v>
      </c>
      <c r="AD31" s="133">
        <f>'[2]AHTS-1'!IC31+'[2]AHTS-2'!IC31+'[2]AHTS-3'!IC31+'[2]AHTS-4'!IC31+'[2]AHTS-5'!IC31+'[2]AHTS-6'!IC31+'[2]AHTS-7'!IC31+'[2]AHTS-8'!IC31+'[3]CB-1'!IC31+'[3]CB-2'!IC31+'[3]CB-3'!IC31+'[3]CB-4'!IC31+'[3]CB-5'!IC31+'[3]CB-6'!IC31+'[3]CB-7'!IC31+'[3]CB-8'!IC31+'[3]CB-9'!IC31+'[3]CB-10'!IC31+'[3]CB-11'!IC31+'[3]CB-12'!IC31+'[3]CB-13'!IC31+'[3]CB-14'!IC31+'[3]CB-15'!IC31+'[3]CB-16'!IC31+'[3]CB-17'!IC31+'[3]CB-18'!IC31+'[3]CB-19'!IC31+'[3]CB-20'!IC31+'[3]CB-21'!IC31+'[3]CB-22'!IC31+'[3]CB-23'!IC31+'[3]CB-24'!IC31+'[4]LCT-1'!IC31+'[4]LCT-2'!IC31+'[4]LCT-3'!IC31+'[4]LCT-4'!IC31+'[4]LCT-5'!IC31+'[4]LCT-6'!IC31+'[4]LCT-7'!IC31+'[4]LCT-8'!IC31+'[5]TB-1'!IC31+'[5]TB-2'!IC31+'[5]TB-3'!IC31+'[5]TB-4'!IC31+'[5]TB-5'!IC31+'[5]TB-6'!IC31+'[5]TB-7'!IC31+'[5]TB-8'!IC31+'[5]TB-9'!IC31+'[5]TB-10'!IC31+'[6]DSV-1'!IC31+'[6]DSV-2'!IC31+'[6]DSV-3'!IC31+'[7]TUB-1'!IC31+'[7]TUB-2'!IC31+'[8]Barge-1'!IC31+'[8]Barge-2'!IC31+'[8]Barge-3'!IC31+'[8]Barge-4'!IC31</f>
        <v>0</v>
      </c>
      <c r="AE31" s="134">
        <f>'[2]AHTS-1'!IC102+'[2]AHTS-2'!IC102+'[2]AHTS-3'!IC102+'[2]AHTS-4'!IC102+'[2]AHTS-5'!IC102+'[2]AHTS-6'!IC102+'[2]AHTS-7'!IC102+'[2]AHTS-8'!IC102+'[3]CB-1'!IC102+'[3]CB-2'!IC102+'[3]CB-3'!IC102+'[3]CB-4'!IC102+'[3]CB-5'!IC102+'[3]CB-6'!IC102+'[3]CB-7'!IC102+'[3]CB-8'!IC102+'[3]CB-9'!IC102+'[3]CB-10'!IC102+'[3]CB-11'!IC102+'[3]CB-12'!IC102+'[3]CB-13'!IC102+'[3]CB-14'!IC102+'[3]CB-15'!IC102+'[3]CB-16'!IC102+'[3]CB-17'!IC102+'[3]CB-18'!IC102+'[3]CB-19'!IC102+'[3]CB-20'!IC102+'[3]CB-21'!IC102+'[3]CB-22'!IC102+'[3]CB-23'!IC102+'[3]CB-24'!IC102+'[4]LCT-1'!IC102+'[4]LCT-2'!IC102+'[4]LCT-3'!IC102+'[4]LCT-4'!IC102+'[4]LCT-5'!IC102+'[4]LCT-6'!IC102+'[4]LCT-7'!IC102+'[4]LCT-8'!IC102+'[5]TB-1'!IC102+'[5]TB-2'!IC102+'[5]TB-3'!IC102+'[5]TB-4'!IC102+'[5]TB-5'!IC102+'[5]TB-6'!IC102+'[5]TB-7'!IC102+'[5]TB-8'!IC102+'[5]TB-9'!IC102+'[5]TB-10'!IC102+'[6]DSV-1'!IC102+'[6]DSV-2'!IC102+'[6]DSV-3'!IC102+'[7]TUB-1'!IC102+'[7]TUB-2'!IC102+'[8]Barge-1'!IC102+'[8]Barge-2'!IC102+'[8]Barge-3'!IC102+'[8]Barge-4'!IC102</f>
        <v>0</v>
      </c>
      <c r="AF31" s="135">
        <f>'[2]AHTS-1'!ID69+'[2]AHTS-2'!ID69+'[2]AHTS-3'!ID69+'[2]AHTS-4'!ID69+'[2]AHTS-5'!ID69+'[2]AHTS-6'!ID69+'[2]AHTS-7'!ID69+'[2]AHTS-8'!ID69+'[3]CB-1'!ID69+'[3]CB-2'!ID69+'[3]CB-3'!ID69+'[3]CB-4'!ID69+'[3]CB-5'!ID69+'[3]CB-6'!ID69+'[3]CB-7'!ID69+'[3]CB-8'!ID69+'[3]CB-9'!ID69+'[3]CB-10'!ID69+'[3]CB-11'!ID69+'[3]CB-12'!ID69+'[3]CB-13'!ID69+'[3]CB-14'!ID69+'[3]CB-15'!ID69+'[3]CB-16'!ID69+'[3]CB-17'!ID69+'[3]CB-18'!ID69+'[3]CB-19'!ID69+'[3]CB-20'!ID69+'[3]CB-21'!ID69+'[3]CB-22'!ID69+'[3]CB-23'!ID69+'[3]CB-24'!ID69+'[4]LCT-1'!ID69+'[4]LCT-2'!ID69+'[4]LCT-3'!ID69+'[4]LCT-4'!ID69+'[4]LCT-5'!ID69+'[4]LCT-6'!ID69+'[4]LCT-7'!ID69+'[4]LCT-8'!ID69+'[5]TB-1'!ID69+'[5]TB-2'!ID69+'[5]TB-3'!ID69+'[5]TB-4'!ID69+'[5]TB-5'!ID69+'[5]TB-6'!ID69+'[5]TB-7'!ID69+'[5]TB-8'!ID69+'[5]TB-9'!ID69+'[5]TB-10'!ID69+'[6]DSV-1'!ID69+'[6]DSV-2'!ID69+'[6]DSV-3'!ID69+'[7]TUB-1'!ID69+'[7]TUB-2'!ID69+'[8]Barge-1'!ID69+'[8]Barge-2'!ID69+'[8]Barge-3'!ID69+'[8]Barge-4'!ID69</f>
        <v>14319666.666666668</v>
      </c>
      <c r="AG31" s="136">
        <f>'[2]AHTS-1'!ID31+'[2]AHTS-2'!ID31+'[2]AHTS-3'!ID31+'[2]AHTS-4'!ID31+'[2]AHTS-5'!ID31+'[2]AHTS-6'!ID31+'[2]AHTS-7'!ID31+'[2]AHTS-8'!ID31+'[3]CB-1'!ID31+'[3]CB-2'!ID31+'[3]CB-3'!ID31+'[3]CB-4'!ID31+'[3]CB-5'!ID31+'[3]CB-6'!ID31+'[3]CB-7'!ID31+'[3]CB-8'!ID31+'[3]CB-9'!ID31+'[3]CB-10'!ID31+'[3]CB-11'!ID31+'[3]CB-12'!ID31+'[3]CB-13'!ID31+'[3]CB-14'!ID31+'[3]CB-15'!ID31+'[3]CB-16'!ID31+'[3]CB-17'!ID31+'[3]CB-18'!ID31+'[3]CB-19'!ID31+'[3]CB-20'!ID31+'[3]CB-21'!ID31+'[3]CB-22'!ID31+'[3]CB-23'!ID31+'[3]CB-24'!ID31+'[4]LCT-1'!ID31+'[4]LCT-2'!ID31+'[4]LCT-3'!ID31+'[4]LCT-4'!ID31+'[4]LCT-5'!ID31+'[4]LCT-6'!ID31+'[4]LCT-7'!ID31+'[4]LCT-8'!ID31+'[5]TB-1'!ID31+'[5]TB-2'!ID31+'[5]TB-3'!ID31+'[5]TB-4'!ID31+'[5]TB-5'!ID31+'[5]TB-6'!ID31+'[5]TB-7'!ID31+'[5]TB-8'!ID31+'[5]TB-9'!ID31+'[5]TB-10'!ID31+'[6]DSV-1'!ID31+'[6]DSV-2'!ID31+'[6]DSV-3'!ID31+'[7]TUB-1'!ID31+'[7]TUB-2'!ID31+'[8]Barge-1'!ID31+'[8]Barge-2'!ID31+'[8]Barge-3'!ID31+'[8]Barge-4'!ID31</f>
        <v>17300000</v>
      </c>
      <c r="AH31" s="136">
        <f>'[2]AHTS-1'!ID102+'[2]AHTS-2'!ID102+'[2]AHTS-3'!ID102+'[2]AHTS-4'!ID102+'[2]AHTS-5'!ID102+'[2]AHTS-6'!ID102+'[2]AHTS-7'!ID102+'[2]AHTS-8'!ID102+'[3]CB-1'!ID102+'[3]CB-2'!ID102+'[3]CB-3'!ID102+'[3]CB-4'!ID102+'[3]CB-5'!ID102+'[3]CB-6'!ID102+'[3]CB-7'!ID102+'[3]CB-8'!ID102+'[3]CB-9'!ID102+'[3]CB-10'!ID102+'[3]CB-11'!ID102+'[3]CB-12'!ID102+'[3]CB-13'!ID102+'[3]CB-14'!ID102+'[3]CB-15'!ID102+'[3]CB-16'!ID102+'[3]CB-17'!ID102+'[3]CB-18'!ID102+'[3]CB-19'!ID102+'[3]CB-20'!ID102+'[3]CB-21'!ID102+'[3]CB-22'!ID102+'[3]CB-23'!ID102+'[3]CB-24'!ID102+'[4]LCT-1'!ID102+'[4]LCT-2'!ID102+'[4]LCT-3'!ID102+'[4]LCT-4'!ID102+'[4]LCT-5'!ID102+'[4]LCT-6'!ID102+'[4]LCT-7'!ID102+'[4]LCT-8'!ID102+'[5]TB-1'!ID102+'[5]TB-2'!ID102+'[5]TB-3'!ID102+'[5]TB-4'!ID102+'[5]TB-5'!ID102+'[5]TB-6'!ID102+'[5]TB-7'!ID102+'[5]TB-8'!ID102+'[5]TB-9'!ID102+'[5]TB-10'!ID102+'[6]DSV-1'!ID102+'[6]DSV-2'!ID102+'[6]DSV-3'!ID102+'[7]TUB-1'!ID102+'[7]TUB-2'!ID102+'[8]Barge-1'!ID102+'[8]Barge-2'!ID102+'[8]Barge-3'!ID102+'[8]Barge-4'!ID102</f>
        <v>0</v>
      </c>
      <c r="AI31" s="135">
        <f>'[2]AHTS-1'!IE69+'[2]AHTS-2'!IE69+'[2]AHTS-3'!IE69+'[2]AHTS-4'!IE69+'[2]AHTS-5'!IE69+'[2]AHTS-6'!IE69+'[2]AHTS-7'!IE69+'[2]AHTS-8'!IE69+'[3]CB-1'!IE69+'[3]CB-2'!IE69+'[3]CB-3'!IE69+'[3]CB-4'!IE69+'[3]CB-5'!IE69+'[3]CB-6'!IE69+'[3]CB-7'!IE69+'[3]CB-8'!IE69+'[3]CB-9'!IE69+'[3]CB-10'!IE69+'[3]CB-11'!IE69+'[3]CB-12'!IE69+'[3]CB-13'!IE69+'[3]CB-14'!IE69+'[3]CB-15'!IE69+'[3]CB-16'!IE69+'[3]CB-17'!IE69+'[3]CB-18'!IE69+'[3]CB-19'!IE69+'[3]CB-20'!IE69+'[3]CB-21'!IE69+'[3]CB-22'!IE69+'[3]CB-23'!IE69+'[3]CB-24'!IE69+'[4]LCT-1'!IE69+'[4]LCT-2'!IE69+'[4]LCT-3'!IE69+'[4]LCT-4'!IE69+'[4]LCT-5'!IE69+'[4]LCT-6'!IE69+'[4]LCT-7'!IE69+'[4]LCT-8'!IE69+'[5]TB-1'!IE69+'[5]TB-2'!IE69+'[5]TB-3'!IE69+'[5]TB-4'!IE69+'[5]TB-5'!IE69+'[5]TB-6'!IE69+'[5]TB-7'!IE69+'[5]TB-8'!IE69+'[5]TB-9'!IE69+'[5]TB-10'!IE69+'[6]DSV-1'!IE69+'[6]DSV-2'!IE69+'[6]DSV-3'!IE69+'[7]TUB-1'!IE69+'[7]TUB-2'!IE69+'[8]Barge-1'!IE69+'[8]Barge-2'!IE69+'[8]Barge-3'!IE69+'[8]Barge-4'!IE69</f>
        <v>67646966.666666672</v>
      </c>
      <c r="AJ31" s="136">
        <f>'[2]AHTS-1'!IE31+'[2]AHTS-2'!IE31+'[2]AHTS-3'!IE31+'[2]AHTS-4'!IE31+'[2]AHTS-5'!IE31+'[2]AHTS-6'!IE31+'[2]AHTS-7'!IE31+'[2]AHTS-8'!IE31+'[3]CB-1'!IE31+'[3]CB-2'!IE31+'[3]CB-3'!IE31+'[3]CB-4'!IE31+'[3]CB-5'!IE31+'[3]CB-6'!IE31+'[3]CB-7'!IE31+'[3]CB-8'!IE31+'[3]CB-9'!IE31+'[3]CB-10'!IE31+'[3]CB-11'!IE31+'[3]CB-12'!IE31+'[3]CB-13'!IE31+'[3]CB-14'!IE31+'[3]CB-15'!IE31+'[3]CB-16'!IE31+'[3]CB-17'!IE31+'[3]CB-18'!IE31+'[3]CB-19'!IE31+'[3]CB-20'!IE31+'[3]CB-21'!IE31+'[3]CB-22'!IE31+'[3]CB-23'!IE31+'[3]CB-24'!IE31+'[4]LCT-1'!IE31+'[4]LCT-2'!IE31+'[4]LCT-3'!IE31+'[4]LCT-4'!IE31+'[4]LCT-5'!IE31+'[4]LCT-6'!IE31+'[4]LCT-7'!IE31+'[4]LCT-8'!IE31+'[5]TB-1'!IE31+'[5]TB-2'!IE31+'[5]TB-3'!IE31+'[5]TB-4'!IE31+'[5]TB-5'!IE31+'[5]TB-6'!IE31+'[5]TB-7'!IE31+'[5]TB-8'!IE31+'[5]TB-9'!IE31+'[5]TB-10'!IE31+'[6]DSV-1'!IE31+'[6]DSV-2'!IE31+'[6]DSV-3'!IE31+'[7]TUB-1'!IE31+'[7]TUB-2'!IE31+'[8]Barge-1'!IE31+'[8]Barge-2'!IE31+'[8]Barge-3'!IE31+'[8]Barge-4'!IE31</f>
        <v>56750000</v>
      </c>
      <c r="AK31" s="136">
        <f>'[2]AHTS-1'!IE102+'[2]AHTS-2'!IE102+'[2]AHTS-3'!IE102+'[2]AHTS-4'!IE102+'[2]AHTS-5'!IE102+'[2]AHTS-6'!IE102+'[2]AHTS-7'!IE102+'[2]AHTS-8'!IE102+'[3]CB-1'!IE102+'[3]CB-2'!IE102+'[3]CB-3'!IE102+'[3]CB-4'!IE102+'[3]CB-5'!IE102+'[3]CB-6'!IE102+'[3]CB-7'!IE102+'[3]CB-8'!IE102+'[3]CB-9'!IE102+'[3]CB-10'!IE102+'[3]CB-11'!IE102+'[3]CB-12'!IE102+'[3]CB-13'!IE102+'[3]CB-14'!IE102+'[3]CB-15'!IE102+'[3]CB-16'!IE102+'[3]CB-17'!IE102+'[3]CB-18'!IE102+'[3]CB-19'!IE102+'[3]CB-20'!IE102+'[3]CB-21'!IE102+'[3]CB-22'!IE102+'[3]CB-23'!IE102+'[3]CB-24'!IE102+'[4]LCT-1'!IE102+'[4]LCT-2'!IE102+'[4]LCT-3'!IE102+'[4]LCT-4'!IE102+'[4]LCT-5'!IE102+'[4]LCT-6'!IE102+'[4]LCT-7'!IE102+'[4]LCT-8'!IE102+'[5]TB-1'!IE102+'[5]TB-2'!IE102+'[5]TB-3'!IE102+'[5]TB-4'!IE102+'[5]TB-5'!IE102+'[5]TB-6'!IE102+'[5]TB-7'!IE102+'[5]TB-8'!IE102+'[5]TB-9'!IE102+'[5]TB-10'!IE102+'[6]DSV-1'!IE102+'[6]DSV-2'!IE102+'[6]DSV-3'!IE102+'[7]TUB-1'!IE102+'[7]TUB-2'!IE102+'[8]Barge-1'!IE102+'[8]Barge-2'!IE102+'[8]Barge-3'!IE102+'[8]Barge-4'!IE102</f>
        <v>0</v>
      </c>
      <c r="AL31" s="137">
        <f>'[2]AHTS-1'!IF69+'[2]AHTS-2'!IF69+'[2]AHTS-3'!IF69+'[2]AHTS-4'!IF69+'[2]AHTS-5'!IF69+'[2]AHTS-6'!IF69+'[2]AHTS-7'!IF69+'[2]AHTS-8'!IF69+'[3]CB-1'!IF69+'[3]CB-2'!IF69+'[3]CB-3'!IF69+'[3]CB-4'!IF69+'[3]CB-5'!IF69+'[3]CB-6'!IF69+'[3]CB-7'!IF69+'[3]CB-8'!IF69+'[3]CB-9'!IF69+'[3]CB-10'!IF69+'[3]CB-11'!IF69+'[3]CB-12'!IF69+'[3]CB-13'!IF69+'[3]CB-14'!IF69+'[3]CB-15'!IF69+'[3]CB-16'!IF69+'[3]CB-17'!IF69+'[3]CB-18'!IF69+'[3]CB-19'!IF69+'[3]CB-20'!IF69+'[3]CB-21'!IF69+'[3]CB-22'!IF69+'[3]CB-23'!IF69+'[3]CB-24'!IF69+'[4]LCT-1'!IF69+'[4]LCT-2'!IF69+'[4]LCT-3'!IF69+'[4]LCT-4'!IF69+'[4]LCT-5'!IF69+'[4]LCT-6'!IF69+'[4]LCT-7'!IF69+'[4]LCT-8'!IF69+'[5]TB-1'!IF69+'[5]TB-2'!IF69+'[5]TB-3'!IF69+'[5]TB-4'!IF69+'[5]TB-5'!IF69+'[5]TB-6'!IF69+'[5]TB-7'!IF69+'[5]TB-8'!IF69+'[5]TB-9'!IF69+'[5]TB-10'!IF69+'[6]DSV-1'!IF69+'[6]DSV-2'!IF69+'[6]DSV-3'!IF69+'[7]TUB-1'!IF69+'[7]TUB-2'!IF69+'[8]Barge-1'!IF69+'[8]Barge-2'!IF69+'[8]Barge-3'!IF69+'[8]Barge-4'!IF69</f>
        <v>44331750</v>
      </c>
      <c r="AM31" s="138">
        <f>'[2]AHTS-1'!IF31+'[2]AHTS-2'!IF31+'[2]AHTS-3'!IF31+'[2]AHTS-4'!IF31+'[2]AHTS-5'!IF31+'[2]AHTS-6'!IF31+'[2]AHTS-7'!IF31+'[2]AHTS-8'!IF31+'[3]CB-1'!IF31+'[3]CB-2'!IF31+'[3]CB-3'!IF31+'[3]CB-4'!IF31+'[3]CB-5'!IF31+'[3]CB-6'!IF31+'[3]CB-7'!IF31+'[3]CB-8'!IF31+'[3]CB-9'!IF31+'[3]CB-10'!IF31+'[3]CB-11'!IF31+'[3]CB-12'!IF31+'[3]CB-13'!IF31+'[3]CB-14'!IF31+'[3]CB-15'!IF31+'[3]CB-16'!IF31+'[3]CB-17'!IF31+'[3]CB-18'!IF31+'[3]CB-19'!IF31+'[3]CB-20'!IF31+'[3]CB-21'!IF31+'[3]CB-22'!IF31+'[3]CB-23'!IF31+'[3]CB-24'!IF31+'[4]LCT-1'!IF31+'[4]LCT-2'!IF31+'[4]LCT-3'!IF31+'[4]LCT-4'!IF31+'[4]LCT-5'!IF31+'[4]LCT-6'!IF31+'[4]LCT-7'!IF31+'[4]LCT-8'!IF31+'[5]TB-1'!IF31+'[5]TB-2'!IF31+'[5]TB-3'!IF31+'[5]TB-4'!IF31+'[5]TB-5'!IF31+'[5]TB-6'!IF31+'[5]TB-7'!IF31+'[5]TB-8'!IF31+'[5]TB-9'!IF31+'[5]TB-10'!IF31+'[6]DSV-1'!IF31+'[6]DSV-2'!IF31+'[6]DSV-3'!IF31+'[7]TUB-1'!IF31+'[7]TUB-2'!IF31+'[8]Barge-1'!IF31+'[8]Barge-2'!IF31+'[8]Barge-3'!IF31+'[8]Barge-4'!IF31</f>
        <v>63200000</v>
      </c>
      <c r="AN31" s="138">
        <f>'[2]AHTS-1'!IF102+'[2]AHTS-2'!IF102+'[2]AHTS-3'!IF102+'[2]AHTS-4'!IF102+'[2]AHTS-5'!IF102+'[2]AHTS-6'!IF102+'[2]AHTS-7'!IF102+'[2]AHTS-8'!IF102+'[3]CB-1'!IF102+'[3]CB-2'!IF102+'[3]CB-3'!IF102+'[3]CB-4'!IF102+'[3]CB-5'!IF102+'[3]CB-6'!IF102+'[3]CB-7'!IF102+'[3]CB-8'!IF102+'[3]CB-9'!IF102+'[3]CB-10'!IF102+'[3]CB-11'!IF102+'[3]CB-12'!IF102+'[3]CB-13'!IF102+'[3]CB-14'!IF102+'[3]CB-15'!IF102+'[3]CB-16'!IF102+'[3]CB-17'!IF102+'[3]CB-18'!IF102+'[3]CB-19'!IF102+'[3]CB-20'!IF102+'[3]CB-21'!IF102+'[3]CB-22'!IF102+'[3]CB-23'!IF102+'[3]CB-24'!IF102+'[4]LCT-1'!IF102+'[4]LCT-2'!IF102+'[4]LCT-3'!IF102+'[4]LCT-4'!IF102+'[4]LCT-5'!IF102+'[4]LCT-6'!IF102+'[4]LCT-7'!IF102+'[4]LCT-8'!IF102+'[5]TB-1'!IF102+'[5]TB-2'!IF102+'[5]TB-3'!IF102+'[5]TB-4'!IF102+'[5]TB-5'!IF102+'[5]TB-6'!IF102+'[5]TB-7'!IF102+'[5]TB-8'!IF102+'[5]TB-9'!IF102+'[5]TB-10'!IF102+'[6]DSV-1'!IF102+'[6]DSV-2'!IF102+'[6]DSV-3'!IF102+'[7]TUB-1'!IF102+'[7]TUB-2'!IF102+'[8]Barge-1'!IF102+'[8]Barge-2'!IF102+'[8]Barge-3'!IF102+'[8]Barge-4'!IF102</f>
        <v>0</v>
      </c>
      <c r="AO31" s="135">
        <f>'[2]AHTS-1'!IG69+'[2]AHTS-2'!IG69+'[2]AHTS-3'!IG69+'[2]AHTS-4'!IG69+'[2]AHTS-5'!IG69+'[2]AHTS-6'!IG69+'[2]AHTS-7'!IG69+'[2]AHTS-8'!IG69+'[3]CB-1'!IG69+'[3]CB-2'!IG69+'[3]CB-3'!IG69+'[3]CB-4'!IG69+'[3]CB-5'!IG69+'[3]CB-6'!IG69+'[3]CB-7'!IG69+'[3]CB-8'!IG69+'[3]CB-9'!IG69+'[3]CB-10'!IG69+'[3]CB-11'!IG69+'[3]CB-12'!IG69+'[3]CB-13'!IG69+'[3]CB-14'!IG69+'[3]CB-15'!IG69+'[3]CB-16'!IG69+'[3]CB-17'!IG69+'[3]CB-18'!IG69+'[3]CB-19'!IG69+'[3]CB-20'!IG69+'[3]CB-21'!IG69+'[3]CB-22'!IG69+'[3]CB-23'!IG69+'[3]CB-24'!IG69+'[4]LCT-1'!IG69+'[4]LCT-2'!IG69+'[4]LCT-3'!IG69+'[4]LCT-4'!IG69+'[4]LCT-5'!IG69+'[4]LCT-6'!IG69+'[4]LCT-7'!IG69+'[4]LCT-8'!IG69+'[5]TB-1'!IG69+'[5]TB-2'!IG69+'[5]TB-3'!IG69+'[5]TB-4'!IG69+'[5]TB-5'!IG69+'[5]TB-6'!IG69+'[5]TB-7'!IG69+'[5]TB-8'!IG69+'[5]TB-9'!IG69+'[5]TB-10'!IG69+'[6]DSV-1'!IG69+'[6]DSV-2'!IG69+'[6]DSV-3'!IG69+'[7]TUB-1'!IG69+'[7]TUB-2'!IG69+'[8]Barge-1'!IG69+'[8]Barge-2'!IG69+'[8]Barge-3'!IG69+'[8]Barge-4'!IG69</f>
        <v>1275850</v>
      </c>
      <c r="AP31" s="136">
        <f>'[2]AHTS-1'!IG31+'[2]AHTS-2'!IG31+'[2]AHTS-3'!IG31+'[2]AHTS-4'!IG31+'[2]AHTS-5'!IG31+'[2]AHTS-6'!IG31+'[2]AHTS-7'!IG31+'[2]AHTS-8'!IG31+'[3]CB-1'!IG31+'[3]CB-2'!IG31+'[3]CB-3'!IG31+'[3]CB-4'!IG31+'[3]CB-5'!IG31+'[3]CB-6'!IG31+'[3]CB-7'!IG31+'[3]CB-8'!IG31+'[3]CB-9'!IG31+'[3]CB-10'!IG31+'[3]CB-11'!IG31+'[3]CB-12'!IG31+'[3]CB-13'!IG31+'[3]CB-14'!IG31+'[3]CB-15'!IG31+'[3]CB-16'!IG31+'[3]CB-17'!IG31+'[3]CB-18'!IG31+'[3]CB-19'!IG31+'[3]CB-20'!IG31+'[3]CB-21'!IG31+'[3]CB-22'!IG31+'[3]CB-23'!IG31+'[3]CB-24'!IG31+'[4]LCT-1'!IG31+'[4]LCT-2'!IG31+'[4]LCT-3'!IG31+'[4]LCT-4'!IG31+'[4]LCT-5'!IG31+'[4]LCT-6'!IG31+'[4]LCT-7'!IG31+'[4]LCT-8'!IG31+'[5]TB-1'!IG31+'[5]TB-2'!IG31+'[5]TB-3'!IG31+'[5]TB-4'!IG31+'[5]TB-5'!IG31+'[5]TB-6'!IG31+'[5]TB-7'!IG31+'[5]TB-8'!IG31+'[5]TB-9'!IG31+'[5]TB-10'!IG31+'[6]DSV-1'!IG31+'[6]DSV-2'!IG31+'[6]DSV-3'!IG31+'[7]TUB-1'!IG31+'[7]TUB-2'!IG31+'[8]Barge-1'!IG31+'[8]Barge-2'!IG31+'[8]Barge-3'!IG31+'[8]Barge-4'!IG31</f>
        <v>6500000</v>
      </c>
      <c r="AQ31" s="136">
        <f>'[2]AHTS-1'!IG102+'[2]AHTS-2'!IG102+'[2]AHTS-3'!IG102+'[2]AHTS-4'!IG102+'[2]AHTS-5'!IG102+'[2]AHTS-6'!IG102+'[2]AHTS-7'!IG102+'[2]AHTS-8'!IG102+'[3]CB-1'!IG102+'[3]CB-2'!IG102+'[3]CB-3'!IG102+'[3]CB-4'!IG102+'[3]CB-5'!IG102+'[3]CB-6'!IG102+'[3]CB-7'!IG102+'[3]CB-8'!IG102+'[3]CB-9'!IG102+'[3]CB-10'!IG102+'[3]CB-11'!IG102+'[3]CB-12'!IG102+'[3]CB-13'!IG102+'[3]CB-14'!IG102+'[3]CB-15'!IG102+'[3]CB-16'!IG102+'[3]CB-17'!IG102+'[3]CB-18'!IG102+'[3]CB-19'!IG102+'[3]CB-20'!IG102+'[3]CB-21'!IG102+'[3]CB-22'!IG102+'[3]CB-23'!IG102+'[3]CB-24'!IG102+'[4]LCT-1'!IG102+'[4]LCT-2'!IG102+'[4]LCT-3'!IG102+'[4]LCT-4'!IG102+'[4]LCT-5'!IG102+'[4]LCT-6'!IG102+'[4]LCT-7'!IG102+'[4]LCT-8'!IG102+'[5]TB-1'!IG102+'[5]TB-2'!IG102+'[5]TB-3'!IG102+'[5]TB-4'!IG102+'[5]TB-5'!IG102+'[5]TB-6'!IG102+'[5]TB-7'!IG102+'[5]TB-8'!IG102+'[5]TB-9'!IG102+'[5]TB-10'!IG102+'[6]DSV-1'!IG102+'[6]DSV-2'!IG102+'[6]DSV-3'!IG102+'[7]TUB-1'!IG102+'[7]TUB-2'!IG102+'[8]Barge-1'!IG102+'[8]Barge-2'!IG102+'[8]Barge-3'!IG102+'[8]Barge-4'!IG102</f>
        <v>0</v>
      </c>
      <c r="AR31" s="139">
        <f>'[2]AHTS-1'!IH69+'[2]AHTS-2'!IH69+'[2]AHTS-3'!IH69+'[2]AHTS-4'!IH69+'[2]AHTS-5'!IH69+'[2]AHTS-6'!IH69+'[2]AHTS-7'!IH69+'[2]AHTS-8'!IH69+'[3]CB-1'!IH69+'[3]CB-2'!IH69+'[3]CB-3'!IH69+'[3]CB-4'!IH69+'[3]CB-5'!IH69+'[3]CB-6'!IH69+'[3]CB-7'!IH69+'[3]CB-8'!IH69+'[3]CB-9'!IH69+'[3]CB-10'!IH69+'[3]CB-11'!IH69+'[3]CB-12'!IH69+'[3]CB-13'!IH69+'[3]CB-14'!IH69+'[3]CB-15'!IH69+'[3]CB-16'!IH69+'[3]CB-17'!IH69+'[3]CB-18'!IH69+'[3]CB-19'!IH69+'[3]CB-20'!IH69+'[3]CB-21'!IH69+'[3]CB-22'!IH69+'[3]CB-23'!IH69+'[3]CB-24'!IH69+'[4]LCT-1'!IH69+'[4]LCT-2'!IH69+'[4]LCT-3'!IH69+'[4]LCT-4'!IH69+'[4]LCT-5'!IH69+'[4]LCT-6'!IH69+'[4]LCT-7'!IH69+'[4]LCT-8'!IH69+'[5]TB-1'!IH69+'[5]TB-2'!IH69+'[5]TB-3'!IH69+'[5]TB-4'!IH69+'[5]TB-5'!IH69+'[5]TB-6'!IH69+'[5]TB-7'!IH69+'[5]TB-8'!IH69+'[5]TB-9'!IH69+'[5]TB-10'!IH69+'[6]DSV-1'!IH69+'[6]DSV-2'!IH69+'[6]DSV-3'!IH69+'[7]TUB-1'!IH69+'[7]TUB-2'!IH69+'[8]Barge-1'!IH69+'[8]Barge-2'!IH69+'[8]Barge-3'!IH69+'[8]Barge-4'!IH69</f>
        <v>66225766.666666672</v>
      </c>
      <c r="AS31" s="136">
        <f>'[2]AHTS-1'!IH31+'[2]AHTS-2'!IH31+'[2]AHTS-3'!IH31+'[2]AHTS-4'!IH31+'[2]AHTS-5'!IH31+'[2]AHTS-6'!IH31+'[2]AHTS-7'!IH31+'[2]AHTS-8'!IH31+'[3]CB-1'!IH31+'[3]CB-2'!IH31+'[3]CB-3'!IH31+'[3]CB-4'!IH31+'[3]CB-5'!IH31+'[3]CB-6'!IH31+'[3]CB-7'!IH31+'[3]CB-8'!IH31+'[3]CB-9'!IH31+'[3]CB-10'!IH31+'[3]CB-11'!IH31+'[3]CB-12'!IH31+'[3]CB-13'!IH31+'[3]CB-14'!IH31+'[3]CB-15'!IH31+'[3]CB-16'!IH31+'[3]CB-17'!IH31+'[3]CB-18'!IH31+'[3]CB-19'!IH31+'[3]CB-20'!IH31+'[3]CB-21'!IH31+'[3]CB-22'!IH31+'[3]CB-23'!IH31+'[3]CB-24'!IH31+'[4]LCT-1'!IH31+'[4]LCT-2'!IH31+'[4]LCT-3'!IH31+'[4]LCT-4'!IH31+'[4]LCT-5'!IH31+'[4]LCT-6'!IH31+'[4]LCT-7'!IH31+'[4]LCT-8'!IH31+'[5]TB-1'!IH31+'[5]TB-2'!IH31+'[5]TB-3'!IH31+'[5]TB-4'!IH31+'[5]TB-5'!IH31+'[5]TB-6'!IH31+'[5]TB-7'!IH31+'[5]TB-8'!IH31+'[5]TB-9'!IH31+'[5]TB-10'!IH31+'[6]DSV-1'!IH31+'[6]DSV-2'!IH31+'[6]DSV-3'!IH31+'[7]TUB-1'!IH31+'[7]TUB-2'!IH31+'[8]Barge-1'!IH31+'[8]Barge-2'!IH31+'[8]Barge-3'!IH31+'[8]Barge-4'!IH31</f>
        <v>84850000</v>
      </c>
      <c r="AT31" s="140">
        <f>'[2]AHTS-1'!IH102+'[2]AHTS-2'!IH102+'[2]AHTS-3'!IH102+'[2]AHTS-4'!IH102+'[2]AHTS-5'!IH102+'[2]AHTS-6'!IH102+'[2]AHTS-7'!IH102+'[2]AHTS-8'!IH102+'[3]CB-1'!IH102+'[3]CB-2'!IH102+'[3]CB-3'!IH102+'[3]CB-4'!IH102+'[3]CB-5'!IH102+'[3]CB-6'!IH102+'[3]CB-7'!IH102+'[3]CB-8'!IH102+'[3]CB-9'!IH102+'[3]CB-10'!IH102+'[3]CB-11'!IH102+'[3]CB-12'!IH102+'[3]CB-13'!IH102+'[3]CB-14'!IH102+'[3]CB-15'!IH102+'[3]CB-16'!IH102+'[3]CB-17'!IH102+'[3]CB-18'!IH102+'[3]CB-19'!IH102+'[3]CB-20'!IH102+'[3]CB-21'!IH102+'[3]CB-22'!IH102+'[3]CB-23'!IH102+'[3]CB-24'!IH102+'[4]LCT-1'!IH102+'[4]LCT-2'!IH102+'[4]LCT-3'!IH102+'[4]LCT-4'!IH102+'[4]LCT-5'!IH102+'[4]LCT-6'!IH102+'[4]LCT-7'!IH102+'[4]LCT-8'!IH102+'[5]TB-1'!IH102+'[5]TB-2'!IH102+'[5]TB-3'!IH102+'[5]TB-4'!IH102+'[5]TB-5'!IH102+'[5]TB-6'!IH102+'[5]TB-7'!IH102+'[5]TB-8'!IH102+'[5]TB-9'!IH102+'[5]TB-10'!IH102+'[6]DSV-1'!IH102+'[6]DSV-2'!IH102+'[6]DSV-3'!IH102+'[7]TUB-1'!IH102+'[7]TUB-2'!IH102+'[8]Barge-1'!IH102+'[8]Barge-2'!IH102+'[8]Barge-3'!IH102+'[8]Barge-4'!IH102</f>
        <v>0</v>
      </c>
      <c r="AU31" s="139">
        <f>'[2]AHTS-1'!II69+'[2]AHTS-2'!II69+'[2]AHTS-3'!II69+'[2]AHTS-4'!II69+'[2]AHTS-5'!II69+'[2]AHTS-6'!II69+'[2]AHTS-7'!II69+'[2]AHTS-8'!II69+'[3]CB-1'!II69+'[3]CB-2'!II69+'[3]CB-3'!II69+'[3]CB-4'!II69+'[3]CB-5'!II69+'[3]CB-6'!II69+'[3]CB-7'!II69+'[3]CB-8'!II69+'[3]CB-9'!II69+'[3]CB-10'!II69+'[3]CB-11'!II69+'[3]CB-12'!II69+'[3]CB-13'!II69+'[3]CB-14'!II69+'[3]CB-15'!II69+'[3]CB-16'!II69+'[3]CB-17'!II69+'[3]CB-18'!II69+'[3]CB-19'!II69+'[3]CB-20'!II69+'[3]CB-21'!II69+'[3]CB-22'!II69+'[3]CB-23'!II69+'[3]CB-24'!II69+'[4]LCT-1'!II69+'[4]LCT-2'!II69+'[4]LCT-3'!II69+'[4]LCT-4'!II69+'[4]LCT-5'!II69+'[4]LCT-6'!II69+'[4]LCT-7'!II69+'[4]LCT-8'!II69+'[5]TB-1'!II69+'[5]TB-2'!II69+'[5]TB-3'!II69+'[5]TB-4'!II69+'[5]TB-5'!II69+'[5]TB-6'!II69+'[5]TB-7'!II69+'[5]TB-8'!II69+'[5]TB-9'!II69+'[5]TB-10'!II69+'[6]DSV-1'!II69+'[6]DSV-2'!II69+'[6]DSV-3'!II69+'[7]TUB-1'!II69+'[7]TUB-2'!II69+'[8]Barge-1'!II69+'[8]Barge-2'!II69+'[8]Barge-3'!II69+'[8]Barge-4'!II69</f>
        <v>0</v>
      </c>
      <c r="AV31" s="136">
        <f>'[2]AHTS-1'!II31+'[2]AHTS-2'!II31+'[2]AHTS-3'!II31+'[2]AHTS-4'!II31+'[2]AHTS-5'!II31+'[2]AHTS-6'!II31+'[2]AHTS-7'!II31+'[2]AHTS-8'!II31+'[3]CB-1'!II31+'[3]CB-2'!II31+'[3]CB-3'!II31+'[3]CB-4'!II31+'[3]CB-5'!II31+'[3]CB-6'!II31+'[3]CB-7'!II31+'[3]CB-8'!II31+'[3]CB-9'!II31+'[3]CB-10'!II31+'[3]CB-11'!II31+'[3]CB-12'!II31+'[3]CB-13'!II31+'[3]CB-14'!II31+'[3]CB-15'!II31+'[3]CB-16'!II31+'[3]CB-17'!II31+'[3]CB-18'!II31+'[3]CB-19'!II31+'[3]CB-20'!II31+'[3]CB-21'!II31+'[3]CB-22'!II31+'[3]CB-23'!II31+'[3]CB-24'!II31+'[4]LCT-1'!II31+'[4]LCT-2'!II31+'[4]LCT-3'!II31+'[4]LCT-4'!II31+'[4]LCT-5'!II31+'[4]LCT-6'!II31+'[4]LCT-7'!II31+'[4]LCT-8'!II31+'[5]TB-1'!II31+'[5]TB-2'!II31+'[5]TB-3'!II31+'[5]TB-4'!II31+'[5]TB-5'!II31+'[5]TB-6'!II31+'[5]TB-7'!II31+'[5]TB-8'!II31+'[5]TB-9'!II31+'[5]TB-10'!II31+'[6]DSV-1'!II31+'[6]DSV-2'!II31+'[6]DSV-3'!II31+'[7]TUB-1'!II31+'[7]TUB-2'!II31+'[8]Barge-1'!II31+'[8]Barge-2'!II31+'[8]Barge-3'!II31+'[8]Barge-4'!II31</f>
        <v>0</v>
      </c>
      <c r="AW31" s="140">
        <f>'[2]AHTS-1'!II102+'[2]AHTS-2'!II102+'[2]AHTS-3'!II102+'[2]AHTS-4'!II102+'[2]AHTS-5'!II102+'[2]AHTS-6'!II102+'[2]AHTS-7'!II102+'[2]AHTS-8'!II102+'[3]CB-1'!II102+'[3]CB-2'!II102+'[3]CB-3'!II102+'[3]CB-4'!II102+'[3]CB-5'!II102+'[3]CB-6'!II102+'[3]CB-7'!II102+'[3]CB-8'!II102+'[3]CB-9'!II102+'[3]CB-10'!II102+'[3]CB-11'!II102+'[3]CB-12'!II102+'[3]CB-13'!II102+'[3]CB-14'!II102+'[3]CB-15'!II102+'[3]CB-16'!II102+'[3]CB-17'!II102+'[3]CB-18'!II102+'[3]CB-19'!II102+'[3]CB-20'!II102+'[3]CB-21'!II102+'[3]CB-22'!II102+'[3]CB-23'!II102+'[3]CB-24'!II102+'[4]LCT-1'!II102+'[4]LCT-2'!II102+'[4]LCT-3'!II102+'[4]LCT-4'!II102+'[4]LCT-5'!II102+'[4]LCT-6'!II102+'[4]LCT-7'!II102+'[4]LCT-8'!II102+'[5]TB-1'!II102+'[5]TB-2'!II102+'[5]TB-3'!II102+'[5]TB-4'!II102+'[5]TB-5'!II102+'[5]TB-6'!II102+'[5]TB-7'!II102+'[5]TB-8'!II102+'[5]TB-9'!II102+'[5]TB-10'!II102+'[6]DSV-1'!II102+'[6]DSV-2'!II102+'[6]DSV-3'!II102+'[7]TUB-1'!II102+'[7]TUB-2'!II102+'[8]Barge-1'!II102+'[8]Barge-2'!II102+'[8]Barge-3'!II102+'[8]Barge-4'!II102</f>
        <v>0</v>
      </c>
      <c r="AX31" s="67"/>
      <c r="AY31" s="67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</row>
    <row r="32" spans="1:97" s="69" customFormat="1" ht="14.25" customHeight="1" x14ac:dyDescent="0.25">
      <c r="A32" s="111">
        <f>[1]Control!AZ32</f>
        <v>46007</v>
      </c>
      <c r="B32" s="66"/>
      <c r="C32" s="176">
        <f>'[2]AHTS-1'!AV32+'[2]AHTS-2'!AV32+'[2]AHTS-3'!AV32+'[2]AHTS-4'!AV32+'[2]AHTS-5'!AV32+'[2]AHTS-6'!AV32+'[2]AHTS-7'!AV32+'[2]AHTS-8'!AV32+'[3]CB-1'!AV32+'[3]CB-2'!AV32+'[3]CB-3'!AV32+'[3]CB-4'!AV32+'[3]CB-5'!AV32+'[3]CB-6'!AV32+'[3]CB-7'!AV32+'[3]CB-8'!AV32+'[3]CB-9'!AV32+'[3]CB-10'!AV32+'[3]CB-11'!AV32+'[3]CB-12'!AV32+'[3]CB-13'!AV32+'[3]CB-14'!AV32+'[3]CB-15'!AV32+'[3]CB-16'!AV32+'[3]CB-17'!AV32+'[3]CB-18'!AV32+'[3]CB-19'!AV32+'[3]CB-20'!AV32+'[3]CB-21'!AV32+'[3]CB-22'!AV32+'[3]CB-23'!AV32+'[3]CB-24'!AV32+'[4]LCT-1'!AV32+'[4]LCT-2'!AV32+'[4]LCT-3'!AV32+'[4]LCT-4'!AV32+'[4]LCT-5'!AV32+'[4]LCT-6'!AV32+'[4]LCT-7'!AV32+'[4]LCT-8'!AV32+'[5]TB-1'!AV32+'[5]TB-2'!AV32+'[5]TB-3'!AV32+'[5]TB-4'!AV32+'[5]TB-5'!AV32+'[5]TB-6'!AV32+'[5]TB-7'!AV32+'[5]TB-8'!AV32+'[5]TB-9'!AV32+'[5]TB-10'!AV32+'[6]DSV-1'!AV32+'[6]DSV-2'!AV32+'[6]DSV-3'!AV32+'[7]TUB-1'!AV32+'[7]TUB-2'!AV32+'[8]Barge-1'!AV32+'[8]Barge-2'!AV32+'[8]Barge-3'!AV32+'[8]Barge-4'!AV32</f>
        <v>0</v>
      </c>
      <c r="D32" s="177">
        <f>'[2]AHTS-1'!BR32+'[2]AHTS-2'!BR32+'[2]AHTS-3'!BR32+'[2]AHTS-4'!BR32+'[2]AHTS-5'!BR32+'[2]AHTS-6'!BR32+'[2]AHTS-7'!BR32+'[2]AHTS-8'!BR32+'[3]CB-1'!BR32+'[3]CB-2'!BR32+'[3]CB-3'!BR32+'[3]CB-4'!BR32+'[3]CB-5'!BR32+'[3]CB-6'!BR32+'[3]CB-7'!BR32+'[3]CB-8'!BR32+'[3]CB-9'!BR32+'[3]CB-10'!BR32+'[3]CB-11'!BR32+'[3]CB-12'!BR32+'[3]CB-13'!BR32+'[3]CB-14'!BR32+'[3]CB-15'!BR32+'[3]CB-16'!BR32+'[3]CB-17'!BR32+'[3]CB-18'!BR32+'[3]CB-19'!BR32+'[3]CB-20'!BR32+'[3]CB-21'!BR32+'[3]CB-22'!BR32+'[3]CB-23'!BR32+'[3]CB-24'!BR32+'[4]LCT-1'!BR32+'[4]LCT-2'!BR32+'[4]LCT-3'!BR32+'[4]LCT-4'!BR32+'[4]LCT-5'!BR32+'[4]LCT-6'!BR32+'[4]LCT-7'!BR32+'[4]LCT-8'!BR32+'[5]TB-1'!BR32+'[5]TB-2'!BR32+'[5]TB-3'!BR32+'[5]TB-4'!BR32+'[5]TB-5'!BR32+'[5]TB-6'!BR32+'[5]TB-7'!BR32+'[5]TB-8'!BR32+'[5]TB-9'!BR32+'[5]TB-10'!BR32+'[6]DSV-1'!BR32+'[6]DSV-2'!BR32+'[6]DSV-3'!BR32+'[7]TUB-1'!BR32+'[7]TUB-2'!BR32+'[8]Barge-1'!BR32+'[8]Barge-2'!BR32+'[8]Barge-3'!BR32+'[8]Barge-4'!BR32</f>
        <v>0</v>
      </c>
      <c r="E32" s="178">
        <f>'[2]AHTS-1'!CN32+'[2]AHTS-2'!CN32+'[2]AHTS-3'!CN32+'[2]AHTS-4'!CN32+'[2]AHTS-5'!CN32+'[2]AHTS-6'!CN32+'[2]AHTS-7'!CN32+'[2]AHTS-8'!CN32+'[3]CB-1'!CN32+'[3]CB-2'!CN32+'[3]CB-3'!CN32+'[3]CB-4'!CN32+'[3]CB-5'!CN32+'[3]CB-6'!CN32+'[3]CB-7'!CN32+'[3]CB-8'!CN32+'[3]CB-9'!CN32+'[3]CB-10'!CN32+'[3]CB-11'!CN32+'[3]CB-12'!CN32+'[3]CB-13'!CN32+'[3]CB-14'!CN32+'[3]CB-15'!CN32+'[3]CB-16'!CN32+'[3]CB-17'!CN32+'[3]CB-18'!CN32+'[3]CB-19'!CN32+'[3]CB-20'!CN32+'[3]CB-21'!CN32+'[3]CB-22'!CN32+'[3]CB-23'!CN32+'[3]CB-24'!CN32+'[4]LCT-1'!CN32+'[4]LCT-2'!CN32+'[4]LCT-3'!CN32+'[4]LCT-4'!CN32+'[4]LCT-5'!CN32+'[4]LCT-6'!CN32+'[4]LCT-7'!CN32+'[4]LCT-8'!CN32+'[5]TB-1'!CN32+'[5]TB-2'!CN32+'[5]TB-3'!CN32+'[5]TB-4'!CN32+'[5]TB-5'!CN32+'[5]TB-6'!CN32+'[5]TB-7'!CN32+'[5]TB-8'!CN32+'[5]TB-9'!CN32+'[5]TB-10'!CN32+'[6]DSV-1'!CN32+'[6]DSV-2'!CN32+'[6]DSV-3'!CN32+'[7]TUB-1'!CN32+'[7]TUB-2'!CN32+'[8]Barge-1'!CN32+'[8]Barge-2'!CN32+'[8]Barge-3'!CN32+'[8]Barge-4'!CN32</f>
        <v>0</v>
      </c>
      <c r="F32" s="179">
        <f>'[2]AHTS-1'!AW32+'[2]AHTS-2'!AW32+'[2]AHTS-3'!AW32+'[2]AHTS-4'!AW32+'[2]AHTS-5'!AW32+'[2]AHTS-6'!AW32+'[2]AHTS-7'!AW32+'[2]AHTS-8'!AW32+'[3]CB-1'!AW32+'[3]CB-2'!AW32+'[3]CB-3'!AW32+'[3]CB-4'!AW32+'[3]CB-5'!AW32+'[3]CB-6'!AW32+'[3]CB-7'!AW32+'[3]CB-8'!AW32+'[3]CB-9'!AW32+'[3]CB-10'!AW32+'[3]CB-11'!AW32+'[3]CB-12'!AW32+'[3]CB-13'!AW32+'[3]CB-14'!AW32+'[3]CB-15'!AW32+'[3]CB-16'!AW32+'[3]CB-17'!AW32+'[3]CB-18'!AW32+'[3]CB-19'!AW32+'[3]CB-20'!AW32+'[3]CB-21'!AW32+'[3]CB-22'!AW32+'[3]CB-23'!AW32+'[3]CB-24'!AW32+'[4]LCT-1'!AW32+'[4]LCT-2'!AW32+'[4]LCT-3'!AW32+'[4]LCT-4'!AW32+'[4]LCT-5'!AW32+'[4]LCT-6'!AW32+'[4]LCT-7'!AW32+'[4]LCT-8'!AW32+'[5]TB-1'!AW32+'[5]TB-2'!AW32+'[5]TB-3'!AW32+'[5]TB-4'!AW32+'[5]TB-5'!AW32+'[5]TB-6'!AW32+'[5]TB-7'!AW32+'[5]TB-8'!AW32+'[5]TB-9'!AW32+'[5]TB-10'!AW32+'[6]DSV-1'!AW32+'[6]DSV-2'!AW32+'[6]DSV-3'!AW32+'[7]TUB-1'!AW32+'[7]TUB-2'!AW32+'[8]Barge-1'!AW32+'[8]Barge-2'!AW32+'[8]Barge-3'!AW32+'[8]Barge-4'!AW32</f>
        <v>1562.6563898679647</v>
      </c>
      <c r="G32" s="180">
        <f>'[2]AHTS-1'!BS32+'[2]AHTS-2'!BS32+'[2]AHTS-3'!BS32+'[2]AHTS-4'!BS32+'[2]AHTS-5'!BS32+'[2]AHTS-6'!BS32+'[2]AHTS-7'!BS32+'[2]AHTS-8'!BS32+'[3]CB-1'!BS32+'[3]CB-2'!BS32+'[3]CB-3'!BS32+'[3]CB-4'!BS32+'[3]CB-5'!BS32+'[3]CB-6'!BS32+'[3]CB-7'!BS32+'[3]CB-8'!BS32+'[3]CB-9'!BS32+'[3]CB-10'!BS32+'[3]CB-11'!BS32+'[3]CB-12'!BS32+'[3]CB-13'!BS32+'[3]CB-14'!BS32+'[3]CB-15'!BS32+'[3]CB-16'!BS32+'[3]CB-17'!BS32+'[3]CB-18'!BS32+'[3]CB-19'!BS32+'[3]CB-20'!BS32+'[3]CB-21'!BS32+'[3]CB-22'!BS32+'[3]CB-23'!BS32+'[3]CB-24'!BS32+'[4]LCT-1'!BS32+'[4]LCT-2'!BS32+'[4]LCT-3'!BS32+'[4]LCT-4'!BS32+'[4]LCT-5'!BS32+'[4]LCT-6'!BS32+'[4]LCT-7'!BS32+'[4]LCT-8'!BS32+'[5]TB-1'!BS32+'[5]TB-2'!BS32+'[5]TB-3'!BS32+'[5]TB-4'!BS32+'[5]TB-5'!BS32+'[5]TB-6'!BS32+'[5]TB-7'!BS32+'[5]TB-8'!BS32+'[5]TB-9'!BS32+'[5]TB-10'!BS32+'[6]DSV-1'!BS32+'[6]DSV-2'!BS32+'[6]DSV-3'!BS32+'[7]TUB-1'!BS32+'[7]TUB-2'!BS32+'[8]Barge-1'!BS32+'[8]Barge-2'!BS32+'[8]Barge-3'!BS32+'[8]Barge-4'!BS32</f>
        <v>1616.3491663869306</v>
      </c>
      <c r="H32" s="180">
        <f>'[2]AHTS-1'!CO32+'[2]AHTS-2'!CO32+'[2]AHTS-3'!CO32+'[2]AHTS-4'!CO32+'[2]AHTS-5'!CO32+'[2]AHTS-6'!CO32+'[2]AHTS-7'!CO32+'[2]AHTS-8'!CO32+'[3]CB-1'!CO32+'[3]CB-2'!CO32+'[3]CB-3'!CO32+'[3]CB-4'!CO32+'[3]CB-5'!CO32+'[3]CB-6'!CO32+'[3]CB-7'!CO32+'[3]CB-8'!CO32+'[3]CB-9'!CO32+'[3]CB-10'!CO32+'[3]CB-11'!CO32+'[3]CB-12'!CO32+'[3]CB-13'!CO32+'[3]CB-14'!CO32+'[3]CB-15'!CO32+'[3]CB-16'!CO32+'[3]CB-17'!CO32+'[3]CB-18'!CO32+'[3]CB-19'!CO32+'[3]CB-20'!CO32+'[3]CB-21'!CO32+'[3]CB-22'!CO32+'[3]CB-23'!CO32+'[3]CB-24'!CO32+'[4]LCT-1'!CO32+'[4]LCT-2'!CO32+'[4]LCT-3'!CO32+'[4]LCT-4'!CO32+'[4]LCT-5'!CO32+'[4]LCT-6'!CO32+'[4]LCT-7'!CO32+'[4]LCT-8'!CO32+'[5]TB-1'!CO32+'[5]TB-2'!CO32+'[5]TB-3'!CO32+'[5]TB-4'!CO32+'[5]TB-5'!CO32+'[5]TB-6'!CO32+'[5]TB-7'!CO32+'[5]TB-8'!CO32+'[5]TB-9'!CO32+'[5]TB-10'!CO32+'[6]DSV-1'!CO32+'[6]DSV-2'!CO32+'[6]DSV-3'!CO32+'[7]TUB-1'!CO32+'[7]TUB-2'!CO32+'[8]Barge-1'!CO32+'[8]Barge-2'!CO32+'[8]Barge-3'!CO32+'[8]Barge-4'!CO32</f>
        <v>0</v>
      </c>
      <c r="I32" s="179">
        <f>'[2]AHTS-1'!AX32+'[2]AHTS-2'!AX32+'[2]AHTS-3'!AX32+'[2]AHTS-4'!AX32+'[2]AHTS-5'!AX32+'[2]AHTS-6'!AX32+'[2]AHTS-7'!AX32+'[2]AHTS-8'!AX32+'[3]CB-1'!AX32+'[3]CB-2'!AX32+'[3]CB-3'!AX32+'[3]CB-4'!AX32+'[3]CB-5'!AX32+'[3]CB-6'!AX32+'[3]CB-7'!AX32+'[3]CB-8'!AX32+'[3]CB-9'!AX32+'[3]CB-10'!AX32+'[3]CB-11'!AX32+'[3]CB-12'!AX32+'[3]CB-13'!AX32+'[3]CB-14'!AX32+'[3]CB-15'!AX32+'[3]CB-16'!AX32+'[3]CB-17'!AX32+'[3]CB-18'!AX32+'[3]CB-19'!AX32+'[3]CB-20'!AX32+'[3]CB-21'!AX32+'[3]CB-22'!AX32+'[3]CB-23'!AX32+'[3]CB-24'!AX32+'[4]LCT-1'!AX32+'[4]LCT-2'!AX32+'[4]LCT-3'!AX32+'[4]LCT-4'!AX32+'[4]LCT-5'!AX32+'[4]LCT-6'!AX32+'[4]LCT-7'!AX32+'[4]LCT-8'!AX32+'[5]TB-1'!AX32+'[5]TB-2'!AX32+'[5]TB-3'!AX32+'[5]TB-4'!AX32+'[5]TB-5'!AX32+'[5]TB-6'!AX32+'[5]TB-7'!AX32+'[5]TB-8'!AX32+'[5]TB-9'!AX32+'[5]TB-10'!AX32+'[6]DSV-1'!AX32+'[6]DSV-2'!AX32+'[6]DSV-3'!AX32+'[7]TUB-1'!AX32+'[7]TUB-2'!AX32+'[8]Barge-1'!AX32+'[8]Barge-2'!AX32+'[8]Barge-3'!AX32+'[8]Barge-4'!AX32</f>
        <v>3193.3611670582968</v>
      </c>
      <c r="J32" s="180">
        <f>'[2]AHTS-1'!BT32+'[2]AHTS-2'!BT32+'[2]AHTS-3'!BT32+'[2]AHTS-4'!BT32+'[2]AHTS-5'!BT32+'[2]AHTS-6'!BT32+'[2]AHTS-7'!BT32+'[2]AHTS-8'!BT32+'[3]CB-1'!BT32+'[3]CB-2'!BT32+'[3]CB-3'!BT32+'[3]CB-4'!BT32+'[3]CB-5'!BT32+'[3]CB-6'!BT32+'[3]CB-7'!BT32+'[3]CB-8'!BT32+'[3]CB-9'!BT32+'[3]CB-10'!BT32+'[3]CB-11'!BT32+'[3]CB-12'!BT32+'[3]CB-13'!BT32+'[3]CB-14'!BT32+'[3]CB-15'!BT32+'[3]CB-16'!BT32+'[3]CB-17'!BT32+'[3]CB-18'!BT32+'[3]CB-19'!BT32+'[3]CB-20'!BT32+'[3]CB-21'!BT32+'[3]CB-22'!BT32+'[3]CB-23'!BT32+'[3]CB-24'!BT32+'[4]LCT-1'!BT32+'[4]LCT-2'!BT32+'[4]LCT-3'!BT32+'[4]LCT-4'!BT32+'[4]LCT-5'!BT32+'[4]LCT-6'!BT32+'[4]LCT-7'!BT32+'[4]LCT-8'!BT32+'[5]TB-1'!BT32+'[5]TB-2'!BT32+'[5]TB-3'!BT32+'[5]TB-4'!BT32+'[5]TB-5'!BT32+'[5]TB-6'!BT32+'[5]TB-7'!BT32+'[5]TB-8'!BT32+'[5]TB-9'!BT32+'[5]TB-10'!BT32+'[6]DSV-1'!BT32+'[6]DSV-2'!BT32+'[6]DSV-3'!BT32+'[7]TUB-1'!BT32+'[7]TUB-2'!BT32+'[8]Barge-1'!BT32+'[8]Barge-2'!BT32+'[8]Barge-3'!BT32+'[8]Barge-4'!BT32</f>
        <v>2619.3773078214167</v>
      </c>
      <c r="K32" s="180">
        <f>'[2]AHTS-1'!CP32+'[2]AHTS-2'!CP32+'[2]AHTS-3'!CP32+'[2]AHTS-4'!CP32+'[2]AHTS-5'!CP32+'[2]AHTS-6'!CP32+'[2]AHTS-7'!CP32+'[2]AHTS-8'!CP32+'[3]CB-1'!CP32+'[3]CB-2'!CP32+'[3]CB-3'!CP32+'[3]CB-4'!CP32+'[3]CB-5'!CP32+'[3]CB-6'!CP32+'[3]CB-7'!CP32+'[3]CB-8'!CP32+'[3]CB-9'!CP32+'[3]CB-10'!CP32+'[3]CB-11'!CP32+'[3]CB-12'!CP32+'[3]CB-13'!CP32+'[3]CB-14'!CP32+'[3]CB-15'!CP32+'[3]CB-16'!CP32+'[3]CB-17'!CP32+'[3]CB-18'!CP32+'[3]CB-19'!CP32+'[3]CB-20'!CP32+'[3]CB-21'!CP32+'[3]CB-22'!CP32+'[3]CB-23'!CP32+'[3]CB-24'!CP32+'[4]LCT-1'!CP32+'[4]LCT-2'!CP32+'[4]LCT-3'!CP32+'[4]LCT-4'!CP32+'[4]LCT-5'!CP32+'[4]LCT-6'!CP32+'[4]LCT-7'!CP32+'[4]LCT-8'!CP32+'[5]TB-1'!CP32+'[5]TB-2'!CP32+'[5]TB-3'!CP32+'[5]TB-4'!CP32+'[5]TB-5'!CP32+'[5]TB-6'!CP32+'[5]TB-7'!CP32+'[5]TB-8'!CP32+'[5]TB-9'!CP32+'[5]TB-10'!CP32+'[6]DSV-1'!CP32+'[6]DSV-2'!CP32+'[6]DSV-3'!CP32+'[7]TUB-1'!CP32+'[7]TUB-2'!CP32+'[8]Barge-1'!CP32+'[8]Barge-2'!CP32+'[8]Barge-3'!CP32+'[8]Barge-4'!CP32</f>
        <v>0</v>
      </c>
      <c r="L32" s="181">
        <f>'[2]AHTS-1'!AY32+'[2]AHTS-2'!AY32+'[2]AHTS-3'!AY32+'[2]AHTS-4'!AY32+'[2]AHTS-5'!AY32+'[2]AHTS-6'!AY32+'[2]AHTS-7'!AY32+'[2]AHTS-8'!AY32+'[3]CB-1'!AY32+'[3]CB-2'!AY32+'[3]CB-3'!AY32+'[3]CB-4'!AY32+'[3]CB-5'!AY32+'[3]CB-6'!AY32+'[3]CB-7'!AY32+'[3]CB-8'!AY32+'[3]CB-9'!AY32+'[3]CB-10'!AY32+'[3]CB-11'!AY32+'[3]CB-12'!AY32+'[3]CB-13'!AY32+'[3]CB-14'!AY32+'[3]CB-15'!AY32+'[3]CB-16'!AY32+'[3]CB-17'!AY32+'[3]CB-18'!AY32+'[3]CB-19'!AY32+'[3]CB-20'!AY32+'[3]CB-21'!AY32+'[3]CB-22'!AY32+'[3]CB-23'!AY32+'[3]CB-24'!AY32+'[4]LCT-1'!AY32+'[4]LCT-2'!AY32+'[4]LCT-3'!AY32+'[4]LCT-4'!AY32+'[4]LCT-5'!AY32+'[4]LCT-6'!AY32+'[4]LCT-7'!AY32+'[4]LCT-8'!AY32+'[5]TB-1'!AY32+'[5]TB-2'!AY32+'[5]TB-3'!AY32+'[5]TB-4'!AY32+'[5]TB-5'!AY32+'[5]TB-6'!AY32+'[5]TB-7'!AY32+'[5]TB-8'!AY32+'[5]TB-9'!AY32+'[5]TB-10'!AY32+'[6]DSV-1'!AY32+'[6]DSV-2'!AY32+'[6]DSV-3'!AY32+'[7]TUB-1'!AY32+'[7]TUB-2'!AY32+'[8]Barge-1'!AY32+'[8]Barge-2'!AY32+'[8]Barge-3'!AY32+'[8]Barge-4'!AY32</f>
        <v>4996.0504783484394</v>
      </c>
      <c r="M32" s="182">
        <f>'[2]AHTS-1'!BU32+'[2]AHTS-2'!BU32+'[2]AHTS-3'!BU32+'[2]AHTS-4'!BU32+'[2]AHTS-5'!BU32+'[2]AHTS-6'!BU32+'[2]AHTS-7'!BU32+'[2]AHTS-8'!BU32+'[3]CB-1'!BU32+'[3]CB-2'!BU32+'[3]CB-3'!BU32+'[3]CB-4'!BU32+'[3]CB-5'!BU32+'[3]CB-6'!BU32+'[3]CB-7'!BU32+'[3]CB-8'!BU32+'[3]CB-9'!BU32+'[3]CB-10'!BU32+'[3]CB-11'!BU32+'[3]CB-12'!BU32+'[3]CB-13'!BU32+'[3]CB-14'!BU32+'[3]CB-15'!BU32+'[3]CB-16'!BU32+'[3]CB-17'!BU32+'[3]CB-18'!BU32+'[3]CB-19'!BU32+'[3]CB-20'!BU32+'[3]CB-21'!BU32+'[3]CB-22'!BU32+'[3]CB-23'!BU32+'[3]CB-24'!BU32+'[4]LCT-1'!BU32+'[4]LCT-2'!BU32+'[4]LCT-3'!BU32+'[4]LCT-4'!BU32+'[4]LCT-5'!BU32+'[4]LCT-6'!BU32+'[4]LCT-7'!BU32+'[4]LCT-8'!BU32+'[5]TB-1'!BU32+'[5]TB-2'!BU32+'[5]TB-3'!BU32+'[5]TB-4'!BU32+'[5]TB-5'!BU32+'[5]TB-6'!BU32+'[5]TB-7'!BU32+'[5]TB-8'!BU32+'[5]TB-9'!BU32+'[5]TB-10'!BU32+'[6]DSV-1'!BU32+'[6]DSV-2'!BU32+'[6]DSV-3'!BU32+'[7]TUB-1'!BU32+'[7]TUB-2'!BU32+'[8]Barge-1'!BU32+'[8]Barge-2'!BU32+'[8]Barge-3'!BU32+'[8]Barge-4'!BU32</f>
        <v>3977.844914400805</v>
      </c>
      <c r="N32" s="182">
        <f>'[2]AHTS-1'!CQ32+'[2]AHTS-2'!CQ32+'[2]AHTS-3'!CQ32+'[2]AHTS-4'!CQ32+'[2]AHTS-5'!CQ32+'[2]AHTS-6'!CQ32+'[2]AHTS-7'!CQ32+'[2]AHTS-8'!CQ32+'[3]CB-1'!CQ32+'[3]CB-2'!CQ32+'[3]CB-3'!CQ32+'[3]CB-4'!CQ32+'[3]CB-5'!CQ32+'[3]CB-6'!CQ32+'[3]CB-7'!CQ32+'[3]CB-8'!CQ32+'[3]CB-9'!CQ32+'[3]CB-10'!CQ32+'[3]CB-11'!CQ32+'[3]CB-12'!CQ32+'[3]CB-13'!CQ32+'[3]CB-14'!CQ32+'[3]CB-15'!CQ32+'[3]CB-16'!CQ32+'[3]CB-17'!CQ32+'[3]CB-18'!CQ32+'[3]CB-19'!CQ32+'[3]CB-20'!CQ32+'[3]CB-21'!CQ32+'[3]CB-22'!CQ32+'[3]CB-23'!CQ32+'[3]CB-24'!CQ32+'[4]LCT-1'!CQ32+'[4]LCT-2'!CQ32+'[4]LCT-3'!CQ32+'[4]LCT-4'!CQ32+'[4]LCT-5'!CQ32+'[4]LCT-6'!CQ32+'[4]LCT-7'!CQ32+'[4]LCT-8'!CQ32+'[5]TB-1'!CQ32+'[5]TB-2'!CQ32+'[5]TB-3'!CQ32+'[5]TB-4'!CQ32+'[5]TB-5'!CQ32+'[5]TB-6'!CQ32+'[5]TB-7'!CQ32+'[5]TB-8'!CQ32+'[5]TB-9'!CQ32+'[5]TB-10'!CQ32+'[6]DSV-1'!CQ32+'[6]DSV-2'!CQ32+'[6]DSV-3'!CQ32+'[7]TUB-1'!CQ32+'[7]TUB-2'!CQ32+'[8]Barge-1'!CQ32+'[8]Barge-2'!CQ32+'[8]Barge-3'!CQ32+'[8]Barge-4'!CQ32</f>
        <v>0</v>
      </c>
      <c r="O32" s="179">
        <f>'[2]AHTS-1'!AZ32+'[2]AHTS-2'!AZ32+'[2]AHTS-3'!AZ32+'[2]AHTS-4'!AZ32+'[2]AHTS-5'!AZ32+'[2]AHTS-6'!AZ32+'[2]AHTS-7'!AZ32+'[2]AHTS-8'!AZ32+'[3]CB-1'!AZ32+'[3]CB-2'!AZ32+'[3]CB-3'!AZ32+'[3]CB-4'!AZ32+'[3]CB-5'!AZ32+'[3]CB-6'!AZ32+'[3]CB-7'!AZ32+'[3]CB-8'!AZ32+'[3]CB-9'!AZ32+'[3]CB-10'!AZ32+'[3]CB-11'!AZ32+'[3]CB-12'!AZ32+'[3]CB-13'!AZ32+'[3]CB-14'!AZ32+'[3]CB-15'!AZ32+'[3]CB-16'!AZ32+'[3]CB-17'!AZ32+'[3]CB-18'!AZ32+'[3]CB-19'!AZ32+'[3]CB-20'!AZ32+'[3]CB-21'!AZ32+'[3]CB-22'!AZ32+'[3]CB-23'!AZ32+'[3]CB-24'!AZ32+'[4]LCT-1'!AZ32+'[4]LCT-2'!AZ32+'[4]LCT-3'!AZ32+'[4]LCT-4'!AZ32+'[4]LCT-5'!AZ32+'[4]LCT-6'!AZ32+'[4]LCT-7'!AZ32+'[4]LCT-8'!AZ32+'[5]TB-1'!AZ32+'[5]TB-2'!AZ32+'[5]TB-3'!AZ32+'[5]TB-4'!AZ32+'[5]TB-5'!AZ32+'[5]TB-6'!AZ32+'[5]TB-7'!AZ32+'[5]TB-8'!AZ32+'[5]TB-9'!AZ32+'[5]TB-10'!AZ32+'[6]DSV-1'!AZ32+'[6]DSV-2'!AZ32+'[6]DSV-3'!AZ32+'[7]TUB-1'!AZ32+'[7]TUB-2'!AZ32+'[8]Barge-1'!AZ32+'[8]Barge-2'!AZ32+'[8]Barge-3'!AZ32+'[8]Barge-4'!AZ32</f>
        <v>11.520224907687144</v>
      </c>
      <c r="P32" s="180">
        <f>'[2]AHTS-1'!BV32+'[2]AHTS-2'!BV32+'[2]AHTS-3'!BV32+'[2]AHTS-4'!BV32+'[2]AHTS-5'!BV32+'[2]AHTS-6'!BV32+'[2]AHTS-7'!BV32+'[2]AHTS-8'!BV32+'[3]CB-1'!BV32+'[3]CB-2'!BV32+'[3]CB-3'!BV32+'[3]CB-4'!BV32+'[3]CB-5'!BV32+'[3]CB-6'!BV32+'[3]CB-7'!BV32+'[3]CB-8'!BV32+'[3]CB-9'!BV32+'[3]CB-10'!BV32+'[3]CB-11'!BV32+'[3]CB-12'!BV32+'[3]CB-13'!BV32+'[3]CB-14'!BV32+'[3]CB-15'!BV32+'[3]CB-16'!BV32+'[3]CB-17'!BV32+'[3]CB-18'!BV32+'[3]CB-19'!BV32+'[3]CB-20'!BV32+'[3]CB-21'!BV32+'[3]CB-22'!BV32+'[3]CB-23'!BV32+'[3]CB-24'!BV32+'[4]LCT-1'!BV32+'[4]LCT-2'!BV32+'[4]LCT-3'!BV32+'[4]LCT-4'!BV32+'[4]LCT-5'!BV32+'[4]LCT-6'!BV32+'[4]LCT-7'!BV32+'[4]LCT-8'!BV32+'[5]TB-1'!BV32+'[5]TB-2'!BV32+'[5]TB-3'!BV32+'[5]TB-4'!BV32+'[5]TB-5'!BV32+'[5]TB-6'!BV32+'[5]TB-7'!BV32+'[5]TB-8'!BV32+'[5]TB-9'!BV32+'[5]TB-10'!BV32+'[6]DSV-1'!BV32+'[6]DSV-2'!BV32+'[6]DSV-3'!BV32+'[7]TUB-1'!BV32+'[7]TUB-2'!BV32+'[8]Barge-1'!BV32+'[8]Barge-2'!BV32+'[8]Barge-3'!BV32+'[8]Barge-4'!BV32</f>
        <v>90.914177016896033</v>
      </c>
      <c r="Q32" s="180">
        <f>'[2]AHTS-1'!CR32+'[2]AHTS-2'!CR32+'[2]AHTS-3'!CR32+'[2]AHTS-4'!CR32+'[2]AHTS-5'!CR32+'[2]AHTS-6'!CR32+'[2]AHTS-7'!CR32+'[2]AHTS-8'!CR32+'[3]CB-1'!CR32+'[3]CB-2'!CR32+'[3]CB-3'!CR32+'[3]CB-4'!CR32+'[3]CB-5'!CR32+'[3]CB-6'!CR32+'[3]CB-7'!CR32+'[3]CB-8'!CR32+'[3]CB-9'!CR32+'[3]CB-10'!CR32+'[3]CB-11'!CR32+'[3]CB-12'!CR32+'[3]CB-13'!CR32+'[3]CB-14'!CR32+'[3]CB-15'!CR32+'[3]CB-16'!CR32+'[3]CB-17'!CR32+'[3]CB-18'!CR32+'[3]CB-19'!CR32+'[3]CB-20'!CR32+'[3]CB-21'!CR32+'[3]CB-22'!CR32+'[3]CB-23'!CR32+'[3]CB-24'!CR32+'[4]LCT-1'!CR32+'[4]LCT-2'!CR32+'[4]LCT-3'!CR32+'[4]LCT-4'!CR32+'[4]LCT-5'!CR32+'[4]LCT-6'!CR32+'[4]LCT-7'!CR32+'[4]LCT-8'!CR32+'[5]TB-1'!CR32+'[5]TB-2'!CR32+'[5]TB-3'!CR32+'[5]TB-4'!CR32+'[5]TB-5'!CR32+'[5]TB-6'!CR32+'[5]TB-7'!CR32+'[5]TB-8'!CR32+'[5]TB-9'!CR32+'[5]TB-10'!CR32+'[6]DSV-1'!CR32+'[6]DSV-2'!CR32+'[6]DSV-3'!CR32+'[7]TUB-1'!CR32+'[7]TUB-2'!CR32+'[8]Barge-1'!CR32+'[8]Barge-2'!CR32+'[8]Barge-3'!CR32+'[8]Barge-4'!CR32</f>
        <v>0</v>
      </c>
      <c r="R32" s="183">
        <f>'[2]AHTS-1'!BA32+'[2]AHTS-2'!BA32+'[2]AHTS-3'!BA32+'[2]AHTS-4'!BA32+'[2]AHTS-5'!BA32+'[2]AHTS-6'!BA32+'[2]AHTS-7'!BA32+'[2]AHTS-8'!BA32+'[3]CB-1'!BA32+'[3]CB-2'!BA32+'[3]CB-3'!BA32+'[3]CB-4'!BA32+'[3]CB-5'!BA32+'[3]CB-6'!BA32+'[3]CB-7'!BA32+'[3]CB-8'!BA32+'[3]CB-9'!BA32+'[3]CB-10'!BA32+'[3]CB-11'!BA32+'[3]CB-12'!BA32+'[3]CB-13'!BA32+'[3]CB-14'!BA32+'[3]CB-15'!BA32+'[3]CB-16'!BA32+'[3]CB-17'!BA32+'[3]CB-18'!BA32+'[3]CB-19'!BA32+'[3]CB-20'!BA32+'[3]CB-21'!BA32+'[3]CB-22'!BA32+'[3]CB-23'!BA32+'[3]CB-24'!BA32+'[4]LCT-1'!BA32+'[4]LCT-2'!BA32+'[4]LCT-3'!BA32+'[4]LCT-4'!BA32+'[4]LCT-5'!BA32+'[4]LCT-6'!BA32+'[4]LCT-7'!BA32+'[4]LCT-8'!BA32+'[5]TB-1'!BA32+'[5]TB-2'!BA32+'[5]TB-3'!BA32+'[5]TB-4'!BA32+'[5]TB-5'!BA32+'[5]TB-6'!BA32+'[5]TB-7'!BA32+'[5]TB-8'!BA32+'[5]TB-9'!BA32+'[5]TB-10'!BA32+'[6]DSV-1'!BA32+'[6]DSV-2'!BA32+'[6]DSV-3'!BA32+'[7]TUB-1'!BA32+'[7]TUB-2'!BA32+'[8]Barge-1'!BA32+'[8]Barge-2'!BA32+'[8]Barge-3'!BA32+'[8]Barge-4'!BA32</f>
        <v>5200.3650553877142</v>
      </c>
      <c r="S32" s="180">
        <f>'[2]AHTS-1'!BW32+'[2]AHTS-2'!BW32+'[2]AHTS-3'!BW32+'[2]AHTS-4'!BW32+'[2]AHTS-5'!BW32+'[2]AHTS-6'!BW32+'[2]AHTS-7'!BW32+'[2]AHTS-8'!BW32+'[3]CB-1'!BW32+'[3]CB-2'!BW32+'[3]CB-3'!BW32+'[3]CB-4'!BW32+'[3]CB-5'!BW32+'[3]CB-6'!BW32+'[3]CB-7'!BW32+'[3]CB-8'!BW32+'[3]CB-9'!BW32+'[3]CB-10'!BW32+'[3]CB-11'!BW32+'[3]CB-12'!BW32+'[3]CB-13'!BW32+'[3]CB-14'!BW32+'[3]CB-15'!BW32+'[3]CB-16'!BW32+'[3]CB-17'!BW32+'[3]CB-18'!BW32+'[3]CB-19'!BW32+'[3]CB-20'!BW32+'[3]CB-21'!BW32+'[3]CB-22'!BW32+'[3]CB-23'!BW32+'[3]CB-24'!BW32+'[4]LCT-1'!BW32+'[4]LCT-2'!BW32+'[4]LCT-3'!BW32+'[4]LCT-4'!BW32+'[4]LCT-5'!BW32+'[4]LCT-6'!BW32+'[4]LCT-7'!BW32+'[4]LCT-8'!BW32+'[5]TB-1'!BW32+'[5]TB-2'!BW32+'[5]TB-3'!BW32+'[5]TB-4'!BW32+'[5]TB-5'!BW32+'[5]TB-6'!BW32+'[5]TB-7'!BW32+'[5]TB-8'!BW32+'[5]TB-9'!BW32+'[5]TB-10'!BW32+'[6]DSV-1'!BW32+'[6]DSV-2'!BW32+'[6]DSV-3'!BW32+'[7]TUB-1'!BW32+'[7]TUB-2'!BW32+'[8]Barge-1'!BW32+'[8]Barge-2'!BW32+'[8]Barge-3'!BW32+'[8]Barge-4'!BW32</f>
        <v>5818.856998992951</v>
      </c>
      <c r="T32" s="184">
        <f>'[2]AHTS-1'!CS32+'[2]AHTS-2'!CS32+'[2]AHTS-3'!CS32+'[2]AHTS-4'!CS32+'[2]AHTS-5'!CS32+'[2]AHTS-6'!CS32+'[2]AHTS-7'!CS32+'[2]AHTS-8'!CS32+'[3]CB-1'!CS32+'[3]CB-2'!CS32+'[3]CB-3'!CS32+'[3]CB-4'!CS32+'[3]CB-5'!CS32+'[3]CB-6'!CS32+'[3]CB-7'!CS32+'[3]CB-8'!CS32+'[3]CB-9'!CS32+'[3]CB-10'!CS32+'[3]CB-11'!CS32+'[3]CB-12'!CS32+'[3]CB-13'!CS32+'[3]CB-14'!CS32+'[3]CB-15'!CS32+'[3]CB-16'!CS32+'[3]CB-17'!CS32+'[3]CB-18'!CS32+'[3]CB-19'!CS32+'[3]CB-20'!CS32+'[3]CB-21'!CS32+'[3]CB-22'!CS32+'[3]CB-23'!CS32+'[3]CB-24'!CS32+'[4]LCT-1'!CS32+'[4]LCT-2'!CS32+'[4]LCT-3'!CS32+'[4]LCT-4'!CS32+'[4]LCT-5'!CS32+'[4]LCT-6'!CS32+'[4]LCT-7'!CS32+'[4]LCT-8'!CS32+'[5]TB-1'!CS32+'[5]TB-2'!CS32+'[5]TB-3'!CS32+'[5]TB-4'!CS32+'[5]TB-5'!CS32+'[5]TB-6'!CS32+'[5]TB-7'!CS32+'[5]TB-8'!CS32+'[5]TB-9'!CS32+'[5]TB-10'!CS32+'[6]DSV-1'!CS32+'[6]DSV-2'!CS32+'[6]DSV-3'!CS32+'[7]TUB-1'!CS32+'[7]TUB-2'!CS32+'[8]Barge-1'!CS32+'[8]Barge-2'!CS32+'[8]Barge-3'!CS32+'[8]Barge-4'!CS32</f>
        <v>0</v>
      </c>
      <c r="U32" s="183">
        <f>'[2]AHTS-1'!BB32+'[2]AHTS-2'!BB32+'[2]AHTS-3'!BB32+'[2]AHTS-4'!BB32+'[2]AHTS-5'!BB32+'[2]AHTS-6'!BB32+'[2]AHTS-7'!BB32+'[2]AHTS-8'!BB32+'[3]CB-1'!BB32+'[3]CB-2'!BB32+'[3]CB-3'!BB32+'[3]CB-4'!BB32+'[3]CB-5'!BB32+'[3]CB-6'!BB32+'[3]CB-7'!BB32+'[3]CB-8'!BB32+'[3]CB-9'!BB32+'[3]CB-10'!BB32+'[3]CB-11'!BB32+'[3]CB-12'!BB32+'[3]CB-13'!BB32+'[3]CB-14'!BB32+'[3]CB-15'!BB32+'[3]CB-16'!BB32+'[3]CB-17'!BB32+'[3]CB-18'!BB32+'[3]CB-19'!BB32+'[3]CB-20'!BB32+'[3]CB-21'!BB32+'[3]CB-22'!BB32+'[3]CB-23'!BB32+'[3]CB-24'!BB32+'[4]LCT-1'!BB32+'[4]LCT-2'!BB32+'[4]LCT-3'!BB32+'[4]LCT-4'!BB32+'[4]LCT-5'!BB32+'[4]LCT-6'!BB32+'[4]LCT-7'!BB32+'[4]LCT-8'!BB32+'[5]TB-1'!BB32+'[5]TB-2'!BB32+'[5]TB-3'!BB32+'[5]TB-4'!BB32+'[5]TB-5'!BB32+'[5]TB-6'!BB32+'[5]TB-7'!BB32+'[5]TB-8'!BB32+'[5]TB-9'!BB32+'[5]TB-10'!BB32+'[6]DSV-1'!BB32+'[6]DSV-2'!BB32+'[6]DSV-3'!BB32+'[7]TUB-1'!BB32+'[7]TUB-2'!BB32+'[8]Barge-1'!BB32+'[8]Barge-2'!BB32+'[8]Barge-3'!BB32+'[8]Barge-4'!BB32</f>
        <v>0</v>
      </c>
      <c r="V32" s="180">
        <f>'[2]AHTS-1'!BX32+'[2]AHTS-2'!BX32+'[2]AHTS-3'!BX32+'[2]AHTS-4'!BX32+'[2]AHTS-5'!BX32+'[2]AHTS-6'!BX32+'[2]AHTS-7'!BX32+'[2]AHTS-8'!BX32+'[3]CB-1'!BX32+'[3]CB-2'!BX32+'[3]CB-3'!BX32+'[3]CB-4'!BX32+'[3]CB-5'!BX32+'[3]CB-6'!BX32+'[3]CB-7'!BX32+'[3]CB-8'!BX32+'[3]CB-9'!BX32+'[3]CB-10'!BX32+'[3]CB-11'!BX32+'[3]CB-12'!BX32+'[3]CB-13'!BX32+'[3]CB-14'!BX32+'[3]CB-15'!BX32+'[3]CB-16'!BX32+'[3]CB-17'!BX32+'[3]CB-18'!BX32+'[3]CB-19'!BX32+'[3]CB-20'!BX32+'[3]CB-21'!BX32+'[3]CB-22'!BX32+'[3]CB-23'!BX32+'[3]CB-24'!BX32+'[4]LCT-1'!BX32+'[4]LCT-2'!BX32+'[4]LCT-3'!BX32+'[4]LCT-4'!BX32+'[4]LCT-5'!BX32+'[4]LCT-6'!BX32+'[4]LCT-7'!BX32+'[4]LCT-8'!BX32+'[5]TB-1'!BX32+'[5]TB-2'!BX32+'[5]TB-3'!BX32+'[5]TB-4'!BX32+'[5]TB-5'!BX32+'[5]TB-6'!BX32+'[5]TB-7'!BX32+'[5]TB-8'!BX32+'[5]TB-9'!BX32+'[5]TB-10'!BX32+'[6]DSV-1'!BX32+'[6]DSV-2'!BX32+'[6]DSV-3'!BX32+'[7]TUB-1'!BX32+'[7]TUB-2'!BX32+'[8]Barge-1'!BX32+'[8]Barge-2'!BX32+'[8]Barge-3'!BX32+'[8]Barge-4'!BX32</f>
        <v>0</v>
      </c>
      <c r="W32" s="184">
        <f>'[2]AHTS-1'!CT32+'[2]AHTS-2'!CT32+'[2]AHTS-3'!CT32+'[2]AHTS-4'!CT32+'[2]AHTS-5'!CT32+'[2]AHTS-6'!CT32+'[2]AHTS-7'!CT32+'[2]AHTS-8'!CT32+'[3]CB-1'!CT32+'[3]CB-2'!CT32+'[3]CB-3'!CT32+'[3]CB-4'!CT32+'[3]CB-5'!CT32+'[3]CB-6'!CT32+'[3]CB-7'!CT32+'[3]CB-8'!CT32+'[3]CB-9'!CT32+'[3]CB-10'!CT32+'[3]CB-11'!CT32+'[3]CB-12'!CT32+'[3]CB-13'!CT32+'[3]CB-14'!CT32+'[3]CB-15'!CT32+'[3]CB-16'!CT32+'[3]CB-17'!CT32+'[3]CB-18'!CT32+'[3]CB-19'!CT32+'[3]CB-20'!CT32+'[3]CB-21'!CT32+'[3]CB-22'!CT32+'[3]CB-23'!CT32+'[3]CB-24'!CT32+'[4]LCT-1'!CT32+'[4]LCT-2'!CT32+'[4]LCT-3'!CT32+'[4]LCT-4'!CT32+'[4]LCT-5'!CT32+'[4]LCT-6'!CT32+'[4]LCT-7'!CT32+'[4]LCT-8'!CT32+'[5]TB-1'!CT32+'[5]TB-2'!CT32+'[5]TB-3'!CT32+'[5]TB-4'!CT32+'[5]TB-5'!CT32+'[5]TB-6'!CT32+'[5]TB-7'!CT32+'[5]TB-8'!CT32+'[5]TB-9'!CT32+'[5]TB-10'!CT32+'[6]DSV-1'!CT32+'[6]DSV-2'!CT32+'[6]DSV-3'!CT32+'[7]TUB-1'!CT32+'[7]TUB-2'!CT32+'[8]Barge-1'!CT32+'[8]Barge-2'!CT32+'[8]Barge-3'!CT32+'[8]Barge-4'!CT32</f>
        <v>0</v>
      </c>
      <c r="X32" s="67"/>
      <c r="Y32" s="67"/>
      <c r="Z32" s="68"/>
      <c r="AA32" s="111">
        <f>[1]Control!AZ32</f>
        <v>46007</v>
      </c>
      <c r="AB32" s="66"/>
      <c r="AC32" s="132">
        <f>'[2]AHTS-1'!IC70+'[2]AHTS-2'!IC70+'[2]AHTS-3'!IC70+'[2]AHTS-4'!IC70+'[2]AHTS-5'!IC70+'[2]AHTS-6'!IC70+'[2]AHTS-7'!IC70+'[2]AHTS-8'!IC70+'[3]CB-1'!IC70+'[3]CB-2'!IC70+'[3]CB-3'!IC70+'[3]CB-4'!IC70+'[3]CB-5'!IC70+'[3]CB-6'!IC70+'[3]CB-7'!IC70+'[3]CB-8'!IC70+'[3]CB-9'!IC70+'[3]CB-10'!IC70+'[3]CB-11'!IC70+'[3]CB-12'!IC70+'[3]CB-13'!IC70+'[3]CB-14'!IC70+'[3]CB-15'!IC70+'[3]CB-16'!IC70+'[3]CB-17'!IC70+'[3]CB-18'!IC70+'[3]CB-19'!IC70+'[3]CB-20'!IC70+'[3]CB-21'!IC70+'[3]CB-22'!IC70+'[3]CB-23'!IC70+'[3]CB-24'!IC70+'[4]LCT-1'!IC70+'[4]LCT-2'!IC70+'[4]LCT-3'!IC70+'[4]LCT-4'!IC70+'[4]LCT-5'!IC70+'[4]LCT-6'!IC70+'[4]LCT-7'!IC70+'[4]LCT-8'!IC70+'[5]TB-1'!IC70+'[5]TB-2'!IC70+'[5]TB-3'!IC70+'[5]TB-4'!IC70+'[5]TB-5'!IC70+'[5]TB-6'!IC70+'[5]TB-7'!IC70+'[5]TB-8'!IC70+'[5]TB-9'!IC70+'[5]TB-10'!IC70+'[6]DSV-1'!IC70+'[6]DSV-2'!IC70+'[6]DSV-3'!IC70+'[7]TUB-1'!IC70+'[7]TUB-2'!IC70+'[8]Barge-1'!IC70+'[8]Barge-2'!IC70+'[8]Barge-3'!IC70+'[8]Barge-4'!IC70</f>
        <v>0</v>
      </c>
      <c r="AD32" s="133">
        <f>'[2]AHTS-1'!IC32+'[2]AHTS-2'!IC32+'[2]AHTS-3'!IC32+'[2]AHTS-4'!IC32+'[2]AHTS-5'!IC32+'[2]AHTS-6'!IC32+'[2]AHTS-7'!IC32+'[2]AHTS-8'!IC32+'[3]CB-1'!IC32+'[3]CB-2'!IC32+'[3]CB-3'!IC32+'[3]CB-4'!IC32+'[3]CB-5'!IC32+'[3]CB-6'!IC32+'[3]CB-7'!IC32+'[3]CB-8'!IC32+'[3]CB-9'!IC32+'[3]CB-10'!IC32+'[3]CB-11'!IC32+'[3]CB-12'!IC32+'[3]CB-13'!IC32+'[3]CB-14'!IC32+'[3]CB-15'!IC32+'[3]CB-16'!IC32+'[3]CB-17'!IC32+'[3]CB-18'!IC32+'[3]CB-19'!IC32+'[3]CB-20'!IC32+'[3]CB-21'!IC32+'[3]CB-22'!IC32+'[3]CB-23'!IC32+'[3]CB-24'!IC32+'[4]LCT-1'!IC32+'[4]LCT-2'!IC32+'[4]LCT-3'!IC32+'[4]LCT-4'!IC32+'[4]LCT-5'!IC32+'[4]LCT-6'!IC32+'[4]LCT-7'!IC32+'[4]LCT-8'!IC32+'[5]TB-1'!IC32+'[5]TB-2'!IC32+'[5]TB-3'!IC32+'[5]TB-4'!IC32+'[5]TB-5'!IC32+'[5]TB-6'!IC32+'[5]TB-7'!IC32+'[5]TB-8'!IC32+'[5]TB-9'!IC32+'[5]TB-10'!IC32+'[6]DSV-1'!IC32+'[6]DSV-2'!IC32+'[6]DSV-3'!IC32+'[7]TUB-1'!IC32+'[7]TUB-2'!IC32+'[8]Barge-1'!IC32+'[8]Barge-2'!IC32+'[8]Barge-3'!IC32+'[8]Barge-4'!IC32</f>
        <v>0</v>
      </c>
      <c r="AE32" s="134">
        <f>'[2]AHTS-1'!IC103+'[2]AHTS-2'!IC103+'[2]AHTS-3'!IC103+'[2]AHTS-4'!IC103+'[2]AHTS-5'!IC103+'[2]AHTS-6'!IC103+'[2]AHTS-7'!IC103+'[2]AHTS-8'!IC103+'[3]CB-1'!IC103+'[3]CB-2'!IC103+'[3]CB-3'!IC103+'[3]CB-4'!IC103+'[3]CB-5'!IC103+'[3]CB-6'!IC103+'[3]CB-7'!IC103+'[3]CB-8'!IC103+'[3]CB-9'!IC103+'[3]CB-10'!IC103+'[3]CB-11'!IC103+'[3]CB-12'!IC103+'[3]CB-13'!IC103+'[3]CB-14'!IC103+'[3]CB-15'!IC103+'[3]CB-16'!IC103+'[3]CB-17'!IC103+'[3]CB-18'!IC103+'[3]CB-19'!IC103+'[3]CB-20'!IC103+'[3]CB-21'!IC103+'[3]CB-22'!IC103+'[3]CB-23'!IC103+'[3]CB-24'!IC103+'[4]LCT-1'!IC103+'[4]LCT-2'!IC103+'[4]LCT-3'!IC103+'[4]LCT-4'!IC103+'[4]LCT-5'!IC103+'[4]LCT-6'!IC103+'[4]LCT-7'!IC103+'[4]LCT-8'!IC103+'[5]TB-1'!IC103+'[5]TB-2'!IC103+'[5]TB-3'!IC103+'[5]TB-4'!IC103+'[5]TB-5'!IC103+'[5]TB-6'!IC103+'[5]TB-7'!IC103+'[5]TB-8'!IC103+'[5]TB-9'!IC103+'[5]TB-10'!IC103+'[6]DSV-1'!IC103+'[6]DSV-2'!IC103+'[6]DSV-3'!IC103+'[7]TUB-1'!IC103+'[7]TUB-2'!IC103+'[8]Barge-1'!IC103+'[8]Barge-2'!IC103+'[8]Barge-3'!IC103+'[8]Barge-4'!IC103</f>
        <v>0</v>
      </c>
      <c r="AF32" s="135">
        <f>'[2]AHTS-1'!ID70+'[2]AHTS-2'!ID70+'[2]AHTS-3'!ID70+'[2]AHTS-4'!ID70+'[2]AHTS-5'!ID70+'[2]AHTS-6'!ID70+'[2]AHTS-7'!ID70+'[2]AHTS-8'!ID70+'[3]CB-1'!ID70+'[3]CB-2'!ID70+'[3]CB-3'!ID70+'[3]CB-4'!ID70+'[3]CB-5'!ID70+'[3]CB-6'!ID70+'[3]CB-7'!ID70+'[3]CB-8'!ID70+'[3]CB-9'!ID70+'[3]CB-10'!ID70+'[3]CB-11'!ID70+'[3]CB-12'!ID70+'[3]CB-13'!ID70+'[3]CB-14'!ID70+'[3]CB-15'!ID70+'[3]CB-16'!ID70+'[3]CB-17'!ID70+'[3]CB-18'!ID70+'[3]CB-19'!ID70+'[3]CB-20'!ID70+'[3]CB-21'!ID70+'[3]CB-22'!ID70+'[3]CB-23'!ID70+'[3]CB-24'!ID70+'[4]LCT-1'!ID70+'[4]LCT-2'!ID70+'[4]LCT-3'!ID70+'[4]LCT-4'!ID70+'[4]LCT-5'!ID70+'[4]LCT-6'!ID70+'[4]LCT-7'!ID70+'[4]LCT-8'!ID70+'[5]TB-1'!ID70+'[5]TB-2'!ID70+'[5]TB-3'!ID70+'[5]TB-4'!ID70+'[5]TB-5'!ID70+'[5]TB-6'!ID70+'[5]TB-7'!ID70+'[5]TB-8'!ID70+'[5]TB-9'!ID70+'[5]TB-10'!ID70+'[6]DSV-1'!ID70+'[6]DSV-2'!ID70+'[6]DSV-3'!ID70+'[7]TUB-1'!ID70+'[7]TUB-2'!ID70+'[8]Barge-1'!ID70+'[8]Barge-2'!ID70+'[8]Barge-3'!ID70+'[8]Barge-4'!ID70</f>
        <v>24827484.722222224</v>
      </c>
      <c r="AG32" s="136">
        <f>'[2]AHTS-1'!ID32+'[2]AHTS-2'!ID32+'[2]AHTS-3'!ID32+'[2]AHTS-4'!ID32+'[2]AHTS-5'!ID32+'[2]AHTS-6'!ID32+'[2]AHTS-7'!ID32+'[2]AHTS-8'!ID32+'[3]CB-1'!ID32+'[3]CB-2'!ID32+'[3]CB-3'!ID32+'[3]CB-4'!ID32+'[3]CB-5'!ID32+'[3]CB-6'!ID32+'[3]CB-7'!ID32+'[3]CB-8'!ID32+'[3]CB-9'!ID32+'[3]CB-10'!ID32+'[3]CB-11'!ID32+'[3]CB-12'!ID32+'[3]CB-13'!ID32+'[3]CB-14'!ID32+'[3]CB-15'!ID32+'[3]CB-16'!ID32+'[3]CB-17'!ID32+'[3]CB-18'!ID32+'[3]CB-19'!ID32+'[3]CB-20'!ID32+'[3]CB-21'!ID32+'[3]CB-22'!ID32+'[3]CB-23'!ID32+'[3]CB-24'!ID32+'[4]LCT-1'!ID32+'[4]LCT-2'!ID32+'[4]LCT-3'!ID32+'[4]LCT-4'!ID32+'[4]LCT-5'!ID32+'[4]LCT-6'!ID32+'[4]LCT-7'!ID32+'[4]LCT-8'!ID32+'[5]TB-1'!ID32+'[5]TB-2'!ID32+'[5]TB-3'!ID32+'[5]TB-4'!ID32+'[5]TB-5'!ID32+'[5]TB-6'!ID32+'[5]TB-7'!ID32+'[5]TB-8'!ID32+'[5]TB-9'!ID32+'[5]TB-10'!ID32+'[6]DSV-1'!ID32+'[6]DSV-2'!ID32+'[6]DSV-3'!ID32+'[7]TUB-1'!ID32+'[7]TUB-2'!ID32+'[8]Barge-1'!ID32+'[8]Barge-2'!ID32+'[8]Barge-3'!ID32+'[8]Barge-4'!ID32</f>
        <v>25680555.555555552</v>
      </c>
      <c r="AH32" s="136">
        <f>'[2]AHTS-1'!ID103+'[2]AHTS-2'!ID103+'[2]AHTS-3'!ID103+'[2]AHTS-4'!ID103+'[2]AHTS-5'!ID103+'[2]AHTS-6'!ID103+'[2]AHTS-7'!ID103+'[2]AHTS-8'!ID103+'[3]CB-1'!ID103+'[3]CB-2'!ID103+'[3]CB-3'!ID103+'[3]CB-4'!ID103+'[3]CB-5'!ID103+'[3]CB-6'!ID103+'[3]CB-7'!ID103+'[3]CB-8'!ID103+'[3]CB-9'!ID103+'[3]CB-10'!ID103+'[3]CB-11'!ID103+'[3]CB-12'!ID103+'[3]CB-13'!ID103+'[3]CB-14'!ID103+'[3]CB-15'!ID103+'[3]CB-16'!ID103+'[3]CB-17'!ID103+'[3]CB-18'!ID103+'[3]CB-19'!ID103+'[3]CB-20'!ID103+'[3]CB-21'!ID103+'[3]CB-22'!ID103+'[3]CB-23'!ID103+'[3]CB-24'!ID103+'[4]LCT-1'!ID103+'[4]LCT-2'!ID103+'[4]LCT-3'!ID103+'[4]LCT-4'!ID103+'[4]LCT-5'!ID103+'[4]LCT-6'!ID103+'[4]LCT-7'!ID103+'[4]LCT-8'!ID103+'[5]TB-1'!ID103+'[5]TB-2'!ID103+'[5]TB-3'!ID103+'[5]TB-4'!ID103+'[5]TB-5'!ID103+'[5]TB-6'!ID103+'[5]TB-7'!ID103+'[5]TB-8'!ID103+'[5]TB-9'!ID103+'[5]TB-10'!ID103+'[6]DSV-1'!ID103+'[6]DSV-2'!ID103+'[6]DSV-3'!ID103+'[7]TUB-1'!ID103+'[7]TUB-2'!ID103+'[8]Barge-1'!ID103+'[8]Barge-2'!ID103+'[8]Barge-3'!ID103+'[8]Barge-4'!ID103</f>
        <v>0</v>
      </c>
      <c r="AI32" s="135">
        <f>'[2]AHTS-1'!IE70+'[2]AHTS-2'!IE70+'[2]AHTS-3'!IE70+'[2]AHTS-4'!IE70+'[2]AHTS-5'!IE70+'[2]AHTS-6'!IE70+'[2]AHTS-7'!IE70+'[2]AHTS-8'!IE70+'[3]CB-1'!IE70+'[3]CB-2'!IE70+'[3]CB-3'!IE70+'[3]CB-4'!IE70+'[3]CB-5'!IE70+'[3]CB-6'!IE70+'[3]CB-7'!IE70+'[3]CB-8'!IE70+'[3]CB-9'!IE70+'[3]CB-10'!IE70+'[3]CB-11'!IE70+'[3]CB-12'!IE70+'[3]CB-13'!IE70+'[3]CB-14'!IE70+'[3]CB-15'!IE70+'[3]CB-16'!IE70+'[3]CB-17'!IE70+'[3]CB-18'!IE70+'[3]CB-19'!IE70+'[3]CB-20'!IE70+'[3]CB-21'!IE70+'[3]CB-22'!IE70+'[3]CB-23'!IE70+'[3]CB-24'!IE70+'[4]LCT-1'!IE70+'[4]LCT-2'!IE70+'[4]LCT-3'!IE70+'[4]LCT-4'!IE70+'[4]LCT-5'!IE70+'[4]LCT-6'!IE70+'[4]LCT-7'!IE70+'[4]LCT-8'!IE70+'[5]TB-1'!IE70+'[5]TB-2'!IE70+'[5]TB-3'!IE70+'[5]TB-4'!IE70+'[5]TB-5'!IE70+'[5]TB-6'!IE70+'[5]TB-7'!IE70+'[5]TB-8'!IE70+'[5]TB-9'!IE70+'[5]TB-10'!IE70+'[6]DSV-1'!IE70+'[6]DSV-2'!IE70+'[6]DSV-3'!IE70+'[7]TUB-1'!IE70+'[7]TUB-2'!IE70+'[8]Barge-1'!IE70+'[8]Barge-2'!IE70+'[8]Barge-3'!IE70+'[8]Barge-4'!IE70</f>
        <v>50736122.222222224</v>
      </c>
      <c r="AJ32" s="136">
        <f>'[2]AHTS-1'!IE32+'[2]AHTS-2'!IE32+'[2]AHTS-3'!IE32+'[2]AHTS-4'!IE32+'[2]AHTS-5'!IE32+'[2]AHTS-6'!IE32+'[2]AHTS-7'!IE32+'[2]AHTS-8'!IE32+'[3]CB-1'!IE32+'[3]CB-2'!IE32+'[3]CB-3'!IE32+'[3]CB-4'!IE32+'[3]CB-5'!IE32+'[3]CB-6'!IE32+'[3]CB-7'!IE32+'[3]CB-8'!IE32+'[3]CB-9'!IE32+'[3]CB-10'!IE32+'[3]CB-11'!IE32+'[3]CB-12'!IE32+'[3]CB-13'!IE32+'[3]CB-14'!IE32+'[3]CB-15'!IE32+'[3]CB-16'!IE32+'[3]CB-17'!IE32+'[3]CB-18'!IE32+'[3]CB-19'!IE32+'[3]CB-20'!IE32+'[3]CB-21'!IE32+'[3]CB-22'!IE32+'[3]CB-23'!IE32+'[3]CB-24'!IE32+'[4]LCT-1'!IE32+'[4]LCT-2'!IE32+'[4]LCT-3'!IE32+'[4]LCT-4'!IE32+'[4]LCT-5'!IE32+'[4]LCT-6'!IE32+'[4]LCT-7'!IE32+'[4]LCT-8'!IE32+'[5]TB-1'!IE32+'[5]TB-2'!IE32+'[5]TB-3'!IE32+'[5]TB-4'!IE32+'[5]TB-5'!IE32+'[5]TB-6'!IE32+'[5]TB-7'!IE32+'[5]TB-8'!IE32+'[5]TB-9'!IE32+'[5]TB-10'!IE32+'[6]DSV-1'!IE32+'[6]DSV-2'!IE32+'[6]DSV-3'!IE32+'[7]TUB-1'!IE32+'[7]TUB-2'!IE32+'[8]Barge-1'!IE32+'[8]Barge-2'!IE32+'[8]Barge-3'!IE32+'[8]Barge-4'!IE32</f>
        <v>41616666.666666664</v>
      </c>
      <c r="AK32" s="136">
        <f>'[2]AHTS-1'!IE103+'[2]AHTS-2'!IE103+'[2]AHTS-3'!IE103+'[2]AHTS-4'!IE103+'[2]AHTS-5'!IE103+'[2]AHTS-6'!IE103+'[2]AHTS-7'!IE103+'[2]AHTS-8'!IE103+'[3]CB-1'!IE103+'[3]CB-2'!IE103+'[3]CB-3'!IE103+'[3]CB-4'!IE103+'[3]CB-5'!IE103+'[3]CB-6'!IE103+'[3]CB-7'!IE103+'[3]CB-8'!IE103+'[3]CB-9'!IE103+'[3]CB-10'!IE103+'[3]CB-11'!IE103+'[3]CB-12'!IE103+'[3]CB-13'!IE103+'[3]CB-14'!IE103+'[3]CB-15'!IE103+'[3]CB-16'!IE103+'[3]CB-17'!IE103+'[3]CB-18'!IE103+'[3]CB-19'!IE103+'[3]CB-20'!IE103+'[3]CB-21'!IE103+'[3]CB-22'!IE103+'[3]CB-23'!IE103+'[3]CB-24'!IE103+'[4]LCT-1'!IE103+'[4]LCT-2'!IE103+'[4]LCT-3'!IE103+'[4]LCT-4'!IE103+'[4]LCT-5'!IE103+'[4]LCT-6'!IE103+'[4]LCT-7'!IE103+'[4]LCT-8'!IE103+'[5]TB-1'!IE103+'[5]TB-2'!IE103+'[5]TB-3'!IE103+'[5]TB-4'!IE103+'[5]TB-5'!IE103+'[5]TB-6'!IE103+'[5]TB-7'!IE103+'[5]TB-8'!IE103+'[5]TB-9'!IE103+'[5]TB-10'!IE103+'[6]DSV-1'!IE103+'[6]DSV-2'!IE103+'[6]DSV-3'!IE103+'[7]TUB-1'!IE103+'[7]TUB-2'!IE103+'[8]Barge-1'!IE103+'[8]Barge-2'!IE103+'[8]Barge-3'!IE103+'[8]Barge-4'!IE103</f>
        <v>0</v>
      </c>
      <c r="AL32" s="137">
        <f>'[2]AHTS-1'!IF70+'[2]AHTS-2'!IF70+'[2]AHTS-3'!IF70+'[2]AHTS-4'!IF70+'[2]AHTS-5'!IF70+'[2]AHTS-6'!IF70+'[2]AHTS-7'!IF70+'[2]AHTS-8'!IF70+'[3]CB-1'!IF70+'[3]CB-2'!IF70+'[3]CB-3'!IF70+'[3]CB-4'!IF70+'[3]CB-5'!IF70+'[3]CB-6'!IF70+'[3]CB-7'!IF70+'[3]CB-8'!IF70+'[3]CB-9'!IF70+'[3]CB-10'!IF70+'[3]CB-11'!IF70+'[3]CB-12'!IF70+'[3]CB-13'!IF70+'[3]CB-14'!IF70+'[3]CB-15'!IF70+'[3]CB-16'!IF70+'[3]CB-17'!IF70+'[3]CB-18'!IF70+'[3]CB-19'!IF70+'[3]CB-20'!IF70+'[3]CB-21'!IF70+'[3]CB-22'!IF70+'[3]CB-23'!IF70+'[3]CB-24'!IF70+'[4]LCT-1'!IF70+'[4]LCT-2'!IF70+'[4]LCT-3'!IF70+'[4]LCT-4'!IF70+'[4]LCT-5'!IF70+'[4]LCT-6'!IF70+'[4]LCT-7'!IF70+'[4]LCT-8'!IF70+'[5]TB-1'!IF70+'[5]TB-2'!IF70+'[5]TB-3'!IF70+'[5]TB-4'!IF70+'[5]TB-5'!IF70+'[5]TB-6'!IF70+'[5]TB-7'!IF70+'[5]TB-8'!IF70+'[5]TB-9'!IF70+'[5]TB-10'!IF70+'[6]DSV-1'!IF70+'[6]DSV-2'!IF70+'[6]DSV-3'!IF70+'[7]TUB-1'!IF70+'[7]TUB-2'!IF70+'[8]Barge-1'!IF70+'[8]Barge-2'!IF70+'[8]Barge-3'!IF70+'[8]Barge-4'!IF70</f>
        <v>79377250</v>
      </c>
      <c r="AM32" s="138">
        <f>'[2]AHTS-1'!IF32+'[2]AHTS-2'!IF32+'[2]AHTS-3'!IF32+'[2]AHTS-4'!IF32+'[2]AHTS-5'!IF32+'[2]AHTS-6'!IF32+'[2]AHTS-7'!IF32+'[2]AHTS-8'!IF32+'[3]CB-1'!IF32+'[3]CB-2'!IF32+'[3]CB-3'!IF32+'[3]CB-4'!IF32+'[3]CB-5'!IF32+'[3]CB-6'!IF32+'[3]CB-7'!IF32+'[3]CB-8'!IF32+'[3]CB-9'!IF32+'[3]CB-10'!IF32+'[3]CB-11'!IF32+'[3]CB-12'!IF32+'[3]CB-13'!IF32+'[3]CB-14'!IF32+'[3]CB-15'!IF32+'[3]CB-16'!IF32+'[3]CB-17'!IF32+'[3]CB-18'!IF32+'[3]CB-19'!IF32+'[3]CB-20'!IF32+'[3]CB-21'!IF32+'[3]CB-22'!IF32+'[3]CB-23'!IF32+'[3]CB-24'!IF32+'[4]LCT-1'!IF32+'[4]LCT-2'!IF32+'[4]LCT-3'!IF32+'[4]LCT-4'!IF32+'[4]LCT-5'!IF32+'[4]LCT-6'!IF32+'[4]LCT-7'!IF32+'[4]LCT-8'!IF32+'[5]TB-1'!IF32+'[5]TB-2'!IF32+'[5]TB-3'!IF32+'[5]TB-4'!IF32+'[5]TB-5'!IF32+'[5]TB-6'!IF32+'[5]TB-7'!IF32+'[5]TB-8'!IF32+'[5]TB-9'!IF32+'[5]TB-10'!IF32+'[6]DSV-1'!IF32+'[6]DSV-2'!IF32+'[6]DSV-3'!IF32+'[7]TUB-1'!IF32+'[7]TUB-2'!IF32+'[8]Barge-1'!IF32+'[8]Barge-2'!IF32+'[8]Barge-3'!IF32+'[8]Barge-4'!IF32</f>
        <v>63200000</v>
      </c>
      <c r="AN32" s="138">
        <f>'[2]AHTS-1'!IF103+'[2]AHTS-2'!IF103+'[2]AHTS-3'!IF103+'[2]AHTS-4'!IF103+'[2]AHTS-5'!IF103+'[2]AHTS-6'!IF103+'[2]AHTS-7'!IF103+'[2]AHTS-8'!IF103+'[3]CB-1'!IF103+'[3]CB-2'!IF103+'[3]CB-3'!IF103+'[3]CB-4'!IF103+'[3]CB-5'!IF103+'[3]CB-6'!IF103+'[3]CB-7'!IF103+'[3]CB-8'!IF103+'[3]CB-9'!IF103+'[3]CB-10'!IF103+'[3]CB-11'!IF103+'[3]CB-12'!IF103+'[3]CB-13'!IF103+'[3]CB-14'!IF103+'[3]CB-15'!IF103+'[3]CB-16'!IF103+'[3]CB-17'!IF103+'[3]CB-18'!IF103+'[3]CB-19'!IF103+'[3]CB-20'!IF103+'[3]CB-21'!IF103+'[3]CB-22'!IF103+'[3]CB-23'!IF103+'[3]CB-24'!IF103+'[4]LCT-1'!IF103+'[4]LCT-2'!IF103+'[4]LCT-3'!IF103+'[4]LCT-4'!IF103+'[4]LCT-5'!IF103+'[4]LCT-6'!IF103+'[4]LCT-7'!IF103+'[4]LCT-8'!IF103+'[5]TB-1'!IF103+'[5]TB-2'!IF103+'[5]TB-3'!IF103+'[5]TB-4'!IF103+'[5]TB-5'!IF103+'[5]TB-6'!IF103+'[5]TB-7'!IF103+'[5]TB-8'!IF103+'[5]TB-9'!IF103+'[5]TB-10'!IF103+'[6]DSV-1'!IF103+'[6]DSV-2'!IF103+'[6]DSV-3'!IF103+'[7]TUB-1'!IF103+'[7]TUB-2'!IF103+'[8]Barge-1'!IF103+'[8]Barge-2'!IF103+'[8]Barge-3'!IF103+'[8]Barge-4'!IF103</f>
        <v>0</v>
      </c>
      <c r="AO32" s="135">
        <f>'[2]AHTS-1'!IG70+'[2]AHTS-2'!IG70+'[2]AHTS-3'!IG70+'[2]AHTS-4'!IG70+'[2]AHTS-5'!IG70+'[2]AHTS-6'!IG70+'[2]AHTS-7'!IG70+'[2]AHTS-8'!IG70+'[3]CB-1'!IG70+'[3]CB-2'!IG70+'[3]CB-3'!IG70+'[3]CB-4'!IG70+'[3]CB-5'!IG70+'[3]CB-6'!IG70+'[3]CB-7'!IG70+'[3]CB-8'!IG70+'[3]CB-9'!IG70+'[3]CB-10'!IG70+'[3]CB-11'!IG70+'[3]CB-12'!IG70+'[3]CB-13'!IG70+'[3]CB-14'!IG70+'[3]CB-15'!IG70+'[3]CB-16'!IG70+'[3]CB-17'!IG70+'[3]CB-18'!IG70+'[3]CB-19'!IG70+'[3]CB-20'!IG70+'[3]CB-21'!IG70+'[3]CB-22'!IG70+'[3]CB-23'!IG70+'[3]CB-24'!IG70+'[4]LCT-1'!IG70+'[4]LCT-2'!IG70+'[4]LCT-3'!IG70+'[4]LCT-4'!IG70+'[4]LCT-5'!IG70+'[4]LCT-6'!IG70+'[4]LCT-7'!IG70+'[4]LCT-8'!IG70+'[5]TB-1'!IG70+'[5]TB-2'!IG70+'[5]TB-3'!IG70+'[5]TB-4'!IG70+'[5]TB-5'!IG70+'[5]TB-6'!IG70+'[5]TB-7'!IG70+'[5]TB-8'!IG70+'[5]TB-9'!IG70+'[5]TB-10'!IG70+'[6]DSV-1'!IG70+'[6]DSV-2'!IG70+'[6]DSV-3'!IG70+'[7]TUB-1'!IG70+'[7]TUB-2'!IG70+'[8]Barge-1'!IG70+'[8]Barge-2'!IG70+'[8]Barge-3'!IG70+'[8]Barge-4'!IG70</f>
        <v>183033.33333333331</v>
      </c>
      <c r="AP32" s="136">
        <f>'[2]AHTS-1'!IG32+'[2]AHTS-2'!IG32+'[2]AHTS-3'!IG32+'[2]AHTS-4'!IG32+'[2]AHTS-5'!IG32+'[2]AHTS-6'!IG32+'[2]AHTS-7'!IG32+'[2]AHTS-8'!IG32+'[3]CB-1'!IG32+'[3]CB-2'!IG32+'[3]CB-3'!IG32+'[3]CB-4'!IG32+'[3]CB-5'!IG32+'[3]CB-6'!IG32+'[3]CB-7'!IG32+'[3]CB-8'!IG32+'[3]CB-9'!IG32+'[3]CB-10'!IG32+'[3]CB-11'!IG32+'[3]CB-12'!IG32+'[3]CB-13'!IG32+'[3]CB-14'!IG32+'[3]CB-15'!IG32+'[3]CB-16'!IG32+'[3]CB-17'!IG32+'[3]CB-18'!IG32+'[3]CB-19'!IG32+'[3]CB-20'!IG32+'[3]CB-21'!IG32+'[3]CB-22'!IG32+'[3]CB-23'!IG32+'[3]CB-24'!IG32+'[4]LCT-1'!IG32+'[4]LCT-2'!IG32+'[4]LCT-3'!IG32+'[4]LCT-4'!IG32+'[4]LCT-5'!IG32+'[4]LCT-6'!IG32+'[4]LCT-7'!IG32+'[4]LCT-8'!IG32+'[5]TB-1'!IG32+'[5]TB-2'!IG32+'[5]TB-3'!IG32+'[5]TB-4'!IG32+'[5]TB-5'!IG32+'[5]TB-6'!IG32+'[5]TB-7'!IG32+'[5]TB-8'!IG32+'[5]TB-9'!IG32+'[5]TB-10'!IG32+'[6]DSV-1'!IG32+'[6]DSV-2'!IG32+'[6]DSV-3'!IG32+'[7]TUB-1'!IG32+'[7]TUB-2'!IG32+'[8]Barge-1'!IG32+'[8]Barge-2'!IG32+'[8]Barge-3'!IG32+'[8]Barge-4'!IG32</f>
        <v>1444444.4444444443</v>
      </c>
      <c r="AQ32" s="136">
        <f>'[2]AHTS-1'!IG103+'[2]AHTS-2'!IG103+'[2]AHTS-3'!IG103+'[2]AHTS-4'!IG103+'[2]AHTS-5'!IG103+'[2]AHTS-6'!IG103+'[2]AHTS-7'!IG103+'[2]AHTS-8'!IG103+'[3]CB-1'!IG103+'[3]CB-2'!IG103+'[3]CB-3'!IG103+'[3]CB-4'!IG103+'[3]CB-5'!IG103+'[3]CB-6'!IG103+'[3]CB-7'!IG103+'[3]CB-8'!IG103+'[3]CB-9'!IG103+'[3]CB-10'!IG103+'[3]CB-11'!IG103+'[3]CB-12'!IG103+'[3]CB-13'!IG103+'[3]CB-14'!IG103+'[3]CB-15'!IG103+'[3]CB-16'!IG103+'[3]CB-17'!IG103+'[3]CB-18'!IG103+'[3]CB-19'!IG103+'[3]CB-20'!IG103+'[3]CB-21'!IG103+'[3]CB-22'!IG103+'[3]CB-23'!IG103+'[3]CB-24'!IG103+'[4]LCT-1'!IG103+'[4]LCT-2'!IG103+'[4]LCT-3'!IG103+'[4]LCT-4'!IG103+'[4]LCT-5'!IG103+'[4]LCT-6'!IG103+'[4]LCT-7'!IG103+'[4]LCT-8'!IG103+'[5]TB-1'!IG103+'[5]TB-2'!IG103+'[5]TB-3'!IG103+'[5]TB-4'!IG103+'[5]TB-5'!IG103+'[5]TB-6'!IG103+'[5]TB-7'!IG103+'[5]TB-8'!IG103+'[5]TB-9'!IG103+'[5]TB-10'!IG103+'[6]DSV-1'!IG103+'[6]DSV-2'!IG103+'[6]DSV-3'!IG103+'[7]TUB-1'!IG103+'[7]TUB-2'!IG103+'[8]Barge-1'!IG103+'[8]Barge-2'!IG103+'[8]Barge-3'!IG103+'[8]Barge-4'!IG103</f>
        <v>0</v>
      </c>
      <c r="AR32" s="139">
        <f>'[2]AHTS-1'!IH70+'[2]AHTS-2'!IH70+'[2]AHTS-3'!IH70+'[2]AHTS-4'!IH70+'[2]AHTS-5'!IH70+'[2]AHTS-6'!IH70+'[2]AHTS-7'!IH70+'[2]AHTS-8'!IH70+'[3]CB-1'!IH70+'[3]CB-2'!IH70+'[3]CB-3'!IH70+'[3]CB-4'!IH70+'[3]CB-5'!IH70+'[3]CB-6'!IH70+'[3]CB-7'!IH70+'[3]CB-8'!IH70+'[3]CB-9'!IH70+'[3]CB-10'!IH70+'[3]CB-11'!IH70+'[3]CB-12'!IH70+'[3]CB-13'!IH70+'[3]CB-14'!IH70+'[3]CB-15'!IH70+'[3]CB-16'!IH70+'[3]CB-17'!IH70+'[3]CB-18'!IH70+'[3]CB-19'!IH70+'[3]CB-20'!IH70+'[3]CB-21'!IH70+'[3]CB-22'!IH70+'[3]CB-23'!IH70+'[3]CB-24'!IH70+'[4]LCT-1'!IH70+'[4]LCT-2'!IH70+'[4]LCT-3'!IH70+'[4]LCT-4'!IH70+'[4]LCT-5'!IH70+'[4]LCT-6'!IH70+'[4]LCT-7'!IH70+'[4]LCT-8'!IH70+'[5]TB-1'!IH70+'[5]TB-2'!IH70+'[5]TB-3'!IH70+'[5]TB-4'!IH70+'[5]TB-5'!IH70+'[5]TB-6'!IH70+'[5]TB-7'!IH70+'[5]TB-8'!IH70+'[5]TB-9'!IH70+'[5]TB-10'!IH70+'[6]DSV-1'!IH70+'[6]DSV-2'!IH70+'[6]DSV-3'!IH70+'[7]TUB-1'!IH70+'[7]TUB-2'!IH70+'[8]Barge-1'!IH70+'[8]Barge-2'!IH70+'[8]Barge-3'!IH70+'[8]Barge-4'!IH70</f>
        <v>82623400</v>
      </c>
      <c r="AS32" s="136">
        <f>'[2]AHTS-1'!IH32+'[2]AHTS-2'!IH32+'[2]AHTS-3'!IH32+'[2]AHTS-4'!IH32+'[2]AHTS-5'!IH32+'[2]AHTS-6'!IH32+'[2]AHTS-7'!IH32+'[2]AHTS-8'!IH32+'[3]CB-1'!IH32+'[3]CB-2'!IH32+'[3]CB-3'!IH32+'[3]CB-4'!IH32+'[3]CB-5'!IH32+'[3]CB-6'!IH32+'[3]CB-7'!IH32+'[3]CB-8'!IH32+'[3]CB-9'!IH32+'[3]CB-10'!IH32+'[3]CB-11'!IH32+'[3]CB-12'!IH32+'[3]CB-13'!IH32+'[3]CB-14'!IH32+'[3]CB-15'!IH32+'[3]CB-16'!IH32+'[3]CB-17'!IH32+'[3]CB-18'!IH32+'[3]CB-19'!IH32+'[3]CB-20'!IH32+'[3]CB-21'!IH32+'[3]CB-22'!IH32+'[3]CB-23'!IH32+'[3]CB-24'!IH32+'[4]LCT-1'!IH32+'[4]LCT-2'!IH32+'[4]LCT-3'!IH32+'[4]LCT-4'!IH32+'[4]LCT-5'!IH32+'[4]LCT-6'!IH32+'[4]LCT-7'!IH32+'[4]LCT-8'!IH32+'[5]TB-1'!IH32+'[5]TB-2'!IH32+'[5]TB-3'!IH32+'[5]TB-4'!IH32+'[5]TB-5'!IH32+'[5]TB-6'!IH32+'[5]TB-7'!IH32+'[5]TB-8'!IH32+'[5]TB-9'!IH32+'[5]TB-10'!IH32+'[6]DSV-1'!IH32+'[6]DSV-2'!IH32+'[6]DSV-3'!IH32+'[7]TUB-1'!IH32+'[7]TUB-2'!IH32+'[8]Barge-1'!IH32+'[8]Barge-2'!IH32+'[8]Barge-3'!IH32+'[8]Barge-4'!IH32</f>
        <v>92450000</v>
      </c>
      <c r="AT32" s="140">
        <f>'[2]AHTS-1'!IH103+'[2]AHTS-2'!IH103+'[2]AHTS-3'!IH103+'[2]AHTS-4'!IH103+'[2]AHTS-5'!IH103+'[2]AHTS-6'!IH103+'[2]AHTS-7'!IH103+'[2]AHTS-8'!IH103+'[3]CB-1'!IH103+'[3]CB-2'!IH103+'[3]CB-3'!IH103+'[3]CB-4'!IH103+'[3]CB-5'!IH103+'[3]CB-6'!IH103+'[3]CB-7'!IH103+'[3]CB-8'!IH103+'[3]CB-9'!IH103+'[3]CB-10'!IH103+'[3]CB-11'!IH103+'[3]CB-12'!IH103+'[3]CB-13'!IH103+'[3]CB-14'!IH103+'[3]CB-15'!IH103+'[3]CB-16'!IH103+'[3]CB-17'!IH103+'[3]CB-18'!IH103+'[3]CB-19'!IH103+'[3]CB-20'!IH103+'[3]CB-21'!IH103+'[3]CB-22'!IH103+'[3]CB-23'!IH103+'[3]CB-24'!IH103+'[4]LCT-1'!IH103+'[4]LCT-2'!IH103+'[4]LCT-3'!IH103+'[4]LCT-4'!IH103+'[4]LCT-5'!IH103+'[4]LCT-6'!IH103+'[4]LCT-7'!IH103+'[4]LCT-8'!IH103+'[5]TB-1'!IH103+'[5]TB-2'!IH103+'[5]TB-3'!IH103+'[5]TB-4'!IH103+'[5]TB-5'!IH103+'[5]TB-6'!IH103+'[5]TB-7'!IH103+'[5]TB-8'!IH103+'[5]TB-9'!IH103+'[5]TB-10'!IH103+'[6]DSV-1'!IH103+'[6]DSV-2'!IH103+'[6]DSV-3'!IH103+'[7]TUB-1'!IH103+'[7]TUB-2'!IH103+'[8]Barge-1'!IH103+'[8]Barge-2'!IH103+'[8]Barge-3'!IH103+'[8]Barge-4'!IH103</f>
        <v>0</v>
      </c>
      <c r="AU32" s="139">
        <f>'[2]AHTS-1'!II70+'[2]AHTS-2'!II70+'[2]AHTS-3'!II70+'[2]AHTS-4'!II70+'[2]AHTS-5'!II70+'[2]AHTS-6'!II70+'[2]AHTS-7'!II70+'[2]AHTS-8'!II70+'[3]CB-1'!II70+'[3]CB-2'!II70+'[3]CB-3'!II70+'[3]CB-4'!II70+'[3]CB-5'!II70+'[3]CB-6'!II70+'[3]CB-7'!II70+'[3]CB-8'!II70+'[3]CB-9'!II70+'[3]CB-10'!II70+'[3]CB-11'!II70+'[3]CB-12'!II70+'[3]CB-13'!II70+'[3]CB-14'!II70+'[3]CB-15'!II70+'[3]CB-16'!II70+'[3]CB-17'!II70+'[3]CB-18'!II70+'[3]CB-19'!II70+'[3]CB-20'!II70+'[3]CB-21'!II70+'[3]CB-22'!II70+'[3]CB-23'!II70+'[3]CB-24'!II70+'[4]LCT-1'!II70+'[4]LCT-2'!II70+'[4]LCT-3'!II70+'[4]LCT-4'!II70+'[4]LCT-5'!II70+'[4]LCT-6'!II70+'[4]LCT-7'!II70+'[4]LCT-8'!II70+'[5]TB-1'!II70+'[5]TB-2'!II70+'[5]TB-3'!II70+'[5]TB-4'!II70+'[5]TB-5'!II70+'[5]TB-6'!II70+'[5]TB-7'!II70+'[5]TB-8'!II70+'[5]TB-9'!II70+'[5]TB-10'!II70+'[6]DSV-1'!II70+'[6]DSV-2'!II70+'[6]DSV-3'!II70+'[7]TUB-1'!II70+'[7]TUB-2'!II70+'[8]Barge-1'!II70+'[8]Barge-2'!II70+'[8]Barge-3'!II70+'[8]Barge-4'!II70</f>
        <v>0</v>
      </c>
      <c r="AV32" s="136">
        <f>'[2]AHTS-1'!II32+'[2]AHTS-2'!II32+'[2]AHTS-3'!II32+'[2]AHTS-4'!II32+'[2]AHTS-5'!II32+'[2]AHTS-6'!II32+'[2]AHTS-7'!II32+'[2]AHTS-8'!II32+'[3]CB-1'!II32+'[3]CB-2'!II32+'[3]CB-3'!II32+'[3]CB-4'!II32+'[3]CB-5'!II32+'[3]CB-6'!II32+'[3]CB-7'!II32+'[3]CB-8'!II32+'[3]CB-9'!II32+'[3]CB-10'!II32+'[3]CB-11'!II32+'[3]CB-12'!II32+'[3]CB-13'!II32+'[3]CB-14'!II32+'[3]CB-15'!II32+'[3]CB-16'!II32+'[3]CB-17'!II32+'[3]CB-18'!II32+'[3]CB-19'!II32+'[3]CB-20'!II32+'[3]CB-21'!II32+'[3]CB-22'!II32+'[3]CB-23'!II32+'[3]CB-24'!II32+'[4]LCT-1'!II32+'[4]LCT-2'!II32+'[4]LCT-3'!II32+'[4]LCT-4'!II32+'[4]LCT-5'!II32+'[4]LCT-6'!II32+'[4]LCT-7'!II32+'[4]LCT-8'!II32+'[5]TB-1'!II32+'[5]TB-2'!II32+'[5]TB-3'!II32+'[5]TB-4'!II32+'[5]TB-5'!II32+'[5]TB-6'!II32+'[5]TB-7'!II32+'[5]TB-8'!II32+'[5]TB-9'!II32+'[5]TB-10'!II32+'[6]DSV-1'!II32+'[6]DSV-2'!II32+'[6]DSV-3'!II32+'[7]TUB-1'!II32+'[7]TUB-2'!II32+'[8]Barge-1'!II32+'[8]Barge-2'!II32+'[8]Barge-3'!II32+'[8]Barge-4'!II32</f>
        <v>0</v>
      </c>
      <c r="AW32" s="140">
        <f>'[2]AHTS-1'!II103+'[2]AHTS-2'!II103+'[2]AHTS-3'!II103+'[2]AHTS-4'!II103+'[2]AHTS-5'!II103+'[2]AHTS-6'!II103+'[2]AHTS-7'!II103+'[2]AHTS-8'!II103+'[3]CB-1'!II103+'[3]CB-2'!II103+'[3]CB-3'!II103+'[3]CB-4'!II103+'[3]CB-5'!II103+'[3]CB-6'!II103+'[3]CB-7'!II103+'[3]CB-8'!II103+'[3]CB-9'!II103+'[3]CB-10'!II103+'[3]CB-11'!II103+'[3]CB-12'!II103+'[3]CB-13'!II103+'[3]CB-14'!II103+'[3]CB-15'!II103+'[3]CB-16'!II103+'[3]CB-17'!II103+'[3]CB-18'!II103+'[3]CB-19'!II103+'[3]CB-20'!II103+'[3]CB-21'!II103+'[3]CB-22'!II103+'[3]CB-23'!II103+'[3]CB-24'!II103+'[4]LCT-1'!II103+'[4]LCT-2'!II103+'[4]LCT-3'!II103+'[4]LCT-4'!II103+'[4]LCT-5'!II103+'[4]LCT-6'!II103+'[4]LCT-7'!II103+'[4]LCT-8'!II103+'[5]TB-1'!II103+'[5]TB-2'!II103+'[5]TB-3'!II103+'[5]TB-4'!II103+'[5]TB-5'!II103+'[5]TB-6'!II103+'[5]TB-7'!II103+'[5]TB-8'!II103+'[5]TB-9'!II103+'[5]TB-10'!II103+'[6]DSV-1'!II103+'[6]DSV-2'!II103+'[6]DSV-3'!II103+'[7]TUB-1'!II103+'[7]TUB-2'!II103+'[8]Barge-1'!II103+'[8]Barge-2'!II103+'[8]Barge-3'!II103+'[8]Barge-4'!II103</f>
        <v>0</v>
      </c>
      <c r="AX32" s="67"/>
      <c r="AY32" s="67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</row>
    <row r="33" spans="1:97" s="69" customFormat="1" ht="14.25" customHeight="1" x14ac:dyDescent="0.25">
      <c r="A33" s="111">
        <f>[1]Control!AZ33</f>
        <v>46008</v>
      </c>
      <c r="B33" s="66"/>
      <c r="C33" s="176">
        <f>'[2]AHTS-1'!AV33+'[2]AHTS-2'!AV33+'[2]AHTS-3'!AV33+'[2]AHTS-4'!AV33+'[2]AHTS-5'!AV33+'[2]AHTS-6'!AV33+'[2]AHTS-7'!AV33+'[2]AHTS-8'!AV33+'[3]CB-1'!AV33+'[3]CB-2'!AV33+'[3]CB-3'!AV33+'[3]CB-4'!AV33+'[3]CB-5'!AV33+'[3]CB-6'!AV33+'[3]CB-7'!AV33+'[3]CB-8'!AV33+'[3]CB-9'!AV33+'[3]CB-10'!AV33+'[3]CB-11'!AV33+'[3]CB-12'!AV33+'[3]CB-13'!AV33+'[3]CB-14'!AV33+'[3]CB-15'!AV33+'[3]CB-16'!AV33+'[3]CB-17'!AV33+'[3]CB-18'!AV33+'[3]CB-19'!AV33+'[3]CB-20'!AV33+'[3]CB-21'!AV33+'[3]CB-22'!AV33+'[3]CB-23'!AV33+'[3]CB-24'!AV33+'[4]LCT-1'!AV33+'[4]LCT-2'!AV33+'[4]LCT-3'!AV33+'[4]LCT-4'!AV33+'[4]LCT-5'!AV33+'[4]LCT-6'!AV33+'[4]LCT-7'!AV33+'[4]LCT-8'!AV33+'[5]TB-1'!AV33+'[5]TB-2'!AV33+'[5]TB-3'!AV33+'[5]TB-4'!AV33+'[5]TB-5'!AV33+'[5]TB-6'!AV33+'[5]TB-7'!AV33+'[5]TB-8'!AV33+'[5]TB-9'!AV33+'[5]TB-10'!AV33+'[6]DSV-1'!AV33+'[6]DSV-2'!AV33+'[6]DSV-3'!AV33+'[7]TUB-1'!AV33+'[7]TUB-2'!AV33+'[8]Barge-1'!AV33+'[8]Barge-2'!AV33+'[8]Barge-3'!AV33+'[8]Barge-4'!AV33</f>
        <v>0</v>
      </c>
      <c r="D33" s="177">
        <f>'[2]AHTS-1'!BR33+'[2]AHTS-2'!BR33+'[2]AHTS-3'!BR33+'[2]AHTS-4'!BR33+'[2]AHTS-5'!BR33+'[2]AHTS-6'!BR33+'[2]AHTS-7'!BR33+'[2]AHTS-8'!BR33+'[3]CB-1'!BR33+'[3]CB-2'!BR33+'[3]CB-3'!BR33+'[3]CB-4'!BR33+'[3]CB-5'!BR33+'[3]CB-6'!BR33+'[3]CB-7'!BR33+'[3]CB-8'!BR33+'[3]CB-9'!BR33+'[3]CB-10'!BR33+'[3]CB-11'!BR33+'[3]CB-12'!BR33+'[3]CB-13'!BR33+'[3]CB-14'!BR33+'[3]CB-15'!BR33+'[3]CB-16'!BR33+'[3]CB-17'!BR33+'[3]CB-18'!BR33+'[3]CB-19'!BR33+'[3]CB-20'!BR33+'[3]CB-21'!BR33+'[3]CB-22'!BR33+'[3]CB-23'!BR33+'[3]CB-24'!BR33+'[4]LCT-1'!BR33+'[4]LCT-2'!BR33+'[4]LCT-3'!BR33+'[4]LCT-4'!BR33+'[4]LCT-5'!BR33+'[4]LCT-6'!BR33+'[4]LCT-7'!BR33+'[4]LCT-8'!BR33+'[5]TB-1'!BR33+'[5]TB-2'!BR33+'[5]TB-3'!BR33+'[5]TB-4'!BR33+'[5]TB-5'!BR33+'[5]TB-6'!BR33+'[5]TB-7'!BR33+'[5]TB-8'!BR33+'[5]TB-9'!BR33+'[5]TB-10'!BR33+'[6]DSV-1'!BR33+'[6]DSV-2'!BR33+'[6]DSV-3'!BR33+'[7]TUB-1'!BR33+'[7]TUB-2'!BR33+'[8]Barge-1'!BR33+'[8]Barge-2'!BR33+'[8]Barge-3'!BR33+'[8]Barge-4'!BR33</f>
        <v>0</v>
      </c>
      <c r="E33" s="178">
        <f>'[2]AHTS-1'!CN33+'[2]AHTS-2'!CN33+'[2]AHTS-3'!CN33+'[2]AHTS-4'!CN33+'[2]AHTS-5'!CN33+'[2]AHTS-6'!CN33+'[2]AHTS-7'!CN33+'[2]AHTS-8'!CN33+'[3]CB-1'!CN33+'[3]CB-2'!CN33+'[3]CB-3'!CN33+'[3]CB-4'!CN33+'[3]CB-5'!CN33+'[3]CB-6'!CN33+'[3]CB-7'!CN33+'[3]CB-8'!CN33+'[3]CB-9'!CN33+'[3]CB-10'!CN33+'[3]CB-11'!CN33+'[3]CB-12'!CN33+'[3]CB-13'!CN33+'[3]CB-14'!CN33+'[3]CB-15'!CN33+'[3]CB-16'!CN33+'[3]CB-17'!CN33+'[3]CB-18'!CN33+'[3]CB-19'!CN33+'[3]CB-20'!CN33+'[3]CB-21'!CN33+'[3]CB-22'!CN33+'[3]CB-23'!CN33+'[3]CB-24'!CN33+'[4]LCT-1'!CN33+'[4]LCT-2'!CN33+'[4]LCT-3'!CN33+'[4]LCT-4'!CN33+'[4]LCT-5'!CN33+'[4]LCT-6'!CN33+'[4]LCT-7'!CN33+'[4]LCT-8'!CN33+'[5]TB-1'!CN33+'[5]TB-2'!CN33+'[5]TB-3'!CN33+'[5]TB-4'!CN33+'[5]TB-5'!CN33+'[5]TB-6'!CN33+'[5]TB-7'!CN33+'[5]TB-8'!CN33+'[5]TB-9'!CN33+'[5]TB-10'!CN33+'[6]DSV-1'!CN33+'[6]DSV-2'!CN33+'[6]DSV-3'!CN33+'[7]TUB-1'!CN33+'[7]TUB-2'!CN33+'[8]Barge-1'!CN33+'[8]Barge-2'!CN33+'[8]Barge-3'!CN33+'[8]Barge-4'!CN33</f>
        <v>0</v>
      </c>
      <c r="F33" s="179">
        <f>'[2]AHTS-1'!AW33+'[2]AHTS-2'!AW33+'[2]AHTS-3'!AW33+'[2]AHTS-4'!AW33+'[2]AHTS-5'!AW33+'[2]AHTS-6'!AW33+'[2]AHTS-7'!AW33+'[2]AHTS-8'!AW33+'[3]CB-1'!AW33+'[3]CB-2'!AW33+'[3]CB-3'!AW33+'[3]CB-4'!AW33+'[3]CB-5'!AW33+'[3]CB-6'!AW33+'[3]CB-7'!AW33+'[3]CB-8'!AW33+'[3]CB-9'!AW33+'[3]CB-10'!AW33+'[3]CB-11'!AW33+'[3]CB-12'!AW33+'[3]CB-13'!AW33+'[3]CB-14'!AW33+'[3]CB-15'!AW33+'[3]CB-16'!AW33+'[3]CB-17'!AW33+'[3]CB-18'!AW33+'[3]CB-19'!AW33+'[3]CB-20'!AW33+'[3]CB-21'!AW33+'[3]CB-22'!AW33+'[3]CB-23'!AW33+'[3]CB-24'!AW33+'[4]LCT-1'!AW33+'[4]LCT-2'!AW33+'[4]LCT-3'!AW33+'[4]LCT-4'!AW33+'[4]LCT-5'!AW33+'[4]LCT-6'!AW33+'[4]LCT-7'!AW33+'[4]LCT-8'!AW33+'[5]TB-1'!AW33+'[5]TB-2'!AW33+'[5]TB-3'!AW33+'[5]TB-4'!AW33+'[5]TB-5'!AW33+'[5]TB-6'!AW33+'[5]TB-7'!AW33+'[5]TB-8'!AW33+'[5]TB-9'!AW33+'[5]TB-10'!AW33+'[6]DSV-1'!AW33+'[6]DSV-2'!AW33+'[6]DSV-3'!AW33+'[7]TUB-1'!AW33+'[7]TUB-2'!AW33+'[8]Barge-1'!AW33+'[8]Barge-2'!AW33+'[8]Barge-3'!AW33+'[8]Barge-4'!AW33</f>
        <v>1390.5589123867069</v>
      </c>
      <c r="G33" s="180">
        <f>'[2]AHTS-1'!BS33+'[2]AHTS-2'!BS33+'[2]AHTS-3'!BS33+'[2]AHTS-4'!BS33+'[2]AHTS-5'!BS33+'[2]AHTS-6'!BS33+'[2]AHTS-7'!BS33+'[2]AHTS-8'!BS33+'[3]CB-1'!BS33+'[3]CB-2'!BS33+'[3]CB-3'!BS33+'[3]CB-4'!BS33+'[3]CB-5'!BS33+'[3]CB-6'!BS33+'[3]CB-7'!BS33+'[3]CB-8'!BS33+'[3]CB-9'!BS33+'[3]CB-10'!BS33+'[3]CB-11'!BS33+'[3]CB-12'!BS33+'[3]CB-13'!BS33+'[3]CB-14'!BS33+'[3]CB-15'!BS33+'[3]CB-16'!BS33+'[3]CB-17'!BS33+'[3]CB-18'!BS33+'[3]CB-19'!BS33+'[3]CB-20'!BS33+'[3]CB-21'!BS33+'[3]CB-22'!BS33+'[3]CB-23'!BS33+'[3]CB-24'!BS33+'[4]LCT-1'!BS33+'[4]LCT-2'!BS33+'[4]LCT-3'!BS33+'[4]LCT-4'!BS33+'[4]LCT-5'!BS33+'[4]LCT-6'!BS33+'[4]LCT-7'!BS33+'[4]LCT-8'!BS33+'[5]TB-1'!BS33+'[5]TB-2'!BS33+'[5]TB-3'!BS33+'[5]TB-4'!BS33+'[5]TB-5'!BS33+'[5]TB-6'!BS33+'[5]TB-7'!BS33+'[5]TB-8'!BS33+'[5]TB-9'!BS33+'[5]TB-10'!BS33+'[6]DSV-1'!BS33+'[6]DSV-2'!BS33+'[6]DSV-3'!BS33+'[7]TUB-1'!BS33+'[7]TUB-2'!BS33+'[8]Barge-1'!BS33+'[8]Barge-2'!BS33+'[8]Barge-3'!BS33+'[8]Barge-4'!BS33</f>
        <v>1529.9806982208793</v>
      </c>
      <c r="H33" s="180">
        <f>'[2]AHTS-1'!CO33+'[2]AHTS-2'!CO33+'[2]AHTS-3'!CO33+'[2]AHTS-4'!CO33+'[2]AHTS-5'!CO33+'[2]AHTS-6'!CO33+'[2]AHTS-7'!CO33+'[2]AHTS-8'!CO33+'[3]CB-1'!CO33+'[3]CB-2'!CO33+'[3]CB-3'!CO33+'[3]CB-4'!CO33+'[3]CB-5'!CO33+'[3]CB-6'!CO33+'[3]CB-7'!CO33+'[3]CB-8'!CO33+'[3]CB-9'!CO33+'[3]CB-10'!CO33+'[3]CB-11'!CO33+'[3]CB-12'!CO33+'[3]CB-13'!CO33+'[3]CB-14'!CO33+'[3]CB-15'!CO33+'[3]CB-16'!CO33+'[3]CB-17'!CO33+'[3]CB-18'!CO33+'[3]CB-19'!CO33+'[3]CB-20'!CO33+'[3]CB-21'!CO33+'[3]CB-22'!CO33+'[3]CB-23'!CO33+'[3]CB-24'!CO33+'[4]LCT-1'!CO33+'[4]LCT-2'!CO33+'[4]LCT-3'!CO33+'[4]LCT-4'!CO33+'[4]LCT-5'!CO33+'[4]LCT-6'!CO33+'[4]LCT-7'!CO33+'[4]LCT-8'!CO33+'[5]TB-1'!CO33+'[5]TB-2'!CO33+'[5]TB-3'!CO33+'[5]TB-4'!CO33+'[5]TB-5'!CO33+'[5]TB-6'!CO33+'[5]TB-7'!CO33+'[5]TB-8'!CO33+'[5]TB-9'!CO33+'[5]TB-10'!CO33+'[6]DSV-1'!CO33+'[6]DSV-2'!CO33+'[6]DSV-3'!CO33+'[7]TUB-1'!CO33+'[7]TUB-2'!CO33+'[8]Barge-1'!CO33+'[8]Barge-2'!CO33+'[8]Barge-3'!CO33+'[8]Barge-4'!CO33</f>
        <v>0</v>
      </c>
      <c r="I33" s="179">
        <f>'[2]AHTS-1'!AX33+'[2]AHTS-2'!AX33+'[2]AHTS-3'!AX33+'[2]AHTS-4'!AX33+'[2]AHTS-5'!AX33+'[2]AHTS-6'!AX33+'[2]AHTS-7'!AX33+'[2]AHTS-8'!AX33+'[3]CB-1'!AX33+'[3]CB-2'!AX33+'[3]CB-3'!AX33+'[3]CB-4'!AX33+'[3]CB-5'!AX33+'[3]CB-6'!AX33+'[3]CB-7'!AX33+'[3]CB-8'!AX33+'[3]CB-9'!AX33+'[3]CB-10'!AX33+'[3]CB-11'!AX33+'[3]CB-12'!AX33+'[3]CB-13'!AX33+'[3]CB-14'!AX33+'[3]CB-15'!AX33+'[3]CB-16'!AX33+'[3]CB-17'!AX33+'[3]CB-18'!AX33+'[3]CB-19'!AX33+'[3]CB-20'!AX33+'[3]CB-21'!AX33+'[3]CB-22'!AX33+'[3]CB-23'!AX33+'[3]CB-24'!AX33+'[4]LCT-1'!AX33+'[4]LCT-2'!AX33+'[4]LCT-3'!AX33+'[4]LCT-4'!AX33+'[4]LCT-5'!AX33+'[4]LCT-6'!AX33+'[4]LCT-7'!AX33+'[4]LCT-8'!AX33+'[5]TB-1'!AX33+'[5]TB-2'!AX33+'[5]TB-3'!AX33+'[5]TB-4'!AX33+'[5]TB-5'!AX33+'[5]TB-6'!AX33+'[5]TB-7'!AX33+'[5]TB-8'!AX33+'[5]TB-9'!AX33+'[5]TB-10'!AX33+'[6]DSV-1'!AX33+'[6]DSV-2'!AX33+'[6]DSV-3'!AX33+'[7]TUB-1'!AX33+'[7]TUB-2'!AX33+'[8]Barge-1'!AX33+'[8]Barge-2'!AX33+'[8]Barge-3'!AX33+'[8]Barge-4'!AX33</f>
        <v>3749.4943773078212</v>
      </c>
      <c r="J33" s="180">
        <f>'[2]AHTS-1'!BT33+'[2]AHTS-2'!BT33+'[2]AHTS-3'!BT33+'[2]AHTS-4'!BT33+'[2]AHTS-5'!BT33+'[2]AHTS-6'!BT33+'[2]AHTS-7'!BT33+'[2]AHTS-8'!BT33+'[3]CB-1'!BT33+'[3]CB-2'!BT33+'[3]CB-3'!BT33+'[3]CB-4'!BT33+'[3]CB-5'!BT33+'[3]CB-6'!BT33+'[3]CB-7'!BT33+'[3]CB-8'!BT33+'[3]CB-9'!BT33+'[3]CB-10'!BT33+'[3]CB-11'!BT33+'[3]CB-12'!BT33+'[3]CB-13'!BT33+'[3]CB-14'!BT33+'[3]CB-15'!BT33+'[3]CB-16'!BT33+'[3]CB-17'!BT33+'[3]CB-18'!BT33+'[3]CB-19'!BT33+'[3]CB-20'!BT33+'[3]CB-21'!BT33+'[3]CB-22'!BT33+'[3]CB-23'!BT33+'[3]CB-24'!BT33+'[4]LCT-1'!BT33+'[4]LCT-2'!BT33+'[4]LCT-3'!BT33+'[4]LCT-4'!BT33+'[4]LCT-5'!BT33+'[4]LCT-6'!BT33+'[4]LCT-7'!BT33+'[4]LCT-8'!BT33+'[5]TB-1'!BT33+'[5]TB-2'!BT33+'[5]TB-3'!BT33+'[5]TB-4'!BT33+'[5]TB-5'!BT33+'[5]TB-6'!BT33+'[5]TB-7'!BT33+'[5]TB-8'!BT33+'[5]TB-9'!BT33+'[5]TB-10'!BT33+'[6]DSV-1'!BT33+'[6]DSV-2'!BT33+'[6]DSV-3'!BT33+'[7]TUB-1'!BT33+'[7]TUB-2'!BT33+'[8]Barge-1'!BT33+'[8]Barge-2'!BT33+'[8]Barge-3'!BT33+'[8]Barge-4'!BT33</f>
        <v>2857.5025176233635</v>
      </c>
      <c r="K33" s="180">
        <f>'[2]AHTS-1'!CP33+'[2]AHTS-2'!CP33+'[2]AHTS-3'!CP33+'[2]AHTS-4'!CP33+'[2]AHTS-5'!CP33+'[2]AHTS-6'!CP33+'[2]AHTS-7'!CP33+'[2]AHTS-8'!CP33+'[3]CB-1'!CP33+'[3]CB-2'!CP33+'[3]CB-3'!CP33+'[3]CB-4'!CP33+'[3]CB-5'!CP33+'[3]CB-6'!CP33+'[3]CB-7'!CP33+'[3]CB-8'!CP33+'[3]CB-9'!CP33+'[3]CB-10'!CP33+'[3]CB-11'!CP33+'[3]CB-12'!CP33+'[3]CB-13'!CP33+'[3]CB-14'!CP33+'[3]CB-15'!CP33+'[3]CB-16'!CP33+'[3]CB-17'!CP33+'[3]CB-18'!CP33+'[3]CB-19'!CP33+'[3]CB-20'!CP33+'[3]CB-21'!CP33+'[3]CB-22'!CP33+'[3]CB-23'!CP33+'[3]CB-24'!CP33+'[4]LCT-1'!CP33+'[4]LCT-2'!CP33+'[4]LCT-3'!CP33+'[4]LCT-4'!CP33+'[4]LCT-5'!CP33+'[4]LCT-6'!CP33+'[4]LCT-7'!CP33+'[4]LCT-8'!CP33+'[5]TB-1'!CP33+'[5]TB-2'!CP33+'[5]TB-3'!CP33+'[5]TB-4'!CP33+'[5]TB-5'!CP33+'[5]TB-6'!CP33+'[5]TB-7'!CP33+'[5]TB-8'!CP33+'[5]TB-9'!CP33+'[5]TB-10'!CP33+'[6]DSV-1'!CP33+'[6]DSV-2'!CP33+'[6]DSV-3'!CP33+'[7]TUB-1'!CP33+'[7]TUB-2'!CP33+'[8]Barge-1'!CP33+'[8]Barge-2'!CP33+'[8]Barge-3'!CP33+'[8]Barge-4'!CP33</f>
        <v>0</v>
      </c>
      <c r="L33" s="181">
        <f>'[2]AHTS-1'!AY33+'[2]AHTS-2'!AY33+'[2]AHTS-3'!AY33+'[2]AHTS-4'!AY33+'[2]AHTS-5'!AY33+'[2]AHTS-6'!AY33+'[2]AHTS-7'!AY33+'[2]AHTS-8'!AY33+'[3]CB-1'!AY33+'[3]CB-2'!AY33+'[3]CB-3'!AY33+'[3]CB-4'!AY33+'[3]CB-5'!AY33+'[3]CB-6'!AY33+'[3]CB-7'!AY33+'[3]CB-8'!AY33+'[3]CB-9'!AY33+'[3]CB-10'!AY33+'[3]CB-11'!AY33+'[3]CB-12'!AY33+'[3]CB-13'!AY33+'[3]CB-14'!AY33+'[3]CB-15'!AY33+'[3]CB-16'!AY33+'[3]CB-17'!AY33+'[3]CB-18'!AY33+'[3]CB-19'!AY33+'[3]CB-20'!AY33+'[3]CB-21'!AY33+'[3]CB-22'!AY33+'[3]CB-23'!AY33+'[3]CB-24'!AY33+'[4]LCT-1'!AY33+'[4]LCT-2'!AY33+'[4]LCT-3'!AY33+'[4]LCT-4'!AY33+'[4]LCT-5'!AY33+'[4]LCT-6'!AY33+'[4]LCT-7'!AY33+'[4]LCT-8'!AY33+'[5]TB-1'!AY33+'[5]TB-2'!AY33+'[5]TB-3'!AY33+'[5]TB-4'!AY33+'[5]TB-5'!AY33+'[5]TB-6'!AY33+'[5]TB-7'!AY33+'[5]TB-8'!AY33+'[5]TB-9'!AY33+'[5]TB-10'!AY33+'[6]DSV-1'!AY33+'[6]DSV-2'!AY33+'[6]DSV-3'!AY33+'[7]TUB-1'!AY33+'[7]TUB-2'!AY33+'[8]Barge-1'!AY33+'[8]Barge-2'!AY33+'[8]Barge-3'!AY33+'[8]Barge-4'!AY33</f>
        <v>3606.508056394764</v>
      </c>
      <c r="M33" s="182">
        <f>'[2]AHTS-1'!BU33+'[2]AHTS-2'!BU33+'[2]AHTS-3'!BU33+'[2]AHTS-4'!BU33+'[2]AHTS-5'!BU33+'[2]AHTS-6'!BU33+'[2]AHTS-7'!BU33+'[2]AHTS-8'!BU33+'[3]CB-1'!BU33+'[3]CB-2'!BU33+'[3]CB-3'!BU33+'[3]CB-4'!BU33+'[3]CB-5'!BU33+'[3]CB-6'!BU33+'[3]CB-7'!BU33+'[3]CB-8'!BU33+'[3]CB-9'!BU33+'[3]CB-10'!BU33+'[3]CB-11'!BU33+'[3]CB-12'!BU33+'[3]CB-13'!BU33+'[3]CB-14'!BU33+'[3]CB-15'!BU33+'[3]CB-16'!BU33+'[3]CB-17'!BU33+'[3]CB-18'!BU33+'[3]CB-19'!BU33+'[3]CB-20'!BU33+'[3]CB-21'!BU33+'[3]CB-22'!BU33+'[3]CB-23'!BU33+'[3]CB-24'!BU33+'[4]LCT-1'!BU33+'[4]LCT-2'!BU33+'[4]LCT-3'!BU33+'[4]LCT-4'!BU33+'[4]LCT-5'!BU33+'[4]LCT-6'!BU33+'[4]LCT-7'!BU33+'[4]LCT-8'!BU33+'[5]TB-1'!BU33+'[5]TB-2'!BU33+'[5]TB-3'!BU33+'[5]TB-4'!BU33+'[5]TB-5'!BU33+'[5]TB-6'!BU33+'[5]TB-7'!BU33+'[5]TB-8'!BU33+'[5]TB-9'!BU33+'[5]TB-10'!BU33+'[6]DSV-1'!BU33+'[6]DSV-2'!BU33+'[6]DSV-3'!BU33+'[7]TUB-1'!BU33+'[7]TUB-2'!BU33+'[8]Barge-1'!BU33+'[8]Barge-2'!BU33+'[8]Barge-3'!BU33+'[8]Barge-4'!BU33</f>
        <v>3977.844914400805</v>
      </c>
      <c r="N33" s="182">
        <f>'[2]AHTS-1'!CQ33+'[2]AHTS-2'!CQ33+'[2]AHTS-3'!CQ33+'[2]AHTS-4'!CQ33+'[2]AHTS-5'!CQ33+'[2]AHTS-6'!CQ33+'[2]AHTS-7'!CQ33+'[2]AHTS-8'!CQ33+'[3]CB-1'!CQ33+'[3]CB-2'!CQ33+'[3]CB-3'!CQ33+'[3]CB-4'!CQ33+'[3]CB-5'!CQ33+'[3]CB-6'!CQ33+'[3]CB-7'!CQ33+'[3]CB-8'!CQ33+'[3]CB-9'!CQ33+'[3]CB-10'!CQ33+'[3]CB-11'!CQ33+'[3]CB-12'!CQ33+'[3]CB-13'!CQ33+'[3]CB-14'!CQ33+'[3]CB-15'!CQ33+'[3]CB-16'!CQ33+'[3]CB-17'!CQ33+'[3]CB-18'!CQ33+'[3]CB-19'!CQ33+'[3]CB-20'!CQ33+'[3]CB-21'!CQ33+'[3]CB-22'!CQ33+'[3]CB-23'!CQ33+'[3]CB-24'!CQ33+'[4]LCT-1'!CQ33+'[4]LCT-2'!CQ33+'[4]LCT-3'!CQ33+'[4]LCT-4'!CQ33+'[4]LCT-5'!CQ33+'[4]LCT-6'!CQ33+'[4]LCT-7'!CQ33+'[4]LCT-8'!CQ33+'[5]TB-1'!CQ33+'[5]TB-2'!CQ33+'[5]TB-3'!CQ33+'[5]TB-4'!CQ33+'[5]TB-5'!CQ33+'[5]TB-6'!CQ33+'[5]TB-7'!CQ33+'[5]TB-8'!CQ33+'[5]TB-9'!CQ33+'[5]TB-10'!CQ33+'[6]DSV-1'!CQ33+'[6]DSV-2'!CQ33+'[6]DSV-3'!CQ33+'[7]TUB-1'!CQ33+'[7]TUB-2'!CQ33+'[8]Barge-1'!CQ33+'[8]Barge-2'!CQ33+'[8]Barge-3'!CQ33+'[8]Barge-4'!CQ33</f>
        <v>0</v>
      </c>
      <c r="O33" s="179">
        <f>'[2]AHTS-1'!AZ33+'[2]AHTS-2'!AZ33+'[2]AHTS-3'!AZ33+'[2]AHTS-4'!AZ33+'[2]AHTS-5'!AZ33+'[2]AHTS-6'!AZ33+'[2]AHTS-7'!AZ33+'[2]AHTS-8'!AZ33+'[3]CB-1'!AZ33+'[3]CB-2'!AZ33+'[3]CB-3'!AZ33+'[3]CB-4'!AZ33+'[3]CB-5'!AZ33+'[3]CB-6'!AZ33+'[3]CB-7'!AZ33+'[3]CB-8'!AZ33+'[3]CB-9'!AZ33+'[3]CB-10'!AZ33+'[3]CB-11'!AZ33+'[3]CB-12'!AZ33+'[3]CB-13'!AZ33+'[3]CB-14'!AZ33+'[3]CB-15'!AZ33+'[3]CB-16'!AZ33+'[3]CB-17'!AZ33+'[3]CB-18'!AZ33+'[3]CB-19'!AZ33+'[3]CB-20'!AZ33+'[3]CB-21'!AZ33+'[3]CB-22'!AZ33+'[3]CB-23'!AZ33+'[3]CB-24'!AZ33+'[4]LCT-1'!AZ33+'[4]LCT-2'!AZ33+'[4]LCT-3'!AZ33+'[4]LCT-4'!AZ33+'[4]LCT-5'!AZ33+'[4]LCT-6'!AZ33+'[4]LCT-7'!AZ33+'[4]LCT-8'!AZ33+'[5]TB-1'!AZ33+'[5]TB-2'!AZ33+'[5]TB-3'!AZ33+'[5]TB-4'!AZ33+'[5]TB-5'!AZ33+'[5]TB-6'!AZ33+'[5]TB-7'!AZ33+'[5]TB-8'!AZ33+'[5]TB-9'!AZ33+'[5]TB-10'!AZ33+'[6]DSV-1'!AZ33+'[6]DSV-2'!AZ33+'[6]DSV-3'!AZ33+'[7]TUB-1'!AZ33+'[7]TUB-2'!AZ33+'[8]Barge-1'!AZ33+'[8]Barge-2'!AZ33+'[8]Barge-3'!AZ33+'[8]Barge-4'!AZ33</f>
        <v>34.560674723061432</v>
      </c>
      <c r="P33" s="180">
        <f>'[2]AHTS-1'!BV33+'[2]AHTS-2'!BV33+'[2]AHTS-3'!BV33+'[2]AHTS-4'!BV33+'[2]AHTS-5'!BV33+'[2]AHTS-6'!BV33+'[2]AHTS-7'!BV33+'[2]AHTS-8'!BV33+'[3]CB-1'!BV33+'[3]CB-2'!BV33+'[3]CB-3'!BV33+'[3]CB-4'!BV33+'[3]CB-5'!BV33+'[3]CB-6'!BV33+'[3]CB-7'!BV33+'[3]CB-8'!BV33+'[3]CB-9'!BV33+'[3]CB-10'!BV33+'[3]CB-11'!BV33+'[3]CB-12'!BV33+'[3]CB-13'!BV33+'[3]CB-14'!BV33+'[3]CB-15'!BV33+'[3]CB-16'!BV33+'[3]CB-17'!BV33+'[3]CB-18'!BV33+'[3]CB-19'!BV33+'[3]CB-20'!BV33+'[3]CB-21'!BV33+'[3]CB-22'!BV33+'[3]CB-23'!BV33+'[3]CB-24'!BV33+'[4]LCT-1'!BV33+'[4]LCT-2'!BV33+'[4]LCT-3'!BV33+'[4]LCT-4'!BV33+'[4]LCT-5'!BV33+'[4]LCT-6'!BV33+'[4]LCT-7'!BV33+'[4]LCT-8'!BV33+'[5]TB-1'!BV33+'[5]TB-2'!BV33+'[5]TB-3'!BV33+'[5]TB-4'!BV33+'[5]TB-5'!BV33+'[5]TB-6'!BV33+'[5]TB-7'!BV33+'[5]TB-8'!BV33+'[5]TB-9'!BV33+'[5]TB-10'!BV33+'[6]DSV-1'!BV33+'[6]DSV-2'!BV33+'[6]DSV-3'!BV33+'[7]TUB-1'!BV33+'[7]TUB-2'!BV33+'[8]Barge-1'!BV33+'[8]Barge-2'!BV33+'[8]Barge-3'!BV33+'[8]Barge-4'!BV33</f>
        <v>409.1137965760322</v>
      </c>
      <c r="Q33" s="180">
        <f>'[2]AHTS-1'!CR33+'[2]AHTS-2'!CR33+'[2]AHTS-3'!CR33+'[2]AHTS-4'!CR33+'[2]AHTS-5'!CR33+'[2]AHTS-6'!CR33+'[2]AHTS-7'!CR33+'[2]AHTS-8'!CR33+'[3]CB-1'!CR33+'[3]CB-2'!CR33+'[3]CB-3'!CR33+'[3]CB-4'!CR33+'[3]CB-5'!CR33+'[3]CB-6'!CR33+'[3]CB-7'!CR33+'[3]CB-8'!CR33+'[3]CB-9'!CR33+'[3]CB-10'!CR33+'[3]CB-11'!CR33+'[3]CB-12'!CR33+'[3]CB-13'!CR33+'[3]CB-14'!CR33+'[3]CB-15'!CR33+'[3]CB-16'!CR33+'[3]CB-17'!CR33+'[3]CB-18'!CR33+'[3]CB-19'!CR33+'[3]CB-20'!CR33+'[3]CB-21'!CR33+'[3]CB-22'!CR33+'[3]CB-23'!CR33+'[3]CB-24'!CR33+'[4]LCT-1'!CR33+'[4]LCT-2'!CR33+'[4]LCT-3'!CR33+'[4]LCT-4'!CR33+'[4]LCT-5'!CR33+'[4]LCT-6'!CR33+'[4]LCT-7'!CR33+'[4]LCT-8'!CR33+'[5]TB-1'!CR33+'[5]TB-2'!CR33+'[5]TB-3'!CR33+'[5]TB-4'!CR33+'[5]TB-5'!CR33+'[5]TB-6'!CR33+'[5]TB-7'!CR33+'[5]TB-8'!CR33+'[5]TB-9'!CR33+'[5]TB-10'!CR33+'[6]DSV-1'!CR33+'[6]DSV-2'!CR33+'[6]DSV-3'!CR33+'[7]TUB-1'!CR33+'[7]TUB-2'!CR33+'[8]Barge-1'!CR33+'[8]Barge-2'!CR33+'[8]Barge-3'!CR33+'[8]Barge-4'!CR33</f>
        <v>0</v>
      </c>
      <c r="R33" s="183">
        <f>'[2]AHTS-1'!BA33+'[2]AHTS-2'!BA33+'[2]AHTS-3'!BA33+'[2]AHTS-4'!BA33+'[2]AHTS-5'!BA33+'[2]AHTS-6'!BA33+'[2]AHTS-7'!BA33+'[2]AHTS-8'!BA33+'[3]CB-1'!BA33+'[3]CB-2'!BA33+'[3]CB-3'!BA33+'[3]CB-4'!BA33+'[3]CB-5'!BA33+'[3]CB-6'!BA33+'[3]CB-7'!BA33+'[3]CB-8'!BA33+'[3]CB-9'!BA33+'[3]CB-10'!BA33+'[3]CB-11'!BA33+'[3]CB-12'!BA33+'[3]CB-13'!BA33+'[3]CB-14'!BA33+'[3]CB-15'!BA33+'[3]CB-16'!BA33+'[3]CB-17'!BA33+'[3]CB-18'!BA33+'[3]CB-19'!BA33+'[3]CB-20'!BA33+'[3]CB-21'!BA33+'[3]CB-22'!BA33+'[3]CB-23'!BA33+'[3]CB-24'!BA33+'[4]LCT-1'!BA33+'[4]LCT-2'!BA33+'[4]LCT-3'!BA33+'[4]LCT-4'!BA33+'[4]LCT-5'!BA33+'[4]LCT-6'!BA33+'[4]LCT-7'!BA33+'[4]LCT-8'!BA33+'[5]TB-1'!BA33+'[5]TB-2'!BA33+'[5]TB-3'!BA33+'[5]TB-4'!BA33+'[5]TB-5'!BA33+'[5]TB-6'!BA33+'[5]TB-7'!BA33+'[5]TB-8'!BA33+'[5]TB-9'!BA33+'[5]TB-10'!BA33+'[6]DSV-1'!BA33+'[6]DSV-2'!BA33+'[6]DSV-3'!BA33+'[7]TUB-1'!BA33+'[7]TUB-2'!BA33+'[8]Barge-1'!BA33+'[8]Barge-2'!BA33+'[8]Barge-3'!BA33+'[8]Barge-4'!BA33</f>
        <v>4407.5025176233639</v>
      </c>
      <c r="S33" s="180">
        <f>'[2]AHTS-1'!BW33+'[2]AHTS-2'!BW33+'[2]AHTS-3'!BW33+'[2]AHTS-4'!BW33+'[2]AHTS-5'!BW33+'[2]AHTS-6'!BW33+'[2]AHTS-7'!BW33+'[2]AHTS-8'!BW33+'[3]CB-1'!BW33+'[3]CB-2'!BW33+'[3]CB-3'!BW33+'[3]CB-4'!BW33+'[3]CB-5'!BW33+'[3]CB-6'!BW33+'[3]CB-7'!BW33+'[3]CB-8'!BW33+'[3]CB-9'!BW33+'[3]CB-10'!BW33+'[3]CB-11'!BW33+'[3]CB-12'!BW33+'[3]CB-13'!BW33+'[3]CB-14'!BW33+'[3]CB-15'!BW33+'[3]CB-16'!BW33+'[3]CB-17'!BW33+'[3]CB-18'!BW33+'[3]CB-19'!BW33+'[3]CB-20'!BW33+'[3]CB-21'!BW33+'[3]CB-22'!BW33+'[3]CB-23'!BW33+'[3]CB-24'!BW33+'[4]LCT-1'!BW33+'[4]LCT-2'!BW33+'[4]LCT-3'!BW33+'[4]LCT-4'!BW33+'[4]LCT-5'!BW33+'[4]LCT-6'!BW33+'[4]LCT-7'!BW33+'[4]LCT-8'!BW33+'[5]TB-1'!BW33+'[5]TB-2'!BW33+'[5]TB-3'!BW33+'[5]TB-4'!BW33+'[5]TB-5'!BW33+'[5]TB-6'!BW33+'[5]TB-7'!BW33+'[5]TB-8'!BW33+'[5]TB-9'!BW33+'[5]TB-10'!BW33+'[6]DSV-1'!BW33+'[6]DSV-2'!BW33+'[6]DSV-3'!BW33+'[7]TUB-1'!BW33+'[7]TUB-2'!BW33+'[8]Barge-1'!BW33+'[8]Barge-2'!BW33+'[8]Barge-3'!BW33+'[8]Barge-4'!BW33</f>
        <v>4984.8942598187314</v>
      </c>
      <c r="T33" s="184">
        <f>'[2]AHTS-1'!CS33+'[2]AHTS-2'!CS33+'[2]AHTS-3'!CS33+'[2]AHTS-4'!CS33+'[2]AHTS-5'!CS33+'[2]AHTS-6'!CS33+'[2]AHTS-7'!CS33+'[2]AHTS-8'!CS33+'[3]CB-1'!CS33+'[3]CB-2'!CS33+'[3]CB-3'!CS33+'[3]CB-4'!CS33+'[3]CB-5'!CS33+'[3]CB-6'!CS33+'[3]CB-7'!CS33+'[3]CB-8'!CS33+'[3]CB-9'!CS33+'[3]CB-10'!CS33+'[3]CB-11'!CS33+'[3]CB-12'!CS33+'[3]CB-13'!CS33+'[3]CB-14'!CS33+'[3]CB-15'!CS33+'[3]CB-16'!CS33+'[3]CB-17'!CS33+'[3]CB-18'!CS33+'[3]CB-19'!CS33+'[3]CB-20'!CS33+'[3]CB-21'!CS33+'[3]CB-22'!CS33+'[3]CB-23'!CS33+'[3]CB-24'!CS33+'[4]LCT-1'!CS33+'[4]LCT-2'!CS33+'[4]LCT-3'!CS33+'[4]LCT-4'!CS33+'[4]LCT-5'!CS33+'[4]LCT-6'!CS33+'[4]LCT-7'!CS33+'[4]LCT-8'!CS33+'[5]TB-1'!CS33+'[5]TB-2'!CS33+'[5]TB-3'!CS33+'[5]TB-4'!CS33+'[5]TB-5'!CS33+'[5]TB-6'!CS33+'[5]TB-7'!CS33+'[5]TB-8'!CS33+'[5]TB-9'!CS33+'[5]TB-10'!CS33+'[6]DSV-1'!CS33+'[6]DSV-2'!CS33+'[6]DSV-3'!CS33+'[7]TUB-1'!CS33+'[7]TUB-2'!CS33+'[8]Barge-1'!CS33+'[8]Barge-2'!CS33+'[8]Barge-3'!CS33+'[8]Barge-4'!CS33</f>
        <v>0</v>
      </c>
      <c r="U33" s="183">
        <f>'[2]AHTS-1'!BB33+'[2]AHTS-2'!BB33+'[2]AHTS-3'!BB33+'[2]AHTS-4'!BB33+'[2]AHTS-5'!BB33+'[2]AHTS-6'!BB33+'[2]AHTS-7'!BB33+'[2]AHTS-8'!BB33+'[3]CB-1'!BB33+'[3]CB-2'!BB33+'[3]CB-3'!BB33+'[3]CB-4'!BB33+'[3]CB-5'!BB33+'[3]CB-6'!BB33+'[3]CB-7'!BB33+'[3]CB-8'!BB33+'[3]CB-9'!BB33+'[3]CB-10'!BB33+'[3]CB-11'!BB33+'[3]CB-12'!BB33+'[3]CB-13'!BB33+'[3]CB-14'!BB33+'[3]CB-15'!BB33+'[3]CB-16'!BB33+'[3]CB-17'!BB33+'[3]CB-18'!BB33+'[3]CB-19'!BB33+'[3]CB-20'!BB33+'[3]CB-21'!BB33+'[3]CB-22'!BB33+'[3]CB-23'!BB33+'[3]CB-24'!BB33+'[4]LCT-1'!BB33+'[4]LCT-2'!BB33+'[4]LCT-3'!BB33+'[4]LCT-4'!BB33+'[4]LCT-5'!BB33+'[4]LCT-6'!BB33+'[4]LCT-7'!BB33+'[4]LCT-8'!BB33+'[5]TB-1'!BB33+'[5]TB-2'!BB33+'[5]TB-3'!BB33+'[5]TB-4'!BB33+'[5]TB-5'!BB33+'[5]TB-6'!BB33+'[5]TB-7'!BB33+'[5]TB-8'!BB33+'[5]TB-9'!BB33+'[5]TB-10'!BB33+'[6]DSV-1'!BB33+'[6]DSV-2'!BB33+'[6]DSV-3'!BB33+'[7]TUB-1'!BB33+'[7]TUB-2'!BB33+'[8]Barge-1'!BB33+'[8]Barge-2'!BB33+'[8]Barge-3'!BB33+'[8]Barge-4'!BB33</f>
        <v>0</v>
      </c>
      <c r="V33" s="180">
        <f>'[2]AHTS-1'!BX33+'[2]AHTS-2'!BX33+'[2]AHTS-3'!BX33+'[2]AHTS-4'!BX33+'[2]AHTS-5'!BX33+'[2]AHTS-6'!BX33+'[2]AHTS-7'!BX33+'[2]AHTS-8'!BX33+'[3]CB-1'!BX33+'[3]CB-2'!BX33+'[3]CB-3'!BX33+'[3]CB-4'!BX33+'[3]CB-5'!BX33+'[3]CB-6'!BX33+'[3]CB-7'!BX33+'[3]CB-8'!BX33+'[3]CB-9'!BX33+'[3]CB-10'!BX33+'[3]CB-11'!BX33+'[3]CB-12'!BX33+'[3]CB-13'!BX33+'[3]CB-14'!BX33+'[3]CB-15'!BX33+'[3]CB-16'!BX33+'[3]CB-17'!BX33+'[3]CB-18'!BX33+'[3]CB-19'!BX33+'[3]CB-20'!BX33+'[3]CB-21'!BX33+'[3]CB-22'!BX33+'[3]CB-23'!BX33+'[3]CB-24'!BX33+'[4]LCT-1'!BX33+'[4]LCT-2'!BX33+'[4]LCT-3'!BX33+'[4]LCT-4'!BX33+'[4]LCT-5'!BX33+'[4]LCT-6'!BX33+'[4]LCT-7'!BX33+'[4]LCT-8'!BX33+'[5]TB-1'!BX33+'[5]TB-2'!BX33+'[5]TB-3'!BX33+'[5]TB-4'!BX33+'[5]TB-5'!BX33+'[5]TB-6'!BX33+'[5]TB-7'!BX33+'[5]TB-8'!BX33+'[5]TB-9'!BX33+'[5]TB-10'!BX33+'[6]DSV-1'!BX33+'[6]DSV-2'!BX33+'[6]DSV-3'!BX33+'[7]TUB-1'!BX33+'[7]TUB-2'!BX33+'[8]Barge-1'!BX33+'[8]Barge-2'!BX33+'[8]Barge-3'!BX33+'[8]Barge-4'!BX33</f>
        <v>0</v>
      </c>
      <c r="W33" s="184">
        <f>'[2]AHTS-1'!CT33+'[2]AHTS-2'!CT33+'[2]AHTS-3'!CT33+'[2]AHTS-4'!CT33+'[2]AHTS-5'!CT33+'[2]AHTS-6'!CT33+'[2]AHTS-7'!CT33+'[2]AHTS-8'!CT33+'[3]CB-1'!CT33+'[3]CB-2'!CT33+'[3]CB-3'!CT33+'[3]CB-4'!CT33+'[3]CB-5'!CT33+'[3]CB-6'!CT33+'[3]CB-7'!CT33+'[3]CB-8'!CT33+'[3]CB-9'!CT33+'[3]CB-10'!CT33+'[3]CB-11'!CT33+'[3]CB-12'!CT33+'[3]CB-13'!CT33+'[3]CB-14'!CT33+'[3]CB-15'!CT33+'[3]CB-16'!CT33+'[3]CB-17'!CT33+'[3]CB-18'!CT33+'[3]CB-19'!CT33+'[3]CB-20'!CT33+'[3]CB-21'!CT33+'[3]CB-22'!CT33+'[3]CB-23'!CT33+'[3]CB-24'!CT33+'[4]LCT-1'!CT33+'[4]LCT-2'!CT33+'[4]LCT-3'!CT33+'[4]LCT-4'!CT33+'[4]LCT-5'!CT33+'[4]LCT-6'!CT33+'[4]LCT-7'!CT33+'[4]LCT-8'!CT33+'[5]TB-1'!CT33+'[5]TB-2'!CT33+'[5]TB-3'!CT33+'[5]TB-4'!CT33+'[5]TB-5'!CT33+'[5]TB-6'!CT33+'[5]TB-7'!CT33+'[5]TB-8'!CT33+'[5]TB-9'!CT33+'[5]TB-10'!CT33+'[6]DSV-1'!CT33+'[6]DSV-2'!CT33+'[6]DSV-3'!CT33+'[7]TUB-1'!CT33+'[7]TUB-2'!CT33+'[8]Barge-1'!CT33+'[8]Barge-2'!CT33+'[8]Barge-3'!CT33+'[8]Barge-4'!CT33</f>
        <v>0</v>
      </c>
      <c r="X33" s="67"/>
      <c r="Y33" s="67"/>
      <c r="Z33" s="68"/>
      <c r="AA33" s="111">
        <f>[1]Control!AZ33</f>
        <v>46008</v>
      </c>
      <c r="AB33" s="66"/>
      <c r="AC33" s="132">
        <f>'[2]AHTS-1'!IC71+'[2]AHTS-2'!IC71+'[2]AHTS-3'!IC71+'[2]AHTS-4'!IC71+'[2]AHTS-5'!IC71+'[2]AHTS-6'!IC71+'[2]AHTS-7'!IC71+'[2]AHTS-8'!IC71+'[3]CB-1'!IC71+'[3]CB-2'!IC71+'[3]CB-3'!IC71+'[3]CB-4'!IC71+'[3]CB-5'!IC71+'[3]CB-6'!IC71+'[3]CB-7'!IC71+'[3]CB-8'!IC71+'[3]CB-9'!IC71+'[3]CB-10'!IC71+'[3]CB-11'!IC71+'[3]CB-12'!IC71+'[3]CB-13'!IC71+'[3]CB-14'!IC71+'[3]CB-15'!IC71+'[3]CB-16'!IC71+'[3]CB-17'!IC71+'[3]CB-18'!IC71+'[3]CB-19'!IC71+'[3]CB-20'!IC71+'[3]CB-21'!IC71+'[3]CB-22'!IC71+'[3]CB-23'!IC71+'[3]CB-24'!IC71+'[4]LCT-1'!IC71+'[4]LCT-2'!IC71+'[4]LCT-3'!IC71+'[4]LCT-4'!IC71+'[4]LCT-5'!IC71+'[4]LCT-6'!IC71+'[4]LCT-7'!IC71+'[4]LCT-8'!IC71+'[5]TB-1'!IC71+'[5]TB-2'!IC71+'[5]TB-3'!IC71+'[5]TB-4'!IC71+'[5]TB-5'!IC71+'[5]TB-6'!IC71+'[5]TB-7'!IC71+'[5]TB-8'!IC71+'[5]TB-9'!IC71+'[5]TB-10'!IC71+'[6]DSV-1'!IC71+'[6]DSV-2'!IC71+'[6]DSV-3'!IC71+'[7]TUB-1'!IC71+'[7]TUB-2'!IC71+'[8]Barge-1'!IC71+'[8]Barge-2'!IC71+'[8]Barge-3'!IC71+'[8]Barge-4'!IC71</f>
        <v>0</v>
      </c>
      <c r="AD33" s="133">
        <f>'[2]AHTS-1'!IC33+'[2]AHTS-2'!IC33+'[2]AHTS-3'!IC33+'[2]AHTS-4'!IC33+'[2]AHTS-5'!IC33+'[2]AHTS-6'!IC33+'[2]AHTS-7'!IC33+'[2]AHTS-8'!IC33+'[3]CB-1'!IC33+'[3]CB-2'!IC33+'[3]CB-3'!IC33+'[3]CB-4'!IC33+'[3]CB-5'!IC33+'[3]CB-6'!IC33+'[3]CB-7'!IC33+'[3]CB-8'!IC33+'[3]CB-9'!IC33+'[3]CB-10'!IC33+'[3]CB-11'!IC33+'[3]CB-12'!IC33+'[3]CB-13'!IC33+'[3]CB-14'!IC33+'[3]CB-15'!IC33+'[3]CB-16'!IC33+'[3]CB-17'!IC33+'[3]CB-18'!IC33+'[3]CB-19'!IC33+'[3]CB-20'!IC33+'[3]CB-21'!IC33+'[3]CB-22'!IC33+'[3]CB-23'!IC33+'[3]CB-24'!IC33+'[4]LCT-1'!IC33+'[4]LCT-2'!IC33+'[4]LCT-3'!IC33+'[4]LCT-4'!IC33+'[4]LCT-5'!IC33+'[4]LCT-6'!IC33+'[4]LCT-7'!IC33+'[4]LCT-8'!IC33+'[5]TB-1'!IC33+'[5]TB-2'!IC33+'[5]TB-3'!IC33+'[5]TB-4'!IC33+'[5]TB-5'!IC33+'[5]TB-6'!IC33+'[5]TB-7'!IC33+'[5]TB-8'!IC33+'[5]TB-9'!IC33+'[5]TB-10'!IC33+'[6]DSV-1'!IC33+'[6]DSV-2'!IC33+'[6]DSV-3'!IC33+'[7]TUB-1'!IC33+'[7]TUB-2'!IC33+'[8]Barge-1'!IC33+'[8]Barge-2'!IC33+'[8]Barge-3'!IC33+'[8]Barge-4'!IC33</f>
        <v>0</v>
      </c>
      <c r="AE33" s="134">
        <f>'[2]AHTS-1'!IC104+'[2]AHTS-2'!IC104+'[2]AHTS-3'!IC104+'[2]AHTS-4'!IC104+'[2]AHTS-5'!IC104+'[2]AHTS-6'!IC104+'[2]AHTS-7'!IC104+'[2]AHTS-8'!IC104+'[3]CB-1'!IC104+'[3]CB-2'!IC104+'[3]CB-3'!IC104+'[3]CB-4'!IC104+'[3]CB-5'!IC104+'[3]CB-6'!IC104+'[3]CB-7'!IC104+'[3]CB-8'!IC104+'[3]CB-9'!IC104+'[3]CB-10'!IC104+'[3]CB-11'!IC104+'[3]CB-12'!IC104+'[3]CB-13'!IC104+'[3]CB-14'!IC104+'[3]CB-15'!IC104+'[3]CB-16'!IC104+'[3]CB-17'!IC104+'[3]CB-18'!IC104+'[3]CB-19'!IC104+'[3]CB-20'!IC104+'[3]CB-21'!IC104+'[3]CB-22'!IC104+'[3]CB-23'!IC104+'[3]CB-24'!IC104+'[4]LCT-1'!IC104+'[4]LCT-2'!IC104+'[4]LCT-3'!IC104+'[4]LCT-4'!IC104+'[4]LCT-5'!IC104+'[4]LCT-6'!IC104+'[4]LCT-7'!IC104+'[4]LCT-8'!IC104+'[5]TB-1'!IC104+'[5]TB-2'!IC104+'[5]TB-3'!IC104+'[5]TB-4'!IC104+'[5]TB-5'!IC104+'[5]TB-6'!IC104+'[5]TB-7'!IC104+'[5]TB-8'!IC104+'[5]TB-9'!IC104+'[5]TB-10'!IC104+'[6]DSV-1'!IC104+'[6]DSV-2'!IC104+'[6]DSV-3'!IC104+'[7]TUB-1'!IC104+'[7]TUB-2'!IC104+'[8]Barge-1'!IC104+'[8]Barge-2'!IC104+'[8]Barge-3'!IC104+'[8]Barge-4'!IC104</f>
        <v>0</v>
      </c>
      <c r="AF33" s="135">
        <f>'[2]AHTS-1'!ID71+'[2]AHTS-2'!ID71+'[2]AHTS-3'!ID71+'[2]AHTS-4'!ID71+'[2]AHTS-5'!ID71+'[2]AHTS-6'!ID71+'[2]AHTS-7'!ID71+'[2]AHTS-8'!ID71+'[3]CB-1'!ID71+'[3]CB-2'!ID71+'[3]CB-3'!ID71+'[3]CB-4'!ID71+'[3]CB-5'!ID71+'[3]CB-6'!ID71+'[3]CB-7'!ID71+'[3]CB-8'!ID71+'[3]CB-9'!ID71+'[3]CB-10'!ID71+'[3]CB-11'!ID71+'[3]CB-12'!ID71+'[3]CB-13'!ID71+'[3]CB-14'!ID71+'[3]CB-15'!ID71+'[3]CB-16'!ID71+'[3]CB-17'!ID71+'[3]CB-18'!ID71+'[3]CB-19'!ID71+'[3]CB-20'!ID71+'[3]CB-21'!ID71+'[3]CB-22'!ID71+'[3]CB-23'!ID71+'[3]CB-24'!ID71+'[4]LCT-1'!ID71+'[4]LCT-2'!ID71+'[4]LCT-3'!ID71+'[4]LCT-4'!ID71+'[4]LCT-5'!ID71+'[4]LCT-6'!ID71+'[4]LCT-7'!ID71+'[4]LCT-8'!ID71+'[5]TB-1'!ID71+'[5]TB-2'!ID71+'[5]TB-3'!ID71+'[5]TB-4'!ID71+'[5]TB-5'!ID71+'[5]TB-6'!ID71+'[5]TB-7'!ID71+'[5]TB-8'!ID71+'[5]TB-9'!ID71+'[5]TB-10'!ID71+'[6]DSV-1'!ID71+'[6]DSV-2'!ID71+'[6]DSV-3'!ID71+'[7]TUB-1'!ID71+'[7]TUB-2'!ID71+'[8]Barge-1'!ID71+'[8]Barge-2'!ID71+'[8]Barge-3'!ID71+'[8]Barge-4'!ID71</f>
        <v>22093200</v>
      </c>
      <c r="AG33" s="136">
        <f>'[2]AHTS-1'!ID33+'[2]AHTS-2'!ID33+'[2]AHTS-3'!ID33+'[2]AHTS-4'!ID33+'[2]AHTS-5'!ID33+'[2]AHTS-6'!ID33+'[2]AHTS-7'!ID33+'[2]AHTS-8'!ID33+'[3]CB-1'!ID33+'[3]CB-2'!ID33+'[3]CB-3'!ID33+'[3]CB-4'!ID33+'[3]CB-5'!ID33+'[3]CB-6'!ID33+'[3]CB-7'!ID33+'[3]CB-8'!ID33+'[3]CB-9'!ID33+'[3]CB-10'!ID33+'[3]CB-11'!ID33+'[3]CB-12'!ID33+'[3]CB-13'!ID33+'[3]CB-14'!ID33+'[3]CB-15'!ID33+'[3]CB-16'!ID33+'[3]CB-17'!ID33+'[3]CB-18'!ID33+'[3]CB-19'!ID33+'[3]CB-20'!ID33+'[3]CB-21'!ID33+'[3]CB-22'!ID33+'[3]CB-23'!ID33+'[3]CB-24'!ID33+'[4]LCT-1'!ID33+'[4]LCT-2'!ID33+'[4]LCT-3'!ID33+'[4]LCT-4'!ID33+'[4]LCT-5'!ID33+'[4]LCT-6'!ID33+'[4]LCT-7'!ID33+'[4]LCT-8'!ID33+'[5]TB-1'!ID33+'[5]TB-2'!ID33+'[5]TB-3'!ID33+'[5]TB-4'!ID33+'[5]TB-5'!ID33+'[5]TB-6'!ID33+'[5]TB-7'!ID33+'[5]TB-8'!ID33+'[5]TB-9'!ID33+'[5]TB-10'!ID33+'[6]DSV-1'!ID33+'[6]DSV-2'!ID33+'[6]DSV-3'!ID33+'[7]TUB-1'!ID33+'[7]TUB-2'!ID33+'[8]Barge-1'!ID33+'[8]Barge-2'!ID33+'[8]Barge-3'!ID33+'[8]Barge-4'!ID33</f>
        <v>24308333.333333332</v>
      </c>
      <c r="AH33" s="136">
        <f>'[2]AHTS-1'!ID104+'[2]AHTS-2'!ID104+'[2]AHTS-3'!ID104+'[2]AHTS-4'!ID104+'[2]AHTS-5'!ID104+'[2]AHTS-6'!ID104+'[2]AHTS-7'!ID104+'[2]AHTS-8'!ID104+'[3]CB-1'!ID104+'[3]CB-2'!ID104+'[3]CB-3'!ID104+'[3]CB-4'!ID104+'[3]CB-5'!ID104+'[3]CB-6'!ID104+'[3]CB-7'!ID104+'[3]CB-8'!ID104+'[3]CB-9'!ID104+'[3]CB-10'!ID104+'[3]CB-11'!ID104+'[3]CB-12'!ID104+'[3]CB-13'!ID104+'[3]CB-14'!ID104+'[3]CB-15'!ID104+'[3]CB-16'!ID104+'[3]CB-17'!ID104+'[3]CB-18'!ID104+'[3]CB-19'!ID104+'[3]CB-20'!ID104+'[3]CB-21'!ID104+'[3]CB-22'!ID104+'[3]CB-23'!ID104+'[3]CB-24'!ID104+'[4]LCT-1'!ID104+'[4]LCT-2'!ID104+'[4]LCT-3'!ID104+'[4]LCT-4'!ID104+'[4]LCT-5'!ID104+'[4]LCT-6'!ID104+'[4]LCT-7'!ID104+'[4]LCT-8'!ID104+'[5]TB-1'!ID104+'[5]TB-2'!ID104+'[5]TB-3'!ID104+'[5]TB-4'!ID104+'[5]TB-5'!ID104+'[5]TB-6'!ID104+'[5]TB-7'!ID104+'[5]TB-8'!ID104+'[5]TB-9'!ID104+'[5]TB-10'!ID104+'[6]DSV-1'!ID104+'[6]DSV-2'!ID104+'[6]DSV-3'!ID104+'[7]TUB-1'!ID104+'[7]TUB-2'!ID104+'[8]Barge-1'!ID104+'[8]Barge-2'!ID104+'[8]Barge-3'!ID104+'[8]Barge-4'!ID104</f>
        <v>0</v>
      </c>
      <c r="AI33" s="135">
        <f>'[2]AHTS-1'!IE71+'[2]AHTS-2'!IE71+'[2]AHTS-3'!IE71+'[2]AHTS-4'!IE71+'[2]AHTS-5'!IE71+'[2]AHTS-6'!IE71+'[2]AHTS-7'!IE71+'[2]AHTS-8'!IE71+'[3]CB-1'!IE71+'[3]CB-2'!IE71+'[3]CB-3'!IE71+'[3]CB-4'!IE71+'[3]CB-5'!IE71+'[3]CB-6'!IE71+'[3]CB-7'!IE71+'[3]CB-8'!IE71+'[3]CB-9'!IE71+'[3]CB-10'!IE71+'[3]CB-11'!IE71+'[3]CB-12'!IE71+'[3]CB-13'!IE71+'[3]CB-14'!IE71+'[3]CB-15'!IE71+'[3]CB-16'!IE71+'[3]CB-17'!IE71+'[3]CB-18'!IE71+'[3]CB-19'!IE71+'[3]CB-20'!IE71+'[3]CB-21'!IE71+'[3]CB-22'!IE71+'[3]CB-23'!IE71+'[3]CB-24'!IE71+'[4]LCT-1'!IE71+'[4]LCT-2'!IE71+'[4]LCT-3'!IE71+'[4]LCT-4'!IE71+'[4]LCT-5'!IE71+'[4]LCT-6'!IE71+'[4]LCT-7'!IE71+'[4]LCT-8'!IE71+'[5]TB-1'!IE71+'[5]TB-2'!IE71+'[5]TB-3'!IE71+'[5]TB-4'!IE71+'[5]TB-5'!IE71+'[5]TB-6'!IE71+'[5]TB-7'!IE71+'[5]TB-8'!IE71+'[5]TB-9'!IE71+'[5]TB-10'!IE71+'[6]DSV-1'!IE71+'[6]DSV-2'!IE71+'[6]DSV-3'!IE71+'[7]TUB-1'!IE71+'[7]TUB-2'!IE71+'[8]Barge-1'!IE71+'[8]Barge-2'!IE71+'[8]Barge-3'!IE71+'[8]Barge-4'!IE71</f>
        <v>59571966.666666664</v>
      </c>
      <c r="AJ33" s="136">
        <f>'[2]AHTS-1'!IE33+'[2]AHTS-2'!IE33+'[2]AHTS-3'!IE33+'[2]AHTS-4'!IE33+'[2]AHTS-5'!IE33+'[2]AHTS-6'!IE33+'[2]AHTS-7'!IE33+'[2]AHTS-8'!IE33+'[3]CB-1'!IE33+'[3]CB-2'!IE33+'[3]CB-3'!IE33+'[3]CB-4'!IE33+'[3]CB-5'!IE33+'[3]CB-6'!IE33+'[3]CB-7'!IE33+'[3]CB-8'!IE33+'[3]CB-9'!IE33+'[3]CB-10'!IE33+'[3]CB-11'!IE33+'[3]CB-12'!IE33+'[3]CB-13'!IE33+'[3]CB-14'!IE33+'[3]CB-15'!IE33+'[3]CB-16'!IE33+'[3]CB-17'!IE33+'[3]CB-18'!IE33+'[3]CB-19'!IE33+'[3]CB-20'!IE33+'[3]CB-21'!IE33+'[3]CB-22'!IE33+'[3]CB-23'!IE33+'[3]CB-24'!IE33+'[4]LCT-1'!IE33+'[4]LCT-2'!IE33+'[4]LCT-3'!IE33+'[4]LCT-4'!IE33+'[4]LCT-5'!IE33+'[4]LCT-6'!IE33+'[4]LCT-7'!IE33+'[4]LCT-8'!IE33+'[5]TB-1'!IE33+'[5]TB-2'!IE33+'[5]TB-3'!IE33+'[5]TB-4'!IE33+'[5]TB-5'!IE33+'[5]TB-6'!IE33+'[5]TB-7'!IE33+'[5]TB-8'!IE33+'[5]TB-9'!IE33+'[5]TB-10'!IE33+'[6]DSV-1'!IE33+'[6]DSV-2'!IE33+'[6]DSV-3'!IE33+'[7]TUB-1'!IE33+'[7]TUB-2'!IE33+'[8]Barge-1'!IE33+'[8]Barge-2'!IE33+'[8]Barge-3'!IE33+'[8]Barge-4'!IE33</f>
        <v>45400000</v>
      </c>
      <c r="AK33" s="136">
        <f>'[2]AHTS-1'!IE104+'[2]AHTS-2'!IE104+'[2]AHTS-3'!IE104+'[2]AHTS-4'!IE104+'[2]AHTS-5'!IE104+'[2]AHTS-6'!IE104+'[2]AHTS-7'!IE104+'[2]AHTS-8'!IE104+'[3]CB-1'!IE104+'[3]CB-2'!IE104+'[3]CB-3'!IE104+'[3]CB-4'!IE104+'[3]CB-5'!IE104+'[3]CB-6'!IE104+'[3]CB-7'!IE104+'[3]CB-8'!IE104+'[3]CB-9'!IE104+'[3]CB-10'!IE104+'[3]CB-11'!IE104+'[3]CB-12'!IE104+'[3]CB-13'!IE104+'[3]CB-14'!IE104+'[3]CB-15'!IE104+'[3]CB-16'!IE104+'[3]CB-17'!IE104+'[3]CB-18'!IE104+'[3]CB-19'!IE104+'[3]CB-20'!IE104+'[3]CB-21'!IE104+'[3]CB-22'!IE104+'[3]CB-23'!IE104+'[3]CB-24'!IE104+'[4]LCT-1'!IE104+'[4]LCT-2'!IE104+'[4]LCT-3'!IE104+'[4]LCT-4'!IE104+'[4]LCT-5'!IE104+'[4]LCT-6'!IE104+'[4]LCT-7'!IE104+'[4]LCT-8'!IE104+'[5]TB-1'!IE104+'[5]TB-2'!IE104+'[5]TB-3'!IE104+'[5]TB-4'!IE104+'[5]TB-5'!IE104+'[5]TB-6'!IE104+'[5]TB-7'!IE104+'[5]TB-8'!IE104+'[5]TB-9'!IE104+'[5]TB-10'!IE104+'[6]DSV-1'!IE104+'[6]DSV-2'!IE104+'[6]DSV-3'!IE104+'[7]TUB-1'!IE104+'[7]TUB-2'!IE104+'[8]Barge-1'!IE104+'[8]Barge-2'!IE104+'[8]Barge-3'!IE104+'[8]Barge-4'!IE104</f>
        <v>0</v>
      </c>
      <c r="AL33" s="137">
        <f>'[2]AHTS-1'!IF71+'[2]AHTS-2'!IF71+'[2]AHTS-3'!IF71+'[2]AHTS-4'!IF71+'[2]AHTS-5'!IF71+'[2]AHTS-6'!IF71+'[2]AHTS-7'!IF71+'[2]AHTS-8'!IF71+'[3]CB-1'!IF71+'[3]CB-2'!IF71+'[3]CB-3'!IF71+'[3]CB-4'!IF71+'[3]CB-5'!IF71+'[3]CB-6'!IF71+'[3]CB-7'!IF71+'[3]CB-8'!IF71+'[3]CB-9'!IF71+'[3]CB-10'!IF71+'[3]CB-11'!IF71+'[3]CB-12'!IF71+'[3]CB-13'!IF71+'[3]CB-14'!IF71+'[3]CB-15'!IF71+'[3]CB-16'!IF71+'[3]CB-17'!IF71+'[3]CB-18'!IF71+'[3]CB-19'!IF71+'[3]CB-20'!IF71+'[3]CB-21'!IF71+'[3]CB-22'!IF71+'[3]CB-23'!IF71+'[3]CB-24'!IF71+'[4]LCT-1'!IF71+'[4]LCT-2'!IF71+'[4]LCT-3'!IF71+'[4]LCT-4'!IF71+'[4]LCT-5'!IF71+'[4]LCT-6'!IF71+'[4]LCT-7'!IF71+'[4]LCT-8'!IF71+'[5]TB-1'!IF71+'[5]TB-2'!IF71+'[5]TB-3'!IF71+'[5]TB-4'!IF71+'[5]TB-5'!IF71+'[5]TB-6'!IF71+'[5]TB-7'!IF71+'[5]TB-8'!IF71+'[5]TB-9'!IF71+'[5]TB-10'!IF71+'[6]DSV-1'!IF71+'[6]DSV-2'!IF71+'[6]DSV-3'!IF71+'[7]TUB-1'!IF71+'[7]TUB-2'!IF71+'[8]Barge-1'!IF71+'[8]Barge-2'!IF71+'[8]Barge-3'!IF71+'[8]Barge-4'!IF71</f>
        <v>57300200</v>
      </c>
      <c r="AM33" s="138">
        <f>'[2]AHTS-1'!IF33+'[2]AHTS-2'!IF33+'[2]AHTS-3'!IF33+'[2]AHTS-4'!IF33+'[2]AHTS-5'!IF33+'[2]AHTS-6'!IF33+'[2]AHTS-7'!IF33+'[2]AHTS-8'!IF33+'[3]CB-1'!IF33+'[3]CB-2'!IF33+'[3]CB-3'!IF33+'[3]CB-4'!IF33+'[3]CB-5'!IF33+'[3]CB-6'!IF33+'[3]CB-7'!IF33+'[3]CB-8'!IF33+'[3]CB-9'!IF33+'[3]CB-10'!IF33+'[3]CB-11'!IF33+'[3]CB-12'!IF33+'[3]CB-13'!IF33+'[3]CB-14'!IF33+'[3]CB-15'!IF33+'[3]CB-16'!IF33+'[3]CB-17'!IF33+'[3]CB-18'!IF33+'[3]CB-19'!IF33+'[3]CB-20'!IF33+'[3]CB-21'!IF33+'[3]CB-22'!IF33+'[3]CB-23'!IF33+'[3]CB-24'!IF33+'[4]LCT-1'!IF33+'[4]LCT-2'!IF33+'[4]LCT-3'!IF33+'[4]LCT-4'!IF33+'[4]LCT-5'!IF33+'[4]LCT-6'!IF33+'[4]LCT-7'!IF33+'[4]LCT-8'!IF33+'[5]TB-1'!IF33+'[5]TB-2'!IF33+'[5]TB-3'!IF33+'[5]TB-4'!IF33+'[5]TB-5'!IF33+'[5]TB-6'!IF33+'[5]TB-7'!IF33+'[5]TB-8'!IF33+'[5]TB-9'!IF33+'[5]TB-10'!IF33+'[6]DSV-1'!IF33+'[6]DSV-2'!IF33+'[6]DSV-3'!IF33+'[7]TUB-1'!IF33+'[7]TUB-2'!IF33+'[8]Barge-1'!IF33+'[8]Barge-2'!IF33+'[8]Barge-3'!IF33+'[8]Barge-4'!IF33</f>
        <v>63200000</v>
      </c>
      <c r="AN33" s="138">
        <f>'[2]AHTS-1'!IF104+'[2]AHTS-2'!IF104+'[2]AHTS-3'!IF104+'[2]AHTS-4'!IF104+'[2]AHTS-5'!IF104+'[2]AHTS-6'!IF104+'[2]AHTS-7'!IF104+'[2]AHTS-8'!IF104+'[3]CB-1'!IF104+'[3]CB-2'!IF104+'[3]CB-3'!IF104+'[3]CB-4'!IF104+'[3]CB-5'!IF104+'[3]CB-6'!IF104+'[3]CB-7'!IF104+'[3]CB-8'!IF104+'[3]CB-9'!IF104+'[3]CB-10'!IF104+'[3]CB-11'!IF104+'[3]CB-12'!IF104+'[3]CB-13'!IF104+'[3]CB-14'!IF104+'[3]CB-15'!IF104+'[3]CB-16'!IF104+'[3]CB-17'!IF104+'[3]CB-18'!IF104+'[3]CB-19'!IF104+'[3]CB-20'!IF104+'[3]CB-21'!IF104+'[3]CB-22'!IF104+'[3]CB-23'!IF104+'[3]CB-24'!IF104+'[4]LCT-1'!IF104+'[4]LCT-2'!IF104+'[4]LCT-3'!IF104+'[4]LCT-4'!IF104+'[4]LCT-5'!IF104+'[4]LCT-6'!IF104+'[4]LCT-7'!IF104+'[4]LCT-8'!IF104+'[5]TB-1'!IF104+'[5]TB-2'!IF104+'[5]TB-3'!IF104+'[5]TB-4'!IF104+'[5]TB-5'!IF104+'[5]TB-6'!IF104+'[5]TB-7'!IF104+'[5]TB-8'!IF104+'[5]TB-9'!IF104+'[5]TB-10'!IF104+'[6]DSV-1'!IF104+'[6]DSV-2'!IF104+'[6]DSV-3'!IF104+'[7]TUB-1'!IF104+'[7]TUB-2'!IF104+'[8]Barge-1'!IF104+'[8]Barge-2'!IF104+'[8]Barge-3'!IF104+'[8]Barge-4'!IF104</f>
        <v>0</v>
      </c>
      <c r="AO33" s="135">
        <f>'[2]AHTS-1'!IG71+'[2]AHTS-2'!IG71+'[2]AHTS-3'!IG71+'[2]AHTS-4'!IG71+'[2]AHTS-5'!IG71+'[2]AHTS-6'!IG71+'[2]AHTS-7'!IG71+'[2]AHTS-8'!IG71+'[3]CB-1'!IG71+'[3]CB-2'!IG71+'[3]CB-3'!IG71+'[3]CB-4'!IG71+'[3]CB-5'!IG71+'[3]CB-6'!IG71+'[3]CB-7'!IG71+'[3]CB-8'!IG71+'[3]CB-9'!IG71+'[3]CB-10'!IG71+'[3]CB-11'!IG71+'[3]CB-12'!IG71+'[3]CB-13'!IG71+'[3]CB-14'!IG71+'[3]CB-15'!IG71+'[3]CB-16'!IG71+'[3]CB-17'!IG71+'[3]CB-18'!IG71+'[3]CB-19'!IG71+'[3]CB-20'!IG71+'[3]CB-21'!IG71+'[3]CB-22'!IG71+'[3]CB-23'!IG71+'[3]CB-24'!IG71+'[4]LCT-1'!IG71+'[4]LCT-2'!IG71+'[4]LCT-3'!IG71+'[4]LCT-4'!IG71+'[4]LCT-5'!IG71+'[4]LCT-6'!IG71+'[4]LCT-7'!IG71+'[4]LCT-8'!IG71+'[5]TB-1'!IG71+'[5]TB-2'!IG71+'[5]TB-3'!IG71+'[5]TB-4'!IG71+'[5]TB-5'!IG71+'[5]TB-6'!IG71+'[5]TB-7'!IG71+'[5]TB-8'!IG71+'[5]TB-9'!IG71+'[5]TB-10'!IG71+'[6]DSV-1'!IG71+'[6]DSV-2'!IG71+'[6]DSV-3'!IG71+'[7]TUB-1'!IG71+'[7]TUB-2'!IG71+'[8]Barge-1'!IG71+'[8]Barge-2'!IG71+'[8]Barge-3'!IG71+'[8]Barge-4'!IG71</f>
        <v>549100</v>
      </c>
      <c r="AP33" s="136">
        <f>'[2]AHTS-1'!IG33+'[2]AHTS-2'!IG33+'[2]AHTS-3'!IG33+'[2]AHTS-4'!IG33+'[2]AHTS-5'!IG33+'[2]AHTS-6'!IG33+'[2]AHTS-7'!IG33+'[2]AHTS-8'!IG33+'[3]CB-1'!IG33+'[3]CB-2'!IG33+'[3]CB-3'!IG33+'[3]CB-4'!IG33+'[3]CB-5'!IG33+'[3]CB-6'!IG33+'[3]CB-7'!IG33+'[3]CB-8'!IG33+'[3]CB-9'!IG33+'[3]CB-10'!IG33+'[3]CB-11'!IG33+'[3]CB-12'!IG33+'[3]CB-13'!IG33+'[3]CB-14'!IG33+'[3]CB-15'!IG33+'[3]CB-16'!IG33+'[3]CB-17'!IG33+'[3]CB-18'!IG33+'[3]CB-19'!IG33+'[3]CB-20'!IG33+'[3]CB-21'!IG33+'[3]CB-22'!IG33+'[3]CB-23'!IG33+'[3]CB-24'!IG33+'[4]LCT-1'!IG33+'[4]LCT-2'!IG33+'[4]LCT-3'!IG33+'[4]LCT-4'!IG33+'[4]LCT-5'!IG33+'[4]LCT-6'!IG33+'[4]LCT-7'!IG33+'[4]LCT-8'!IG33+'[5]TB-1'!IG33+'[5]TB-2'!IG33+'[5]TB-3'!IG33+'[5]TB-4'!IG33+'[5]TB-5'!IG33+'[5]TB-6'!IG33+'[5]TB-7'!IG33+'[5]TB-8'!IG33+'[5]TB-9'!IG33+'[5]TB-10'!IG33+'[6]DSV-1'!IG33+'[6]DSV-2'!IG33+'[6]DSV-3'!IG33+'[7]TUB-1'!IG33+'[7]TUB-2'!IG33+'[8]Barge-1'!IG33+'[8]Barge-2'!IG33+'[8]Barge-3'!IG33+'[8]Barge-4'!IG33</f>
        <v>6500000</v>
      </c>
      <c r="AQ33" s="136">
        <f>'[2]AHTS-1'!IG104+'[2]AHTS-2'!IG104+'[2]AHTS-3'!IG104+'[2]AHTS-4'!IG104+'[2]AHTS-5'!IG104+'[2]AHTS-6'!IG104+'[2]AHTS-7'!IG104+'[2]AHTS-8'!IG104+'[3]CB-1'!IG104+'[3]CB-2'!IG104+'[3]CB-3'!IG104+'[3]CB-4'!IG104+'[3]CB-5'!IG104+'[3]CB-6'!IG104+'[3]CB-7'!IG104+'[3]CB-8'!IG104+'[3]CB-9'!IG104+'[3]CB-10'!IG104+'[3]CB-11'!IG104+'[3]CB-12'!IG104+'[3]CB-13'!IG104+'[3]CB-14'!IG104+'[3]CB-15'!IG104+'[3]CB-16'!IG104+'[3]CB-17'!IG104+'[3]CB-18'!IG104+'[3]CB-19'!IG104+'[3]CB-20'!IG104+'[3]CB-21'!IG104+'[3]CB-22'!IG104+'[3]CB-23'!IG104+'[3]CB-24'!IG104+'[4]LCT-1'!IG104+'[4]LCT-2'!IG104+'[4]LCT-3'!IG104+'[4]LCT-4'!IG104+'[4]LCT-5'!IG104+'[4]LCT-6'!IG104+'[4]LCT-7'!IG104+'[4]LCT-8'!IG104+'[5]TB-1'!IG104+'[5]TB-2'!IG104+'[5]TB-3'!IG104+'[5]TB-4'!IG104+'[5]TB-5'!IG104+'[5]TB-6'!IG104+'[5]TB-7'!IG104+'[5]TB-8'!IG104+'[5]TB-9'!IG104+'[5]TB-10'!IG104+'[6]DSV-1'!IG104+'[6]DSV-2'!IG104+'[6]DSV-3'!IG104+'[7]TUB-1'!IG104+'[7]TUB-2'!IG104+'[8]Barge-1'!IG104+'[8]Barge-2'!IG104+'[8]Barge-3'!IG104+'[8]Barge-4'!IG104</f>
        <v>0</v>
      </c>
      <c r="AR33" s="139">
        <f>'[2]AHTS-1'!IH71+'[2]AHTS-2'!IH71+'[2]AHTS-3'!IH71+'[2]AHTS-4'!IH71+'[2]AHTS-5'!IH71+'[2]AHTS-6'!IH71+'[2]AHTS-7'!IH71+'[2]AHTS-8'!IH71+'[3]CB-1'!IH71+'[3]CB-2'!IH71+'[3]CB-3'!IH71+'[3]CB-4'!IH71+'[3]CB-5'!IH71+'[3]CB-6'!IH71+'[3]CB-7'!IH71+'[3]CB-8'!IH71+'[3]CB-9'!IH71+'[3]CB-10'!IH71+'[3]CB-11'!IH71+'[3]CB-12'!IH71+'[3]CB-13'!IH71+'[3]CB-14'!IH71+'[3]CB-15'!IH71+'[3]CB-16'!IH71+'[3]CB-17'!IH71+'[3]CB-18'!IH71+'[3]CB-19'!IH71+'[3]CB-20'!IH71+'[3]CB-21'!IH71+'[3]CB-22'!IH71+'[3]CB-23'!IH71+'[3]CB-24'!IH71+'[4]LCT-1'!IH71+'[4]LCT-2'!IH71+'[4]LCT-3'!IH71+'[4]LCT-4'!IH71+'[4]LCT-5'!IH71+'[4]LCT-6'!IH71+'[4]LCT-7'!IH71+'[4]LCT-8'!IH71+'[5]TB-1'!IH71+'[5]TB-2'!IH71+'[5]TB-3'!IH71+'[5]TB-4'!IH71+'[5]TB-5'!IH71+'[5]TB-6'!IH71+'[5]TB-7'!IH71+'[5]TB-8'!IH71+'[5]TB-9'!IH71+'[5]TB-10'!IH71+'[6]DSV-1'!IH71+'[6]DSV-2'!IH71+'[6]DSV-3'!IH71+'[7]TUB-1'!IH71+'[7]TUB-2'!IH71+'[8]Barge-1'!IH71+'[8]Barge-2'!IH71+'[8]Barge-3'!IH71+'[8]Barge-4'!IH71</f>
        <v>70026400</v>
      </c>
      <c r="AS33" s="136">
        <f>'[2]AHTS-1'!IH33+'[2]AHTS-2'!IH33+'[2]AHTS-3'!IH33+'[2]AHTS-4'!IH33+'[2]AHTS-5'!IH33+'[2]AHTS-6'!IH33+'[2]AHTS-7'!IH33+'[2]AHTS-8'!IH33+'[3]CB-1'!IH33+'[3]CB-2'!IH33+'[3]CB-3'!IH33+'[3]CB-4'!IH33+'[3]CB-5'!IH33+'[3]CB-6'!IH33+'[3]CB-7'!IH33+'[3]CB-8'!IH33+'[3]CB-9'!IH33+'[3]CB-10'!IH33+'[3]CB-11'!IH33+'[3]CB-12'!IH33+'[3]CB-13'!IH33+'[3]CB-14'!IH33+'[3]CB-15'!IH33+'[3]CB-16'!IH33+'[3]CB-17'!IH33+'[3]CB-18'!IH33+'[3]CB-19'!IH33+'[3]CB-20'!IH33+'[3]CB-21'!IH33+'[3]CB-22'!IH33+'[3]CB-23'!IH33+'[3]CB-24'!IH33+'[4]LCT-1'!IH33+'[4]LCT-2'!IH33+'[4]LCT-3'!IH33+'[4]LCT-4'!IH33+'[4]LCT-5'!IH33+'[4]LCT-6'!IH33+'[4]LCT-7'!IH33+'[4]LCT-8'!IH33+'[5]TB-1'!IH33+'[5]TB-2'!IH33+'[5]TB-3'!IH33+'[5]TB-4'!IH33+'[5]TB-5'!IH33+'[5]TB-6'!IH33+'[5]TB-7'!IH33+'[5]TB-8'!IH33+'[5]TB-9'!IH33+'[5]TB-10'!IH33+'[6]DSV-1'!IH33+'[6]DSV-2'!IH33+'[6]DSV-3'!IH33+'[7]TUB-1'!IH33+'[7]TUB-2'!IH33+'[8]Barge-1'!IH33+'[8]Barge-2'!IH33+'[8]Barge-3'!IH33+'[8]Barge-4'!IH33</f>
        <v>79200000</v>
      </c>
      <c r="AT33" s="140">
        <f>'[2]AHTS-1'!IH104+'[2]AHTS-2'!IH104+'[2]AHTS-3'!IH104+'[2]AHTS-4'!IH104+'[2]AHTS-5'!IH104+'[2]AHTS-6'!IH104+'[2]AHTS-7'!IH104+'[2]AHTS-8'!IH104+'[3]CB-1'!IH104+'[3]CB-2'!IH104+'[3]CB-3'!IH104+'[3]CB-4'!IH104+'[3]CB-5'!IH104+'[3]CB-6'!IH104+'[3]CB-7'!IH104+'[3]CB-8'!IH104+'[3]CB-9'!IH104+'[3]CB-10'!IH104+'[3]CB-11'!IH104+'[3]CB-12'!IH104+'[3]CB-13'!IH104+'[3]CB-14'!IH104+'[3]CB-15'!IH104+'[3]CB-16'!IH104+'[3]CB-17'!IH104+'[3]CB-18'!IH104+'[3]CB-19'!IH104+'[3]CB-20'!IH104+'[3]CB-21'!IH104+'[3]CB-22'!IH104+'[3]CB-23'!IH104+'[3]CB-24'!IH104+'[4]LCT-1'!IH104+'[4]LCT-2'!IH104+'[4]LCT-3'!IH104+'[4]LCT-4'!IH104+'[4]LCT-5'!IH104+'[4]LCT-6'!IH104+'[4]LCT-7'!IH104+'[4]LCT-8'!IH104+'[5]TB-1'!IH104+'[5]TB-2'!IH104+'[5]TB-3'!IH104+'[5]TB-4'!IH104+'[5]TB-5'!IH104+'[5]TB-6'!IH104+'[5]TB-7'!IH104+'[5]TB-8'!IH104+'[5]TB-9'!IH104+'[5]TB-10'!IH104+'[6]DSV-1'!IH104+'[6]DSV-2'!IH104+'[6]DSV-3'!IH104+'[7]TUB-1'!IH104+'[7]TUB-2'!IH104+'[8]Barge-1'!IH104+'[8]Barge-2'!IH104+'[8]Barge-3'!IH104+'[8]Barge-4'!IH104</f>
        <v>0</v>
      </c>
      <c r="AU33" s="139">
        <f>'[2]AHTS-1'!II71+'[2]AHTS-2'!II71+'[2]AHTS-3'!II71+'[2]AHTS-4'!II71+'[2]AHTS-5'!II71+'[2]AHTS-6'!II71+'[2]AHTS-7'!II71+'[2]AHTS-8'!II71+'[3]CB-1'!II71+'[3]CB-2'!II71+'[3]CB-3'!II71+'[3]CB-4'!II71+'[3]CB-5'!II71+'[3]CB-6'!II71+'[3]CB-7'!II71+'[3]CB-8'!II71+'[3]CB-9'!II71+'[3]CB-10'!II71+'[3]CB-11'!II71+'[3]CB-12'!II71+'[3]CB-13'!II71+'[3]CB-14'!II71+'[3]CB-15'!II71+'[3]CB-16'!II71+'[3]CB-17'!II71+'[3]CB-18'!II71+'[3]CB-19'!II71+'[3]CB-20'!II71+'[3]CB-21'!II71+'[3]CB-22'!II71+'[3]CB-23'!II71+'[3]CB-24'!II71+'[4]LCT-1'!II71+'[4]LCT-2'!II71+'[4]LCT-3'!II71+'[4]LCT-4'!II71+'[4]LCT-5'!II71+'[4]LCT-6'!II71+'[4]LCT-7'!II71+'[4]LCT-8'!II71+'[5]TB-1'!II71+'[5]TB-2'!II71+'[5]TB-3'!II71+'[5]TB-4'!II71+'[5]TB-5'!II71+'[5]TB-6'!II71+'[5]TB-7'!II71+'[5]TB-8'!II71+'[5]TB-9'!II71+'[5]TB-10'!II71+'[6]DSV-1'!II71+'[6]DSV-2'!II71+'[6]DSV-3'!II71+'[7]TUB-1'!II71+'[7]TUB-2'!II71+'[8]Barge-1'!II71+'[8]Barge-2'!II71+'[8]Barge-3'!II71+'[8]Barge-4'!II71</f>
        <v>0</v>
      </c>
      <c r="AV33" s="136">
        <f>'[2]AHTS-1'!II33+'[2]AHTS-2'!II33+'[2]AHTS-3'!II33+'[2]AHTS-4'!II33+'[2]AHTS-5'!II33+'[2]AHTS-6'!II33+'[2]AHTS-7'!II33+'[2]AHTS-8'!II33+'[3]CB-1'!II33+'[3]CB-2'!II33+'[3]CB-3'!II33+'[3]CB-4'!II33+'[3]CB-5'!II33+'[3]CB-6'!II33+'[3]CB-7'!II33+'[3]CB-8'!II33+'[3]CB-9'!II33+'[3]CB-10'!II33+'[3]CB-11'!II33+'[3]CB-12'!II33+'[3]CB-13'!II33+'[3]CB-14'!II33+'[3]CB-15'!II33+'[3]CB-16'!II33+'[3]CB-17'!II33+'[3]CB-18'!II33+'[3]CB-19'!II33+'[3]CB-20'!II33+'[3]CB-21'!II33+'[3]CB-22'!II33+'[3]CB-23'!II33+'[3]CB-24'!II33+'[4]LCT-1'!II33+'[4]LCT-2'!II33+'[4]LCT-3'!II33+'[4]LCT-4'!II33+'[4]LCT-5'!II33+'[4]LCT-6'!II33+'[4]LCT-7'!II33+'[4]LCT-8'!II33+'[5]TB-1'!II33+'[5]TB-2'!II33+'[5]TB-3'!II33+'[5]TB-4'!II33+'[5]TB-5'!II33+'[5]TB-6'!II33+'[5]TB-7'!II33+'[5]TB-8'!II33+'[5]TB-9'!II33+'[5]TB-10'!II33+'[6]DSV-1'!II33+'[6]DSV-2'!II33+'[6]DSV-3'!II33+'[7]TUB-1'!II33+'[7]TUB-2'!II33+'[8]Barge-1'!II33+'[8]Barge-2'!II33+'[8]Barge-3'!II33+'[8]Barge-4'!II33</f>
        <v>0</v>
      </c>
      <c r="AW33" s="140">
        <f>'[2]AHTS-1'!II104+'[2]AHTS-2'!II104+'[2]AHTS-3'!II104+'[2]AHTS-4'!II104+'[2]AHTS-5'!II104+'[2]AHTS-6'!II104+'[2]AHTS-7'!II104+'[2]AHTS-8'!II104+'[3]CB-1'!II104+'[3]CB-2'!II104+'[3]CB-3'!II104+'[3]CB-4'!II104+'[3]CB-5'!II104+'[3]CB-6'!II104+'[3]CB-7'!II104+'[3]CB-8'!II104+'[3]CB-9'!II104+'[3]CB-10'!II104+'[3]CB-11'!II104+'[3]CB-12'!II104+'[3]CB-13'!II104+'[3]CB-14'!II104+'[3]CB-15'!II104+'[3]CB-16'!II104+'[3]CB-17'!II104+'[3]CB-18'!II104+'[3]CB-19'!II104+'[3]CB-20'!II104+'[3]CB-21'!II104+'[3]CB-22'!II104+'[3]CB-23'!II104+'[3]CB-24'!II104+'[4]LCT-1'!II104+'[4]LCT-2'!II104+'[4]LCT-3'!II104+'[4]LCT-4'!II104+'[4]LCT-5'!II104+'[4]LCT-6'!II104+'[4]LCT-7'!II104+'[4]LCT-8'!II104+'[5]TB-1'!II104+'[5]TB-2'!II104+'[5]TB-3'!II104+'[5]TB-4'!II104+'[5]TB-5'!II104+'[5]TB-6'!II104+'[5]TB-7'!II104+'[5]TB-8'!II104+'[5]TB-9'!II104+'[5]TB-10'!II104+'[6]DSV-1'!II104+'[6]DSV-2'!II104+'[6]DSV-3'!II104+'[7]TUB-1'!II104+'[7]TUB-2'!II104+'[8]Barge-1'!II104+'[8]Barge-2'!II104+'[8]Barge-3'!II104+'[8]Barge-4'!II104</f>
        <v>0</v>
      </c>
      <c r="AX33" s="67"/>
      <c r="AY33" s="67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</row>
    <row r="34" spans="1:97" s="69" customFormat="1" ht="14.25" customHeight="1" x14ac:dyDescent="0.25">
      <c r="A34" s="111">
        <f>[1]Control!AZ34</f>
        <v>46009</v>
      </c>
      <c r="B34" s="66"/>
      <c r="C34" s="176">
        <f>'[2]AHTS-1'!AV34+'[2]AHTS-2'!AV34+'[2]AHTS-3'!AV34+'[2]AHTS-4'!AV34+'[2]AHTS-5'!AV34+'[2]AHTS-6'!AV34+'[2]AHTS-7'!AV34+'[2]AHTS-8'!AV34+'[3]CB-1'!AV34+'[3]CB-2'!AV34+'[3]CB-3'!AV34+'[3]CB-4'!AV34+'[3]CB-5'!AV34+'[3]CB-6'!AV34+'[3]CB-7'!AV34+'[3]CB-8'!AV34+'[3]CB-9'!AV34+'[3]CB-10'!AV34+'[3]CB-11'!AV34+'[3]CB-12'!AV34+'[3]CB-13'!AV34+'[3]CB-14'!AV34+'[3]CB-15'!AV34+'[3]CB-16'!AV34+'[3]CB-17'!AV34+'[3]CB-18'!AV34+'[3]CB-19'!AV34+'[3]CB-20'!AV34+'[3]CB-21'!AV34+'[3]CB-22'!AV34+'[3]CB-23'!AV34+'[3]CB-24'!AV34+'[4]LCT-1'!AV34+'[4]LCT-2'!AV34+'[4]LCT-3'!AV34+'[4]LCT-4'!AV34+'[4]LCT-5'!AV34+'[4]LCT-6'!AV34+'[4]LCT-7'!AV34+'[4]LCT-8'!AV34+'[5]TB-1'!AV34+'[5]TB-2'!AV34+'[5]TB-3'!AV34+'[5]TB-4'!AV34+'[5]TB-5'!AV34+'[5]TB-6'!AV34+'[5]TB-7'!AV34+'[5]TB-8'!AV34+'[5]TB-9'!AV34+'[5]TB-10'!AV34+'[6]DSV-1'!AV34+'[6]DSV-2'!AV34+'[6]DSV-3'!AV34+'[7]TUB-1'!AV34+'[7]TUB-2'!AV34+'[8]Barge-1'!AV34+'[8]Barge-2'!AV34+'[8]Barge-3'!AV34+'[8]Barge-4'!AV34</f>
        <v>0</v>
      </c>
      <c r="D34" s="177">
        <f>'[2]AHTS-1'!BR34+'[2]AHTS-2'!BR34+'[2]AHTS-3'!BR34+'[2]AHTS-4'!BR34+'[2]AHTS-5'!BR34+'[2]AHTS-6'!BR34+'[2]AHTS-7'!BR34+'[2]AHTS-8'!BR34+'[3]CB-1'!BR34+'[3]CB-2'!BR34+'[3]CB-3'!BR34+'[3]CB-4'!BR34+'[3]CB-5'!BR34+'[3]CB-6'!BR34+'[3]CB-7'!BR34+'[3]CB-8'!BR34+'[3]CB-9'!BR34+'[3]CB-10'!BR34+'[3]CB-11'!BR34+'[3]CB-12'!BR34+'[3]CB-13'!BR34+'[3]CB-14'!BR34+'[3]CB-15'!BR34+'[3]CB-16'!BR34+'[3]CB-17'!BR34+'[3]CB-18'!BR34+'[3]CB-19'!BR34+'[3]CB-20'!BR34+'[3]CB-21'!BR34+'[3]CB-22'!BR34+'[3]CB-23'!BR34+'[3]CB-24'!BR34+'[4]LCT-1'!BR34+'[4]LCT-2'!BR34+'[4]LCT-3'!BR34+'[4]LCT-4'!BR34+'[4]LCT-5'!BR34+'[4]LCT-6'!BR34+'[4]LCT-7'!BR34+'[4]LCT-8'!BR34+'[5]TB-1'!BR34+'[5]TB-2'!BR34+'[5]TB-3'!BR34+'[5]TB-4'!BR34+'[5]TB-5'!BR34+'[5]TB-6'!BR34+'[5]TB-7'!BR34+'[5]TB-8'!BR34+'[5]TB-9'!BR34+'[5]TB-10'!BR34+'[6]DSV-1'!BR34+'[6]DSV-2'!BR34+'[6]DSV-3'!BR34+'[7]TUB-1'!BR34+'[7]TUB-2'!BR34+'[8]Barge-1'!BR34+'[8]Barge-2'!BR34+'[8]Barge-3'!BR34+'[8]Barge-4'!BR34</f>
        <v>0</v>
      </c>
      <c r="E34" s="178">
        <f>'[2]AHTS-1'!CN34+'[2]AHTS-2'!CN34+'[2]AHTS-3'!CN34+'[2]AHTS-4'!CN34+'[2]AHTS-5'!CN34+'[2]AHTS-6'!CN34+'[2]AHTS-7'!CN34+'[2]AHTS-8'!CN34+'[3]CB-1'!CN34+'[3]CB-2'!CN34+'[3]CB-3'!CN34+'[3]CB-4'!CN34+'[3]CB-5'!CN34+'[3]CB-6'!CN34+'[3]CB-7'!CN34+'[3]CB-8'!CN34+'[3]CB-9'!CN34+'[3]CB-10'!CN34+'[3]CB-11'!CN34+'[3]CB-12'!CN34+'[3]CB-13'!CN34+'[3]CB-14'!CN34+'[3]CB-15'!CN34+'[3]CB-16'!CN34+'[3]CB-17'!CN34+'[3]CB-18'!CN34+'[3]CB-19'!CN34+'[3]CB-20'!CN34+'[3]CB-21'!CN34+'[3]CB-22'!CN34+'[3]CB-23'!CN34+'[3]CB-24'!CN34+'[4]LCT-1'!CN34+'[4]LCT-2'!CN34+'[4]LCT-3'!CN34+'[4]LCT-4'!CN34+'[4]LCT-5'!CN34+'[4]LCT-6'!CN34+'[4]LCT-7'!CN34+'[4]LCT-8'!CN34+'[5]TB-1'!CN34+'[5]TB-2'!CN34+'[5]TB-3'!CN34+'[5]TB-4'!CN34+'[5]TB-5'!CN34+'[5]TB-6'!CN34+'[5]TB-7'!CN34+'[5]TB-8'!CN34+'[5]TB-9'!CN34+'[5]TB-10'!CN34+'[6]DSV-1'!CN34+'[6]DSV-2'!CN34+'[6]DSV-3'!CN34+'[7]TUB-1'!CN34+'[7]TUB-2'!CN34+'[8]Barge-1'!CN34+'[8]Barge-2'!CN34+'[8]Barge-3'!CN34+'[8]Barge-4'!CN34</f>
        <v>0</v>
      </c>
      <c r="F34" s="179">
        <f>'[2]AHTS-1'!AW34+'[2]AHTS-2'!AW34+'[2]AHTS-3'!AW34+'[2]AHTS-4'!AW34+'[2]AHTS-5'!AW34+'[2]AHTS-6'!AW34+'[2]AHTS-7'!AW34+'[2]AHTS-8'!AW34+'[3]CB-1'!AW34+'[3]CB-2'!AW34+'[3]CB-3'!AW34+'[3]CB-4'!AW34+'[3]CB-5'!AW34+'[3]CB-6'!AW34+'[3]CB-7'!AW34+'[3]CB-8'!AW34+'[3]CB-9'!AW34+'[3]CB-10'!AW34+'[3]CB-11'!AW34+'[3]CB-12'!AW34+'[3]CB-13'!AW34+'[3]CB-14'!AW34+'[3]CB-15'!AW34+'[3]CB-16'!AW34+'[3]CB-17'!AW34+'[3]CB-18'!AW34+'[3]CB-19'!AW34+'[3]CB-20'!AW34+'[3]CB-21'!AW34+'[3]CB-22'!AW34+'[3]CB-23'!AW34+'[3]CB-24'!AW34+'[4]LCT-1'!AW34+'[4]LCT-2'!AW34+'[4]LCT-3'!AW34+'[4]LCT-4'!AW34+'[4]LCT-5'!AW34+'[4]LCT-6'!AW34+'[4]LCT-7'!AW34+'[4]LCT-8'!AW34+'[5]TB-1'!AW34+'[5]TB-2'!AW34+'[5]TB-3'!AW34+'[5]TB-4'!AW34+'[5]TB-5'!AW34+'[5]TB-6'!AW34+'[5]TB-7'!AW34+'[5]TB-8'!AW34+'[5]TB-9'!AW34+'[5]TB-10'!AW34+'[6]DSV-1'!AW34+'[6]DSV-2'!AW34+'[6]DSV-3'!AW34+'[7]TUB-1'!AW34+'[7]TUB-2'!AW34+'[8]Barge-1'!AW34+'[8]Barge-2'!AW34+'[8]Barge-3'!AW34+'[8]Barge-4'!AW34</f>
        <v>1961.37476222446</v>
      </c>
      <c r="G34" s="180">
        <f>'[2]AHTS-1'!BS34+'[2]AHTS-2'!BS34+'[2]AHTS-3'!BS34+'[2]AHTS-4'!BS34+'[2]AHTS-5'!BS34+'[2]AHTS-6'!BS34+'[2]AHTS-7'!BS34+'[2]AHTS-8'!BS34+'[3]CB-1'!BS34+'[3]CB-2'!BS34+'[3]CB-3'!BS34+'[3]CB-4'!BS34+'[3]CB-5'!BS34+'[3]CB-6'!BS34+'[3]CB-7'!BS34+'[3]CB-8'!BS34+'[3]CB-9'!BS34+'[3]CB-10'!BS34+'[3]CB-11'!BS34+'[3]CB-12'!BS34+'[3]CB-13'!BS34+'[3]CB-14'!BS34+'[3]CB-15'!BS34+'[3]CB-16'!BS34+'[3]CB-17'!BS34+'[3]CB-18'!BS34+'[3]CB-19'!BS34+'[3]CB-20'!BS34+'[3]CB-21'!BS34+'[3]CB-22'!BS34+'[3]CB-23'!BS34+'[3]CB-24'!BS34+'[4]LCT-1'!BS34+'[4]LCT-2'!BS34+'[4]LCT-3'!BS34+'[4]LCT-4'!BS34+'[4]LCT-5'!BS34+'[4]LCT-6'!BS34+'[4]LCT-7'!BS34+'[4]LCT-8'!BS34+'[5]TB-1'!BS34+'[5]TB-2'!BS34+'[5]TB-3'!BS34+'[5]TB-4'!BS34+'[5]TB-5'!BS34+'[5]TB-6'!BS34+'[5]TB-7'!BS34+'[5]TB-8'!BS34+'[5]TB-9'!BS34+'[5]TB-10'!BS34+'[6]DSV-1'!BS34+'[6]DSV-2'!BS34+'[6]DSV-3'!BS34+'[7]TUB-1'!BS34+'[7]TUB-2'!BS34+'[8]Barge-1'!BS34+'[8]Barge-2'!BS34+'[8]Barge-3'!BS34+'[8]Barge-4'!BS34</f>
        <v>1809.9788799373391</v>
      </c>
      <c r="H34" s="180">
        <f>'[2]AHTS-1'!CO34+'[2]AHTS-2'!CO34+'[2]AHTS-3'!CO34+'[2]AHTS-4'!CO34+'[2]AHTS-5'!CO34+'[2]AHTS-6'!CO34+'[2]AHTS-7'!CO34+'[2]AHTS-8'!CO34+'[3]CB-1'!CO34+'[3]CB-2'!CO34+'[3]CB-3'!CO34+'[3]CB-4'!CO34+'[3]CB-5'!CO34+'[3]CB-6'!CO34+'[3]CB-7'!CO34+'[3]CB-8'!CO34+'[3]CB-9'!CO34+'[3]CB-10'!CO34+'[3]CB-11'!CO34+'[3]CB-12'!CO34+'[3]CB-13'!CO34+'[3]CB-14'!CO34+'[3]CB-15'!CO34+'[3]CB-16'!CO34+'[3]CB-17'!CO34+'[3]CB-18'!CO34+'[3]CB-19'!CO34+'[3]CB-20'!CO34+'[3]CB-21'!CO34+'[3]CB-22'!CO34+'[3]CB-23'!CO34+'[3]CB-24'!CO34+'[4]LCT-1'!CO34+'[4]LCT-2'!CO34+'[4]LCT-3'!CO34+'[4]LCT-4'!CO34+'[4]LCT-5'!CO34+'[4]LCT-6'!CO34+'[4]LCT-7'!CO34+'[4]LCT-8'!CO34+'[5]TB-1'!CO34+'[5]TB-2'!CO34+'[5]TB-3'!CO34+'[5]TB-4'!CO34+'[5]TB-5'!CO34+'[5]TB-6'!CO34+'[5]TB-7'!CO34+'[5]TB-8'!CO34+'[5]TB-9'!CO34+'[5]TB-10'!CO34+'[6]DSV-1'!CO34+'[6]DSV-2'!CO34+'[6]DSV-3'!CO34+'[7]TUB-1'!CO34+'[7]TUB-2'!CO34+'[8]Barge-1'!CO34+'[8]Barge-2'!CO34+'[8]Barge-3'!CO34+'[8]Barge-4'!CO34</f>
        <v>0</v>
      </c>
      <c r="I34" s="179">
        <f>'[2]AHTS-1'!AX34+'[2]AHTS-2'!AX34+'[2]AHTS-3'!AX34+'[2]AHTS-4'!AX34+'[2]AHTS-5'!AX34+'[2]AHTS-6'!AX34+'[2]AHTS-7'!AX34+'[2]AHTS-8'!AX34+'[3]CB-1'!AX34+'[3]CB-2'!AX34+'[3]CB-3'!AX34+'[3]CB-4'!AX34+'[3]CB-5'!AX34+'[3]CB-6'!AX34+'[3]CB-7'!AX34+'[3]CB-8'!AX34+'[3]CB-9'!AX34+'[3]CB-10'!AX34+'[3]CB-11'!AX34+'[3]CB-12'!AX34+'[3]CB-13'!AX34+'[3]CB-14'!AX34+'[3]CB-15'!AX34+'[3]CB-16'!AX34+'[3]CB-17'!AX34+'[3]CB-18'!AX34+'[3]CB-19'!AX34+'[3]CB-20'!AX34+'[3]CB-21'!AX34+'[3]CB-22'!AX34+'[3]CB-23'!AX34+'[3]CB-24'!AX34+'[4]LCT-1'!AX34+'[4]LCT-2'!AX34+'[4]LCT-3'!AX34+'[4]LCT-4'!AX34+'[4]LCT-5'!AX34+'[4]LCT-6'!AX34+'[4]LCT-7'!AX34+'[4]LCT-8'!AX34+'[5]TB-1'!AX34+'[5]TB-2'!AX34+'[5]TB-3'!AX34+'[5]TB-4'!AX34+'[5]TB-5'!AX34+'[5]TB-6'!AX34+'[5]TB-7'!AX34+'[5]TB-8'!AX34+'[5]TB-9'!AX34+'[5]TB-10'!AX34+'[6]DSV-1'!AX34+'[6]DSV-2'!AX34+'[6]DSV-3'!AX34+'[7]TUB-1'!AX34+'[7]TUB-2'!AX34+'[8]Barge-1'!AX34+'[8]Barge-2'!AX34+'[8]Barge-3'!AX34+'[8]Barge-4'!AX34</f>
        <v>5690.2005007273128</v>
      </c>
      <c r="J34" s="180">
        <f>'[2]AHTS-1'!BT34+'[2]AHTS-2'!BT34+'[2]AHTS-3'!BT34+'[2]AHTS-4'!BT34+'[2]AHTS-5'!BT34+'[2]AHTS-6'!BT34+'[2]AHTS-7'!BT34+'[2]AHTS-8'!BT34+'[3]CB-1'!BT34+'[3]CB-2'!BT34+'[3]CB-3'!BT34+'[3]CB-4'!BT34+'[3]CB-5'!BT34+'[3]CB-6'!BT34+'[3]CB-7'!BT34+'[3]CB-8'!BT34+'[3]CB-9'!BT34+'[3]CB-10'!BT34+'[3]CB-11'!BT34+'[3]CB-12'!BT34+'[3]CB-13'!BT34+'[3]CB-14'!BT34+'[3]CB-15'!BT34+'[3]CB-16'!BT34+'[3]CB-17'!BT34+'[3]CB-18'!BT34+'[3]CB-19'!BT34+'[3]CB-20'!BT34+'[3]CB-21'!BT34+'[3]CB-22'!BT34+'[3]CB-23'!BT34+'[3]CB-24'!BT34+'[4]LCT-1'!BT34+'[4]LCT-2'!BT34+'[4]LCT-3'!BT34+'[4]LCT-4'!BT34+'[4]LCT-5'!BT34+'[4]LCT-6'!BT34+'[4]LCT-7'!BT34+'[4]LCT-8'!BT34+'[5]TB-1'!BT34+'[5]TB-2'!BT34+'[5]TB-3'!BT34+'[5]TB-4'!BT34+'[5]TB-5'!BT34+'[5]TB-6'!BT34+'[5]TB-7'!BT34+'[5]TB-8'!BT34+'[5]TB-9'!BT34+'[5]TB-10'!BT34+'[6]DSV-1'!BT34+'[6]DSV-2'!BT34+'[6]DSV-3'!BT34+'[7]TUB-1'!BT34+'[7]TUB-2'!BT34+'[8]Barge-1'!BT34+'[8]Barge-2'!BT34+'[8]Barge-3'!BT34+'[8]Barge-4'!BT34</f>
        <v>4005.0317500279734</v>
      </c>
      <c r="K34" s="180">
        <f>'[2]AHTS-1'!CP34+'[2]AHTS-2'!CP34+'[2]AHTS-3'!CP34+'[2]AHTS-4'!CP34+'[2]AHTS-5'!CP34+'[2]AHTS-6'!CP34+'[2]AHTS-7'!CP34+'[2]AHTS-8'!CP34+'[3]CB-1'!CP34+'[3]CB-2'!CP34+'[3]CB-3'!CP34+'[3]CB-4'!CP34+'[3]CB-5'!CP34+'[3]CB-6'!CP34+'[3]CB-7'!CP34+'[3]CB-8'!CP34+'[3]CB-9'!CP34+'[3]CB-10'!CP34+'[3]CB-11'!CP34+'[3]CB-12'!CP34+'[3]CB-13'!CP34+'[3]CB-14'!CP34+'[3]CB-15'!CP34+'[3]CB-16'!CP34+'[3]CB-17'!CP34+'[3]CB-18'!CP34+'[3]CB-19'!CP34+'[3]CB-20'!CP34+'[3]CB-21'!CP34+'[3]CB-22'!CP34+'[3]CB-23'!CP34+'[3]CB-24'!CP34+'[4]LCT-1'!CP34+'[4]LCT-2'!CP34+'[4]LCT-3'!CP34+'[4]LCT-4'!CP34+'[4]LCT-5'!CP34+'[4]LCT-6'!CP34+'[4]LCT-7'!CP34+'[4]LCT-8'!CP34+'[5]TB-1'!CP34+'[5]TB-2'!CP34+'[5]TB-3'!CP34+'[5]TB-4'!CP34+'[5]TB-5'!CP34+'[5]TB-6'!CP34+'[5]TB-7'!CP34+'[5]TB-8'!CP34+'[5]TB-9'!CP34+'[5]TB-10'!CP34+'[6]DSV-1'!CP34+'[6]DSV-2'!CP34+'[6]DSV-3'!CP34+'[7]TUB-1'!CP34+'[7]TUB-2'!CP34+'[8]Barge-1'!CP34+'[8]Barge-2'!CP34+'[8]Barge-3'!CP34+'[8]Barge-4'!CP34</f>
        <v>0</v>
      </c>
      <c r="L34" s="181">
        <f>'[2]AHTS-1'!AY34+'[2]AHTS-2'!AY34+'[2]AHTS-3'!AY34+'[2]AHTS-4'!AY34+'[2]AHTS-5'!AY34+'[2]AHTS-6'!AY34+'[2]AHTS-7'!AY34+'[2]AHTS-8'!AY34+'[3]CB-1'!AY34+'[3]CB-2'!AY34+'[3]CB-3'!AY34+'[3]CB-4'!AY34+'[3]CB-5'!AY34+'[3]CB-6'!AY34+'[3]CB-7'!AY34+'[3]CB-8'!AY34+'[3]CB-9'!AY34+'[3]CB-10'!AY34+'[3]CB-11'!AY34+'[3]CB-12'!AY34+'[3]CB-13'!AY34+'[3]CB-14'!AY34+'[3]CB-15'!AY34+'[3]CB-16'!AY34+'[3]CB-17'!AY34+'[3]CB-18'!AY34+'[3]CB-19'!AY34+'[3]CB-20'!AY34+'[3]CB-21'!AY34+'[3]CB-22'!AY34+'[3]CB-23'!AY34+'[3]CB-24'!AY34+'[4]LCT-1'!AY34+'[4]LCT-2'!AY34+'[4]LCT-3'!AY34+'[4]LCT-4'!AY34+'[4]LCT-5'!AY34+'[4]LCT-6'!AY34+'[4]LCT-7'!AY34+'[4]LCT-8'!AY34+'[5]TB-1'!AY34+'[5]TB-2'!AY34+'[5]TB-3'!AY34+'[5]TB-4'!AY34+'[5]TB-5'!AY34+'[5]TB-6'!AY34+'[5]TB-7'!AY34+'[5]TB-8'!AY34+'[5]TB-9'!AY34+'[5]TB-10'!AY34+'[6]DSV-1'!AY34+'[6]DSV-2'!AY34+'[6]DSV-3'!AY34+'[7]TUB-1'!AY34+'[7]TUB-2'!AY34+'[8]Barge-1'!AY34+'[8]Barge-2'!AY34+'[8]Barge-3'!AY34+'[8]Barge-4'!AY34</f>
        <v>2692.6831570996978</v>
      </c>
      <c r="M34" s="182">
        <f>'[2]AHTS-1'!BU34+'[2]AHTS-2'!BU34+'[2]AHTS-3'!BU34+'[2]AHTS-4'!BU34+'[2]AHTS-5'!BU34+'[2]AHTS-6'!BU34+'[2]AHTS-7'!BU34+'[2]AHTS-8'!BU34+'[3]CB-1'!BU34+'[3]CB-2'!BU34+'[3]CB-3'!BU34+'[3]CB-4'!BU34+'[3]CB-5'!BU34+'[3]CB-6'!BU34+'[3]CB-7'!BU34+'[3]CB-8'!BU34+'[3]CB-9'!BU34+'[3]CB-10'!BU34+'[3]CB-11'!BU34+'[3]CB-12'!BU34+'[3]CB-13'!BU34+'[3]CB-14'!BU34+'[3]CB-15'!BU34+'[3]CB-16'!BU34+'[3]CB-17'!BU34+'[3]CB-18'!BU34+'[3]CB-19'!BU34+'[3]CB-20'!BU34+'[3]CB-21'!BU34+'[3]CB-22'!BU34+'[3]CB-23'!BU34+'[3]CB-24'!BU34+'[4]LCT-1'!BU34+'[4]LCT-2'!BU34+'[4]LCT-3'!BU34+'[4]LCT-4'!BU34+'[4]LCT-5'!BU34+'[4]LCT-6'!BU34+'[4]LCT-7'!BU34+'[4]LCT-8'!BU34+'[5]TB-1'!BU34+'[5]TB-2'!BU34+'[5]TB-3'!BU34+'[5]TB-4'!BU34+'[5]TB-5'!BU34+'[5]TB-6'!BU34+'[5]TB-7'!BU34+'[5]TB-8'!BU34+'[5]TB-9'!BU34+'[5]TB-10'!BU34+'[6]DSV-1'!BU34+'[6]DSV-2'!BU34+'[6]DSV-3'!BU34+'[7]TUB-1'!BU34+'[7]TUB-2'!BU34+'[8]Barge-1'!BU34+'[8]Barge-2'!BU34+'[8]Barge-3'!BU34+'[8]Barge-4'!BU34</f>
        <v>3977.844914400805</v>
      </c>
      <c r="N34" s="182">
        <f>'[2]AHTS-1'!CQ34+'[2]AHTS-2'!CQ34+'[2]AHTS-3'!CQ34+'[2]AHTS-4'!CQ34+'[2]AHTS-5'!CQ34+'[2]AHTS-6'!CQ34+'[2]AHTS-7'!CQ34+'[2]AHTS-8'!CQ34+'[3]CB-1'!CQ34+'[3]CB-2'!CQ34+'[3]CB-3'!CQ34+'[3]CB-4'!CQ34+'[3]CB-5'!CQ34+'[3]CB-6'!CQ34+'[3]CB-7'!CQ34+'[3]CB-8'!CQ34+'[3]CB-9'!CQ34+'[3]CB-10'!CQ34+'[3]CB-11'!CQ34+'[3]CB-12'!CQ34+'[3]CB-13'!CQ34+'[3]CB-14'!CQ34+'[3]CB-15'!CQ34+'[3]CB-16'!CQ34+'[3]CB-17'!CQ34+'[3]CB-18'!CQ34+'[3]CB-19'!CQ34+'[3]CB-20'!CQ34+'[3]CB-21'!CQ34+'[3]CB-22'!CQ34+'[3]CB-23'!CQ34+'[3]CB-24'!CQ34+'[4]LCT-1'!CQ34+'[4]LCT-2'!CQ34+'[4]LCT-3'!CQ34+'[4]LCT-4'!CQ34+'[4]LCT-5'!CQ34+'[4]LCT-6'!CQ34+'[4]LCT-7'!CQ34+'[4]LCT-8'!CQ34+'[5]TB-1'!CQ34+'[5]TB-2'!CQ34+'[5]TB-3'!CQ34+'[5]TB-4'!CQ34+'[5]TB-5'!CQ34+'[5]TB-6'!CQ34+'[5]TB-7'!CQ34+'[5]TB-8'!CQ34+'[5]TB-9'!CQ34+'[5]TB-10'!CQ34+'[6]DSV-1'!CQ34+'[6]DSV-2'!CQ34+'[6]DSV-3'!CQ34+'[7]TUB-1'!CQ34+'[7]TUB-2'!CQ34+'[8]Barge-1'!CQ34+'[8]Barge-2'!CQ34+'[8]Barge-3'!CQ34+'[8]Barge-4'!CQ34</f>
        <v>0</v>
      </c>
      <c r="O34" s="179">
        <f>'[2]AHTS-1'!AZ34+'[2]AHTS-2'!AZ34+'[2]AHTS-3'!AZ34+'[2]AHTS-4'!AZ34+'[2]AHTS-5'!AZ34+'[2]AHTS-6'!AZ34+'[2]AHTS-7'!AZ34+'[2]AHTS-8'!AZ34+'[3]CB-1'!AZ34+'[3]CB-2'!AZ34+'[3]CB-3'!AZ34+'[3]CB-4'!AZ34+'[3]CB-5'!AZ34+'[3]CB-6'!AZ34+'[3]CB-7'!AZ34+'[3]CB-8'!AZ34+'[3]CB-9'!AZ34+'[3]CB-10'!AZ34+'[3]CB-11'!AZ34+'[3]CB-12'!AZ34+'[3]CB-13'!AZ34+'[3]CB-14'!AZ34+'[3]CB-15'!AZ34+'[3]CB-16'!AZ34+'[3]CB-17'!AZ34+'[3]CB-18'!AZ34+'[3]CB-19'!AZ34+'[3]CB-20'!AZ34+'[3]CB-21'!AZ34+'[3]CB-22'!AZ34+'[3]CB-23'!AZ34+'[3]CB-24'!AZ34+'[4]LCT-1'!AZ34+'[4]LCT-2'!AZ34+'[4]LCT-3'!AZ34+'[4]LCT-4'!AZ34+'[4]LCT-5'!AZ34+'[4]LCT-6'!AZ34+'[4]LCT-7'!AZ34+'[4]LCT-8'!AZ34+'[5]TB-1'!AZ34+'[5]TB-2'!AZ34+'[5]TB-3'!AZ34+'[5]TB-4'!AZ34+'[5]TB-5'!AZ34+'[5]TB-6'!AZ34+'[5]TB-7'!AZ34+'[5]TB-8'!AZ34+'[5]TB-9'!AZ34+'[5]TB-10'!AZ34+'[6]DSV-1'!AZ34+'[6]DSV-2'!AZ34+'[6]DSV-3'!AZ34+'[7]TUB-1'!AZ34+'[7]TUB-2'!AZ34+'[8]Barge-1'!AZ34+'[8]Barge-2'!AZ34+'[8]Barge-3'!AZ34+'[8]Barge-4'!AZ34</f>
        <v>17.280337361530716</v>
      </c>
      <c r="P34" s="180">
        <f>'[2]AHTS-1'!BV34+'[2]AHTS-2'!BV34+'[2]AHTS-3'!BV34+'[2]AHTS-4'!BV34+'[2]AHTS-5'!BV34+'[2]AHTS-6'!BV34+'[2]AHTS-7'!BV34+'[2]AHTS-8'!BV34+'[3]CB-1'!BV34+'[3]CB-2'!BV34+'[3]CB-3'!BV34+'[3]CB-4'!BV34+'[3]CB-5'!BV34+'[3]CB-6'!BV34+'[3]CB-7'!BV34+'[3]CB-8'!BV34+'[3]CB-9'!BV34+'[3]CB-10'!BV34+'[3]CB-11'!BV34+'[3]CB-12'!BV34+'[3]CB-13'!BV34+'[3]CB-14'!BV34+'[3]CB-15'!BV34+'[3]CB-16'!BV34+'[3]CB-17'!BV34+'[3]CB-18'!BV34+'[3]CB-19'!BV34+'[3]CB-20'!BV34+'[3]CB-21'!BV34+'[3]CB-22'!BV34+'[3]CB-23'!BV34+'[3]CB-24'!BV34+'[4]LCT-1'!BV34+'[4]LCT-2'!BV34+'[4]LCT-3'!BV34+'[4]LCT-4'!BV34+'[4]LCT-5'!BV34+'[4]LCT-6'!BV34+'[4]LCT-7'!BV34+'[4]LCT-8'!BV34+'[5]TB-1'!BV34+'[5]TB-2'!BV34+'[5]TB-3'!BV34+'[5]TB-4'!BV34+'[5]TB-5'!BV34+'[5]TB-6'!BV34+'[5]TB-7'!BV34+'[5]TB-8'!BV34+'[5]TB-9'!BV34+'[5]TB-10'!BV34+'[6]DSV-1'!BV34+'[6]DSV-2'!BV34+'[6]DSV-3'!BV34+'[7]TUB-1'!BV34+'[7]TUB-2'!BV34+'[8]Barge-1'!BV34+'[8]Barge-2'!BV34+'[8]Barge-3'!BV34+'[8]Barge-4'!BV34</f>
        <v>136.37126552534406</v>
      </c>
      <c r="Q34" s="180">
        <f>'[2]AHTS-1'!CR34+'[2]AHTS-2'!CR34+'[2]AHTS-3'!CR34+'[2]AHTS-4'!CR34+'[2]AHTS-5'!CR34+'[2]AHTS-6'!CR34+'[2]AHTS-7'!CR34+'[2]AHTS-8'!CR34+'[3]CB-1'!CR34+'[3]CB-2'!CR34+'[3]CB-3'!CR34+'[3]CB-4'!CR34+'[3]CB-5'!CR34+'[3]CB-6'!CR34+'[3]CB-7'!CR34+'[3]CB-8'!CR34+'[3]CB-9'!CR34+'[3]CB-10'!CR34+'[3]CB-11'!CR34+'[3]CB-12'!CR34+'[3]CB-13'!CR34+'[3]CB-14'!CR34+'[3]CB-15'!CR34+'[3]CB-16'!CR34+'[3]CB-17'!CR34+'[3]CB-18'!CR34+'[3]CB-19'!CR34+'[3]CB-20'!CR34+'[3]CB-21'!CR34+'[3]CB-22'!CR34+'[3]CB-23'!CR34+'[3]CB-24'!CR34+'[4]LCT-1'!CR34+'[4]LCT-2'!CR34+'[4]LCT-3'!CR34+'[4]LCT-4'!CR34+'[4]LCT-5'!CR34+'[4]LCT-6'!CR34+'[4]LCT-7'!CR34+'[4]LCT-8'!CR34+'[5]TB-1'!CR34+'[5]TB-2'!CR34+'[5]TB-3'!CR34+'[5]TB-4'!CR34+'[5]TB-5'!CR34+'[5]TB-6'!CR34+'[5]TB-7'!CR34+'[5]TB-8'!CR34+'[5]TB-9'!CR34+'[5]TB-10'!CR34+'[6]DSV-1'!CR34+'[6]DSV-2'!CR34+'[6]DSV-3'!CR34+'[7]TUB-1'!CR34+'[7]TUB-2'!CR34+'[8]Barge-1'!CR34+'[8]Barge-2'!CR34+'[8]Barge-3'!CR34+'[8]Barge-4'!CR34</f>
        <v>0</v>
      </c>
      <c r="R34" s="183">
        <f>'[2]AHTS-1'!BA34+'[2]AHTS-2'!BA34+'[2]AHTS-3'!BA34+'[2]AHTS-4'!BA34+'[2]AHTS-5'!BA34+'[2]AHTS-6'!BA34+'[2]AHTS-7'!BA34+'[2]AHTS-8'!BA34+'[3]CB-1'!BA34+'[3]CB-2'!BA34+'[3]CB-3'!BA34+'[3]CB-4'!BA34+'[3]CB-5'!BA34+'[3]CB-6'!BA34+'[3]CB-7'!BA34+'[3]CB-8'!BA34+'[3]CB-9'!BA34+'[3]CB-10'!BA34+'[3]CB-11'!BA34+'[3]CB-12'!BA34+'[3]CB-13'!BA34+'[3]CB-14'!BA34+'[3]CB-15'!BA34+'[3]CB-16'!BA34+'[3]CB-17'!BA34+'[3]CB-18'!BA34+'[3]CB-19'!BA34+'[3]CB-20'!BA34+'[3]CB-21'!BA34+'[3]CB-22'!BA34+'[3]CB-23'!BA34+'[3]CB-24'!BA34+'[4]LCT-1'!BA34+'[4]LCT-2'!BA34+'[4]LCT-3'!BA34+'[4]LCT-4'!BA34+'[4]LCT-5'!BA34+'[4]LCT-6'!BA34+'[4]LCT-7'!BA34+'[4]LCT-8'!BA34+'[5]TB-1'!BA34+'[5]TB-2'!BA34+'[5]TB-3'!BA34+'[5]TB-4'!BA34+'[5]TB-5'!BA34+'[5]TB-6'!BA34+'[5]TB-7'!BA34+'[5]TB-8'!BA34+'[5]TB-9'!BA34+'[5]TB-10'!BA34+'[6]DSV-1'!BA34+'[6]DSV-2'!BA34+'[6]DSV-3'!BA34+'[7]TUB-1'!BA34+'[7]TUB-2'!BA34+'[8]Barge-1'!BA34+'[8]Barge-2'!BA34+'[8]Barge-3'!BA34+'[8]Barge-4'!BA34</f>
        <v>4873.7327962403488</v>
      </c>
      <c r="S34" s="180">
        <f>'[2]AHTS-1'!BW34+'[2]AHTS-2'!BW34+'[2]AHTS-3'!BW34+'[2]AHTS-4'!BW34+'[2]AHTS-5'!BW34+'[2]AHTS-6'!BW34+'[2]AHTS-7'!BW34+'[2]AHTS-8'!BW34+'[3]CB-1'!BW34+'[3]CB-2'!BW34+'[3]CB-3'!BW34+'[3]CB-4'!BW34+'[3]CB-5'!BW34+'[3]CB-6'!BW34+'[3]CB-7'!BW34+'[3]CB-8'!BW34+'[3]CB-9'!BW34+'[3]CB-10'!BW34+'[3]CB-11'!BW34+'[3]CB-12'!BW34+'[3]CB-13'!BW34+'[3]CB-14'!BW34+'[3]CB-15'!BW34+'[3]CB-16'!BW34+'[3]CB-17'!BW34+'[3]CB-18'!BW34+'[3]CB-19'!BW34+'[3]CB-20'!BW34+'[3]CB-21'!BW34+'[3]CB-22'!BW34+'[3]CB-23'!BW34+'[3]CB-24'!BW34+'[4]LCT-1'!BW34+'[4]LCT-2'!BW34+'[4]LCT-3'!BW34+'[4]LCT-4'!BW34+'[4]LCT-5'!BW34+'[4]LCT-6'!BW34+'[4]LCT-7'!BW34+'[4]LCT-8'!BW34+'[5]TB-1'!BW34+'[5]TB-2'!BW34+'[5]TB-3'!BW34+'[5]TB-4'!BW34+'[5]TB-5'!BW34+'[5]TB-6'!BW34+'[5]TB-7'!BW34+'[5]TB-8'!BW34+'[5]TB-9'!BW34+'[5]TB-10'!BW34+'[6]DSV-1'!BW34+'[6]DSV-2'!BW34+'[6]DSV-3'!BW34+'[7]TUB-1'!BW34+'[7]TUB-2'!BW34+'[8]Barge-1'!BW34+'[8]Barge-2'!BW34+'[8]Barge-3'!BW34+'[8]Barge-4'!BW34</f>
        <v>5422.3313192346423</v>
      </c>
      <c r="T34" s="184">
        <f>'[2]AHTS-1'!CS34+'[2]AHTS-2'!CS34+'[2]AHTS-3'!CS34+'[2]AHTS-4'!CS34+'[2]AHTS-5'!CS34+'[2]AHTS-6'!CS34+'[2]AHTS-7'!CS34+'[2]AHTS-8'!CS34+'[3]CB-1'!CS34+'[3]CB-2'!CS34+'[3]CB-3'!CS34+'[3]CB-4'!CS34+'[3]CB-5'!CS34+'[3]CB-6'!CS34+'[3]CB-7'!CS34+'[3]CB-8'!CS34+'[3]CB-9'!CS34+'[3]CB-10'!CS34+'[3]CB-11'!CS34+'[3]CB-12'!CS34+'[3]CB-13'!CS34+'[3]CB-14'!CS34+'[3]CB-15'!CS34+'[3]CB-16'!CS34+'[3]CB-17'!CS34+'[3]CB-18'!CS34+'[3]CB-19'!CS34+'[3]CB-20'!CS34+'[3]CB-21'!CS34+'[3]CB-22'!CS34+'[3]CB-23'!CS34+'[3]CB-24'!CS34+'[4]LCT-1'!CS34+'[4]LCT-2'!CS34+'[4]LCT-3'!CS34+'[4]LCT-4'!CS34+'[4]LCT-5'!CS34+'[4]LCT-6'!CS34+'[4]LCT-7'!CS34+'[4]LCT-8'!CS34+'[5]TB-1'!CS34+'[5]TB-2'!CS34+'[5]TB-3'!CS34+'[5]TB-4'!CS34+'[5]TB-5'!CS34+'[5]TB-6'!CS34+'[5]TB-7'!CS34+'[5]TB-8'!CS34+'[5]TB-9'!CS34+'[5]TB-10'!CS34+'[6]DSV-1'!CS34+'[6]DSV-2'!CS34+'[6]DSV-3'!CS34+'[7]TUB-1'!CS34+'[7]TUB-2'!CS34+'[8]Barge-1'!CS34+'[8]Barge-2'!CS34+'[8]Barge-3'!CS34+'[8]Barge-4'!CS34</f>
        <v>0</v>
      </c>
      <c r="U34" s="183">
        <f>'[2]AHTS-1'!BB34+'[2]AHTS-2'!BB34+'[2]AHTS-3'!BB34+'[2]AHTS-4'!BB34+'[2]AHTS-5'!BB34+'[2]AHTS-6'!BB34+'[2]AHTS-7'!BB34+'[2]AHTS-8'!BB34+'[3]CB-1'!BB34+'[3]CB-2'!BB34+'[3]CB-3'!BB34+'[3]CB-4'!BB34+'[3]CB-5'!BB34+'[3]CB-6'!BB34+'[3]CB-7'!BB34+'[3]CB-8'!BB34+'[3]CB-9'!BB34+'[3]CB-10'!BB34+'[3]CB-11'!BB34+'[3]CB-12'!BB34+'[3]CB-13'!BB34+'[3]CB-14'!BB34+'[3]CB-15'!BB34+'[3]CB-16'!BB34+'[3]CB-17'!BB34+'[3]CB-18'!BB34+'[3]CB-19'!BB34+'[3]CB-20'!BB34+'[3]CB-21'!BB34+'[3]CB-22'!BB34+'[3]CB-23'!BB34+'[3]CB-24'!BB34+'[4]LCT-1'!BB34+'[4]LCT-2'!BB34+'[4]LCT-3'!BB34+'[4]LCT-4'!BB34+'[4]LCT-5'!BB34+'[4]LCT-6'!BB34+'[4]LCT-7'!BB34+'[4]LCT-8'!BB34+'[5]TB-1'!BB34+'[5]TB-2'!BB34+'[5]TB-3'!BB34+'[5]TB-4'!BB34+'[5]TB-5'!BB34+'[5]TB-6'!BB34+'[5]TB-7'!BB34+'[5]TB-8'!BB34+'[5]TB-9'!BB34+'[5]TB-10'!BB34+'[6]DSV-1'!BB34+'[6]DSV-2'!BB34+'[6]DSV-3'!BB34+'[7]TUB-1'!BB34+'[7]TUB-2'!BB34+'[8]Barge-1'!BB34+'[8]Barge-2'!BB34+'[8]Barge-3'!BB34+'[8]Barge-4'!BB34</f>
        <v>0</v>
      </c>
      <c r="V34" s="180">
        <f>'[2]AHTS-1'!BX34+'[2]AHTS-2'!BX34+'[2]AHTS-3'!BX34+'[2]AHTS-4'!BX34+'[2]AHTS-5'!BX34+'[2]AHTS-6'!BX34+'[2]AHTS-7'!BX34+'[2]AHTS-8'!BX34+'[3]CB-1'!BX34+'[3]CB-2'!BX34+'[3]CB-3'!BX34+'[3]CB-4'!BX34+'[3]CB-5'!BX34+'[3]CB-6'!BX34+'[3]CB-7'!BX34+'[3]CB-8'!BX34+'[3]CB-9'!BX34+'[3]CB-10'!BX34+'[3]CB-11'!BX34+'[3]CB-12'!BX34+'[3]CB-13'!BX34+'[3]CB-14'!BX34+'[3]CB-15'!BX34+'[3]CB-16'!BX34+'[3]CB-17'!BX34+'[3]CB-18'!BX34+'[3]CB-19'!BX34+'[3]CB-20'!BX34+'[3]CB-21'!BX34+'[3]CB-22'!BX34+'[3]CB-23'!BX34+'[3]CB-24'!BX34+'[4]LCT-1'!BX34+'[4]LCT-2'!BX34+'[4]LCT-3'!BX34+'[4]LCT-4'!BX34+'[4]LCT-5'!BX34+'[4]LCT-6'!BX34+'[4]LCT-7'!BX34+'[4]LCT-8'!BX34+'[5]TB-1'!BX34+'[5]TB-2'!BX34+'[5]TB-3'!BX34+'[5]TB-4'!BX34+'[5]TB-5'!BX34+'[5]TB-6'!BX34+'[5]TB-7'!BX34+'[5]TB-8'!BX34+'[5]TB-9'!BX34+'[5]TB-10'!BX34+'[6]DSV-1'!BX34+'[6]DSV-2'!BX34+'[6]DSV-3'!BX34+'[7]TUB-1'!BX34+'[7]TUB-2'!BX34+'[8]Barge-1'!BX34+'[8]Barge-2'!BX34+'[8]Barge-3'!BX34+'[8]Barge-4'!BX34</f>
        <v>0</v>
      </c>
      <c r="W34" s="184">
        <f>'[2]AHTS-1'!CT34+'[2]AHTS-2'!CT34+'[2]AHTS-3'!CT34+'[2]AHTS-4'!CT34+'[2]AHTS-5'!CT34+'[2]AHTS-6'!CT34+'[2]AHTS-7'!CT34+'[2]AHTS-8'!CT34+'[3]CB-1'!CT34+'[3]CB-2'!CT34+'[3]CB-3'!CT34+'[3]CB-4'!CT34+'[3]CB-5'!CT34+'[3]CB-6'!CT34+'[3]CB-7'!CT34+'[3]CB-8'!CT34+'[3]CB-9'!CT34+'[3]CB-10'!CT34+'[3]CB-11'!CT34+'[3]CB-12'!CT34+'[3]CB-13'!CT34+'[3]CB-14'!CT34+'[3]CB-15'!CT34+'[3]CB-16'!CT34+'[3]CB-17'!CT34+'[3]CB-18'!CT34+'[3]CB-19'!CT34+'[3]CB-20'!CT34+'[3]CB-21'!CT34+'[3]CB-22'!CT34+'[3]CB-23'!CT34+'[3]CB-24'!CT34+'[4]LCT-1'!CT34+'[4]LCT-2'!CT34+'[4]LCT-3'!CT34+'[4]LCT-4'!CT34+'[4]LCT-5'!CT34+'[4]LCT-6'!CT34+'[4]LCT-7'!CT34+'[4]LCT-8'!CT34+'[5]TB-1'!CT34+'[5]TB-2'!CT34+'[5]TB-3'!CT34+'[5]TB-4'!CT34+'[5]TB-5'!CT34+'[5]TB-6'!CT34+'[5]TB-7'!CT34+'[5]TB-8'!CT34+'[5]TB-9'!CT34+'[5]TB-10'!CT34+'[6]DSV-1'!CT34+'[6]DSV-2'!CT34+'[6]DSV-3'!CT34+'[7]TUB-1'!CT34+'[7]TUB-2'!CT34+'[8]Barge-1'!CT34+'[8]Barge-2'!CT34+'[8]Barge-3'!CT34+'[8]Barge-4'!CT34</f>
        <v>0</v>
      </c>
      <c r="X34" s="67"/>
      <c r="Y34" s="67"/>
      <c r="Z34" s="68"/>
      <c r="AA34" s="111">
        <f>[1]Control!AZ34</f>
        <v>46009</v>
      </c>
      <c r="AB34" s="66"/>
      <c r="AC34" s="132">
        <f>'[2]AHTS-1'!IC72+'[2]AHTS-2'!IC72+'[2]AHTS-3'!IC72+'[2]AHTS-4'!IC72+'[2]AHTS-5'!IC72+'[2]AHTS-6'!IC72+'[2]AHTS-7'!IC72+'[2]AHTS-8'!IC72+'[3]CB-1'!IC72+'[3]CB-2'!IC72+'[3]CB-3'!IC72+'[3]CB-4'!IC72+'[3]CB-5'!IC72+'[3]CB-6'!IC72+'[3]CB-7'!IC72+'[3]CB-8'!IC72+'[3]CB-9'!IC72+'[3]CB-10'!IC72+'[3]CB-11'!IC72+'[3]CB-12'!IC72+'[3]CB-13'!IC72+'[3]CB-14'!IC72+'[3]CB-15'!IC72+'[3]CB-16'!IC72+'[3]CB-17'!IC72+'[3]CB-18'!IC72+'[3]CB-19'!IC72+'[3]CB-20'!IC72+'[3]CB-21'!IC72+'[3]CB-22'!IC72+'[3]CB-23'!IC72+'[3]CB-24'!IC72+'[4]LCT-1'!IC72+'[4]LCT-2'!IC72+'[4]LCT-3'!IC72+'[4]LCT-4'!IC72+'[4]LCT-5'!IC72+'[4]LCT-6'!IC72+'[4]LCT-7'!IC72+'[4]LCT-8'!IC72+'[5]TB-1'!IC72+'[5]TB-2'!IC72+'[5]TB-3'!IC72+'[5]TB-4'!IC72+'[5]TB-5'!IC72+'[5]TB-6'!IC72+'[5]TB-7'!IC72+'[5]TB-8'!IC72+'[5]TB-9'!IC72+'[5]TB-10'!IC72+'[6]DSV-1'!IC72+'[6]DSV-2'!IC72+'[6]DSV-3'!IC72+'[7]TUB-1'!IC72+'[7]TUB-2'!IC72+'[8]Barge-1'!IC72+'[8]Barge-2'!IC72+'[8]Barge-3'!IC72+'[8]Barge-4'!IC72</f>
        <v>0</v>
      </c>
      <c r="AD34" s="133">
        <f>'[2]AHTS-1'!IC34+'[2]AHTS-2'!IC34+'[2]AHTS-3'!IC34+'[2]AHTS-4'!IC34+'[2]AHTS-5'!IC34+'[2]AHTS-6'!IC34+'[2]AHTS-7'!IC34+'[2]AHTS-8'!IC34+'[3]CB-1'!IC34+'[3]CB-2'!IC34+'[3]CB-3'!IC34+'[3]CB-4'!IC34+'[3]CB-5'!IC34+'[3]CB-6'!IC34+'[3]CB-7'!IC34+'[3]CB-8'!IC34+'[3]CB-9'!IC34+'[3]CB-10'!IC34+'[3]CB-11'!IC34+'[3]CB-12'!IC34+'[3]CB-13'!IC34+'[3]CB-14'!IC34+'[3]CB-15'!IC34+'[3]CB-16'!IC34+'[3]CB-17'!IC34+'[3]CB-18'!IC34+'[3]CB-19'!IC34+'[3]CB-20'!IC34+'[3]CB-21'!IC34+'[3]CB-22'!IC34+'[3]CB-23'!IC34+'[3]CB-24'!IC34+'[4]LCT-1'!IC34+'[4]LCT-2'!IC34+'[4]LCT-3'!IC34+'[4]LCT-4'!IC34+'[4]LCT-5'!IC34+'[4]LCT-6'!IC34+'[4]LCT-7'!IC34+'[4]LCT-8'!IC34+'[5]TB-1'!IC34+'[5]TB-2'!IC34+'[5]TB-3'!IC34+'[5]TB-4'!IC34+'[5]TB-5'!IC34+'[5]TB-6'!IC34+'[5]TB-7'!IC34+'[5]TB-8'!IC34+'[5]TB-9'!IC34+'[5]TB-10'!IC34+'[6]DSV-1'!IC34+'[6]DSV-2'!IC34+'[6]DSV-3'!IC34+'[7]TUB-1'!IC34+'[7]TUB-2'!IC34+'[8]Barge-1'!IC34+'[8]Barge-2'!IC34+'[8]Barge-3'!IC34+'[8]Barge-4'!IC34</f>
        <v>0</v>
      </c>
      <c r="AE34" s="134">
        <f>'[2]AHTS-1'!IC105+'[2]AHTS-2'!IC105+'[2]AHTS-3'!IC105+'[2]AHTS-4'!IC105+'[2]AHTS-5'!IC105+'[2]AHTS-6'!IC105+'[2]AHTS-7'!IC105+'[2]AHTS-8'!IC105+'[3]CB-1'!IC105+'[3]CB-2'!IC105+'[3]CB-3'!IC105+'[3]CB-4'!IC105+'[3]CB-5'!IC105+'[3]CB-6'!IC105+'[3]CB-7'!IC105+'[3]CB-8'!IC105+'[3]CB-9'!IC105+'[3]CB-10'!IC105+'[3]CB-11'!IC105+'[3]CB-12'!IC105+'[3]CB-13'!IC105+'[3]CB-14'!IC105+'[3]CB-15'!IC105+'[3]CB-16'!IC105+'[3]CB-17'!IC105+'[3]CB-18'!IC105+'[3]CB-19'!IC105+'[3]CB-20'!IC105+'[3]CB-21'!IC105+'[3]CB-22'!IC105+'[3]CB-23'!IC105+'[3]CB-24'!IC105+'[4]LCT-1'!IC105+'[4]LCT-2'!IC105+'[4]LCT-3'!IC105+'[4]LCT-4'!IC105+'[4]LCT-5'!IC105+'[4]LCT-6'!IC105+'[4]LCT-7'!IC105+'[4]LCT-8'!IC105+'[5]TB-1'!IC105+'[5]TB-2'!IC105+'[5]TB-3'!IC105+'[5]TB-4'!IC105+'[5]TB-5'!IC105+'[5]TB-6'!IC105+'[5]TB-7'!IC105+'[5]TB-8'!IC105+'[5]TB-9'!IC105+'[5]TB-10'!IC105+'[6]DSV-1'!IC105+'[6]DSV-2'!IC105+'[6]DSV-3'!IC105+'[7]TUB-1'!IC105+'[7]TUB-2'!IC105+'[8]Barge-1'!IC105+'[8]Barge-2'!IC105+'[8]Barge-3'!IC105+'[8]Barge-4'!IC105</f>
        <v>0</v>
      </c>
      <c r="AF34" s="135">
        <f>'[2]AHTS-1'!ID72+'[2]AHTS-2'!ID72+'[2]AHTS-3'!ID72+'[2]AHTS-4'!ID72+'[2]AHTS-5'!ID72+'[2]AHTS-6'!ID72+'[2]AHTS-7'!ID72+'[2]AHTS-8'!ID72+'[3]CB-1'!ID72+'[3]CB-2'!ID72+'[3]CB-3'!ID72+'[3]CB-4'!ID72+'[3]CB-5'!ID72+'[3]CB-6'!ID72+'[3]CB-7'!ID72+'[3]CB-8'!ID72+'[3]CB-9'!ID72+'[3]CB-10'!ID72+'[3]CB-11'!ID72+'[3]CB-12'!ID72+'[3]CB-13'!ID72+'[3]CB-14'!ID72+'[3]CB-15'!ID72+'[3]CB-16'!ID72+'[3]CB-17'!ID72+'[3]CB-18'!ID72+'[3]CB-19'!ID72+'[3]CB-20'!ID72+'[3]CB-21'!ID72+'[3]CB-22'!ID72+'[3]CB-23'!ID72+'[3]CB-24'!ID72+'[4]LCT-1'!ID72+'[4]LCT-2'!ID72+'[4]LCT-3'!ID72+'[4]LCT-4'!ID72+'[4]LCT-5'!ID72+'[4]LCT-6'!ID72+'[4]LCT-7'!ID72+'[4]LCT-8'!ID72+'[5]TB-1'!ID72+'[5]TB-2'!ID72+'[5]TB-3'!ID72+'[5]TB-4'!ID72+'[5]TB-5'!ID72+'[5]TB-6'!ID72+'[5]TB-7'!ID72+'[5]TB-8'!ID72+'[5]TB-9'!ID72+'[5]TB-10'!ID72+'[6]DSV-1'!ID72+'[6]DSV-2'!ID72+'[6]DSV-3'!ID72+'[7]TUB-1'!ID72+'[7]TUB-2'!ID72+'[8]Barge-1'!ID72+'[8]Barge-2'!ID72+'[8]Barge-3'!ID72+'[8]Barge-4'!ID72</f>
        <v>31162322.222222224</v>
      </c>
      <c r="AG34" s="136">
        <f>'[2]AHTS-1'!ID34+'[2]AHTS-2'!ID34+'[2]AHTS-3'!ID34+'[2]AHTS-4'!ID34+'[2]AHTS-5'!ID34+'[2]AHTS-6'!ID34+'[2]AHTS-7'!ID34+'[2]AHTS-8'!ID34+'[3]CB-1'!ID34+'[3]CB-2'!ID34+'[3]CB-3'!ID34+'[3]CB-4'!ID34+'[3]CB-5'!ID34+'[3]CB-6'!ID34+'[3]CB-7'!ID34+'[3]CB-8'!ID34+'[3]CB-9'!ID34+'[3]CB-10'!ID34+'[3]CB-11'!ID34+'[3]CB-12'!ID34+'[3]CB-13'!ID34+'[3]CB-14'!ID34+'[3]CB-15'!ID34+'[3]CB-16'!ID34+'[3]CB-17'!ID34+'[3]CB-18'!ID34+'[3]CB-19'!ID34+'[3]CB-20'!ID34+'[3]CB-21'!ID34+'[3]CB-22'!ID34+'[3]CB-23'!ID34+'[3]CB-24'!ID34+'[4]LCT-1'!ID34+'[4]LCT-2'!ID34+'[4]LCT-3'!ID34+'[4]LCT-4'!ID34+'[4]LCT-5'!ID34+'[4]LCT-6'!ID34+'[4]LCT-7'!ID34+'[4]LCT-8'!ID34+'[5]TB-1'!ID34+'[5]TB-2'!ID34+'[5]TB-3'!ID34+'[5]TB-4'!ID34+'[5]TB-5'!ID34+'[5]TB-6'!ID34+'[5]TB-7'!ID34+'[5]TB-8'!ID34+'[5]TB-9'!ID34+'[5]TB-10'!ID34+'[6]DSV-1'!ID34+'[6]DSV-2'!ID34+'[6]DSV-3'!ID34+'[7]TUB-1'!ID34+'[7]TUB-2'!ID34+'[8]Barge-1'!ID34+'[8]Barge-2'!ID34+'[8]Barge-3'!ID34+'[8]Barge-4'!ID34</f>
        <v>28756944.444444444</v>
      </c>
      <c r="AH34" s="136">
        <f>'[2]AHTS-1'!ID105+'[2]AHTS-2'!ID105+'[2]AHTS-3'!ID105+'[2]AHTS-4'!ID105+'[2]AHTS-5'!ID105+'[2]AHTS-6'!ID105+'[2]AHTS-7'!ID105+'[2]AHTS-8'!ID105+'[3]CB-1'!ID105+'[3]CB-2'!ID105+'[3]CB-3'!ID105+'[3]CB-4'!ID105+'[3]CB-5'!ID105+'[3]CB-6'!ID105+'[3]CB-7'!ID105+'[3]CB-8'!ID105+'[3]CB-9'!ID105+'[3]CB-10'!ID105+'[3]CB-11'!ID105+'[3]CB-12'!ID105+'[3]CB-13'!ID105+'[3]CB-14'!ID105+'[3]CB-15'!ID105+'[3]CB-16'!ID105+'[3]CB-17'!ID105+'[3]CB-18'!ID105+'[3]CB-19'!ID105+'[3]CB-20'!ID105+'[3]CB-21'!ID105+'[3]CB-22'!ID105+'[3]CB-23'!ID105+'[3]CB-24'!ID105+'[4]LCT-1'!ID105+'[4]LCT-2'!ID105+'[4]LCT-3'!ID105+'[4]LCT-4'!ID105+'[4]LCT-5'!ID105+'[4]LCT-6'!ID105+'[4]LCT-7'!ID105+'[4]LCT-8'!ID105+'[5]TB-1'!ID105+'[5]TB-2'!ID105+'[5]TB-3'!ID105+'[5]TB-4'!ID105+'[5]TB-5'!ID105+'[5]TB-6'!ID105+'[5]TB-7'!ID105+'[5]TB-8'!ID105+'[5]TB-9'!ID105+'[5]TB-10'!ID105+'[6]DSV-1'!ID105+'[6]DSV-2'!ID105+'[6]DSV-3'!ID105+'[7]TUB-1'!ID105+'[7]TUB-2'!ID105+'[8]Barge-1'!ID105+'[8]Barge-2'!ID105+'[8]Barge-3'!ID105+'[8]Barge-4'!ID105</f>
        <v>0</v>
      </c>
      <c r="AI34" s="135">
        <f>'[2]AHTS-1'!IE72+'[2]AHTS-2'!IE72+'[2]AHTS-3'!IE72+'[2]AHTS-4'!IE72+'[2]AHTS-5'!IE72+'[2]AHTS-6'!IE72+'[2]AHTS-7'!IE72+'[2]AHTS-8'!IE72+'[3]CB-1'!IE72+'[3]CB-2'!IE72+'[3]CB-3'!IE72+'[3]CB-4'!IE72+'[3]CB-5'!IE72+'[3]CB-6'!IE72+'[3]CB-7'!IE72+'[3]CB-8'!IE72+'[3]CB-9'!IE72+'[3]CB-10'!IE72+'[3]CB-11'!IE72+'[3]CB-12'!IE72+'[3]CB-13'!IE72+'[3]CB-14'!IE72+'[3]CB-15'!IE72+'[3]CB-16'!IE72+'[3]CB-17'!IE72+'[3]CB-18'!IE72+'[3]CB-19'!IE72+'[3]CB-20'!IE72+'[3]CB-21'!IE72+'[3]CB-22'!IE72+'[3]CB-23'!IE72+'[3]CB-24'!IE72+'[4]LCT-1'!IE72+'[4]LCT-2'!IE72+'[4]LCT-3'!IE72+'[4]LCT-4'!IE72+'[4]LCT-5'!IE72+'[4]LCT-6'!IE72+'[4]LCT-7'!IE72+'[4]LCT-8'!IE72+'[5]TB-1'!IE72+'[5]TB-2'!IE72+'[5]TB-3'!IE72+'[5]TB-4'!IE72+'[5]TB-5'!IE72+'[5]TB-6'!IE72+'[5]TB-7'!IE72+'[5]TB-8'!IE72+'[5]TB-9'!IE72+'[5]TB-10'!IE72+'[6]DSV-1'!IE72+'[6]DSV-2'!IE72+'[6]DSV-3'!IE72+'[7]TUB-1'!IE72+'[7]TUB-2'!IE72+'[8]Barge-1'!IE72+'[8]Barge-2'!IE72+'[8]Barge-3'!IE72+'[8]Barge-4'!IE72</f>
        <v>90405905.555555552</v>
      </c>
      <c r="AJ34" s="136">
        <f>'[2]AHTS-1'!IE34+'[2]AHTS-2'!IE34+'[2]AHTS-3'!IE34+'[2]AHTS-4'!IE34+'[2]AHTS-5'!IE34+'[2]AHTS-6'!IE34+'[2]AHTS-7'!IE34+'[2]AHTS-8'!IE34+'[3]CB-1'!IE34+'[3]CB-2'!IE34+'[3]CB-3'!IE34+'[3]CB-4'!IE34+'[3]CB-5'!IE34+'[3]CB-6'!IE34+'[3]CB-7'!IE34+'[3]CB-8'!IE34+'[3]CB-9'!IE34+'[3]CB-10'!IE34+'[3]CB-11'!IE34+'[3]CB-12'!IE34+'[3]CB-13'!IE34+'[3]CB-14'!IE34+'[3]CB-15'!IE34+'[3]CB-16'!IE34+'[3]CB-17'!IE34+'[3]CB-18'!IE34+'[3]CB-19'!IE34+'[3]CB-20'!IE34+'[3]CB-21'!IE34+'[3]CB-22'!IE34+'[3]CB-23'!IE34+'[3]CB-24'!IE34+'[4]LCT-1'!IE34+'[4]LCT-2'!IE34+'[4]LCT-3'!IE34+'[4]LCT-4'!IE34+'[4]LCT-5'!IE34+'[4]LCT-6'!IE34+'[4]LCT-7'!IE34+'[4]LCT-8'!IE34+'[5]TB-1'!IE34+'[5]TB-2'!IE34+'[5]TB-3'!IE34+'[5]TB-4'!IE34+'[5]TB-5'!IE34+'[5]TB-6'!IE34+'[5]TB-7'!IE34+'[5]TB-8'!IE34+'[5]TB-9'!IE34+'[5]TB-10'!IE34+'[6]DSV-1'!IE34+'[6]DSV-2'!IE34+'[6]DSV-3'!IE34+'[7]TUB-1'!IE34+'[7]TUB-2'!IE34+'[8]Barge-1'!IE34+'[8]Barge-2'!IE34+'[8]Barge-3'!IE34+'[8]Barge-4'!IE34</f>
        <v>63631944.444444448</v>
      </c>
      <c r="AK34" s="136">
        <f>'[2]AHTS-1'!IE105+'[2]AHTS-2'!IE105+'[2]AHTS-3'!IE105+'[2]AHTS-4'!IE105+'[2]AHTS-5'!IE105+'[2]AHTS-6'!IE105+'[2]AHTS-7'!IE105+'[2]AHTS-8'!IE105+'[3]CB-1'!IE105+'[3]CB-2'!IE105+'[3]CB-3'!IE105+'[3]CB-4'!IE105+'[3]CB-5'!IE105+'[3]CB-6'!IE105+'[3]CB-7'!IE105+'[3]CB-8'!IE105+'[3]CB-9'!IE105+'[3]CB-10'!IE105+'[3]CB-11'!IE105+'[3]CB-12'!IE105+'[3]CB-13'!IE105+'[3]CB-14'!IE105+'[3]CB-15'!IE105+'[3]CB-16'!IE105+'[3]CB-17'!IE105+'[3]CB-18'!IE105+'[3]CB-19'!IE105+'[3]CB-20'!IE105+'[3]CB-21'!IE105+'[3]CB-22'!IE105+'[3]CB-23'!IE105+'[3]CB-24'!IE105+'[4]LCT-1'!IE105+'[4]LCT-2'!IE105+'[4]LCT-3'!IE105+'[4]LCT-4'!IE105+'[4]LCT-5'!IE105+'[4]LCT-6'!IE105+'[4]LCT-7'!IE105+'[4]LCT-8'!IE105+'[5]TB-1'!IE105+'[5]TB-2'!IE105+'[5]TB-3'!IE105+'[5]TB-4'!IE105+'[5]TB-5'!IE105+'[5]TB-6'!IE105+'[5]TB-7'!IE105+'[5]TB-8'!IE105+'[5]TB-9'!IE105+'[5]TB-10'!IE105+'[6]DSV-1'!IE105+'[6]DSV-2'!IE105+'[6]DSV-3'!IE105+'[7]TUB-1'!IE105+'[7]TUB-2'!IE105+'[8]Barge-1'!IE105+'[8]Barge-2'!IE105+'[8]Barge-3'!IE105+'[8]Barge-4'!IE105</f>
        <v>0</v>
      </c>
      <c r="AL34" s="137">
        <f>'[2]AHTS-1'!IF72+'[2]AHTS-2'!IF72+'[2]AHTS-3'!IF72+'[2]AHTS-4'!IF72+'[2]AHTS-5'!IF72+'[2]AHTS-6'!IF72+'[2]AHTS-7'!IF72+'[2]AHTS-8'!IF72+'[3]CB-1'!IF72+'[3]CB-2'!IF72+'[3]CB-3'!IF72+'[3]CB-4'!IF72+'[3]CB-5'!IF72+'[3]CB-6'!IF72+'[3]CB-7'!IF72+'[3]CB-8'!IF72+'[3]CB-9'!IF72+'[3]CB-10'!IF72+'[3]CB-11'!IF72+'[3]CB-12'!IF72+'[3]CB-13'!IF72+'[3]CB-14'!IF72+'[3]CB-15'!IF72+'[3]CB-16'!IF72+'[3]CB-17'!IF72+'[3]CB-18'!IF72+'[3]CB-19'!IF72+'[3]CB-20'!IF72+'[3]CB-21'!IF72+'[3]CB-22'!IF72+'[3]CB-23'!IF72+'[3]CB-24'!IF72+'[4]LCT-1'!IF72+'[4]LCT-2'!IF72+'[4]LCT-3'!IF72+'[4]LCT-4'!IF72+'[4]LCT-5'!IF72+'[4]LCT-6'!IF72+'[4]LCT-7'!IF72+'[4]LCT-8'!IF72+'[5]TB-1'!IF72+'[5]TB-2'!IF72+'[5]TB-3'!IF72+'[5]TB-4'!IF72+'[5]TB-5'!IF72+'[5]TB-6'!IF72+'[5]TB-7'!IF72+'[5]TB-8'!IF72+'[5]TB-9'!IF72+'[5]TB-10'!IF72+'[6]DSV-1'!IF72+'[6]DSV-2'!IF72+'[6]DSV-3'!IF72+'[7]TUB-1'!IF72+'[7]TUB-2'!IF72+'[8]Barge-1'!IF72+'[8]Barge-2'!IF72+'[8]Barge-3'!IF72+'[8]Barge-4'!IF72</f>
        <v>42781350</v>
      </c>
      <c r="AM34" s="138">
        <f>'[2]AHTS-1'!IF34+'[2]AHTS-2'!IF34+'[2]AHTS-3'!IF34+'[2]AHTS-4'!IF34+'[2]AHTS-5'!IF34+'[2]AHTS-6'!IF34+'[2]AHTS-7'!IF34+'[2]AHTS-8'!IF34+'[3]CB-1'!IF34+'[3]CB-2'!IF34+'[3]CB-3'!IF34+'[3]CB-4'!IF34+'[3]CB-5'!IF34+'[3]CB-6'!IF34+'[3]CB-7'!IF34+'[3]CB-8'!IF34+'[3]CB-9'!IF34+'[3]CB-10'!IF34+'[3]CB-11'!IF34+'[3]CB-12'!IF34+'[3]CB-13'!IF34+'[3]CB-14'!IF34+'[3]CB-15'!IF34+'[3]CB-16'!IF34+'[3]CB-17'!IF34+'[3]CB-18'!IF34+'[3]CB-19'!IF34+'[3]CB-20'!IF34+'[3]CB-21'!IF34+'[3]CB-22'!IF34+'[3]CB-23'!IF34+'[3]CB-24'!IF34+'[4]LCT-1'!IF34+'[4]LCT-2'!IF34+'[4]LCT-3'!IF34+'[4]LCT-4'!IF34+'[4]LCT-5'!IF34+'[4]LCT-6'!IF34+'[4]LCT-7'!IF34+'[4]LCT-8'!IF34+'[5]TB-1'!IF34+'[5]TB-2'!IF34+'[5]TB-3'!IF34+'[5]TB-4'!IF34+'[5]TB-5'!IF34+'[5]TB-6'!IF34+'[5]TB-7'!IF34+'[5]TB-8'!IF34+'[5]TB-9'!IF34+'[5]TB-10'!IF34+'[6]DSV-1'!IF34+'[6]DSV-2'!IF34+'[6]DSV-3'!IF34+'[7]TUB-1'!IF34+'[7]TUB-2'!IF34+'[8]Barge-1'!IF34+'[8]Barge-2'!IF34+'[8]Barge-3'!IF34+'[8]Barge-4'!IF34</f>
        <v>63200000</v>
      </c>
      <c r="AN34" s="138">
        <f>'[2]AHTS-1'!IF105+'[2]AHTS-2'!IF105+'[2]AHTS-3'!IF105+'[2]AHTS-4'!IF105+'[2]AHTS-5'!IF105+'[2]AHTS-6'!IF105+'[2]AHTS-7'!IF105+'[2]AHTS-8'!IF105+'[3]CB-1'!IF105+'[3]CB-2'!IF105+'[3]CB-3'!IF105+'[3]CB-4'!IF105+'[3]CB-5'!IF105+'[3]CB-6'!IF105+'[3]CB-7'!IF105+'[3]CB-8'!IF105+'[3]CB-9'!IF105+'[3]CB-10'!IF105+'[3]CB-11'!IF105+'[3]CB-12'!IF105+'[3]CB-13'!IF105+'[3]CB-14'!IF105+'[3]CB-15'!IF105+'[3]CB-16'!IF105+'[3]CB-17'!IF105+'[3]CB-18'!IF105+'[3]CB-19'!IF105+'[3]CB-20'!IF105+'[3]CB-21'!IF105+'[3]CB-22'!IF105+'[3]CB-23'!IF105+'[3]CB-24'!IF105+'[4]LCT-1'!IF105+'[4]LCT-2'!IF105+'[4]LCT-3'!IF105+'[4]LCT-4'!IF105+'[4]LCT-5'!IF105+'[4]LCT-6'!IF105+'[4]LCT-7'!IF105+'[4]LCT-8'!IF105+'[5]TB-1'!IF105+'[5]TB-2'!IF105+'[5]TB-3'!IF105+'[5]TB-4'!IF105+'[5]TB-5'!IF105+'[5]TB-6'!IF105+'[5]TB-7'!IF105+'[5]TB-8'!IF105+'[5]TB-9'!IF105+'[5]TB-10'!IF105+'[6]DSV-1'!IF105+'[6]DSV-2'!IF105+'[6]DSV-3'!IF105+'[7]TUB-1'!IF105+'[7]TUB-2'!IF105+'[8]Barge-1'!IF105+'[8]Barge-2'!IF105+'[8]Barge-3'!IF105+'[8]Barge-4'!IF105</f>
        <v>0</v>
      </c>
      <c r="AO34" s="135">
        <f>'[2]AHTS-1'!IG72+'[2]AHTS-2'!IG72+'[2]AHTS-3'!IG72+'[2]AHTS-4'!IG72+'[2]AHTS-5'!IG72+'[2]AHTS-6'!IG72+'[2]AHTS-7'!IG72+'[2]AHTS-8'!IG72+'[3]CB-1'!IG72+'[3]CB-2'!IG72+'[3]CB-3'!IG72+'[3]CB-4'!IG72+'[3]CB-5'!IG72+'[3]CB-6'!IG72+'[3]CB-7'!IG72+'[3]CB-8'!IG72+'[3]CB-9'!IG72+'[3]CB-10'!IG72+'[3]CB-11'!IG72+'[3]CB-12'!IG72+'[3]CB-13'!IG72+'[3]CB-14'!IG72+'[3]CB-15'!IG72+'[3]CB-16'!IG72+'[3]CB-17'!IG72+'[3]CB-18'!IG72+'[3]CB-19'!IG72+'[3]CB-20'!IG72+'[3]CB-21'!IG72+'[3]CB-22'!IG72+'[3]CB-23'!IG72+'[3]CB-24'!IG72+'[4]LCT-1'!IG72+'[4]LCT-2'!IG72+'[4]LCT-3'!IG72+'[4]LCT-4'!IG72+'[4]LCT-5'!IG72+'[4]LCT-6'!IG72+'[4]LCT-7'!IG72+'[4]LCT-8'!IG72+'[5]TB-1'!IG72+'[5]TB-2'!IG72+'[5]TB-3'!IG72+'[5]TB-4'!IG72+'[5]TB-5'!IG72+'[5]TB-6'!IG72+'[5]TB-7'!IG72+'[5]TB-8'!IG72+'[5]TB-9'!IG72+'[5]TB-10'!IG72+'[6]DSV-1'!IG72+'[6]DSV-2'!IG72+'[6]DSV-3'!IG72+'[7]TUB-1'!IG72+'[7]TUB-2'!IG72+'[8]Barge-1'!IG72+'[8]Barge-2'!IG72+'[8]Barge-3'!IG72+'[8]Barge-4'!IG72</f>
        <v>274550</v>
      </c>
      <c r="AP34" s="136">
        <f>'[2]AHTS-1'!IG34+'[2]AHTS-2'!IG34+'[2]AHTS-3'!IG34+'[2]AHTS-4'!IG34+'[2]AHTS-5'!IG34+'[2]AHTS-6'!IG34+'[2]AHTS-7'!IG34+'[2]AHTS-8'!IG34+'[3]CB-1'!IG34+'[3]CB-2'!IG34+'[3]CB-3'!IG34+'[3]CB-4'!IG34+'[3]CB-5'!IG34+'[3]CB-6'!IG34+'[3]CB-7'!IG34+'[3]CB-8'!IG34+'[3]CB-9'!IG34+'[3]CB-10'!IG34+'[3]CB-11'!IG34+'[3]CB-12'!IG34+'[3]CB-13'!IG34+'[3]CB-14'!IG34+'[3]CB-15'!IG34+'[3]CB-16'!IG34+'[3]CB-17'!IG34+'[3]CB-18'!IG34+'[3]CB-19'!IG34+'[3]CB-20'!IG34+'[3]CB-21'!IG34+'[3]CB-22'!IG34+'[3]CB-23'!IG34+'[3]CB-24'!IG34+'[4]LCT-1'!IG34+'[4]LCT-2'!IG34+'[4]LCT-3'!IG34+'[4]LCT-4'!IG34+'[4]LCT-5'!IG34+'[4]LCT-6'!IG34+'[4]LCT-7'!IG34+'[4]LCT-8'!IG34+'[5]TB-1'!IG34+'[5]TB-2'!IG34+'[5]TB-3'!IG34+'[5]TB-4'!IG34+'[5]TB-5'!IG34+'[5]TB-6'!IG34+'[5]TB-7'!IG34+'[5]TB-8'!IG34+'[5]TB-9'!IG34+'[5]TB-10'!IG34+'[6]DSV-1'!IG34+'[6]DSV-2'!IG34+'[6]DSV-3'!IG34+'[7]TUB-1'!IG34+'[7]TUB-2'!IG34+'[8]Barge-1'!IG34+'[8]Barge-2'!IG34+'[8]Barge-3'!IG34+'[8]Barge-4'!IG34</f>
        <v>2166666.6666666665</v>
      </c>
      <c r="AQ34" s="136">
        <f>'[2]AHTS-1'!IG105+'[2]AHTS-2'!IG105+'[2]AHTS-3'!IG105+'[2]AHTS-4'!IG105+'[2]AHTS-5'!IG105+'[2]AHTS-6'!IG105+'[2]AHTS-7'!IG105+'[2]AHTS-8'!IG105+'[3]CB-1'!IG105+'[3]CB-2'!IG105+'[3]CB-3'!IG105+'[3]CB-4'!IG105+'[3]CB-5'!IG105+'[3]CB-6'!IG105+'[3]CB-7'!IG105+'[3]CB-8'!IG105+'[3]CB-9'!IG105+'[3]CB-10'!IG105+'[3]CB-11'!IG105+'[3]CB-12'!IG105+'[3]CB-13'!IG105+'[3]CB-14'!IG105+'[3]CB-15'!IG105+'[3]CB-16'!IG105+'[3]CB-17'!IG105+'[3]CB-18'!IG105+'[3]CB-19'!IG105+'[3]CB-20'!IG105+'[3]CB-21'!IG105+'[3]CB-22'!IG105+'[3]CB-23'!IG105+'[3]CB-24'!IG105+'[4]LCT-1'!IG105+'[4]LCT-2'!IG105+'[4]LCT-3'!IG105+'[4]LCT-4'!IG105+'[4]LCT-5'!IG105+'[4]LCT-6'!IG105+'[4]LCT-7'!IG105+'[4]LCT-8'!IG105+'[5]TB-1'!IG105+'[5]TB-2'!IG105+'[5]TB-3'!IG105+'[5]TB-4'!IG105+'[5]TB-5'!IG105+'[5]TB-6'!IG105+'[5]TB-7'!IG105+'[5]TB-8'!IG105+'[5]TB-9'!IG105+'[5]TB-10'!IG105+'[6]DSV-1'!IG105+'[6]DSV-2'!IG105+'[6]DSV-3'!IG105+'[7]TUB-1'!IG105+'[7]TUB-2'!IG105+'[8]Barge-1'!IG105+'[8]Barge-2'!IG105+'[8]Barge-3'!IG105+'[8]Barge-4'!IG105</f>
        <v>0</v>
      </c>
      <c r="AR34" s="139">
        <f>'[2]AHTS-1'!IH72+'[2]AHTS-2'!IH72+'[2]AHTS-3'!IH72+'[2]AHTS-4'!IH72+'[2]AHTS-5'!IH72+'[2]AHTS-6'!IH72+'[2]AHTS-7'!IH72+'[2]AHTS-8'!IH72+'[3]CB-1'!IH72+'[3]CB-2'!IH72+'[3]CB-3'!IH72+'[3]CB-4'!IH72+'[3]CB-5'!IH72+'[3]CB-6'!IH72+'[3]CB-7'!IH72+'[3]CB-8'!IH72+'[3]CB-9'!IH72+'[3]CB-10'!IH72+'[3]CB-11'!IH72+'[3]CB-12'!IH72+'[3]CB-13'!IH72+'[3]CB-14'!IH72+'[3]CB-15'!IH72+'[3]CB-16'!IH72+'[3]CB-17'!IH72+'[3]CB-18'!IH72+'[3]CB-19'!IH72+'[3]CB-20'!IH72+'[3]CB-21'!IH72+'[3]CB-22'!IH72+'[3]CB-23'!IH72+'[3]CB-24'!IH72+'[4]LCT-1'!IH72+'[4]LCT-2'!IH72+'[4]LCT-3'!IH72+'[4]LCT-4'!IH72+'[4]LCT-5'!IH72+'[4]LCT-6'!IH72+'[4]LCT-7'!IH72+'[4]LCT-8'!IH72+'[5]TB-1'!IH72+'[5]TB-2'!IH72+'[5]TB-3'!IH72+'[5]TB-4'!IH72+'[5]TB-5'!IH72+'[5]TB-6'!IH72+'[5]TB-7'!IH72+'[5]TB-8'!IH72+'[5]TB-9'!IH72+'[5]TB-10'!IH72+'[6]DSV-1'!IH72+'[6]DSV-2'!IH72+'[6]DSV-3'!IH72+'[7]TUB-1'!IH72+'[7]TUB-2'!IH72+'[8]Barge-1'!IH72+'[8]Barge-2'!IH72+'[8]Barge-3'!IH72+'[8]Barge-4'!IH72</f>
        <v>77433866.666666672</v>
      </c>
      <c r="AS34" s="136">
        <f>'[2]AHTS-1'!IH34+'[2]AHTS-2'!IH34+'[2]AHTS-3'!IH34+'[2]AHTS-4'!IH34+'[2]AHTS-5'!IH34+'[2]AHTS-6'!IH34+'[2]AHTS-7'!IH34+'[2]AHTS-8'!IH34+'[3]CB-1'!IH34+'[3]CB-2'!IH34+'[3]CB-3'!IH34+'[3]CB-4'!IH34+'[3]CB-5'!IH34+'[3]CB-6'!IH34+'[3]CB-7'!IH34+'[3]CB-8'!IH34+'[3]CB-9'!IH34+'[3]CB-10'!IH34+'[3]CB-11'!IH34+'[3]CB-12'!IH34+'[3]CB-13'!IH34+'[3]CB-14'!IH34+'[3]CB-15'!IH34+'[3]CB-16'!IH34+'[3]CB-17'!IH34+'[3]CB-18'!IH34+'[3]CB-19'!IH34+'[3]CB-20'!IH34+'[3]CB-21'!IH34+'[3]CB-22'!IH34+'[3]CB-23'!IH34+'[3]CB-24'!IH34+'[4]LCT-1'!IH34+'[4]LCT-2'!IH34+'[4]LCT-3'!IH34+'[4]LCT-4'!IH34+'[4]LCT-5'!IH34+'[4]LCT-6'!IH34+'[4]LCT-7'!IH34+'[4]LCT-8'!IH34+'[5]TB-1'!IH34+'[5]TB-2'!IH34+'[5]TB-3'!IH34+'[5]TB-4'!IH34+'[5]TB-5'!IH34+'[5]TB-6'!IH34+'[5]TB-7'!IH34+'[5]TB-8'!IH34+'[5]TB-9'!IH34+'[5]TB-10'!IH34+'[6]DSV-1'!IH34+'[6]DSV-2'!IH34+'[6]DSV-3'!IH34+'[7]TUB-1'!IH34+'[7]TUB-2'!IH34+'[8]Barge-1'!IH34+'[8]Barge-2'!IH34+'[8]Barge-3'!IH34+'[8]Barge-4'!IH34</f>
        <v>86150000</v>
      </c>
      <c r="AT34" s="140">
        <f>'[2]AHTS-1'!IH105+'[2]AHTS-2'!IH105+'[2]AHTS-3'!IH105+'[2]AHTS-4'!IH105+'[2]AHTS-5'!IH105+'[2]AHTS-6'!IH105+'[2]AHTS-7'!IH105+'[2]AHTS-8'!IH105+'[3]CB-1'!IH105+'[3]CB-2'!IH105+'[3]CB-3'!IH105+'[3]CB-4'!IH105+'[3]CB-5'!IH105+'[3]CB-6'!IH105+'[3]CB-7'!IH105+'[3]CB-8'!IH105+'[3]CB-9'!IH105+'[3]CB-10'!IH105+'[3]CB-11'!IH105+'[3]CB-12'!IH105+'[3]CB-13'!IH105+'[3]CB-14'!IH105+'[3]CB-15'!IH105+'[3]CB-16'!IH105+'[3]CB-17'!IH105+'[3]CB-18'!IH105+'[3]CB-19'!IH105+'[3]CB-20'!IH105+'[3]CB-21'!IH105+'[3]CB-22'!IH105+'[3]CB-23'!IH105+'[3]CB-24'!IH105+'[4]LCT-1'!IH105+'[4]LCT-2'!IH105+'[4]LCT-3'!IH105+'[4]LCT-4'!IH105+'[4]LCT-5'!IH105+'[4]LCT-6'!IH105+'[4]LCT-7'!IH105+'[4]LCT-8'!IH105+'[5]TB-1'!IH105+'[5]TB-2'!IH105+'[5]TB-3'!IH105+'[5]TB-4'!IH105+'[5]TB-5'!IH105+'[5]TB-6'!IH105+'[5]TB-7'!IH105+'[5]TB-8'!IH105+'[5]TB-9'!IH105+'[5]TB-10'!IH105+'[6]DSV-1'!IH105+'[6]DSV-2'!IH105+'[6]DSV-3'!IH105+'[7]TUB-1'!IH105+'[7]TUB-2'!IH105+'[8]Barge-1'!IH105+'[8]Barge-2'!IH105+'[8]Barge-3'!IH105+'[8]Barge-4'!IH105</f>
        <v>0</v>
      </c>
      <c r="AU34" s="139">
        <f>'[2]AHTS-1'!II72+'[2]AHTS-2'!II72+'[2]AHTS-3'!II72+'[2]AHTS-4'!II72+'[2]AHTS-5'!II72+'[2]AHTS-6'!II72+'[2]AHTS-7'!II72+'[2]AHTS-8'!II72+'[3]CB-1'!II72+'[3]CB-2'!II72+'[3]CB-3'!II72+'[3]CB-4'!II72+'[3]CB-5'!II72+'[3]CB-6'!II72+'[3]CB-7'!II72+'[3]CB-8'!II72+'[3]CB-9'!II72+'[3]CB-10'!II72+'[3]CB-11'!II72+'[3]CB-12'!II72+'[3]CB-13'!II72+'[3]CB-14'!II72+'[3]CB-15'!II72+'[3]CB-16'!II72+'[3]CB-17'!II72+'[3]CB-18'!II72+'[3]CB-19'!II72+'[3]CB-20'!II72+'[3]CB-21'!II72+'[3]CB-22'!II72+'[3]CB-23'!II72+'[3]CB-24'!II72+'[4]LCT-1'!II72+'[4]LCT-2'!II72+'[4]LCT-3'!II72+'[4]LCT-4'!II72+'[4]LCT-5'!II72+'[4]LCT-6'!II72+'[4]LCT-7'!II72+'[4]LCT-8'!II72+'[5]TB-1'!II72+'[5]TB-2'!II72+'[5]TB-3'!II72+'[5]TB-4'!II72+'[5]TB-5'!II72+'[5]TB-6'!II72+'[5]TB-7'!II72+'[5]TB-8'!II72+'[5]TB-9'!II72+'[5]TB-10'!II72+'[6]DSV-1'!II72+'[6]DSV-2'!II72+'[6]DSV-3'!II72+'[7]TUB-1'!II72+'[7]TUB-2'!II72+'[8]Barge-1'!II72+'[8]Barge-2'!II72+'[8]Barge-3'!II72+'[8]Barge-4'!II72</f>
        <v>0</v>
      </c>
      <c r="AV34" s="136">
        <f>'[2]AHTS-1'!II34+'[2]AHTS-2'!II34+'[2]AHTS-3'!II34+'[2]AHTS-4'!II34+'[2]AHTS-5'!II34+'[2]AHTS-6'!II34+'[2]AHTS-7'!II34+'[2]AHTS-8'!II34+'[3]CB-1'!II34+'[3]CB-2'!II34+'[3]CB-3'!II34+'[3]CB-4'!II34+'[3]CB-5'!II34+'[3]CB-6'!II34+'[3]CB-7'!II34+'[3]CB-8'!II34+'[3]CB-9'!II34+'[3]CB-10'!II34+'[3]CB-11'!II34+'[3]CB-12'!II34+'[3]CB-13'!II34+'[3]CB-14'!II34+'[3]CB-15'!II34+'[3]CB-16'!II34+'[3]CB-17'!II34+'[3]CB-18'!II34+'[3]CB-19'!II34+'[3]CB-20'!II34+'[3]CB-21'!II34+'[3]CB-22'!II34+'[3]CB-23'!II34+'[3]CB-24'!II34+'[4]LCT-1'!II34+'[4]LCT-2'!II34+'[4]LCT-3'!II34+'[4]LCT-4'!II34+'[4]LCT-5'!II34+'[4]LCT-6'!II34+'[4]LCT-7'!II34+'[4]LCT-8'!II34+'[5]TB-1'!II34+'[5]TB-2'!II34+'[5]TB-3'!II34+'[5]TB-4'!II34+'[5]TB-5'!II34+'[5]TB-6'!II34+'[5]TB-7'!II34+'[5]TB-8'!II34+'[5]TB-9'!II34+'[5]TB-10'!II34+'[6]DSV-1'!II34+'[6]DSV-2'!II34+'[6]DSV-3'!II34+'[7]TUB-1'!II34+'[7]TUB-2'!II34+'[8]Barge-1'!II34+'[8]Barge-2'!II34+'[8]Barge-3'!II34+'[8]Barge-4'!II34</f>
        <v>0</v>
      </c>
      <c r="AW34" s="140">
        <f>'[2]AHTS-1'!II105+'[2]AHTS-2'!II105+'[2]AHTS-3'!II105+'[2]AHTS-4'!II105+'[2]AHTS-5'!II105+'[2]AHTS-6'!II105+'[2]AHTS-7'!II105+'[2]AHTS-8'!II105+'[3]CB-1'!II105+'[3]CB-2'!II105+'[3]CB-3'!II105+'[3]CB-4'!II105+'[3]CB-5'!II105+'[3]CB-6'!II105+'[3]CB-7'!II105+'[3]CB-8'!II105+'[3]CB-9'!II105+'[3]CB-10'!II105+'[3]CB-11'!II105+'[3]CB-12'!II105+'[3]CB-13'!II105+'[3]CB-14'!II105+'[3]CB-15'!II105+'[3]CB-16'!II105+'[3]CB-17'!II105+'[3]CB-18'!II105+'[3]CB-19'!II105+'[3]CB-20'!II105+'[3]CB-21'!II105+'[3]CB-22'!II105+'[3]CB-23'!II105+'[3]CB-24'!II105+'[4]LCT-1'!II105+'[4]LCT-2'!II105+'[4]LCT-3'!II105+'[4]LCT-4'!II105+'[4]LCT-5'!II105+'[4]LCT-6'!II105+'[4]LCT-7'!II105+'[4]LCT-8'!II105+'[5]TB-1'!II105+'[5]TB-2'!II105+'[5]TB-3'!II105+'[5]TB-4'!II105+'[5]TB-5'!II105+'[5]TB-6'!II105+'[5]TB-7'!II105+'[5]TB-8'!II105+'[5]TB-9'!II105+'[5]TB-10'!II105+'[6]DSV-1'!II105+'[6]DSV-2'!II105+'[6]DSV-3'!II105+'[7]TUB-1'!II105+'[7]TUB-2'!II105+'[8]Barge-1'!II105+'[8]Barge-2'!II105+'[8]Barge-3'!II105+'[8]Barge-4'!II105</f>
        <v>0</v>
      </c>
      <c r="AX34" s="67"/>
      <c r="AY34" s="67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</row>
    <row r="35" spans="1:97" s="69" customFormat="1" ht="14.25" customHeight="1" x14ac:dyDescent="0.25">
      <c r="A35" s="111">
        <f>[1]Control!AZ35</f>
        <v>46010</v>
      </c>
      <c r="B35" s="66"/>
      <c r="C35" s="176">
        <f>'[2]AHTS-1'!AV35+'[2]AHTS-2'!AV35+'[2]AHTS-3'!AV35+'[2]AHTS-4'!AV35+'[2]AHTS-5'!AV35+'[2]AHTS-6'!AV35+'[2]AHTS-7'!AV35+'[2]AHTS-8'!AV35+'[3]CB-1'!AV35+'[3]CB-2'!AV35+'[3]CB-3'!AV35+'[3]CB-4'!AV35+'[3]CB-5'!AV35+'[3]CB-6'!AV35+'[3]CB-7'!AV35+'[3]CB-8'!AV35+'[3]CB-9'!AV35+'[3]CB-10'!AV35+'[3]CB-11'!AV35+'[3]CB-12'!AV35+'[3]CB-13'!AV35+'[3]CB-14'!AV35+'[3]CB-15'!AV35+'[3]CB-16'!AV35+'[3]CB-17'!AV35+'[3]CB-18'!AV35+'[3]CB-19'!AV35+'[3]CB-20'!AV35+'[3]CB-21'!AV35+'[3]CB-22'!AV35+'[3]CB-23'!AV35+'[3]CB-24'!AV35+'[4]LCT-1'!AV35+'[4]LCT-2'!AV35+'[4]LCT-3'!AV35+'[4]LCT-4'!AV35+'[4]LCT-5'!AV35+'[4]LCT-6'!AV35+'[4]LCT-7'!AV35+'[4]LCT-8'!AV35+'[5]TB-1'!AV35+'[5]TB-2'!AV35+'[5]TB-3'!AV35+'[5]TB-4'!AV35+'[5]TB-5'!AV35+'[5]TB-6'!AV35+'[5]TB-7'!AV35+'[5]TB-8'!AV35+'[5]TB-9'!AV35+'[5]TB-10'!AV35+'[6]DSV-1'!AV35+'[6]DSV-2'!AV35+'[6]DSV-3'!AV35+'[7]TUB-1'!AV35+'[7]TUB-2'!AV35+'[8]Barge-1'!AV35+'[8]Barge-2'!AV35+'[8]Barge-3'!AV35+'[8]Barge-4'!AV35</f>
        <v>0</v>
      </c>
      <c r="D35" s="177">
        <f>'[2]AHTS-1'!BR35+'[2]AHTS-2'!BR35+'[2]AHTS-3'!BR35+'[2]AHTS-4'!BR35+'[2]AHTS-5'!BR35+'[2]AHTS-6'!BR35+'[2]AHTS-7'!BR35+'[2]AHTS-8'!BR35+'[3]CB-1'!BR35+'[3]CB-2'!BR35+'[3]CB-3'!BR35+'[3]CB-4'!BR35+'[3]CB-5'!BR35+'[3]CB-6'!BR35+'[3]CB-7'!BR35+'[3]CB-8'!BR35+'[3]CB-9'!BR35+'[3]CB-10'!BR35+'[3]CB-11'!BR35+'[3]CB-12'!BR35+'[3]CB-13'!BR35+'[3]CB-14'!BR35+'[3]CB-15'!BR35+'[3]CB-16'!BR35+'[3]CB-17'!BR35+'[3]CB-18'!BR35+'[3]CB-19'!BR35+'[3]CB-20'!BR35+'[3]CB-21'!BR35+'[3]CB-22'!BR35+'[3]CB-23'!BR35+'[3]CB-24'!BR35+'[4]LCT-1'!BR35+'[4]LCT-2'!BR35+'[4]LCT-3'!BR35+'[4]LCT-4'!BR35+'[4]LCT-5'!BR35+'[4]LCT-6'!BR35+'[4]LCT-7'!BR35+'[4]LCT-8'!BR35+'[5]TB-1'!BR35+'[5]TB-2'!BR35+'[5]TB-3'!BR35+'[5]TB-4'!BR35+'[5]TB-5'!BR35+'[5]TB-6'!BR35+'[5]TB-7'!BR35+'[5]TB-8'!BR35+'[5]TB-9'!BR35+'[5]TB-10'!BR35+'[6]DSV-1'!BR35+'[6]DSV-2'!BR35+'[6]DSV-3'!BR35+'[7]TUB-1'!BR35+'[7]TUB-2'!BR35+'[8]Barge-1'!BR35+'[8]Barge-2'!BR35+'[8]Barge-3'!BR35+'[8]Barge-4'!BR35</f>
        <v>0</v>
      </c>
      <c r="E35" s="178">
        <f>'[2]AHTS-1'!CN35+'[2]AHTS-2'!CN35+'[2]AHTS-3'!CN35+'[2]AHTS-4'!CN35+'[2]AHTS-5'!CN35+'[2]AHTS-6'!CN35+'[2]AHTS-7'!CN35+'[2]AHTS-8'!CN35+'[3]CB-1'!CN35+'[3]CB-2'!CN35+'[3]CB-3'!CN35+'[3]CB-4'!CN35+'[3]CB-5'!CN35+'[3]CB-6'!CN35+'[3]CB-7'!CN35+'[3]CB-8'!CN35+'[3]CB-9'!CN35+'[3]CB-10'!CN35+'[3]CB-11'!CN35+'[3]CB-12'!CN35+'[3]CB-13'!CN35+'[3]CB-14'!CN35+'[3]CB-15'!CN35+'[3]CB-16'!CN35+'[3]CB-17'!CN35+'[3]CB-18'!CN35+'[3]CB-19'!CN35+'[3]CB-20'!CN35+'[3]CB-21'!CN35+'[3]CB-22'!CN35+'[3]CB-23'!CN35+'[3]CB-24'!CN35+'[4]LCT-1'!CN35+'[4]LCT-2'!CN35+'[4]LCT-3'!CN35+'[4]LCT-4'!CN35+'[4]LCT-5'!CN35+'[4]LCT-6'!CN35+'[4]LCT-7'!CN35+'[4]LCT-8'!CN35+'[5]TB-1'!CN35+'[5]TB-2'!CN35+'[5]TB-3'!CN35+'[5]TB-4'!CN35+'[5]TB-5'!CN35+'[5]TB-6'!CN35+'[5]TB-7'!CN35+'[5]TB-8'!CN35+'[5]TB-9'!CN35+'[5]TB-10'!CN35+'[6]DSV-1'!CN35+'[6]DSV-2'!CN35+'[6]DSV-3'!CN35+'[7]TUB-1'!CN35+'[7]TUB-2'!CN35+'[8]Barge-1'!CN35+'[8]Barge-2'!CN35+'[8]Barge-3'!CN35+'[8]Barge-4'!CN35</f>
        <v>0</v>
      </c>
      <c r="F35" s="179">
        <f>'[2]AHTS-1'!AW35+'[2]AHTS-2'!AW35+'[2]AHTS-3'!AW35+'[2]AHTS-4'!AW35+'[2]AHTS-5'!AW35+'[2]AHTS-6'!AW35+'[2]AHTS-7'!AW35+'[2]AHTS-8'!AW35+'[3]CB-1'!AW35+'[3]CB-2'!AW35+'[3]CB-3'!AW35+'[3]CB-4'!AW35+'[3]CB-5'!AW35+'[3]CB-6'!AW35+'[3]CB-7'!AW35+'[3]CB-8'!AW35+'[3]CB-9'!AW35+'[3]CB-10'!AW35+'[3]CB-11'!AW35+'[3]CB-12'!AW35+'[3]CB-13'!AW35+'[3]CB-14'!AW35+'[3]CB-15'!AW35+'[3]CB-16'!AW35+'[3]CB-17'!AW35+'[3]CB-18'!AW35+'[3]CB-19'!AW35+'[3]CB-20'!AW35+'[3]CB-21'!AW35+'[3]CB-22'!AW35+'[3]CB-23'!AW35+'[3]CB-24'!AW35+'[4]LCT-1'!AW35+'[4]LCT-2'!AW35+'[4]LCT-3'!AW35+'[4]LCT-4'!AW35+'[4]LCT-5'!AW35+'[4]LCT-6'!AW35+'[4]LCT-7'!AW35+'[4]LCT-8'!AW35+'[5]TB-1'!AW35+'[5]TB-2'!AW35+'[5]TB-3'!AW35+'[5]TB-4'!AW35+'[5]TB-5'!AW35+'[5]TB-6'!AW35+'[5]TB-7'!AW35+'[5]TB-8'!AW35+'[5]TB-9'!AW35+'[5]TB-10'!AW35+'[6]DSV-1'!AW35+'[6]DSV-2'!AW35+'[6]DSV-3'!AW35+'[7]TUB-1'!AW35+'[7]TUB-2'!AW35+'[8]Barge-1'!AW35+'[8]Barge-2'!AW35+'[8]Barge-3'!AW35+'[8]Barge-4'!AW35</f>
        <v>999.97703881316966</v>
      </c>
      <c r="G35" s="180">
        <f>'[2]AHTS-1'!BS35+'[2]AHTS-2'!BS35+'[2]AHTS-3'!BS35+'[2]AHTS-4'!BS35+'[2]AHTS-5'!BS35+'[2]AHTS-6'!BS35+'[2]AHTS-7'!BS35+'[2]AHTS-8'!BS35+'[3]CB-1'!BS35+'[3]CB-2'!BS35+'[3]CB-3'!BS35+'[3]CB-4'!BS35+'[3]CB-5'!BS35+'[3]CB-6'!BS35+'[3]CB-7'!BS35+'[3]CB-8'!BS35+'[3]CB-9'!BS35+'[3]CB-10'!BS35+'[3]CB-11'!BS35+'[3]CB-12'!BS35+'[3]CB-13'!BS35+'[3]CB-14'!BS35+'[3]CB-15'!BS35+'[3]CB-16'!BS35+'[3]CB-17'!BS35+'[3]CB-18'!BS35+'[3]CB-19'!BS35+'[3]CB-20'!BS35+'[3]CB-21'!BS35+'[3]CB-22'!BS35+'[3]CB-23'!BS35+'[3]CB-24'!BS35+'[4]LCT-1'!BS35+'[4]LCT-2'!BS35+'[4]LCT-3'!BS35+'[4]LCT-4'!BS35+'[4]LCT-5'!BS35+'[4]LCT-6'!BS35+'[4]LCT-7'!BS35+'[4]LCT-8'!BS35+'[5]TB-1'!BS35+'[5]TB-2'!BS35+'[5]TB-3'!BS35+'[5]TB-4'!BS35+'[5]TB-5'!BS35+'[5]TB-6'!BS35+'[5]TB-7'!BS35+'[5]TB-8'!BS35+'[5]TB-9'!BS35+'[5]TB-10'!BS35+'[6]DSV-1'!BS35+'[6]DSV-2'!BS35+'[6]DSV-3'!BS35+'[7]TUB-1'!BS35+'[7]TUB-2'!BS35+'[8]Barge-1'!BS35+'[8]Barge-2'!BS35+'[8]Barge-3'!BS35+'[8]Barge-4'!BS35</f>
        <v>1272.8560210892367</v>
      </c>
      <c r="H35" s="180">
        <f>'[2]AHTS-1'!CO35+'[2]AHTS-2'!CO35+'[2]AHTS-3'!CO35+'[2]AHTS-4'!CO35+'[2]AHTS-5'!CO35+'[2]AHTS-6'!CO35+'[2]AHTS-7'!CO35+'[2]AHTS-8'!CO35+'[3]CB-1'!CO35+'[3]CB-2'!CO35+'[3]CB-3'!CO35+'[3]CB-4'!CO35+'[3]CB-5'!CO35+'[3]CB-6'!CO35+'[3]CB-7'!CO35+'[3]CB-8'!CO35+'[3]CB-9'!CO35+'[3]CB-10'!CO35+'[3]CB-11'!CO35+'[3]CB-12'!CO35+'[3]CB-13'!CO35+'[3]CB-14'!CO35+'[3]CB-15'!CO35+'[3]CB-16'!CO35+'[3]CB-17'!CO35+'[3]CB-18'!CO35+'[3]CB-19'!CO35+'[3]CB-20'!CO35+'[3]CB-21'!CO35+'[3]CB-22'!CO35+'[3]CB-23'!CO35+'[3]CB-24'!CO35+'[4]LCT-1'!CO35+'[4]LCT-2'!CO35+'[4]LCT-3'!CO35+'[4]LCT-4'!CO35+'[4]LCT-5'!CO35+'[4]LCT-6'!CO35+'[4]LCT-7'!CO35+'[4]LCT-8'!CO35+'[5]TB-1'!CO35+'[5]TB-2'!CO35+'[5]TB-3'!CO35+'[5]TB-4'!CO35+'[5]TB-5'!CO35+'[5]TB-6'!CO35+'[5]TB-7'!CO35+'[5]TB-8'!CO35+'[5]TB-9'!CO35+'[5]TB-10'!CO35+'[6]DSV-1'!CO35+'[6]DSV-2'!CO35+'[6]DSV-3'!CO35+'[7]TUB-1'!CO35+'[7]TUB-2'!CO35+'[8]Barge-1'!CO35+'[8]Barge-2'!CO35+'[8]Barge-3'!CO35+'[8]Barge-4'!CO35</f>
        <v>0</v>
      </c>
      <c r="I35" s="179">
        <f>'[2]AHTS-1'!AX35+'[2]AHTS-2'!AX35+'[2]AHTS-3'!AX35+'[2]AHTS-4'!AX35+'[2]AHTS-5'!AX35+'[2]AHTS-6'!AX35+'[2]AHTS-7'!AX35+'[2]AHTS-8'!AX35+'[3]CB-1'!AX35+'[3]CB-2'!AX35+'[3]CB-3'!AX35+'[3]CB-4'!AX35+'[3]CB-5'!AX35+'[3]CB-6'!AX35+'[3]CB-7'!AX35+'[3]CB-8'!AX35+'[3]CB-9'!AX35+'[3]CB-10'!AX35+'[3]CB-11'!AX35+'[3]CB-12'!AX35+'[3]CB-13'!AX35+'[3]CB-14'!AX35+'[3]CB-15'!AX35+'[3]CB-16'!AX35+'[3]CB-17'!AX35+'[3]CB-18'!AX35+'[3]CB-19'!AX35+'[3]CB-20'!AX35+'[3]CB-21'!AX35+'[3]CB-22'!AX35+'[3]CB-23'!AX35+'[3]CB-24'!AX35+'[4]LCT-1'!AX35+'[4]LCT-2'!AX35+'[4]LCT-3'!AX35+'[4]LCT-4'!AX35+'[4]LCT-5'!AX35+'[4]LCT-6'!AX35+'[4]LCT-7'!AX35+'[4]LCT-8'!AX35+'[5]TB-1'!AX35+'[5]TB-2'!AX35+'[5]TB-3'!AX35+'[5]TB-4'!AX35+'[5]TB-5'!AX35+'[5]TB-6'!AX35+'[5]TB-7'!AX35+'[5]TB-8'!AX35+'[5]TB-9'!AX35+'[5]TB-10'!AX35+'[6]DSV-1'!AX35+'[6]DSV-2'!AX35+'[6]DSV-3'!AX35+'[7]TUB-1'!AX35+'[7]TUB-2'!AX35+'[8]Barge-1'!AX35+'[8]Barge-2'!AX35+'[8]Barge-3'!AX35+'[8]Barge-4'!AX35</f>
        <v>4568.5414212799369</v>
      </c>
      <c r="J35" s="180">
        <f>'[2]AHTS-1'!BT35+'[2]AHTS-2'!BT35+'[2]AHTS-3'!BT35+'[2]AHTS-4'!BT35+'[2]AHTS-5'!BT35+'[2]AHTS-6'!BT35+'[2]AHTS-7'!BT35+'[2]AHTS-8'!BT35+'[3]CB-1'!BT35+'[3]CB-2'!BT35+'[3]CB-3'!BT35+'[3]CB-4'!BT35+'[3]CB-5'!BT35+'[3]CB-6'!BT35+'[3]CB-7'!BT35+'[3]CB-8'!BT35+'[3]CB-9'!BT35+'[3]CB-10'!BT35+'[3]CB-11'!BT35+'[3]CB-12'!BT35+'[3]CB-13'!BT35+'[3]CB-14'!BT35+'[3]CB-15'!BT35+'[3]CB-16'!BT35+'[3]CB-17'!BT35+'[3]CB-18'!BT35+'[3]CB-19'!BT35+'[3]CB-20'!BT35+'[3]CB-21'!BT35+'[3]CB-22'!BT35+'[3]CB-23'!BT35+'[3]CB-24'!BT35+'[4]LCT-1'!BT35+'[4]LCT-2'!BT35+'[4]LCT-3'!BT35+'[4]LCT-4'!BT35+'[4]LCT-5'!BT35+'[4]LCT-6'!BT35+'[4]LCT-7'!BT35+'[4]LCT-8'!BT35+'[5]TB-1'!BT35+'[5]TB-2'!BT35+'[5]TB-3'!BT35+'[5]TB-4'!BT35+'[5]TB-5'!BT35+'[5]TB-6'!BT35+'[5]TB-7'!BT35+'[5]TB-8'!BT35+'[5]TB-9'!BT35+'[5]TB-10'!BT35+'[6]DSV-1'!BT35+'[6]DSV-2'!BT35+'[6]DSV-3'!BT35+'[7]TUB-1'!BT35+'[7]TUB-2'!BT35+'[8]Barge-1'!BT35+'[8]Barge-2'!BT35+'[8]Barge-3'!BT35+'[8]Barge-4'!BT35</f>
        <v>3899.8962364686745</v>
      </c>
      <c r="K35" s="180">
        <f>'[2]AHTS-1'!CP35+'[2]AHTS-2'!CP35+'[2]AHTS-3'!CP35+'[2]AHTS-4'!CP35+'[2]AHTS-5'!CP35+'[2]AHTS-6'!CP35+'[2]AHTS-7'!CP35+'[2]AHTS-8'!CP35+'[3]CB-1'!CP35+'[3]CB-2'!CP35+'[3]CB-3'!CP35+'[3]CB-4'!CP35+'[3]CB-5'!CP35+'[3]CB-6'!CP35+'[3]CB-7'!CP35+'[3]CB-8'!CP35+'[3]CB-9'!CP35+'[3]CB-10'!CP35+'[3]CB-11'!CP35+'[3]CB-12'!CP35+'[3]CB-13'!CP35+'[3]CB-14'!CP35+'[3]CB-15'!CP35+'[3]CB-16'!CP35+'[3]CB-17'!CP35+'[3]CB-18'!CP35+'[3]CB-19'!CP35+'[3]CB-20'!CP35+'[3]CB-21'!CP35+'[3]CB-22'!CP35+'[3]CB-23'!CP35+'[3]CB-24'!CP35+'[4]LCT-1'!CP35+'[4]LCT-2'!CP35+'[4]LCT-3'!CP35+'[4]LCT-4'!CP35+'[4]LCT-5'!CP35+'[4]LCT-6'!CP35+'[4]LCT-7'!CP35+'[4]LCT-8'!CP35+'[5]TB-1'!CP35+'[5]TB-2'!CP35+'[5]TB-3'!CP35+'[5]TB-4'!CP35+'[5]TB-5'!CP35+'[5]TB-6'!CP35+'[5]TB-7'!CP35+'[5]TB-8'!CP35+'[5]TB-9'!CP35+'[5]TB-10'!CP35+'[6]DSV-1'!CP35+'[6]DSV-2'!CP35+'[6]DSV-3'!CP35+'[7]TUB-1'!CP35+'[7]TUB-2'!CP35+'[8]Barge-1'!CP35+'[8]Barge-2'!CP35+'[8]Barge-3'!CP35+'[8]Barge-4'!CP35</f>
        <v>0</v>
      </c>
      <c r="L35" s="181">
        <f>'[2]AHTS-1'!AY35+'[2]AHTS-2'!AY35+'[2]AHTS-3'!AY35+'[2]AHTS-4'!AY35+'[2]AHTS-5'!AY35+'[2]AHTS-6'!AY35+'[2]AHTS-7'!AY35+'[2]AHTS-8'!AY35+'[3]CB-1'!AY35+'[3]CB-2'!AY35+'[3]CB-3'!AY35+'[3]CB-4'!AY35+'[3]CB-5'!AY35+'[3]CB-6'!AY35+'[3]CB-7'!AY35+'[3]CB-8'!AY35+'[3]CB-9'!AY35+'[3]CB-10'!AY35+'[3]CB-11'!AY35+'[3]CB-12'!AY35+'[3]CB-13'!AY35+'[3]CB-14'!AY35+'[3]CB-15'!AY35+'[3]CB-16'!AY35+'[3]CB-17'!AY35+'[3]CB-18'!AY35+'[3]CB-19'!AY35+'[3]CB-20'!AY35+'[3]CB-21'!AY35+'[3]CB-22'!AY35+'[3]CB-23'!AY35+'[3]CB-24'!AY35+'[4]LCT-1'!AY35+'[4]LCT-2'!AY35+'[4]LCT-3'!AY35+'[4]LCT-4'!AY35+'[4]LCT-5'!AY35+'[4]LCT-6'!AY35+'[4]LCT-7'!AY35+'[4]LCT-8'!AY35+'[5]TB-1'!AY35+'[5]TB-2'!AY35+'[5]TB-3'!AY35+'[5]TB-4'!AY35+'[5]TB-5'!AY35+'[5]TB-6'!AY35+'[5]TB-7'!AY35+'[5]TB-8'!AY35+'[5]TB-9'!AY35+'[5]TB-10'!AY35+'[6]DSV-1'!AY35+'[6]DSV-2'!AY35+'[6]DSV-3'!AY35+'[7]TUB-1'!AY35+'[7]TUB-2'!AY35+'[8]Barge-1'!AY35+'[8]Barge-2'!AY35+'[8]Barge-3'!AY35+'[8]Barge-4'!AY35</f>
        <v>2706.6128218071685</v>
      </c>
      <c r="M35" s="182">
        <f>'[2]AHTS-1'!BU35+'[2]AHTS-2'!BU35+'[2]AHTS-3'!BU35+'[2]AHTS-4'!BU35+'[2]AHTS-5'!BU35+'[2]AHTS-6'!BU35+'[2]AHTS-7'!BU35+'[2]AHTS-8'!BU35+'[3]CB-1'!BU35+'[3]CB-2'!BU35+'[3]CB-3'!BU35+'[3]CB-4'!BU35+'[3]CB-5'!BU35+'[3]CB-6'!BU35+'[3]CB-7'!BU35+'[3]CB-8'!BU35+'[3]CB-9'!BU35+'[3]CB-10'!BU35+'[3]CB-11'!BU35+'[3]CB-12'!BU35+'[3]CB-13'!BU35+'[3]CB-14'!BU35+'[3]CB-15'!BU35+'[3]CB-16'!BU35+'[3]CB-17'!BU35+'[3]CB-18'!BU35+'[3]CB-19'!BU35+'[3]CB-20'!BU35+'[3]CB-21'!BU35+'[3]CB-22'!BU35+'[3]CB-23'!BU35+'[3]CB-24'!BU35+'[4]LCT-1'!BU35+'[4]LCT-2'!BU35+'[4]LCT-3'!BU35+'[4]LCT-4'!BU35+'[4]LCT-5'!BU35+'[4]LCT-6'!BU35+'[4]LCT-7'!BU35+'[4]LCT-8'!BU35+'[5]TB-1'!BU35+'[5]TB-2'!BU35+'[5]TB-3'!BU35+'[5]TB-4'!BU35+'[5]TB-5'!BU35+'[5]TB-6'!BU35+'[5]TB-7'!BU35+'[5]TB-8'!BU35+'[5]TB-9'!BU35+'[5]TB-10'!BU35+'[6]DSV-1'!BU35+'[6]DSV-2'!BU35+'[6]DSV-3'!BU35+'[7]TUB-1'!BU35+'[7]TUB-2'!BU35+'[8]Barge-1'!BU35+'[8]Barge-2'!BU35+'[8]Barge-3'!BU35+'[8]Barge-4'!BU35</f>
        <v>3987.8849066128214</v>
      </c>
      <c r="N35" s="182">
        <f>'[2]AHTS-1'!CQ35+'[2]AHTS-2'!CQ35+'[2]AHTS-3'!CQ35+'[2]AHTS-4'!CQ35+'[2]AHTS-5'!CQ35+'[2]AHTS-6'!CQ35+'[2]AHTS-7'!CQ35+'[2]AHTS-8'!CQ35+'[3]CB-1'!CQ35+'[3]CB-2'!CQ35+'[3]CB-3'!CQ35+'[3]CB-4'!CQ35+'[3]CB-5'!CQ35+'[3]CB-6'!CQ35+'[3]CB-7'!CQ35+'[3]CB-8'!CQ35+'[3]CB-9'!CQ35+'[3]CB-10'!CQ35+'[3]CB-11'!CQ35+'[3]CB-12'!CQ35+'[3]CB-13'!CQ35+'[3]CB-14'!CQ35+'[3]CB-15'!CQ35+'[3]CB-16'!CQ35+'[3]CB-17'!CQ35+'[3]CB-18'!CQ35+'[3]CB-19'!CQ35+'[3]CB-20'!CQ35+'[3]CB-21'!CQ35+'[3]CB-22'!CQ35+'[3]CB-23'!CQ35+'[3]CB-24'!CQ35+'[4]LCT-1'!CQ35+'[4]LCT-2'!CQ35+'[4]LCT-3'!CQ35+'[4]LCT-4'!CQ35+'[4]LCT-5'!CQ35+'[4]LCT-6'!CQ35+'[4]LCT-7'!CQ35+'[4]LCT-8'!CQ35+'[5]TB-1'!CQ35+'[5]TB-2'!CQ35+'[5]TB-3'!CQ35+'[5]TB-4'!CQ35+'[5]TB-5'!CQ35+'[5]TB-6'!CQ35+'[5]TB-7'!CQ35+'[5]TB-8'!CQ35+'[5]TB-9'!CQ35+'[5]TB-10'!CQ35+'[6]DSV-1'!CQ35+'[6]DSV-2'!CQ35+'[6]DSV-3'!CQ35+'[7]TUB-1'!CQ35+'[7]TUB-2'!CQ35+'[8]Barge-1'!CQ35+'[8]Barge-2'!CQ35+'[8]Barge-3'!CQ35+'[8]Barge-4'!CQ35</f>
        <v>0</v>
      </c>
      <c r="O35" s="179">
        <f>'[2]AHTS-1'!AZ35+'[2]AHTS-2'!AZ35+'[2]AHTS-3'!AZ35+'[2]AHTS-4'!AZ35+'[2]AHTS-5'!AZ35+'[2]AHTS-6'!AZ35+'[2]AHTS-7'!AZ35+'[2]AHTS-8'!AZ35+'[3]CB-1'!AZ35+'[3]CB-2'!AZ35+'[3]CB-3'!AZ35+'[3]CB-4'!AZ35+'[3]CB-5'!AZ35+'[3]CB-6'!AZ35+'[3]CB-7'!AZ35+'[3]CB-8'!AZ35+'[3]CB-9'!AZ35+'[3]CB-10'!AZ35+'[3]CB-11'!AZ35+'[3]CB-12'!AZ35+'[3]CB-13'!AZ35+'[3]CB-14'!AZ35+'[3]CB-15'!AZ35+'[3]CB-16'!AZ35+'[3]CB-17'!AZ35+'[3]CB-18'!AZ35+'[3]CB-19'!AZ35+'[3]CB-20'!AZ35+'[3]CB-21'!AZ35+'[3]CB-22'!AZ35+'[3]CB-23'!AZ35+'[3]CB-24'!AZ35+'[4]LCT-1'!AZ35+'[4]LCT-2'!AZ35+'[4]LCT-3'!AZ35+'[4]LCT-4'!AZ35+'[4]LCT-5'!AZ35+'[4]LCT-6'!AZ35+'[4]LCT-7'!AZ35+'[4]LCT-8'!AZ35+'[5]TB-1'!AZ35+'[5]TB-2'!AZ35+'[5]TB-3'!AZ35+'[5]TB-4'!AZ35+'[5]TB-5'!AZ35+'[5]TB-6'!AZ35+'[5]TB-7'!AZ35+'[5]TB-8'!AZ35+'[5]TB-9'!AZ35+'[5]TB-10'!AZ35+'[6]DSV-1'!AZ35+'[6]DSV-2'!AZ35+'[6]DSV-3'!AZ35+'[7]TUB-1'!AZ35+'[7]TUB-2'!AZ35+'[8]Barge-1'!AZ35+'[8]Barge-2'!AZ35+'[8]Barge-3'!AZ35+'[8]Barge-4'!AZ35</f>
        <v>23.098603398956758</v>
      </c>
      <c r="P35" s="180">
        <f>'[2]AHTS-1'!BV35+'[2]AHTS-2'!BV35+'[2]AHTS-3'!BV35+'[2]AHTS-4'!BV35+'[2]AHTS-5'!BV35+'[2]AHTS-6'!BV35+'[2]AHTS-7'!BV35+'[2]AHTS-8'!BV35+'[3]CB-1'!BV35+'[3]CB-2'!BV35+'[3]CB-3'!BV35+'[3]CB-4'!BV35+'[3]CB-5'!BV35+'[3]CB-6'!BV35+'[3]CB-7'!BV35+'[3]CB-8'!BV35+'[3]CB-9'!BV35+'[3]CB-10'!BV35+'[3]CB-11'!BV35+'[3]CB-12'!BV35+'[3]CB-13'!BV35+'[3]CB-14'!BV35+'[3]CB-15'!BV35+'[3]CB-16'!BV35+'[3]CB-17'!BV35+'[3]CB-18'!BV35+'[3]CB-19'!BV35+'[3]CB-20'!BV35+'[3]CB-21'!BV35+'[3]CB-22'!BV35+'[3]CB-23'!BV35+'[3]CB-24'!BV35+'[4]LCT-1'!BV35+'[4]LCT-2'!BV35+'[4]LCT-3'!BV35+'[4]LCT-4'!BV35+'[4]LCT-5'!BV35+'[4]LCT-6'!BV35+'[4]LCT-7'!BV35+'[4]LCT-8'!BV35+'[5]TB-1'!BV35+'[5]TB-2'!BV35+'[5]TB-3'!BV35+'[5]TB-4'!BV35+'[5]TB-5'!BV35+'[5]TB-6'!BV35+'[5]TB-7'!BV35+'[5]TB-8'!BV35+'[5]TB-9'!BV35+'[5]TB-10'!BV35+'[6]DSV-1'!BV35+'[6]DSV-2'!BV35+'[6]DSV-3'!BV35+'[7]TUB-1'!BV35+'[7]TUB-2'!BV35+'[8]Barge-1'!BV35+'[8]Barge-2'!BV35+'[8]Barge-3'!BV35+'[8]Barge-4'!BV35</f>
        <v>273.43092714117449</v>
      </c>
      <c r="Q35" s="180">
        <f>'[2]AHTS-1'!CR35+'[2]AHTS-2'!CR35+'[2]AHTS-3'!CR35+'[2]AHTS-4'!CR35+'[2]AHTS-5'!CR35+'[2]AHTS-6'!CR35+'[2]AHTS-7'!CR35+'[2]AHTS-8'!CR35+'[3]CB-1'!CR35+'[3]CB-2'!CR35+'[3]CB-3'!CR35+'[3]CB-4'!CR35+'[3]CB-5'!CR35+'[3]CB-6'!CR35+'[3]CB-7'!CR35+'[3]CB-8'!CR35+'[3]CB-9'!CR35+'[3]CB-10'!CR35+'[3]CB-11'!CR35+'[3]CB-12'!CR35+'[3]CB-13'!CR35+'[3]CB-14'!CR35+'[3]CB-15'!CR35+'[3]CB-16'!CR35+'[3]CB-17'!CR35+'[3]CB-18'!CR35+'[3]CB-19'!CR35+'[3]CB-20'!CR35+'[3]CB-21'!CR35+'[3]CB-22'!CR35+'[3]CB-23'!CR35+'[3]CB-24'!CR35+'[4]LCT-1'!CR35+'[4]LCT-2'!CR35+'[4]LCT-3'!CR35+'[4]LCT-4'!CR35+'[4]LCT-5'!CR35+'[4]LCT-6'!CR35+'[4]LCT-7'!CR35+'[4]LCT-8'!CR35+'[5]TB-1'!CR35+'[5]TB-2'!CR35+'[5]TB-3'!CR35+'[5]TB-4'!CR35+'[5]TB-5'!CR35+'[5]TB-6'!CR35+'[5]TB-7'!CR35+'[5]TB-8'!CR35+'[5]TB-9'!CR35+'[5]TB-10'!CR35+'[6]DSV-1'!CR35+'[6]DSV-2'!CR35+'[6]DSV-3'!CR35+'[7]TUB-1'!CR35+'[7]TUB-2'!CR35+'[8]Barge-1'!CR35+'[8]Barge-2'!CR35+'[8]Barge-3'!CR35+'[8]Barge-4'!CR35</f>
        <v>0</v>
      </c>
      <c r="R35" s="183">
        <f>'[2]AHTS-1'!BA35+'[2]AHTS-2'!BA35+'[2]AHTS-3'!BA35+'[2]AHTS-4'!BA35+'[2]AHTS-5'!BA35+'[2]AHTS-6'!BA35+'[2]AHTS-7'!BA35+'[2]AHTS-8'!BA35+'[3]CB-1'!BA35+'[3]CB-2'!BA35+'[3]CB-3'!BA35+'[3]CB-4'!BA35+'[3]CB-5'!BA35+'[3]CB-6'!BA35+'[3]CB-7'!BA35+'[3]CB-8'!BA35+'[3]CB-9'!BA35+'[3]CB-10'!BA35+'[3]CB-11'!BA35+'[3]CB-12'!BA35+'[3]CB-13'!BA35+'[3]CB-14'!BA35+'[3]CB-15'!BA35+'[3]CB-16'!BA35+'[3]CB-17'!BA35+'[3]CB-18'!BA35+'[3]CB-19'!BA35+'[3]CB-20'!BA35+'[3]CB-21'!BA35+'[3]CB-22'!BA35+'[3]CB-23'!BA35+'[3]CB-24'!BA35+'[4]LCT-1'!BA35+'[4]LCT-2'!BA35+'[4]LCT-3'!BA35+'[4]LCT-4'!BA35+'[4]LCT-5'!BA35+'[4]LCT-6'!BA35+'[4]LCT-7'!BA35+'[4]LCT-8'!BA35+'[5]TB-1'!BA35+'[5]TB-2'!BA35+'[5]TB-3'!BA35+'[5]TB-4'!BA35+'[5]TB-5'!BA35+'[5]TB-6'!BA35+'[5]TB-7'!BA35+'[5]TB-8'!BA35+'[5]TB-9'!BA35+'[5]TB-10'!BA35+'[6]DSV-1'!BA35+'[6]DSV-2'!BA35+'[6]DSV-3'!BA35+'[7]TUB-1'!BA35+'[7]TUB-2'!BA35+'[8]Barge-1'!BA35+'[8]Barge-2'!BA35+'[8]Barge-3'!BA35+'[8]Barge-4'!BA35</f>
        <v>5292.6373464580183</v>
      </c>
      <c r="S35" s="180">
        <f>'[2]AHTS-1'!BW35+'[2]AHTS-2'!BW35+'[2]AHTS-3'!BW35+'[2]AHTS-4'!BW35+'[2]AHTS-5'!BW35+'[2]AHTS-6'!BW35+'[2]AHTS-7'!BW35+'[2]AHTS-8'!BW35+'[3]CB-1'!BW35+'[3]CB-2'!BW35+'[3]CB-3'!BW35+'[3]CB-4'!BW35+'[3]CB-5'!BW35+'[3]CB-6'!BW35+'[3]CB-7'!BW35+'[3]CB-8'!BW35+'[3]CB-9'!BW35+'[3]CB-10'!BW35+'[3]CB-11'!BW35+'[3]CB-12'!BW35+'[3]CB-13'!BW35+'[3]CB-14'!BW35+'[3]CB-15'!BW35+'[3]CB-16'!BW35+'[3]CB-17'!BW35+'[3]CB-18'!BW35+'[3]CB-19'!BW35+'[3]CB-20'!BW35+'[3]CB-21'!BW35+'[3]CB-22'!BW35+'[3]CB-23'!BW35+'[3]CB-24'!BW35+'[4]LCT-1'!BW35+'[4]LCT-2'!BW35+'[4]LCT-3'!BW35+'[4]LCT-4'!BW35+'[4]LCT-5'!BW35+'[4]LCT-6'!BW35+'[4]LCT-7'!BW35+'[4]LCT-8'!BW35+'[5]TB-1'!BW35+'[5]TB-2'!BW35+'[5]TB-3'!BW35+'[5]TB-4'!BW35+'[5]TB-5'!BW35+'[5]TB-6'!BW35+'[5]TB-7'!BW35+'[5]TB-8'!BW35+'[5]TB-9'!BW35+'[5]TB-10'!BW35+'[6]DSV-1'!BW35+'[6]DSV-2'!BW35+'[6]DSV-3'!BW35+'[7]TUB-1'!BW35+'[7]TUB-2'!BW35+'[8]Barge-1'!BW35+'[8]Barge-2'!BW35+'[8]Barge-3'!BW35+'[8]Barge-4'!BW35</f>
        <v>5833.5436648157493</v>
      </c>
      <c r="T35" s="184">
        <f>'[2]AHTS-1'!CS35+'[2]AHTS-2'!CS35+'[2]AHTS-3'!CS35+'[2]AHTS-4'!CS35+'[2]AHTS-5'!CS35+'[2]AHTS-6'!CS35+'[2]AHTS-7'!CS35+'[2]AHTS-8'!CS35+'[3]CB-1'!CS35+'[3]CB-2'!CS35+'[3]CB-3'!CS35+'[3]CB-4'!CS35+'[3]CB-5'!CS35+'[3]CB-6'!CS35+'[3]CB-7'!CS35+'[3]CB-8'!CS35+'[3]CB-9'!CS35+'[3]CB-10'!CS35+'[3]CB-11'!CS35+'[3]CB-12'!CS35+'[3]CB-13'!CS35+'[3]CB-14'!CS35+'[3]CB-15'!CS35+'[3]CB-16'!CS35+'[3]CB-17'!CS35+'[3]CB-18'!CS35+'[3]CB-19'!CS35+'[3]CB-20'!CS35+'[3]CB-21'!CS35+'[3]CB-22'!CS35+'[3]CB-23'!CS35+'[3]CB-24'!CS35+'[4]LCT-1'!CS35+'[4]LCT-2'!CS35+'[4]LCT-3'!CS35+'[4]LCT-4'!CS35+'[4]LCT-5'!CS35+'[4]LCT-6'!CS35+'[4]LCT-7'!CS35+'[4]LCT-8'!CS35+'[5]TB-1'!CS35+'[5]TB-2'!CS35+'[5]TB-3'!CS35+'[5]TB-4'!CS35+'[5]TB-5'!CS35+'[5]TB-6'!CS35+'[5]TB-7'!CS35+'[5]TB-8'!CS35+'[5]TB-9'!CS35+'[5]TB-10'!CS35+'[6]DSV-1'!CS35+'[6]DSV-2'!CS35+'[6]DSV-3'!CS35+'[7]TUB-1'!CS35+'[7]TUB-2'!CS35+'[8]Barge-1'!CS35+'[8]Barge-2'!CS35+'[8]Barge-3'!CS35+'[8]Barge-4'!CS35</f>
        <v>0</v>
      </c>
      <c r="U35" s="183">
        <f>'[2]AHTS-1'!BB35+'[2]AHTS-2'!BB35+'[2]AHTS-3'!BB35+'[2]AHTS-4'!BB35+'[2]AHTS-5'!BB35+'[2]AHTS-6'!BB35+'[2]AHTS-7'!BB35+'[2]AHTS-8'!BB35+'[3]CB-1'!BB35+'[3]CB-2'!BB35+'[3]CB-3'!BB35+'[3]CB-4'!BB35+'[3]CB-5'!BB35+'[3]CB-6'!BB35+'[3]CB-7'!BB35+'[3]CB-8'!BB35+'[3]CB-9'!BB35+'[3]CB-10'!BB35+'[3]CB-11'!BB35+'[3]CB-12'!BB35+'[3]CB-13'!BB35+'[3]CB-14'!BB35+'[3]CB-15'!BB35+'[3]CB-16'!BB35+'[3]CB-17'!BB35+'[3]CB-18'!BB35+'[3]CB-19'!BB35+'[3]CB-20'!BB35+'[3]CB-21'!BB35+'[3]CB-22'!BB35+'[3]CB-23'!BB35+'[3]CB-24'!BB35+'[4]LCT-1'!BB35+'[4]LCT-2'!BB35+'[4]LCT-3'!BB35+'[4]LCT-4'!BB35+'[4]LCT-5'!BB35+'[4]LCT-6'!BB35+'[4]LCT-7'!BB35+'[4]LCT-8'!BB35+'[5]TB-1'!BB35+'[5]TB-2'!BB35+'[5]TB-3'!BB35+'[5]TB-4'!BB35+'[5]TB-5'!BB35+'[5]TB-6'!BB35+'[5]TB-7'!BB35+'[5]TB-8'!BB35+'[5]TB-9'!BB35+'[5]TB-10'!BB35+'[6]DSV-1'!BB35+'[6]DSV-2'!BB35+'[6]DSV-3'!BB35+'[7]TUB-1'!BB35+'[7]TUB-2'!BB35+'[8]Barge-1'!BB35+'[8]Barge-2'!BB35+'[8]Barge-3'!BB35+'[8]Barge-4'!BB35</f>
        <v>0</v>
      </c>
      <c r="V35" s="180">
        <f>'[2]AHTS-1'!BX35+'[2]AHTS-2'!BX35+'[2]AHTS-3'!BX35+'[2]AHTS-4'!BX35+'[2]AHTS-5'!BX35+'[2]AHTS-6'!BX35+'[2]AHTS-7'!BX35+'[2]AHTS-8'!BX35+'[3]CB-1'!BX35+'[3]CB-2'!BX35+'[3]CB-3'!BX35+'[3]CB-4'!BX35+'[3]CB-5'!BX35+'[3]CB-6'!BX35+'[3]CB-7'!BX35+'[3]CB-8'!BX35+'[3]CB-9'!BX35+'[3]CB-10'!BX35+'[3]CB-11'!BX35+'[3]CB-12'!BX35+'[3]CB-13'!BX35+'[3]CB-14'!BX35+'[3]CB-15'!BX35+'[3]CB-16'!BX35+'[3]CB-17'!BX35+'[3]CB-18'!BX35+'[3]CB-19'!BX35+'[3]CB-20'!BX35+'[3]CB-21'!BX35+'[3]CB-22'!BX35+'[3]CB-23'!BX35+'[3]CB-24'!BX35+'[4]LCT-1'!BX35+'[4]LCT-2'!BX35+'[4]LCT-3'!BX35+'[4]LCT-4'!BX35+'[4]LCT-5'!BX35+'[4]LCT-6'!BX35+'[4]LCT-7'!BX35+'[4]LCT-8'!BX35+'[5]TB-1'!BX35+'[5]TB-2'!BX35+'[5]TB-3'!BX35+'[5]TB-4'!BX35+'[5]TB-5'!BX35+'[5]TB-6'!BX35+'[5]TB-7'!BX35+'[5]TB-8'!BX35+'[5]TB-9'!BX35+'[5]TB-10'!BX35+'[6]DSV-1'!BX35+'[6]DSV-2'!BX35+'[6]DSV-3'!BX35+'[7]TUB-1'!BX35+'[7]TUB-2'!BX35+'[8]Barge-1'!BX35+'[8]Barge-2'!BX35+'[8]Barge-3'!BX35+'[8]Barge-4'!BX35</f>
        <v>0</v>
      </c>
      <c r="W35" s="184">
        <f>'[2]AHTS-1'!CT35+'[2]AHTS-2'!CT35+'[2]AHTS-3'!CT35+'[2]AHTS-4'!CT35+'[2]AHTS-5'!CT35+'[2]AHTS-6'!CT35+'[2]AHTS-7'!CT35+'[2]AHTS-8'!CT35+'[3]CB-1'!CT35+'[3]CB-2'!CT35+'[3]CB-3'!CT35+'[3]CB-4'!CT35+'[3]CB-5'!CT35+'[3]CB-6'!CT35+'[3]CB-7'!CT35+'[3]CB-8'!CT35+'[3]CB-9'!CT35+'[3]CB-10'!CT35+'[3]CB-11'!CT35+'[3]CB-12'!CT35+'[3]CB-13'!CT35+'[3]CB-14'!CT35+'[3]CB-15'!CT35+'[3]CB-16'!CT35+'[3]CB-17'!CT35+'[3]CB-18'!CT35+'[3]CB-19'!CT35+'[3]CB-20'!CT35+'[3]CB-21'!CT35+'[3]CB-22'!CT35+'[3]CB-23'!CT35+'[3]CB-24'!CT35+'[4]LCT-1'!CT35+'[4]LCT-2'!CT35+'[4]LCT-3'!CT35+'[4]LCT-4'!CT35+'[4]LCT-5'!CT35+'[4]LCT-6'!CT35+'[4]LCT-7'!CT35+'[4]LCT-8'!CT35+'[5]TB-1'!CT35+'[5]TB-2'!CT35+'[5]TB-3'!CT35+'[5]TB-4'!CT35+'[5]TB-5'!CT35+'[5]TB-6'!CT35+'[5]TB-7'!CT35+'[5]TB-8'!CT35+'[5]TB-9'!CT35+'[5]TB-10'!CT35+'[6]DSV-1'!CT35+'[6]DSV-2'!CT35+'[6]DSV-3'!CT35+'[7]TUB-1'!CT35+'[7]TUB-2'!CT35+'[8]Barge-1'!CT35+'[8]Barge-2'!CT35+'[8]Barge-3'!CT35+'[8]Barge-4'!CT35</f>
        <v>0</v>
      </c>
      <c r="X35" s="67"/>
      <c r="Y35" s="67"/>
      <c r="Z35" s="68"/>
      <c r="AA35" s="111">
        <f>[1]Control!AZ35</f>
        <v>46010</v>
      </c>
      <c r="AB35" s="66"/>
      <c r="AC35" s="132">
        <f>'[2]AHTS-1'!IC73+'[2]AHTS-2'!IC73+'[2]AHTS-3'!IC73+'[2]AHTS-4'!IC73+'[2]AHTS-5'!IC73+'[2]AHTS-6'!IC73+'[2]AHTS-7'!IC73+'[2]AHTS-8'!IC73+'[3]CB-1'!IC73+'[3]CB-2'!IC73+'[3]CB-3'!IC73+'[3]CB-4'!IC73+'[3]CB-5'!IC73+'[3]CB-6'!IC73+'[3]CB-7'!IC73+'[3]CB-8'!IC73+'[3]CB-9'!IC73+'[3]CB-10'!IC73+'[3]CB-11'!IC73+'[3]CB-12'!IC73+'[3]CB-13'!IC73+'[3]CB-14'!IC73+'[3]CB-15'!IC73+'[3]CB-16'!IC73+'[3]CB-17'!IC73+'[3]CB-18'!IC73+'[3]CB-19'!IC73+'[3]CB-20'!IC73+'[3]CB-21'!IC73+'[3]CB-22'!IC73+'[3]CB-23'!IC73+'[3]CB-24'!IC73+'[4]LCT-1'!IC73+'[4]LCT-2'!IC73+'[4]LCT-3'!IC73+'[4]LCT-4'!IC73+'[4]LCT-5'!IC73+'[4]LCT-6'!IC73+'[4]LCT-7'!IC73+'[4]LCT-8'!IC73+'[5]TB-1'!IC73+'[5]TB-2'!IC73+'[5]TB-3'!IC73+'[5]TB-4'!IC73+'[5]TB-5'!IC73+'[5]TB-6'!IC73+'[5]TB-7'!IC73+'[5]TB-8'!IC73+'[5]TB-9'!IC73+'[5]TB-10'!IC73+'[6]DSV-1'!IC73+'[6]DSV-2'!IC73+'[6]DSV-3'!IC73+'[7]TUB-1'!IC73+'[7]TUB-2'!IC73+'[8]Barge-1'!IC73+'[8]Barge-2'!IC73+'[8]Barge-3'!IC73+'[8]Barge-4'!IC73</f>
        <v>0</v>
      </c>
      <c r="AD35" s="133">
        <f>'[2]AHTS-1'!IC35+'[2]AHTS-2'!IC35+'[2]AHTS-3'!IC35+'[2]AHTS-4'!IC35+'[2]AHTS-5'!IC35+'[2]AHTS-6'!IC35+'[2]AHTS-7'!IC35+'[2]AHTS-8'!IC35+'[3]CB-1'!IC35+'[3]CB-2'!IC35+'[3]CB-3'!IC35+'[3]CB-4'!IC35+'[3]CB-5'!IC35+'[3]CB-6'!IC35+'[3]CB-7'!IC35+'[3]CB-8'!IC35+'[3]CB-9'!IC35+'[3]CB-10'!IC35+'[3]CB-11'!IC35+'[3]CB-12'!IC35+'[3]CB-13'!IC35+'[3]CB-14'!IC35+'[3]CB-15'!IC35+'[3]CB-16'!IC35+'[3]CB-17'!IC35+'[3]CB-18'!IC35+'[3]CB-19'!IC35+'[3]CB-20'!IC35+'[3]CB-21'!IC35+'[3]CB-22'!IC35+'[3]CB-23'!IC35+'[3]CB-24'!IC35+'[4]LCT-1'!IC35+'[4]LCT-2'!IC35+'[4]LCT-3'!IC35+'[4]LCT-4'!IC35+'[4]LCT-5'!IC35+'[4]LCT-6'!IC35+'[4]LCT-7'!IC35+'[4]LCT-8'!IC35+'[5]TB-1'!IC35+'[5]TB-2'!IC35+'[5]TB-3'!IC35+'[5]TB-4'!IC35+'[5]TB-5'!IC35+'[5]TB-6'!IC35+'[5]TB-7'!IC35+'[5]TB-8'!IC35+'[5]TB-9'!IC35+'[5]TB-10'!IC35+'[6]DSV-1'!IC35+'[6]DSV-2'!IC35+'[6]DSV-3'!IC35+'[7]TUB-1'!IC35+'[7]TUB-2'!IC35+'[8]Barge-1'!IC35+'[8]Barge-2'!IC35+'[8]Barge-3'!IC35+'[8]Barge-4'!IC35</f>
        <v>0</v>
      </c>
      <c r="AE35" s="134">
        <f>'[2]AHTS-1'!IC106+'[2]AHTS-2'!IC106+'[2]AHTS-3'!IC106+'[2]AHTS-4'!IC106+'[2]AHTS-5'!IC106+'[2]AHTS-6'!IC106+'[2]AHTS-7'!IC106+'[2]AHTS-8'!IC106+'[3]CB-1'!IC106+'[3]CB-2'!IC106+'[3]CB-3'!IC106+'[3]CB-4'!IC106+'[3]CB-5'!IC106+'[3]CB-6'!IC106+'[3]CB-7'!IC106+'[3]CB-8'!IC106+'[3]CB-9'!IC106+'[3]CB-10'!IC106+'[3]CB-11'!IC106+'[3]CB-12'!IC106+'[3]CB-13'!IC106+'[3]CB-14'!IC106+'[3]CB-15'!IC106+'[3]CB-16'!IC106+'[3]CB-17'!IC106+'[3]CB-18'!IC106+'[3]CB-19'!IC106+'[3]CB-20'!IC106+'[3]CB-21'!IC106+'[3]CB-22'!IC106+'[3]CB-23'!IC106+'[3]CB-24'!IC106+'[4]LCT-1'!IC106+'[4]LCT-2'!IC106+'[4]LCT-3'!IC106+'[4]LCT-4'!IC106+'[4]LCT-5'!IC106+'[4]LCT-6'!IC106+'[4]LCT-7'!IC106+'[4]LCT-8'!IC106+'[5]TB-1'!IC106+'[5]TB-2'!IC106+'[5]TB-3'!IC106+'[5]TB-4'!IC106+'[5]TB-5'!IC106+'[5]TB-6'!IC106+'[5]TB-7'!IC106+'[5]TB-8'!IC106+'[5]TB-9'!IC106+'[5]TB-10'!IC106+'[6]DSV-1'!IC106+'[6]DSV-2'!IC106+'[6]DSV-3'!IC106+'[7]TUB-1'!IC106+'[7]TUB-2'!IC106+'[8]Barge-1'!IC106+'[8]Barge-2'!IC106+'[8]Barge-3'!IC106+'[8]Barge-4'!IC106</f>
        <v>0</v>
      </c>
      <c r="AF35" s="135">
        <f>'[2]AHTS-1'!ID73+'[2]AHTS-2'!ID73+'[2]AHTS-3'!ID73+'[2]AHTS-4'!ID73+'[2]AHTS-5'!ID73+'[2]AHTS-6'!ID73+'[2]AHTS-7'!ID73+'[2]AHTS-8'!ID73+'[3]CB-1'!ID73+'[3]CB-2'!ID73+'[3]CB-3'!ID73+'[3]CB-4'!ID73+'[3]CB-5'!ID73+'[3]CB-6'!ID73+'[3]CB-7'!ID73+'[3]CB-8'!ID73+'[3]CB-9'!ID73+'[3]CB-10'!ID73+'[3]CB-11'!ID73+'[3]CB-12'!ID73+'[3]CB-13'!ID73+'[3]CB-14'!ID73+'[3]CB-15'!ID73+'[3]CB-16'!ID73+'[3]CB-17'!ID73+'[3]CB-18'!ID73+'[3]CB-19'!ID73+'[3]CB-20'!ID73+'[3]CB-21'!ID73+'[3]CB-22'!ID73+'[3]CB-23'!ID73+'[3]CB-24'!ID73+'[4]LCT-1'!ID73+'[4]LCT-2'!ID73+'[4]LCT-3'!ID73+'[4]LCT-4'!ID73+'[4]LCT-5'!ID73+'[4]LCT-6'!ID73+'[4]LCT-7'!ID73+'[4]LCT-8'!ID73+'[5]TB-1'!ID73+'[5]TB-2'!ID73+'[5]TB-3'!ID73+'[5]TB-4'!ID73+'[5]TB-5'!ID73+'[5]TB-6'!ID73+'[5]TB-7'!ID73+'[5]TB-8'!ID73+'[5]TB-9'!ID73+'[5]TB-10'!ID73+'[6]DSV-1'!ID73+'[6]DSV-2'!ID73+'[6]DSV-3'!ID73+'[7]TUB-1'!ID73+'[7]TUB-2'!ID73+'[8]Barge-1'!ID73+'[8]Barge-2'!ID73+'[8]Barge-3'!ID73+'[8]Barge-4'!ID73</f>
        <v>15847636.11111111</v>
      </c>
      <c r="AG35" s="136">
        <f>'[2]AHTS-1'!ID35+'[2]AHTS-2'!ID35+'[2]AHTS-3'!ID35+'[2]AHTS-4'!ID35+'[2]AHTS-5'!ID35+'[2]AHTS-6'!ID35+'[2]AHTS-7'!ID35+'[2]AHTS-8'!ID35+'[3]CB-1'!ID35+'[3]CB-2'!ID35+'[3]CB-3'!ID35+'[3]CB-4'!ID35+'[3]CB-5'!ID35+'[3]CB-6'!ID35+'[3]CB-7'!ID35+'[3]CB-8'!ID35+'[3]CB-9'!ID35+'[3]CB-10'!ID35+'[3]CB-11'!ID35+'[3]CB-12'!ID35+'[3]CB-13'!ID35+'[3]CB-14'!ID35+'[3]CB-15'!ID35+'[3]CB-16'!ID35+'[3]CB-17'!ID35+'[3]CB-18'!ID35+'[3]CB-19'!ID35+'[3]CB-20'!ID35+'[3]CB-21'!ID35+'[3]CB-22'!ID35+'[3]CB-23'!ID35+'[3]CB-24'!ID35+'[4]LCT-1'!ID35+'[4]LCT-2'!ID35+'[4]LCT-3'!ID35+'[4]LCT-4'!ID35+'[4]LCT-5'!ID35+'[4]LCT-6'!ID35+'[4]LCT-7'!ID35+'[4]LCT-8'!ID35+'[5]TB-1'!ID35+'[5]TB-2'!ID35+'[5]TB-3'!ID35+'[5]TB-4'!ID35+'[5]TB-5'!ID35+'[5]TB-6'!ID35+'[5]TB-7'!ID35+'[5]TB-8'!ID35+'[5]TB-9'!ID35+'[5]TB-10'!ID35+'[6]DSV-1'!ID35+'[6]DSV-2'!ID35+'[6]DSV-3'!ID35+'[7]TUB-1'!ID35+'[7]TUB-2'!ID35+'[8]Barge-1'!ID35+'[8]Barge-2'!ID35+'[8]Barge-3'!ID35+'[8]Barge-4'!ID35</f>
        <v>20172222.22222222</v>
      </c>
      <c r="AH35" s="136">
        <f>'[2]AHTS-1'!ID106+'[2]AHTS-2'!ID106+'[2]AHTS-3'!ID106+'[2]AHTS-4'!ID106+'[2]AHTS-5'!ID106+'[2]AHTS-6'!ID106+'[2]AHTS-7'!ID106+'[2]AHTS-8'!ID106+'[3]CB-1'!ID106+'[3]CB-2'!ID106+'[3]CB-3'!ID106+'[3]CB-4'!ID106+'[3]CB-5'!ID106+'[3]CB-6'!ID106+'[3]CB-7'!ID106+'[3]CB-8'!ID106+'[3]CB-9'!ID106+'[3]CB-10'!ID106+'[3]CB-11'!ID106+'[3]CB-12'!ID106+'[3]CB-13'!ID106+'[3]CB-14'!ID106+'[3]CB-15'!ID106+'[3]CB-16'!ID106+'[3]CB-17'!ID106+'[3]CB-18'!ID106+'[3]CB-19'!ID106+'[3]CB-20'!ID106+'[3]CB-21'!ID106+'[3]CB-22'!ID106+'[3]CB-23'!ID106+'[3]CB-24'!ID106+'[4]LCT-1'!ID106+'[4]LCT-2'!ID106+'[4]LCT-3'!ID106+'[4]LCT-4'!ID106+'[4]LCT-5'!ID106+'[4]LCT-6'!ID106+'[4]LCT-7'!ID106+'[4]LCT-8'!ID106+'[5]TB-1'!ID106+'[5]TB-2'!ID106+'[5]TB-3'!ID106+'[5]TB-4'!ID106+'[5]TB-5'!ID106+'[5]TB-6'!ID106+'[5]TB-7'!ID106+'[5]TB-8'!ID106+'[5]TB-9'!ID106+'[5]TB-10'!ID106+'[6]DSV-1'!ID106+'[6]DSV-2'!ID106+'[6]DSV-3'!ID106+'[7]TUB-1'!ID106+'[7]TUB-2'!ID106+'[8]Barge-1'!ID106+'[8]Barge-2'!ID106+'[8]Barge-3'!ID106+'[8]Barge-4'!ID106</f>
        <v>0</v>
      </c>
      <c r="AI35" s="135">
        <f>'[2]AHTS-1'!IE73+'[2]AHTS-2'!IE73+'[2]AHTS-3'!IE73+'[2]AHTS-4'!IE73+'[2]AHTS-5'!IE73+'[2]AHTS-6'!IE73+'[2]AHTS-7'!IE73+'[2]AHTS-8'!IE73+'[3]CB-1'!IE73+'[3]CB-2'!IE73+'[3]CB-3'!IE73+'[3]CB-4'!IE73+'[3]CB-5'!IE73+'[3]CB-6'!IE73+'[3]CB-7'!IE73+'[3]CB-8'!IE73+'[3]CB-9'!IE73+'[3]CB-10'!IE73+'[3]CB-11'!IE73+'[3]CB-12'!IE73+'[3]CB-13'!IE73+'[3]CB-14'!IE73+'[3]CB-15'!IE73+'[3]CB-16'!IE73+'[3]CB-17'!IE73+'[3]CB-18'!IE73+'[3]CB-19'!IE73+'[3]CB-20'!IE73+'[3]CB-21'!IE73+'[3]CB-22'!IE73+'[3]CB-23'!IE73+'[3]CB-24'!IE73+'[4]LCT-1'!IE73+'[4]LCT-2'!IE73+'[4]LCT-3'!IE73+'[4]LCT-4'!IE73+'[4]LCT-5'!IE73+'[4]LCT-6'!IE73+'[4]LCT-7'!IE73+'[4]LCT-8'!IE73+'[5]TB-1'!IE73+'[5]TB-2'!IE73+'[5]TB-3'!IE73+'[5]TB-4'!IE73+'[5]TB-5'!IE73+'[5]TB-6'!IE73+'[5]TB-7'!IE73+'[5]TB-8'!IE73+'[5]TB-9'!IE73+'[5]TB-10'!IE73+'[6]DSV-1'!IE73+'[6]DSV-2'!IE73+'[6]DSV-3'!IE73+'[7]TUB-1'!IE73+'[7]TUB-2'!IE73+'[8]Barge-1'!IE73+'[8]Barge-2'!IE73+'[8]Barge-3'!IE73+'[8]Barge-4'!IE73</f>
        <v>72402244.444444448</v>
      </c>
      <c r="AJ35" s="136">
        <f>'[2]AHTS-1'!IE35+'[2]AHTS-2'!IE35+'[2]AHTS-3'!IE35+'[2]AHTS-4'!IE35+'[2]AHTS-5'!IE35+'[2]AHTS-6'!IE35+'[2]AHTS-7'!IE35+'[2]AHTS-8'!IE35+'[3]CB-1'!IE35+'[3]CB-2'!IE35+'[3]CB-3'!IE35+'[3]CB-4'!IE35+'[3]CB-5'!IE35+'[3]CB-6'!IE35+'[3]CB-7'!IE35+'[3]CB-8'!IE35+'[3]CB-9'!IE35+'[3]CB-10'!IE35+'[3]CB-11'!IE35+'[3]CB-12'!IE35+'[3]CB-13'!IE35+'[3]CB-14'!IE35+'[3]CB-15'!IE35+'[3]CB-16'!IE35+'[3]CB-17'!IE35+'[3]CB-18'!IE35+'[3]CB-19'!IE35+'[3]CB-20'!IE35+'[3]CB-21'!IE35+'[3]CB-22'!IE35+'[3]CB-23'!IE35+'[3]CB-24'!IE35+'[4]LCT-1'!IE35+'[4]LCT-2'!IE35+'[4]LCT-3'!IE35+'[4]LCT-4'!IE35+'[4]LCT-5'!IE35+'[4]LCT-6'!IE35+'[4]LCT-7'!IE35+'[4]LCT-8'!IE35+'[5]TB-1'!IE35+'[5]TB-2'!IE35+'[5]TB-3'!IE35+'[5]TB-4'!IE35+'[5]TB-5'!IE35+'[5]TB-6'!IE35+'[5]TB-7'!IE35+'[5]TB-8'!IE35+'[5]TB-9'!IE35+'[5]TB-10'!IE35+'[6]DSV-1'!IE35+'[6]DSV-2'!IE35+'[6]DSV-3'!IE35+'[7]TUB-1'!IE35+'[7]TUB-2'!IE35+'[8]Barge-1'!IE35+'[8]Barge-2'!IE35+'[8]Barge-3'!IE35+'[8]Barge-4'!IE35</f>
        <v>61805555.555555552</v>
      </c>
      <c r="AK35" s="136">
        <f>'[2]AHTS-1'!IE106+'[2]AHTS-2'!IE106+'[2]AHTS-3'!IE106+'[2]AHTS-4'!IE106+'[2]AHTS-5'!IE106+'[2]AHTS-6'!IE106+'[2]AHTS-7'!IE106+'[2]AHTS-8'!IE106+'[3]CB-1'!IE106+'[3]CB-2'!IE106+'[3]CB-3'!IE106+'[3]CB-4'!IE106+'[3]CB-5'!IE106+'[3]CB-6'!IE106+'[3]CB-7'!IE106+'[3]CB-8'!IE106+'[3]CB-9'!IE106+'[3]CB-10'!IE106+'[3]CB-11'!IE106+'[3]CB-12'!IE106+'[3]CB-13'!IE106+'[3]CB-14'!IE106+'[3]CB-15'!IE106+'[3]CB-16'!IE106+'[3]CB-17'!IE106+'[3]CB-18'!IE106+'[3]CB-19'!IE106+'[3]CB-20'!IE106+'[3]CB-21'!IE106+'[3]CB-22'!IE106+'[3]CB-23'!IE106+'[3]CB-24'!IE106+'[4]LCT-1'!IE106+'[4]LCT-2'!IE106+'[4]LCT-3'!IE106+'[4]LCT-4'!IE106+'[4]LCT-5'!IE106+'[4]LCT-6'!IE106+'[4]LCT-7'!IE106+'[4]LCT-8'!IE106+'[5]TB-1'!IE106+'[5]TB-2'!IE106+'[5]TB-3'!IE106+'[5]TB-4'!IE106+'[5]TB-5'!IE106+'[5]TB-6'!IE106+'[5]TB-7'!IE106+'[5]TB-8'!IE106+'[5]TB-9'!IE106+'[5]TB-10'!IE106+'[6]DSV-1'!IE106+'[6]DSV-2'!IE106+'[6]DSV-3'!IE106+'[7]TUB-1'!IE106+'[7]TUB-2'!IE106+'[8]Barge-1'!IE106+'[8]Barge-2'!IE106+'[8]Barge-3'!IE106+'[8]Barge-4'!IE106</f>
        <v>0</v>
      </c>
      <c r="AL35" s="137">
        <f>'[2]AHTS-1'!IF73+'[2]AHTS-2'!IF73+'[2]AHTS-3'!IF73+'[2]AHTS-4'!IF73+'[2]AHTS-5'!IF73+'[2]AHTS-6'!IF73+'[2]AHTS-7'!IF73+'[2]AHTS-8'!IF73+'[3]CB-1'!IF73+'[3]CB-2'!IF73+'[3]CB-3'!IF73+'[3]CB-4'!IF73+'[3]CB-5'!IF73+'[3]CB-6'!IF73+'[3]CB-7'!IF73+'[3]CB-8'!IF73+'[3]CB-9'!IF73+'[3]CB-10'!IF73+'[3]CB-11'!IF73+'[3]CB-12'!IF73+'[3]CB-13'!IF73+'[3]CB-14'!IF73+'[3]CB-15'!IF73+'[3]CB-16'!IF73+'[3]CB-17'!IF73+'[3]CB-18'!IF73+'[3]CB-19'!IF73+'[3]CB-20'!IF73+'[3]CB-21'!IF73+'[3]CB-22'!IF73+'[3]CB-23'!IF73+'[3]CB-24'!IF73+'[4]LCT-1'!IF73+'[4]LCT-2'!IF73+'[4]LCT-3'!IF73+'[4]LCT-4'!IF73+'[4]LCT-5'!IF73+'[4]LCT-6'!IF73+'[4]LCT-7'!IF73+'[4]LCT-8'!IF73+'[5]TB-1'!IF73+'[5]TB-2'!IF73+'[5]TB-3'!IF73+'[5]TB-4'!IF73+'[5]TB-5'!IF73+'[5]TB-6'!IF73+'[5]TB-7'!IF73+'[5]TB-8'!IF73+'[5]TB-9'!IF73+'[5]TB-10'!IF73+'[6]DSV-1'!IF73+'[6]DSV-2'!IF73+'[6]DSV-3'!IF73+'[7]TUB-1'!IF73+'[7]TUB-2'!IF73+'[8]Barge-1'!IF73+'[8]Barge-2'!IF73+'[8]Barge-3'!IF73+'[8]Barge-4'!IF73</f>
        <v>42894400</v>
      </c>
      <c r="AM35" s="138">
        <f>'[2]AHTS-1'!IF35+'[2]AHTS-2'!IF35+'[2]AHTS-3'!IF35+'[2]AHTS-4'!IF35+'[2]AHTS-5'!IF35+'[2]AHTS-6'!IF35+'[2]AHTS-7'!IF35+'[2]AHTS-8'!IF35+'[3]CB-1'!IF35+'[3]CB-2'!IF35+'[3]CB-3'!IF35+'[3]CB-4'!IF35+'[3]CB-5'!IF35+'[3]CB-6'!IF35+'[3]CB-7'!IF35+'[3]CB-8'!IF35+'[3]CB-9'!IF35+'[3]CB-10'!IF35+'[3]CB-11'!IF35+'[3]CB-12'!IF35+'[3]CB-13'!IF35+'[3]CB-14'!IF35+'[3]CB-15'!IF35+'[3]CB-16'!IF35+'[3]CB-17'!IF35+'[3]CB-18'!IF35+'[3]CB-19'!IF35+'[3]CB-20'!IF35+'[3]CB-21'!IF35+'[3]CB-22'!IF35+'[3]CB-23'!IF35+'[3]CB-24'!IF35+'[4]LCT-1'!IF35+'[4]LCT-2'!IF35+'[4]LCT-3'!IF35+'[4]LCT-4'!IF35+'[4]LCT-5'!IF35+'[4]LCT-6'!IF35+'[4]LCT-7'!IF35+'[4]LCT-8'!IF35+'[5]TB-1'!IF35+'[5]TB-2'!IF35+'[5]TB-3'!IF35+'[5]TB-4'!IF35+'[5]TB-5'!IF35+'[5]TB-6'!IF35+'[5]TB-7'!IF35+'[5]TB-8'!IF35+'[5]TB-9'!IF35+'[5]TB-10'!IF35+'[6]DSV-1'!IF35+'[6]DSV-2'!IF35+'[6]DSV-3'!IF35+'[7]TUB-1'!IF35+'[7]TUB-2'!IF35+'[8]Barge-1'!IF35+'[8]Barge-2'!IF35+'[8]Barge-3'!IF35+'[8]Barge-4'!IF35</f>
        <v>63200000</v>
      </c>
      <c r="AN35" s="138">
        <f>'[2]AHTS-1'!IF106+'[2]AHTS-2'!IF106+'[2]AHTS-3'!IF106+'[2]AHTS-4'!IF106+'[2]AHTS-5'!IF106+'[2]AHTS-6'!IF106+'[2]AHTS-7'!IF106+'[2]AHTS-8'!IF106+'[3]CB-1'!IF106+'[3]CB-2'!IF106+'[3]CB-3'!IF106+'[3]CB-4'!IF106+'[3]CB-5'!IF106+'[3]CB-6'!IF106+'[3]CB-7'!IF106+'[3]CB-8'!IF106+'[3]CB-9'!IF106+'[3]CB-10'!IF106+'[3]CB-11'!IF106+'[3]CB-12'!IF106+'[3]CB-13'!IF106+'[3]CB-14'!IF106+'[3]CB-15'!IF106+'[3]CB-16'!IF106+'[3]CB-17'!IF106+'[3]CB-18'!IF106+'[3]CB-19'!IF106+'[3]CB-20'!IF106+'[3]CB-21'!IF106+'[3]CB-22'!IF106+'[3]CB-23'!IF106+'[3]CB-24'!IF106+'[4]LCT-1'!IF106+'[4]LCT-2'!IF106+'[4]LCT-3'!IF106+'[4]LCT-4'!IF106+'[4]LCT-5'!IF106+'[4]LCT-6'!IF106+'[4]LCT-7'!IF106+'[4]LCT-8'!IF106+'[5]TB-1'!IF106+'[5]TB-2'!IF106+'[5]TB-3'!IF106+'[5]TB-4'!IF106+'[5]TB-5'!IF106+'[5]TB-6'!IF106+'[5]TB-7'!IF106+'[5]TB-8'!IF106+'[5]TB-9'!IF106+'[5]TB-10'!IF106+'[6]DSV-1'!IF106+'[6]DSV-2'!IF106+'[6]DSV-3'!IF106+'[7]TUB-1'!IF106+'[7]TUB-2'!IF106+'[8]Barge-1'!IF106+'[8]Barge-2'!IF106+'[8]Barge-3'!IF106+'[8]Barge-4'!IF106</f>
        <v>0</v>
      </c>
      <c r="AO35" s="135">
        <f>'[2]AHTS-1'!IG73+'[2]AHTS-2'!IG73+'[2]AHTS-3'!IG73+'[2]AHTS-4'!IG73+'[2]AHTS-5'!IG73+'[2]AHTS-6'!IG73+'[2]AHTS-7'!IG73+'[2]AHTS-8'!IG73+'[3]CB-1'!IG73+'[3]CB-2'!IG73+'[3]CB-3'!IG73+'[3]CB-4'!IG73+'[3]CB-5'!IG73+'[3]CB-6'!IG73+'[3]CB-7'!IG73+'[3]CB-8'!IG73+'[3]CB-9'!IG73+'[3]CB-10'!IG73+'[3]CB-11'!IG73+'[3]CB-12'!IG73+'[3]CB-13'!IG73+'[3]CB-14'!IG73+'[3]CB-15'!IG73+'[3]CB-16'!IG73+'[3]CB-17'!IG73+'[3]CB-18'!IG73+'[3]CB-19'!IG73+'[3]CB-20'!IG73+'[3]CB-21'!IG73+'[3]CB-22'!IG73+'[3]CB-23'!IG73+'[3]CB-24'!IG73+'[4]LCT-1'!IG73+'[4]LCT-2'!IG73+'[4]LCT-3'!IG73+'[4]LCT-4'!IG73+'[4]LCT-5'!IG73+'[4]LCT-6'!IG73+'[4]LCT-7'!IG73+'[4]LCT-8'!IG73+'[5]TB-1'!IG73+'[5]TB-2'!IG73+'[5]TB-3'!IG73+'[5]TB-4'!IG73+'[5]TB-5'!IG73+'[5]TB-6'!IG73+'[5]TB-7'!IG73+'[5]TB-8'!IG73+'[5]TB-9'!IG73+'[5]TB-10'!IG73+'[6]DSV-1'!IG73+'[6]DSV-2'!IG73+'[6]DSV-3'!IG73+'[7]TUB-1'!IG73+'[7]TUB-2'!IG73+'[8]Barge-1'!IG73+'[8]Barge-2'!IG73+'[8]Barge-3'!IG73+'[8]Barge-4'!IG73</f>
        <v>366066.66666666669</v>
      </c>
      <c r="AP35" s="136">
        <f>'[2]AHTS-1'!IG35+'[2]AHTS-2'!IG35+'[2]AHTS-3'!IG35+'[2]AHTS-4'!IG35+'[2]AHTS-5'!IG35+'[2]AHTS-6'!IG35+'[2]AHTS-7'!IG35+'[2]AHTS-8'!IG35+'[3]CB-1'!IG35+'[3]CB-2'!IG35+'[3]CB-3'!IG35+'[3]CB-4'!IG35+'[3]CB-5'!IG35+'[3]CB-6'!IG35+'[3]CB-7'!IG35+'[3]CB-8'!IG35+'[3]CB-9'!IG35+'[3]CB-10'!IG35+'[3]CB-11'!IG35+'[3]CB-12'!IG35+'[3]CB-13'!IG35+'[3]CB-14'!IG35+'[3]CB-15'!IG35+'[3]CB-16'!IG35+'[3]CB-17'!IG35+'[3]CB-18'!IG35+'[3]CB-19'!IG35+'[3]CB-20'!IG35+'[3]CB-21'!IG35+'[3]CB-22'!IG35+'[3]CB-23'!IG35+'[3]CB-24'!IG35+'[4]LCT-1'!IG35+'[4]LCT-2'!IG35+'[4]LCT-3'!IG35+'[4]LCT-4'!IG35+'[4]LCT-5'!IG35+'[4]LCT-6'!IG35+'[4]LCT-7'!IG35+'[4]LCT-8'!IG35+'[5]TB-1'!IG35+'[5]TB-2'!IG35+'[5]TB-3'!IG35+'[5]TB-4'!IG35+'[5]TB-5'!IG35+'[5]TB-6'!IG35+'[5]TB-7'!IG35+'[5]TB-8'!IG35+'[5]TB-9'!IG35+'[5]TB-10'!IG35+'[6]DSV-1'!IG35+'[6]DSV-2'!IG35+'[6]DSV-3'!IG35+'[7]TUB-1'!IG35+'[7]TUB-2'!IG35+'[8]Barge-1'!IG35+'[8]Barge-2'!IG35+'[8]Barge-3'!IG35+'[8]Barge-4'!IG35</f>
        <v>4333333.333333333</v>
      </c>
      <c r="AQ35" s="136">
        <f>'[2]AHTS-1'!IG106+'[2]AHTS-2'!IG106+'[2]AHTS-3'!IG106+'[2]AHTS-4'!IG106+'[2]AHTS-5'!IG106+'[2]AHTS-6'!IG106+'[2]AHTS-7'!IG106+'[2]AHTS-8'!IG106+'[3]CB-1'!IG106+'[3]CB-2'!IG106+'[3]CB-3'!IG106+'[3]CB-4'!IG106+'[3]CB-5'!IG106+'[3]CB-6'!IG106+'[3]CB-7'!IG106+'[3]CB-8'!IG106+'[3]CB-9'!IG106+'[3]CB-10'!IG106+'[3]CB-11'!IG106+'[3]CB-12'!IG106+'[3]CB-13'!IG106+'[3]CB-14'!IG106+'[3]CB-15'!IG106+'[3]CB-16'!IG106+'[3]CB-17'!IG106+'[3]CB-18'!IG106+'[3]CB-19'!IG106+'[3]CB-20'!IG106+'[3]CB-21'!IG106+'[3]CB-22'!IG106+'[3]CB-23'!IG106+'[3]CB-24'!IG106+'[4]LCT-1'!IG106+'[4]LCT-2'!IG106+'[4]LCT-3'!IG106+'[4]LCT-4'!IG106+'[4]LCT-5'!IG106+'[4]LCT-6'!IG106+'[4]LCT-7'!IG106+'[4]LCT-8'!IG106+'[5]TB-1'!IG106+'[5]TB-2'!IG106+'[5]TB-3'!IG106+'[5]TB-4'!IG106+'[5]TB-5'!IG106+'[5]TB-6'!IG106+'[5]TB-7'!IG106+'[5]TB-8'!IG106+'[5]TB-9'!IG106+'[5]TB-10'!IG106+'[6]DSV-1'!IG106+'[6]DSV-2'!IG106+'[6]DSV-3'!IG106+'[7]TUB-1'!IG106+'[7]TUB-2'!IG106+'[8]Barge-1'!IG106+'[8]Barge-2'!IG106+'[8]Barge-3'!IG106+'[8]Barge-4'!IG106</f>
        <v>0</v>
      </c>
      <c r="AR35" s="139">
        <f>'[2]AHTS-1'!IH73+'[2]AHTS-2'!IH73+'[2]AHTS-3'!IH73+'[2]AHTS-4'!IH73+'[2]AHTS-5'!IH73+'[2]AHTS-6'!IH73+'[2]AHTS-7'!IH73+'[2]AHTS-8'!IH73+'[3]CB-1'!IH73+'[3]CB-2'!IH73+'[3]CB-3'!IH73+'[3]CB-4'!IH73+'[3]CB-5'!IH73+'[3]CB-6'!IH73+'[3]CB-7'!IH73+'[3]CB-8'!IH73+'[3]CB-9'!IH73+'[3]CB-10'!IH73+'[3]CB-11'!IH73+'[3]CB-12'!IH73+'[3]CB-13'!IH73+'[3]CB-14'!IH73+'[3]CB-15'!IH73+'[3]CB-16'!IH73+'[3]CB-17'!IH73+'[3]CB-18'!IH73+'[3]CB-19'!IH73+'[3]CB-20'!IH73+'[3]CB-21'!IH73+'[3]CB-22'!IH73+'[3]CB-23'!IH73+'[3]CB-24'!IH73+'[4]LCT-1'!IH73+'[4]LCT-2'!IH73+'[4]LCT-3'!IH73+'[4]LCT-4'!IH73+'[4]LCT-5'!IH73+'[4]LCT-6'!IH73+'[4]LCT-7'!IH73+'[4]LCT-8'!IH73+'[5]TB-1'!IH73+'[5]TB-2'!IH73+'[5]TB-3'!IH73+'[5]TB-4'!IH73+'[5]TB-5'!IH73+'[5]TB-6'!IH73+'[5]TB-7'!IH73+'[5]TB-8'!IH73+'[5]TB-9'!IH73+'[5]TB-10'!IH73+'[6]DSV-1'!IH73+'[6]DSV-2'!IH73+'[6]DSV-3'!IH73+'[7]TUB-1'!IH73+'[7]TUB-2'!IH73+'[8]Barge-1'!IH73+'[8]Barge-2'!IH73+'[8]Barge-3'!IH73+'[8]Barge-4'!IH73</f>
        <v>83877716.666666672</v>
      </c>
      <c r="AS35" s="136">
        <f>'[2]AHTS-1'!IH35+'[2]AHTS-2'!IH35+'[2]AHTS-3'!IH35+'[2]AHTS-4'!IH35+'[2]AHTS-5'!IH35+'[2]AHTS-6'!IH35+'[2]AHTS-7'!IH35+'[2]AHTS-8'!IH35+'[3]CB-1'!IH35+'[3]CB-2'!IH35+'[3]CB-3'!IH35+'[3]CB-4'!IH35+'[3]CB-5'!IH35+'[3]CB-6'!IH35+'[3]CB-7'!IH35+'[3]CB-8'!IH35+'[3]CB-9'!IH35+'[3]CB-10'!IH35+'[3]CB-11'!IH35+'[3]CB-12'!IH35+'[3]CB-13'!IH35+'[3]CB-14'!IH35+'[3]CB-15'!IH35+'[3]CB-16'!IH35+'[3]CB-17'!IH35+'[3]CB-18'!IH35+'[3]CB-19'!IH35+'[3]CB-20'!IH35+'[3]CB-21'!IH35+'[3]CB-22'!IH35+'[3]CB-23'!IH35+'[3]CB-24'!IH35+'[4]LCT-1'!IH35+'[4]LCT-2'!IH35+'[4]LCT-3'!IH35+'[4]LCT-4'!IH35+'[4]LCT-5'!IH35+'[4]LCT-6'!IH35+'[4]LCT-7'!IH35+'[4]LCT-8'!IH35+'[5]TB-1'!IH35+'[5]TB-2'!IH35+'[5]TB-3'!IH35+'[5]TB-4'!IH35+'[5]TB-5'!IH35+'[5]TB-6'!IH35+'[5]TB-7'!IH35+'[5]TB-8'!IH35+'[5]TB-9'!IH35+'[5]TB-10'!IH35+'[6]DSV-1'!IH35+'[6]DSV-2'!IH35+'[6]DSV-3'!IH35+'[7]TUB-1'!IH35+'[7]TUB-2'!IH35+'[8]Barge-1'!IH35+'[8]Barge-2'!IH35+'[8]Barge-3'!IH35+'[8]Barge-4'!IH35</f>
        <v>92450000</v>
      </c>
      <c r="AT35" s="140">
        <f>'[2]AHTS-1'!IH106+'[2]AHTS-2'!IH106+'[2]AHTS-3'!IH106+'[2]AHTS-4'!IH106+'[2]AHTS-5'!IH106+'[2]AHTS-6'!IH106+'[2]AHTS-7'!IH106+'[2]AHTS-8'!IH106+'[3]CB-1'!IH106+'[3]CB-2'!IH106+'[3]CB-3'!IH106+'[3]CB-4'!IH106+'[3]CB-5'!IH106+'[3]CB-6'!IH106+'[3]CB-7'!IH106+'[3]CB-8'!IH106+'[3]CB-9'!IH106+'[3]CB-10'!IH106+'[3]CB-11'!IH106+'[3]CB-12'!IH106+'[3]CB-13'!IH106+'[3]CB-14'!IH106+'[3]CB-15'!IH106+'[3]CB-16'!IH106+'[3]CB-17'!IH106+'[3]CB-18'!IH106+'[3]CB-19'!IH106+'[3]CB-20'!IH106+'[3]CB-21'!IH106+'[3]CB-22'!IH106+'[3]CB-23'!IH106+'[3]CB-24'!IH106+'[4]LCT-1'!IH106+'[4]LCT-2'!IH106+'[4]LCT-3'!IH106+'[4]LCT-4'!IH106+'[4]LCT-5'!IH106+'[4]LCT-6'!IH106+'[4]LCT-7'!IH106+'[4]LCT-8'!IH106+'[5]TB-1'!IH106+'[5]TB-2'!IH106+'[5]TB-3'!IH106+'[5]TB-4'!IH106+'[5]TB-5'!IH106+'[5]TB-6'!IH106+'[5]TB-7'!IH106+'[5]TB-8'!IH106+'[5]TB-9'!IH106+'[5]TB-10'!IH106+'[6]DSV-1'!IH106+'[6]DSV-2'!IH106+'[6]DSV-3'!IH106+'[7]TUB-1'!IH106+'[7]TUB-2'!IH106+'[8]Barge-1'!IH106+'[8]Barge-2'!IH106+'[8]Barge-3'!IH106+'[8]Barge-4'!IH106</f>
        <v>0</v>
      </c>
      <c r="AU35" s="139">
        <f>'[2]AHTS-1'!II73+'[2]AHTS-2'!II73+'[2]AHTS-3'!II73+'[2]AHTS-4'!II73+'[2]AHTS-5'!II73+'[2]AHTS-6'!II73+'[2]AHTS-7'!II73+'[2]AHTS-8'!II73+'[3]CB-1'!II73+'[3]CB-2'!II73+'[3]CB-3'!II73+'[3]CB-4'!II73+'[3]CB-5'!II73+'[3]CB-6'!II73+'[3]CB-7'!II73+'[3]CB-8'!II73+'[3]CB-9'!II73+'[3]CB-10'!II73+'[3]CB-11'!II73+'[3]CB-12'!II73+'[3]CB-13'!II73+'[3]CB-14'!II73+'[3]CB-15'!II73+'[3]CB-16'!II73+'[3]CB-17'!II73+'[3]CB-18'!II73+'[3]CB-19'!II73+'[3]CB-20'!II73+'[3]CB-21'!II73+'[3]CB-22'!II73+'[3]CB-23'!II73+'[3]CB-24'!II73+'[4]LCT-1'!II73+'[4]LCT-2'!II73+'[4]LCT-3'!II73+'[4]LCT-4'!II73+'[4]LCT-5'!II73+'[4]LCT-6'!II73+'[4]LCT-7'!II73+'[4]LCT-8'!II73+'[5]TB-1'!II73+'[5]TB-2'!II73+'[5]TB-3'!II73+'[5]TB-4'!II73+'[5]TB-5'!II73+'[5]TB-6'!II73+'[5]TB-7'!II73+'[5]TB-8'!II73+'[5]TB-9'!II73+'[5]TB-10'!II73+'[6]DSV-1'!II73+'[6]DSV-2'!II73+'[6]DSV-3'!II73+'[7]TUB-1'!II73+'[7]TUB-2'!II73+'[8]Barge-1'!II73+'[8]Barge-2'!II73+'[8]Barge-3'!II73+'[8]Barge-4'!II73</f>
        <v>0</v>
      </c>
      <c r="AV35" s="136">
        <f>'[2]AHTS-1'!II35+'[2]AHTS-2'!II35+'[2]AHTS-3'!II35+'[2]AHTS-4'!II35+'[2]AHTS-5'!II35+'[2]AHTS-6'!II35+'[2]AHTS-7'!II35+'[2]AHTS-8'!II35+'[3]CB-1'!II35+'[3]CB-2'!II35+'[3]CB-3'!II35+'[3]CB-4'!II35+'[3]CB-5'!II35+'[3]CB-6'!II35+'[3]CB-7'!II35+'[3]CB-8'!II35+'[3]CB-9'!II35+'[3]CB-10'!II35+'[3]CB-11'!II35+'[3]CB-12'!II35+'[3]CB-13'!II35+'[3]CB-14'!II35+'[3]CB-15'!II35+'[3]CB-16'!II35+'[3]CB-17'!II35+'[3]CB-18'!II35+'[3]CB-19'!II35+'[3]CB-20'!II35+'[3]CB-21'!II35+'[3]CB-22'!II35+'[3]CB-23'!II35+'[3]CB-24'!II35+'[4]LCT-1'!II35+'[4]LCT-2'!II35+'[4]LCT-3'!II35+'[4]LCT-4'!II35+'[4]LCT-5'!II35+'[4]LCT-6'!II35+'[4]LCT-7'!II35+'[4]LCT-8'!II35+'[5]TB-1'!II35+'[5]TB-2'!II35+'[5]TB-3'!II35+'[5]TB-4'!II35+'[5]TB-5'!II35+'[5]TB-6'!II35+'[5]TB-7'!II35+'[5]TB-8'!II35+'[5]TB-9'!II35+'[5]TB-10'!II35+'[6]DSV-1'!II35+'[6]DSV-2'!II35+'[6]DSV-3'!II35+'[7]TUB-1'!II35+'[7]TUB-2'!II35+'[8]Barge-1'!II35+'[8]Barge-2'!II35+'[8]Barge-3'!II35+'[8]Barge-4'!II35</f>
        <v>0</v>
      </c>
      <c r="AW35" s="140">
        <f>'[2]AHTS-1'!II106+'[2]AHTS-2'!II106+'[2]AHTS-3'!II106+'[2]AHTS-4'!II106+'[2]AHTS-5'!II106+'[2]AHTS-6'!II106+'[2]AHTS-7'!II106+'[2]AHTS-8'!II106+'[3]CB-1'!II106+'[3]CB-2'!II106+'[3]CB-3'!II106+'[3]CB-4'!II106+'[3]CB-5'!II106+'[3]CB-6'!II106+'[3]CB-7'!II106+'[3]CB-8'!II106+'[3]CB-9'!II106+'[3]CB-10'!II106+'[3]CB-11'!II106+'[3]CB-12'!II106+'[3]CB-13'!II106+'[3]CB-14'!II106+'[3]CB-15'!II106+'[3]CB-16'!II106+'[3]CB-17'!II106+'[3]CB-18'!II106+'[3]CB-19'!II106+'[3]CB-20'!II106+'[3]CB-21'!II106+'[3]CB-22'!II106+'[3]CB-23'!II106+'[3]CB-24'!II106+'[4]LCT-1'!II106+'[4]LCT-2'!II106+'[4]LCT-3'!II106+'[4]LCT-4'!II106+'[4]LCT-5'!II106+'[4]LCT-6'!II106+'[4]LCT-7'!II106+'[4]LCT-8'!II106+'[5]TB-1'!II106+'[5]TB-2'!II106+'[5]TB-3'!II106+'[5]TB-4'!II106+'[5]TB-5'!II106+'[5]TB-6'!II106+'[5]TB-7'!II106+'[5]TB-8'!II106+'[5]TB-9'!II106+'[5]TB-10'!II106+'[6]DSV-1'!II106+'[6]DSV-2'!II106+'[6]DSV-3'!II106+'[7]TUB-1'!II106+'[7]TUB-2'!II106+'[8]Barge-1'!II106+'[8]Barge-2'!II106+'[8]Barge-3'!II106+'[8]Barge-4'!II106</f>
        <v>0</v>
      </c>
      <c r="AX35" s="67"/>
      <c r="AY35" s="67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</row>
    <row r="36" spans="1:97" s="69" customFormat="1" ht="14.25" customHeight="1" x14ac:dyDescent="0.25">
      <c r="A36" s="111">
        <f>[1]Control!AZ36</f>
        <v>46011</v>
      </c>
      <c r="B36" s="66"/>
      <c r="C36" s="176">
        <f>'[2]AHTS-1'!AV36+'[2]AHTS-2'!AV36+'[2]AHTS-3'!AV36+'[2]AHTS-4'!AV36+'[2]AHTS-5'!AV36+'[2]AHTS-6'!AV36+'[2]AHTS-7'!AV36+'[2]AHTS-8'!AV36+'[3]CB-1'!AV36+'[3]CB-2'!AV36+'[3]CB-3'!AV36+'[3]CB-4'!AV36+'[3]CB-5'!AV36+'[3]CB-6'!AV36+'[3]CB-7'!AV36+'[3]CB-8'!AV36+'[3]CB-9'!AV36+'[3]CB-10'!AV36+'[3]CB-11'!AV36+'[3]CB-12'!AV36+'[3]CB-13'!AV36+'[3]CB-14'!AV36+'[3]CB-15'!AV36+'[3]CB-16'!AV36+'[3]CB-17'!AV36+'[3]CB-18'!AV36+'[3]CB-19'!AV36+'[3]CB-20'!AV36+'[3]CB-21'!AV36+'[3]CB-22'!AV36+'[3]CB-23'!AV36+'[3]CB-24'!AV36+'[4]LCT-1'!AV36+'[4]LCT-2'!AV36+'[4]LCT-3'!AV36+'[4]LCT-4'!AV36+'[4]LCT-5'!AV36+'[4]LCT-6'!AV36+'[4]LCT-7'!AV36+'[4]LCT-8'!AV36+'[5]TB-1'!AV36+'[5]TB-2'!AV36+'[5]TB-3'!AV36+'[5]TB-4'!AV36+'[5]TB-5'!AV36+'[5]TB-6'!AV36+'[5]TB-7'!AV36+'[5]TB-8'!AV36+'[5]TB-9'!AV36+'[5]TB-10'!AV36+'[6]DSV-1'!AV36+'[6]DSV-2'!AV36+'[6]DSV-3'!AV36+'[7]TUB-1'!AV36+'[7]TUB-2'!AV36+'[8]Barge-1'!AV36+'[8]Barge-2'!AV36+'[8]Barge-3'!AV36+'[8]Barge-4'!AV36</f>
        <v>0</v>
      </c>
      <c r="D36" s="177">
        <f>'[2]AHTS-1'!BR36+'[2]AHTS-2'!BR36+'[2]AHTS-3'!BR36+'[2]AHTS-4'!BR36+'[2]AHTS-5'!BR36+'[2]AHTS-6'!BR36+'[2]AHTS-7'!BR36+'[2]AHTS-8'!BR36+'[3]CB-1'!BR36+'[3]CB-2'!BR36+'[3]CB-3'!BR36+'[3]CB-4'!BR36+'[3]CB-5'!BR36+'[3]CB-6'!BR36+'[3]CB-7'!BR36+'[3]CB-8'!BR36+'[3]CB-9'!BR36+'[3]CB-10'!BR36+'[3]CB-11'!BR36+'[3]CB-12'!BR36+'[3]CB-13'!BR36+'[3]CB-14'!BR36+'[3]CB-15'!BR36+'[3]CB-16'!BR36+'[3]CB-17'!BR36+'[3]CB-18'!BR36+'[3]CB-19'!BR36+'[3]CB-20'!BR36+'[3]CB-21'!BR36+'[3]CB-22'!BR36+'[3]CB-23'!BR36+'[3]CB-24'!BR36+'[4]LCT-1'!BR36+'[4]LCT-2'!BR36+'[4]LCT-3'!BR36+'[4]LCT-4'!BR36+'[4]LCT-5'!BR36+'[4]LCT-6'!BR36+'[4]LCT-7'!BR36+'[4]LCT-8'!BR36+'[5]TB-1'!BR36+'[5]TB-2'!BR36+'[5]TB-3'!BR36+'[5]TB-4'!BR36+'[5]TB-5'!BR36+'[5]TB-6'!BR36+'[5]TB-7'!BR36+'[5]TB-8'!BR36+'[5]TB-9'!BR36+'[5]TB-10'!BR36+'[6]DSV-1'!BR36+'[6]DSV-2'!BR36+'[6]DSV-3'!BR36+'[7]TUB-1'!BR36+'[7]TUB-2'!BR36+'[8]Barge-1'!BR36+'[8]Barge-2'!BR36+'[8]Barge-3'!BR36+'[8]Barge-4'!BR36</f>
        <v>0</v>
      </c>
      <c r="E36" s="178">
        <f>'[2]AHTS-1'!CN36+'[2]AHTS-2'!CN36+'[2]AHTS-3'!CN36+'[2]AHTS-4'!CN36+'[2]AHTS-5'!CN36+'[2]AHTS-6'!CN36+'[2]AHTS-7'!CN36+'[2]AHTS-8'!CN36+'[3]CB-1'!CN36+'[3]CB-2'!CN36+'[3]CB-3'!CN36+'[3]CB-4'!CN36+'[3]CB-5'!CN36+'[3]CB-6'!CN36+'[3]CB-7'!CN36+'[3]CB-8'!CN36+'[3]CB-9'!CN36+'[3]CB-10'!CN36+'[3]CB-11'!CN36+'[3]CB-12'!CN36+'[3]CB-13'!CN36+'[3]CB-14'!CN36+'[3]CB-15'!CN36+'[3]CB-16'!CN36+'[3]CB-17'!CN36+'[3]CB-18'!CN36+'[3]CB-19'!CN36+'[3]CB-20'!CN36+'[3]CB-21'!CN36+'[3]CB-22'!CN36+'[3]CB-23'!CN36+'[3]CB-24'!CN36+'[4]LCT-1'!CN36+'[4]LCT-2'!CN36+'[4]LCT-3'!CN36+'[4]LCT-4'!CN36+'[4]LCT-5'!CN36+'[4]LCT-6'!CN36+'[4]LCT-7'!CN36+'[4]LCT-8'!CN36+'[5]TB-1'!CN36+'[5]TB-2'!CN36+'[5]TB-3'!CN36+'[5]TB-4'!CN36+'[5]TB-5'!CN36+'[5]TB-6'!CN36+'[5]TB-7'!CN36+'[5]TB-8'!CN36+'[5]TB-9'!CN36+'[5]TB-10'!CN36+'[6]DSV-1'!CN36+'[6]DSV-2'!CN36+'[6]DSV-3'!CN36+'[7]TUB-1'!CN36+'[7]TUB-2'!CN36+'[8]Barge-1'!CN36+'[8]Barge-2'!CN36+'[8]Barge-3'!CN36+'[8]Barge-4'!CN36</f>
        <v>0</v>
      </c>
      <c r="F36" s="179">
        <f>'[2]AHTS-1'!AW36+'[2]AHTS-2'!AW36+'[2]AHTS-3'!AW36+'[2]AHTS-4'!AW36+'[2]AHTS-5'!AW36+'[2]AHTS-6'!AW36+'[2]AHTS-7'!AW36+'[2]AHTS-8'!AW36+'[3]CB-1'!AW36+'[3]CB-2'!AW36+'[3]CB-3'!AW36+'[3]CB-4'!AW36+'[3]CB-5'!AW36+'[3]CB-6'!AW36+'[3]CB-7'!AW36+'[3]CB-8'!AW36+'[3]CB-9'!AW36+'[3]CB-10'!AW36+'[3]CB-11'!AW36+'[3]CB-12'!AW36+'[3]CB-13'!AW36+'[3]CB-14'!AW36+'[3]CB-15'!AW36+'[3]CB-16'!AW36+'[3]CB-17'!AW36+'[3]CB-18'!AW36+'[3]CB-19'!AW36+'[3]CB-20'!AW36+'[3]CB-21'!AW36+'[3]CB-22'!AW36+'[3]CB-23'!AW36+'[3]CB-24'!AW36+'[4]LCT-1'!AW36+'[4]LCT-2'!AW36+'[4]LCT-3'!AW36+'[4]LCT-4'!AW36+'[4]LCT-5'!AW36+'[4]LCT-6'!AW36+'[4]LCT-7'!AW36+'[4]LCT-8'!AW36+'[5]TB-1'!AW36+'[5]TB-2'!AW36+'[5]TB-3'!AW36+'[5]TB-4'!AW36+'[5]TB-5'!AW36+'[5]TB-6'!AW36+'[5]TB-7'!AW36+'[5]TB-8'!AW36+'[5]TB-9'!AW36+'[5]TB-10'!AW36+'[6]DSV-1'!AW36+'[6]DSV-2'!AW36+'[6]DSV-3'!AW36+'[7]TUB-1'!AW36+'[7]TUB-2'!AW36+'[8]Barge-1'!AW36+'[8]Barge-2'!AW36+'[8]Barge-3'!AW36+'[8]Barge-4'!AW36</f>
        <v>1625.7330832349799</v>
      </c>
      <c r="G36" s="180">
        <f>'[2]AHTS-1'!BS36+'[2]AHTS-2'!BS36+'[2]AHTS-3'!BS36+'[2]AHTS-4'!BS36+'[2]AHTS-5'!BS36+'[2]AHTS-6'!BS36+'[2]AHTS-7'!BS36+'[2]AHTS-8'!BS36+'[3]CB-1'!BS36+'[3]CB-2'!BS36+'[3]CB-3'!BS36+'[3]CB-4'!BS36+'[3]CB-5'!BS36+'[3]CB-6'!BS36+'[3]CB-7'!BS36+'[3]CB-8'!BS36+'[3]CB-9'!BS36+'[3]CB-10'!BS36+'[3]CB-11'!BS36+'[3]CB-12'!BS36+'[3]CB-13'!BS36+'[3]CB-14'!BS36+'[3]CB-15'!BS36+'[3]CB-16'!BS36+'[3]CB-17'!BS36+'[3]CB-18'!BS36+'[3]CB-19'!BS36+'[3]CB-20'!BS36+'[3]CB-21'!BS36+'[3]CB-22'!BS36+'[3]CB-23'!BS36+'[3]CB-24'!BS36+'[4]LCT-1'!BS36+'[4]LCT-2'!BS36+'[4]LCT-3'!BS36+'[4]LCT-4'!BS36+'[4]LCT-5'!BS36+'[4]LCT-6'!BS36+'[4]LCT-7'!BS36+'[4]LCT-8'!BS36+'[5]TB-1'!BS36+'[5]TB-2'!BS36+'[5]TB-3'!BS36+'[5]TB-4'!BS36+'[5]TB-5'!BS36+'[5]TB-6'!BS36+'[5]TB-7'!BS36+'[5]TB-8'!BS36+'[5]TB-9'!BS36+'[5]TB-10'!BS36+'[6]DSV-1'!BS36+'[6]DSV-2'!BS36+'[6]DSV-3'!BS36+'[7]TUB-1'!BS36+'[7]TUB-2'!BS36+'[8]Barge-1'!BS36+'[8]Barge-2'!BS36+'[8]Barge-3'!BS36+'[8]Barge-4'!BS36</f>
        <v>1762.1044792896082</v>
      </c>
      <c r="H36" s="180">
        <f>'[2]AHTS-1'!CO36+'[2]AHTS-2'!CO36+'[2]AHTS-3'!CO36+'[2]AHTS-4'!CO36+'[2]AHTS-5'!CO36+'[2]AHTS-6'!CO36+'[2]AHTS-7'!CO36+'[2]AHTS-8'!CO36+'[3]CB-1'!CO36+'[3]CB-2'!CO36+'[3]CB-3'!CO36+'[3]CB-4'!CO36+'[3]CB-5'!CO36+'[3]CB-6'!CO36+'[3]CB-7'!CO36+'[3]CB-8'!CO36+'[3]CB-9'!CO36+'[3]CB-10'!CO36+'[3]CB-11'!CO36+'[3]CB-12'!CO36+'[3]CB-13'!CO36+'[3]CB-14'!CO36+'[3]CB-15'!CO36+'[3]CB-16'!CO36+'[3]CB-17'!CO36+'[3]CB-18'!CO36+'[3]CB-19'!CO36+'[3]CB-20'!CO36+'[3]CB-21'!CO36+'[3]CB-22'!CO36+'[3]CB-23'!CO36+'[3]CB-24'!CO36+'[4]LCT-1'!CO36+'[4]LCT-2'!CO36+'[4]LCT-3'!CO36+'[4]LCT-4'!CO36+'[4]LCT-5'!CO36+'[4]LCT-6'!CO36+'[4]LCT-7'!CO36+'[4]LCT-8'!CO36+'[5]TB-1'!CO36+'[5]TB-2'!CO36+'[5]TB-3'!CO36+'[5]TB-4'!CO36+'[5]TB-5'!CO36+'[5]TB-6'!CO36+'[5]TB-7'!CO36+'[5]TB-8'!CO36+'[5]TB-9'!CO36+'[5]TB-10'!CO36+'[6]DSV-1'!CO36+'[6]DSV-2'!CO36+'[6]DSV-3'!CO36+'[7]TUB-1'!CO36+'[7]TUB-2'!CO36+'[8]Barge-1'!CO36+'[8]Barge-2'!CO36+'[8]Barge-3'!CO36+'[8]Barge-4'!CO36</f>
        <v>0</v>
      </c>
      <c r="I36" s="179">
        <f>'[2]AHTS-1'!AX36+'[2]AHTS-2'!AX36+'[2]AHTS-3'!AX36+'[2]AHTS-4'!AX36+'[2]AHTS-5'!AX36+'[2]AHTS-6'!AX36+'[2]AHTS-7'!AX36+'[2]AHTS-8'!AX36+'[3]CB-1'!AX36+'[3]CB-2'!AX36+'[3]CB-3'!AX36+'[3]CB-4'!AX36+'[3]CB-5'!AX36+'[3]CB-6'!AX36+'[3]CB-7'!AX36+'[3]CB-8'!AX36+'[3]CB-9'!AX36+'[3]CB-10'!AX36+'[3]CB-11'!AX36+'[3]CB-12'!AX36+'[3]CB-13'!AX36+'[3]CB-14'!AX36+'[3]CB-15'!AX36+'[3]CB-16'!AX36+'[3]CB-17'!AX36+'[3]CB-18'!AX36+'[3]CB-19'!AX36+'[3]CB-20'!AX36+'[3]CB-21'!AX36+'[3]CB-22'!AX36+'[3]CB-23'!AX36+'[3]CB-24'!AX36+'[4]LCT-1'!AX36+'[4]LCT-2'!AX36+'[4]LCT-3'!AX36+'[4]LCT-4'!AX36+'[4]LCT-5'!AX36+'[4]LCT-6'!AX36+'[4]LCT-7'!AX36+'[4]LCT-8'!AX36+'[5]TB-1'!AX36+'[5]TB-2'!AX36+'[5]TB-3'!AX36+'[5]TB-4'!AX36+'[5]TB-5'!AX36+'[5]TB-6'!AX36+'[5]TB-7'!AX36+'[5]TB-8'!AX36+'[5]TB-9'!AX36+'[5]TB-10'!AX36+'[6]DSV-1'!AX36+'[6]DSV-2'!AX36+'[6]DSV-3'!AX36+'[7]TUB-1'!AX36+'[7]TUB-2'!AX36+'[8]Barge-1'!AX36+'[8]Barge-2'!AX36+'[8]Barge-3'!AX36+'[8]Barge-4'!AX36</f>
        <v>5317.7548755128428</v>
      </c>
      <c r="J36" s="180">
        <f>'[2]AHTS-1'!BT36+'[2]AHTS-2'!BT36+'[2]AHTS-3'!BT36+'[2]AHTS-4'!BT36+'[2]AHTS-5'!BT36+'[2]AHTS-6'!BT36+'[2]AHTS-7'!BT36+'[2]AHTS-8'!BT36+'[3]CB-1'!BT36+'[3]CB-2'!BT36+'[3]CB-3'!BT36+'[3]CB-4'!BT36+'[3]CB-5'!BT36+'[3]CB-6'!BT36+'[3]CB-7'!BT36+'[3]CB-8'!BT36+'[3]CB-9'!BT36+'[3]CB-10'!BT36+'[3]CB-11'!BT36+'[3]CB-12'!BT36+'[3]CB-13'!BT36+'[3]CB-14'!BT36+'[3]CB-15'!BT36+'[3]CB-16'!BT36+'[3]CB-17'!BT36+'[3]CB-18'!BT36+'[3]CB-19'!BT36+'[3]CB-20'!BT36+'[3]CB-21'!BT36+'[3]CB-22'!BT36+'[3]CB-23'!BT36+'[3]CB-24'!BT36+'[4]LCT-1'!BT36+'[4]LCT-2'!BT36+'[4]LCT-3'!BT36+'[4]LCT-4'!BT36+'[4]LCT-5'!BT36+'[4]LCT-6'!BT36+'[4]LCT-7'!BT36+'[4]LCT-8'!BT36+'[5]TB-1'!BT36+'[5]TB-2'!BT36+'[5]TB-3'!BT36+'[5]TB-4'!BT36+'[5]TB-5'!BT36+'[5]TB-6'!BT36+'[5]TB-7'!BT36+'[5]TB-8'!BT36+'[5]TB-9'!BT36+'[5]TB-10'!BT36+'[6]DSV-1'!BT36+'[6]DSV-2'!BT36+'[6]DSV-3'!BT36+'[7]TUB-1'!BT36+'[7]TUB-2'!BT36+'[8]Barge-1'!BT36+'[8]Barge-2'!BT36+'[8]Barge-3'!BT36+'[8]Barge-4'!BT36</f>
        <v>3843.8571348283035</v>
      </c>
      <c r="K36" s="180">
        <f>'[2]AHTS-1'!CP36+'[2]AHTS-2'!CP36+'[2]AHTS-3'!CP36+'[2]AHTS-4'!CP36+'[2]AHTS-5'!CP36+'[2]AHTS-6'!CP36+'[2]AHTS-7'!CP36+'[2]AHTS-8'!CP36+'[3]CB-1'!CP36+'[3]CB-2'!CP36+'[3]CB-3'!CP36+'[3]CB-4'!CP36+'[3]CB-5'!CP36+'[3]CB-6'!CP36+'[3]CB-7'!CP36+'[3]CB-8'!CP36+'[3]CB-9'!CP36+'[3]CB-10'!CP36+'[3]CB-11'!CP36+'[3]CB-12'!CP36+'[3]CB-13'!CP36+'[3]CB-14'!CP36+'[3]CB-15'!CP36+'[3]CB-16'!CP36+'[3]CB-17'!CP36+'[3]CB-18'!CP36+'[3]CB-19'!CP36+'[3]CB-20'!CP36+'[3]CB-21'!CP36+'[3]CB-22'!CP36+'[3]CB-23'!CP36+'[3]CB-24'!CP36+'[4]LCT-1'!CP36+'[4]LCT-2'!CP36+'[4]LCT-3'!CP36+'[4]LCT-4'!CP36+'[4]LCT-5'!CP36+'[4]LCT-6'!CP36+'[4]LCT-7'!CP36+'[4]LCT-8'!CP36+'[5]TB-1'!CP36+'[5]TB-2'!CP36+'[5]TB-3'!CP36+'[5]TB-4'!CP36+'[5]TB-5'!CP36+'[5]TB-6'!CP36+'[5]TB-7'!CP36+'[5]TB-8'!CP36+'[5]TB-9'!CP36+'[5]TB-10'!CP36+'[6]DSV-1'!CP36+'[6]DSV-2'!CP36+'[6]DSV-3'!CP36+'[7]TUB-1'!CP36+'[7]TUB-2'!CP36+'[8]Barge-1'!CP36+'[8]Barge-2'!CP36+'[8]Barge-3'!CP36+'[8]Barge-4'!CP36</f>
        <v>0</v>
      </c>
      <c r="L36" s="181">
        <f>'[2]AHTS-1'!AY36+'[2]AHTS-2'!AY36+'[2]AHTS-3'!AY36+'[2]AHTS-4'!AY36+'[2]AHTS-5'!AY36+'[2]AHTS-6'!AY36+'[2]AHTS-7'!AY36+'[2]AHTS-8'!AY36+'[3]CB-1'!AY36+'[3]CB-2'!AY36+'[3]CB-3'!AY36+'[3]CB-4'!AY36+'[3]CB-5'!AY36+'[3]CB-6'!AY36+'[3]CB-7'!AY36+'[3]CB-8'!AY36+'[3]CB-9'!AY36+'[3]CB-10'!AY36+'[3]CB-11'!AY36+'[3]CB-12'!AY36+'[3]CB-13'!AY36+'[3]CB-14'!AY36+'[3]CB-15'!AY36+'[3]CB-16'!AY36+'[3]CB-17'!AY36+'[3]CB-18'!AY36+'[3]CB-19'!AY36+'[3]CB-20'!AY36+'[3]CB-21'!AY36+'[3]CB-22'!AY36+'[3]CB-23'!AY36+'[3]CB-24'!AY36+'[4]LCT-1'!AY36+'[4]LCT-2'!AY36+'[4]LCT-3'!AY36+'[4]LCT-4'!AY36+'[4]LCT-5'!AY36+'[4]LCT-6'!AY36+'[4]LCT-7'!AY36+'[4]LCT-8'!AY36+'[5]TB-1'!AY36+'[5]TB-2'!AY36+'[5]TB-3'!AY36+'[5]TB-4'!AY36+'[5]TB-5'!AY36+'[5]TB-6'!AY36+'[5]TB-7'!AY36+'[5]TB-8'!AY36+'[5]TB-9'!AY36+'[5]TB-10'!AY36+'[6]DSV-1'!AY36+'[6]DSV-2'!AY36+'[6]DSV-3'!AY36+'[7]TUB-1'!AY36+'[7]TUB-2'!AY36+'[8]Barge-1'!AY36+'[8]Barge-2'!AY36+'[8]Barge-3'!AY36+'[8]Barge-4'!AY36</f>
        <v>2657.9697774405663</v>
      </c>
      <c r="M36" s="182">
        <f>'[2]AHTS-1'!BU36+'[2]AHTS-2'!BU36+'[2]AHTS-3'!BU36+'[2]AHTS-4'!BU36+'[2]AHTS-5'!BU36+'[2]AHTS-6'!BU36+'[2]AHTS-7'!BU36+'[2]AHTS-8'!BU36+'[3]CB-1'!BU36+'[3]CB-2'!BU36+'[3]CB-3'!BU36+'[3]CB-4'!BU36+'[3]CB-5'!BU36+'[3]CB-6'!BU36+'[3]CB-7'!BU36+'[3]CB-8'!BU36+'[3]CB-9'!BU36+'[3]CB-10'!BU36+'[3]CB-11'!BU36+'[3]CB-12'!BU36+'[3]CB-13'!BU36+'[3]CB-14'!BU36+'[3]CB-15'!BU36+'[3]CB-16'!BU36+'[3]CB-17'!BU36+'[3]CB-18'!BU36+'[3]CB-19'!BU36+'[3]CB-20'!BU36+'[3]CB-21'!BU36+'[3]CB-22'!BU36+'[3]CB-23'!BU36+'[3]CB-24'!BU36+'[4]LCT-1'!BU36+'[4]LCT-2'!BU36+'[4]LCT-3'!BU36+'[4]LCT-4'!BU36+'[4]LCT-5'!BU36+'[4]LCT-6'!BU36+'[4]LCT-7'!BU36+'[4]LCT-8'!BU36+'[5]TB-1'!BU36+'[5]TB-2'!BU36+'[5]TB-3'!BU36+'[5]TB-4'!BU36+'[5]TB-5'!BU36+'[5]TB-6'!BU36+'[5]TB-7'!BU36+'[5]TB-8'!BU36+'[5]TB-9'!BU36+'[5]TB-10'!BU36+'[6]DSV-1'!BU36+'[6]DSV-2'!BU36+'[6]DSV-3'!BU36+'[7]TUB-1'!BU36+'[7]TUB-2'!BU36+'[8]Barge-1'!BU36+'[8]Barge-2'!BU36+'[8]Barge-3'!BU36+'[8]Barge-4'!BU36</f>
        <v>3995.9534648457256</v>
      </c>
      <c r="N36" s="182">
        <f>'[2]AHTS-1'!CQ36+'[2]AHTS-2'!CQ36+'[2]AHTS-3'!CQ36+'[2]AHTS-4'!CQ36+'[2]AHTS-5'!CQ36+'[2]AHTS-6'!CQ36+'[2]AHTS-7'!CQ36+'[2]AHTS-8'!CQ36+'[3]CB-1'!CQ36+'[3]CB-2'!CQ36+'[3]CB-3'!CQ36+'[3]CB-4'!CQ36+'[3]CB-5'!CQ36+'[3]CB-6'!CQ36+'[3]CB-7'!CQ36+'[3]CB-8'!CQ36+'[3]CB-9'!CQ36+'[3]CB-10'!CQ36+'[3]CB-11'!CQ36+'[3]CB-12'!CQ36+'[3]CB-13'!CQ36+'[3]CB-14'!CQ36+'[3]CB-15'!CQ36+'[3]CB-16'!CQ36+'[3]CB-17'!CQ36+'[3]CB-18'!CQ36+'[3]CB-19'!CQ36+'[3]CB-20'!CQ36+'[3]CB-21'!CQ36+'[3]CB-22'!CQ36+'[3]CB-23'!CQ36+'[3]CB-24'!CQ36+'[4]LCT-1'!CQ36+'[4]LCT-2'!CQ36+'[4]LCT-3'!CQ36+'[4]LCT-4'!CQ36+'[4]LCT-5'!CQ36+'[4]LCT-6'!CQ36+'[4]LCT-7'!CQ36+'[4]LCT-8'!CQ36+'[5]TB-1'!CQ36+'[5]TB-2'!CQ36+'[5]TB-3'!CQ36+'[5]TB-4'!CQ36+'[5]TB-5'!CQ36+'[5]TB-6'!CQ36+'[5]TB-7'!CQ36+'[5]TB-8'!CQ36+'[5]TB-9'!CQ36+'[5]TB-10'!CQ36+'[6]DSV-1'!CQ36+'[6]DSV-2'!CQ36+'[6]DSV-3'!CQ36+'[7]TUB-1'!CQ36+'[7]TUB-2'!CQ36+'[8]Barge-1'!CQ36+'[8]Barge-2'!CQ36+'[8]Barge-3'!CQ36+'[8]Barge-4'!CQ36</f>
        <v>0</v>
      </c>
      <c r="O36" s="179">
        <f>'[2]AHTS-1'!AZ36+'[2]AHTS-2'!AZ36+'[2]AHTS-3'!AZ36+'[2]AHTS-4'!AZ36+'[2]AHTS-5'!AZ36+'[2]AHTS-6'!AZ36+'[2]AHTS-7'!AZ36+'[2]AHTS-8'!AZ36+'[3]CB-1'!AZ36+'[3]CB-2'!AZ36+'[3]CB-3'!AZ36+'[3]CB-4'!AZ36+'[3]CB-5'!AZ36+'[3]CB-6'!AZ36+'[3]CB-7'!AZ36+'[3]CB-8'!AZ36+'[3]CB-9'!AZ36+'[3]CB-10'!AZ36+'[3]CB-11'!AZ36+'[3]CB-12'!AZ36+'[3]CB-13'!AZ36+'[3]CB-14'!AZ36+'[3]CB-15'!AZ36+'[3]CB-16'!AZ36+'[3]CB-17'!AZ36+'[3]CB-18'!AZ36+'[3]CB-19'!AZ36+'[3]CB-20'!AZ36+'[3]CB-21'!AZ36+'[3]CB-22'!AZ36+'[3]CB-23'!AZ36+'[3]CB-24'!AZ36+'[4]LCT-1'!AZ36+'[4]LCT-2'!AZ36+'[4]LCT-3'!AZ36+'[4]LCT-4'!AZ36+'[4]LCT-5'!AZ36+'[4]LCT-6'!AZ36+'[4]LCT-7'!AZ36+'[4]LCT-8'!AZ36+'[5]TB-1'!AZ36+'[5]TB-2'!AZ36+'[5]TB-3'!AZ36+'[5]TB-4'!AZ36+'[5]TB-5'!AZ36+'[5]TB-6'!AZ36+'[5]TB-7'!AZ36+'[5]TB-8'!AZ36+'[5]TB-9'!AZ36+'[5]TB-10'!AZ36+'[6]DSV-1'!AZ36+'[6]DSV-2'!AZ36+'[6]DSV-3'!AZ36+'[7]TUB-1'!AZ36+'[7]TUB-2'!AZ36+'[8]Barge-1'!AZ36+'[8]Barge-2'!AZ36+'[8]Barge-3'!AZ36+'[8]Barge-4'!AZ36</f>
        <v>23.145338054291013</v>
      </c>
      <c r="P36" s="180">
        <f>'[2]AHTS-1'!BV36+'[2]AHTS-2'!BV36+'[2]AHTS-3'!BV36+'[2]AHTS-4'!BV36+'[2]AHTS-5'!BV36+'[2]AHTS-6'!BV36+'[2]AHTS-7'!BV36+'[2]AHTS-8'!BV36+'[3]CB-1'!BV36+'[3]CB-2'!BV36+'[3]CB-3'!BV36+'[3]CB-4'!BV36+'[3]CB-5'!BV36+'[3]CB-6'!BV36+'[3]CB-7'!BV36+'[3]CB-8'!BV36+'[3]CB-9'!BV36+'[3]CB-10'!BV36+'[3]CB-11'!BV36+'[3]CB-12'!BV36+'[3]CB-13'!BV36+'[3]CB-14'!BV36+'[3]CB-15'!BV36+'[3]CB-16'!BV36+'[3]CB-17'!BV36+'[3]CB-18'!BV36+'[3]CB-19'!BV36+'[3]CB-20'!BV36+'[3]CB-21'!BV36+'[3]CB-22'!BV36+'[3]CB-23'!BV36+'[3]CB-24'!BV36+'[4]LCT-1'!BV36+'[4]LCT-2'!BV36+'[4]LCT-3'!BV36+'[4]LCT-4'!BV36+'[4]LCT-5'!BV36+'[4]LCT-6'!BV36+'[4]LCT-7'!BV36+'[4]LCT-8'!BV36+'[5]TB-1'!BV36+'[5]TB-2'!BV36+'[5]TB-3'!BV36+'[5]TB-4'!BV36+'[5]TB-5'!BV36+'[5]TB-6'!BV36+'[5]TB-7'!BV36+'[5]TB-8'!BV36+'[5]TB-9'!BV36+'[5]TB-10'!BV36+'[6]DSV-1'!BV36+'[6]DSV-2'!BV36+'[6]DSV-3'!BV36+'[7]TUB-1'!BV36+'[7]TUB-2'!BV36+'[8]Barge-1'!BV36+'[8]Barge-2'!BV36+'[8]Barge-3'!BV36+'[8]Barge-4'!BV36</f>
        <v>273.98415107064574</v>
      </c>
      <c r="Q36" s="180">
        <f>'[2]AHTS-1'!CR36+'[2]AHTS-2'!CR36+'[2]AHTS-3'!CR36+'[2]AHTS-4'!CR36+'[2]AHTS-5'!CR36+'[2]AHTS-6'!CR36+'[2]AHTS-7'!CR36+'[2]AHTS-8'!CR36+'[3]CB-1'!CR36+'[3]CB-2'!CR36+'[3]CB-3'!CR36+'[3]CB-4'!CR36+'[3]CB-5'!CR36+'[3]CB-6'!CR36+'[3]CB-7'!CR36+'[3]CB-8'!CR36+'[3]CB-9'!CR36+'[3]CB-10'!CR36+'[3]CB-11'!CR36+'[3]CB-12'!CR36+'[3]CB-13'!CR36+'[3]CB-14'!CR36+'[3]CB-15'!CR36+'[3]CB-16'!CR36+'[3]CB-17'!CR36+'[3]CB-18'!CR36+'[3]CB-19'!CR36+'[3]CB-20'!CR36+'[3]CB-21'!CR36+'[3]CB-22'!CR36+'[3]CB-23'!CR36+'[3]CB-24'!CR36+'[4]LCT-1'!CR36+'[4]LCT-2'!CR36+'[4]LCT-3'!CR36+'[4]LCT-4'!CR36+'[4]LCT-5'!CR36+'[4]LCT-6'!CR36+'[4]LCT-7'!CR36+'[4]LCT-8'!CR36+'[5]TB-1'!CR36+'[5]TB-2'!CR36+'[5]TB-3'!CR36+'[5]TB-4'!CR36+'[5]TB-5'!CR36+'[5]TB-6'!CR36+'[5]TB-7'!CR36+'[5]TB-8'!CR36+'[5]TB-9'!CR36+'[5]TB-10'!CR36+'[6]DSV-1'!CR36+'[6]DSV-2'!CR36+'[6]DSV-3'!CR36+'[7]TUB-1'!CR36+'[7]TUB-2'!CR36+'[8]Barge-1'!CR36+'[8]Barge-2'!CR36+'[8]Barge-3'!CR36+'[8]Barge-4'!CR36</f>
        <v>0</v>
      </c>
      <c r="R36" s="183">
        <f>'[2]AHTS-1'!BA36+'[2]AHTS-2'!BA36+'[2]AHTS-3'!BA36+'[2]AHTS-4'!BA36+'[2]AHTS-5'!BA36+'[2]AHTS-6'!BA36+'[2]AHTS-7'!BA36+'[2]AHTS-8'!BA36+'[3]CB-1'!BA36+'[3]CB-2'!BA36+'[3]CB-3'!BA36+'[3]CB-4'!BA36+'[3]CB-5'!BA36+'[3]CB-6'!BA36+'[3]CB-7'!BA36+'[3]CB-8'!BA36+'[3]CB-9'!BA36+'[3]CB-10'!BA36+'[3]CB-11'!BA36+'[3]CB-12'!BA36+'[3]CB-13'!BA36+'[3]CB-14'!BA36+'[3]CB-15'!BA36+'[3]CB-16'!BA36+'[3]CB-17'!BA36+'[3]CB-18'!BA36+'[3]CB-19'!BA36+'[3]CB-20'!BA36+'[3]CB-21'!BA36+'[3]CB-22'!BA36+'[3]CB-23'!BA36+'[3]CB-24'!BA36+'[4]LCT-1'!BA36+'[4]LCT-2'!BA36+'[4]LCT-3'!BA36+'[4]LCT-4'!BA36+'[4]LCT-5'!BA36+'[4]LCT-6'!BA36+'[4]LCT-7'!BA36+'[4]LCT-8'!BA36+'[5]TB-1'!BA36+'[5]TB-2'!BA36+'[5]TB-3'!BA36+'[5]TB-4'!BA36+'[5]TB-5'!BA36+'[5]TB-6'!BA36+'[5]TB-7'!BA36+'[5]TB-8'!BA36+'[5]TB-9'!BA36+'[5]TB-10'!BA36+'[6]DSV-1'!BA36+'[6]DSV-2'!BA36+'[6]DSV-3'!BA36+'[7]TUB-1'!BA36+'[7]TUB-2'!BA36+'[8]Barge-1'!BA36+'[8]Barge-2'!BA36+'[8]Barge-3'!BA36+'[8]Barge-4'!BA36</f>
        <v>4016.396897656382</v>
      </c>
      <c r="S36" s="180">
        <f>'[2]AHTS-1'!BW36+'[2]AHTS-2'!BW36+'[2]AHTS-3'!BW36+'[2]AHTS-4'!BW36+'[2]AHTS-5'!BW36+'[2]AHTS-6'!BW36+'[2]AHTS-7'!BW36+'[2]AHTS-8'!BW36+'[3]CB-1'!BW36+'[3]CB-2'!BW36+'[3]CB-3'!BW36+'[3]CB-4'!BW36+'[3]CB-5'!BW36+'[3]CB-6'!BW36+'[3]CB-7'!BW36+'[3]CB-8'!BW36+'[3]CB-9'!BW36+'[3]CB-10'!BW36+'[3]CB-11'!BW36+'[3]CB-12'!BW36+'[3]CB-13'!BW36+'[3]CB-14'!BW36+'[3]CB-15'!BW36+'[3]CB-16'!BW36+'[3]CB-17'!BW36+'[3]CB-18'!BW36+'[3]CB-19'!BW36+'[3]CB-20'!BW36+'[3]CB-21'!BW36+'[3]CB-22'!BW36+'[3]CB-23'!BW36+'[3]CB-24'!BW36+'[4]LCT-1'!BW36+'[4]LCT-2'!BW36+'[4]LCT-3'!BW36+'[4]LCT-4'!BW36+'[4]LCT-5'!BW36+'[4]LCT-6'!BW36+'[4]LCT-7'!BW36+'[4]LCT-8'!BW36+'[5]TB-1'!BW36+'[5]TB-2'!BW36+'[5]TB-3'!BW36+'[5]TB-4'!BW36+'[5]TB-5'!BW36+'[5]TB-6'!BW36+'[5]TB-7'!BW36+'[5]TB-8'!BW36+'[5]TB-9'!BW36+'[5]TB-10'!BW36+'[6]DSV-1'!BW36+'[6]DSV-2'!BW36+'[6]DSV-3'!BW36+'[7]TUB-1'!BW36+'[7]TUB-2'!BW36+'[8]Barge-1'!BW36+'[8]Barge-2'!BW36+'[8]Barge-3'!BW36+'[8]Barge-4'!BW36</f>
        <v>5307.9160343955491</v>
      </c>
      <c r="T36" s="184">
        <f>'[2]AHTS-1'!CS36+'[2]AHTS-2'!CS36+'[2]AHTS-3'!CS36+'[2]AHTS-4'!CS36+'[2]AHTS-5'!CS36+'[2]AHTS-6'!CS36+'[2]AHTS-7'!CS36+'[2]AHTS-8'!CS36+'[3]CB-1'!CS36+'[3]CB-2'!CS36+'[3]CB-3'!CS36+'[3]CB-4'!CS36+'[3]CB-5'!CS36+'[3]CB-6'!CS36+'[3]CB-7'!CS36+'[3]CB-8'!CS36+'[3]CB-9'!CS36+'[3]CB-10'!CS36+'[3]CB-11'!CS36+'[3]CB-12'!CS36+'[3]CB-13'!CS36+'[3]CB-14'!CS36+'[3]CB-15'!CS36+'[3]CB-16'!CS36+'[3]CB-17'!CS36+'[3]CB-18'!CS36+'[3]CB-19'!CS36+'[3]CB-20'!CS36+'[3]CB-21'!CS36+'[3]CB-22'!CS36+'[3]CB-23'!CS36+'[3]CB-24'!CS36+'[4]LCT-1'!CS36+'[4]LCT-2'!CS36+'[4]LCT-3'!CS36+'[4]LCT-4'!CS36+'[4]LCT-5'!CS36+'[4]LCT-6'!CS36+'[4]LCT-7'!CS36+'[4]LCT-8'!CS36+'[5]TB-1'!CS36+'[5]TB-2'!CS36+'[5]TB-3'!CS36+'[5]TB-4'!CS36+'[5]TB-5'!CS36+'[5]TB-6'!CS36+'[5]TB-7'!CS36+'[5]TB-8'!CS36+'[5]TB-9'!CS36+'[5]TB-10'!CS36+'[6]DSV-1'!CS36+'[6]DSV-2'!CS36+'[6]DSV-3'!CS36+'[7]TUB-1'!CS36+'[7]TUB-2'!CS36+'[8]Barge-1'!CS36+'[8]Barge-2'!CS36+'[8]Barge-3'!CS36+'[8]Barge-4'!CS36</f>
        <v>0</v>
      </c>
      <c r="U36" s="183">
        <f>'[2]AHTS-1'!BB36+'[2]AHTS-2'!BB36+'[2]AHTS-3'!BB36+'[2]AHTS-4'!BB36+'[2]AHTS-5'!BB36+'[2]AHTS-6'!BB36+'[2]AHTS-7'!BB36+'[2]AHTS-8'!BB36+'[3]CB-1'!BB36+'[3]CB-2'!BB36+'[3]CB-3'!BB36+'[3]CB-4'!BB36+'[3]CB-5'!BB36+'[3]CB-6'!BB36+'[3]CB-7'!BB36+'[3]CB-8'!BB36+'[3]CB-9'!BB36+'[3]CB-10'!BB36+'[3]CB-11'!BB36+'[3]CB-12'!BB36+'[3]CB-13'!BB36+'[3]CB-14'!BB36+'[3]CB-15'!BB36+'[3]CB-16'!BB36+'[3]CB-17'!BB36+'[3]CB-18'!BB36+'[3]CB-19'!BB36+'[3]CB-20'!BB36+'[3]CB-21'!BB36+'[3]CB-22'!BB36+'[3]CB-23'!BB36+'[3]CB-24'!BB36+'[4]LCT-1'!BB36+'[4]LCT-2'!BB36+'[4]LCT-3'!BB36+'[4]LCT-4'!BB36+'[4]LCT-5'!BB36+'[4]LCT-6'!BB36+'[4]LCT-7'!BB36+'[4]LCT-8'!BB36+'[5]TB-1'!BB36+'[5]TB-2'!BB36+'[5]TB-3'!BB36+'[5]TB-4'!BB36+'[5]TB-5'!BB36+'[5]TB-6'!BB36+'[5]TB-7'!BB36+'[5]TB-8'!BB36+'[5]TB-9'!BB36+'[5]TB-10'!BB36+'[6]DSV-1'!BB36+'[6]DSV-2'!BB36+'[6]DSV-3'!BB36+'[7]TUB-1'!BB36+'[7]TUB-2'!BB36+'[8]Barge-1'!BB36+'[8]Barge-2'!BB36+'[8]Barge-3'!BB36+'[8]Barge-4'!BB36</f>
        <v>0</v>
      </c>
      <c r="V36" s="180">
        <f>'[2]AHTS-1'!BX36+'[2]AHTS-2'!BX36+'[2]AHTS-3'!BX36+'[2]AHTS-4'!BX36+'[2]AHTS-5'!BX36+'[2]AHTS-6'!BX36+'[2]AHTS-7'!BX36+'[2]AHTS-8'!BX36+'[3]CB-1'!BX36+'[3]CB-2'!BX36+'[3]CB-3'!BX36+'[3]CB-4'!BX36+'[3]CB-5'!BX36+'[3]CB-6'!BX36+'[3]CB-7'!BX36+'[3]CB-8'!BX36+'[3]CB-9'!BX36+'[3]CB-10'!BX36+'[3]CB-11'!BX36+'[3]CB-12'!BX36+'[3]CB-13'!BX36+'[3]CB-14'!BX36+'[3]CB-15'!BX36+'[3]CB-16'!BX36+'[3]CB-17'!BX36+'[3]CB-18'!BX36+'[3]CB-19'!BX36+'[3]CB-20'!BX36+'[3]CB-21'!BX36+'[3]CB-22'!BX36+'[3]CB-23'!BX36+'[3]CB-24'!BX36+'[4]LCT-1'!BX36+'[4]LCT-2'!BX36+'[4]LCT-3'!BX36+'[4]LCT-4'!BX36+'[4]LCT-5'!BX36+'[4]LCT-6'!BX36+'[4]LCT-7'!BX36+'[4]LCT-8'!BX36+'[5]TB-1'!BX36+'[5]TB-2'!BX36+'[5]TB-3'!BX36+'[5]TB-4'!BX36+'[5]TB-5'!BX36+'[5]TB-6'!BX36+'[5]TB-7'!BX36+'[5]TB-8'!BX36+'[5]TB-9'!BX36+'[5]TB-10'!BX36+'[6]DSV-1'!BX36+'[6]DSV-2'!BX36+'[6]DSV-3'!BX36+'[7]TUB-1'!BX36+'[7]TUB-2'!BX36+'[8]Barge-1'!BX36+'[8]Barge-2'!BX36+'[8]Barge-3'!BX36+'[8]Barge-4'!BX36</f>
        <v>0</v>
      </c>
      <c r="W36" s="184">
        <f>'[2]AHTS-1'!CT36+'[2]AHTS-2'!CT36+'[2]AHTS-3'!CT36+'[2]AHTS-4'!CT36+'[2]AHTS-5'!CT36+'[2]AHTS-6'!CT36+'[2]AHTS-7'!CT36+'[2]AHTS-8'!CT36+'[3]CB-1'!CT36+'[3]CB-2'!CT36+'[3]CB-3'!CT36+'[3]CB-4'!CT36+'[3]CB-5'!CT36+'[3]CB-6'!CT36+'[3]CB-7'!CT36+'[3]CB-8'!CT36+'[3]CB-9'!CT36+'[3]CB-10'!CT36+'[3]CB-11'!CT36+'[3]CB-12'!CT36+'[3]CB-13'!CT36+'[3]CB-14'!CT36+'[3]CB-15'!CT36+'[3]CB-16'!CT36+'[3]CB-17'!CT36+'[3]CB-18'!CT36+'[3]CB-19'!CT36+'[3]CB-20'!CT36+'[3]CB-21'!CT36+'[3]CB-22'!CT36+'[3]CB-23'!CT36+'[3]CB-24'!CT36+'[4]LCT-1'!CT36+'[4]LCT-2'!CT36+'[4]LCT-3'!CT36+'[4]LCT-4'!CT36+'[4]LCT-5'!CT36+'[4]LCT-6'!CT36+'[4]LCT-7'!CT36+'[4]LCT-8'!CT36+'[5]TB-1'!CT36+'[5]TB-2'!CT36+'[5]TB-3'!CT36+'[5]TB-4'!CT36+'[5]TB-5'!CT36+'[5]TB-6'!CT36+'[5]TB-7'!CT36+'[5]TB-8'!CT36+'[5]TB-9'!CT36+'[5]TB-10'!CT36+'[6]DSV-1'!CT36+'[6]DSV-2'!CT36+'[6]DSV-3'!CT36+'[7]TUB-1'!CT36+'[7]TUB-2'!CT36+'[8]Barge-1'!CT36+'[8]Barge-2'!CT36+'[8]Barge-3'!CT36+'[8]Barge-4'!CT36</f>
        <v>0</v>
      </c>
      <c r="X36" s="67"/>
      <c r="Y36" s="67"/>
      <c r="Z36" s="68"/>
      <c r="AA36" s="111">
        <f>[1]Control!AZ36</f>
        <v>46011</v>
      </c>
      <c r="AB36" s="66"/>
      <c r="AC36" s="132">
        <f>'[2]AHTS-1'!IC74+'[2]AHTS-2'!IC74+'[2]AHTS-3'!IC74+'[2]AHTS-4'!IC74+'[2]AHTS-5'!IC74+'[2]AHTS-6'!IC74+'[2]AHTS-7'!IC74+'[2]AHTS-8'!IC74+'[3]CB-1'!IC74+'[3]CB-2'!IC74+'[3]CB-3'!IC74+'[3]CB-4'!IC74+'[3]CB-5'!IC74+'[3]CB-6'!IC74+'[3]CB-7'!IC74+'[3]CB-8'!IC74+'[3]CB-9'!IC74+'[3]CB-10'!IC74+'[3]CB-11'!IC74+'[3]CB-12'!IC74+'[3]CB-13'!IC74+'[3]CB-14'!IC74+'[3]CB-15'!IC74+'[3]CB-16'!IC74+'[3]CB-17'!IC74+'[3]CB-18'!IC74+'[3]CB-19'!IC74+'[3]CB-20'!IC74+'[3]CB-21'!IC74+'[3]CB-22'!IC74+'[3]CB-23'!IC74+'[3]CB-24'!IC74+'[4]LCT-1'!IC74+'[4]LCT-2'!IC74+'[4]LCT-3'!IC74+'[4]LCT-4'!IC74+'[4]LCT-5'!IC74+'[4]LCT-6'!IC74+'[4]LCT-7'!IC74+'[4]LCT-8'!IC74+'[5]TB-1'!IC74+'[5]TB-2'!IC74+'[5]TB-3'!IC74+'[5]TB-4'!IC74+'[5]TB-5'!IC74+'[5]TB-6'!IC74+'[5]TB-7'!IC74+'[5]TB-8'!IC74+'[5]TB-9'!IC74+'[5]TB-10'!IC74+'[6]DSV-1'!IC74+'[6]DSV-2'!IC74+'[6]DSV-3'!IC74+'[7]TUB-1'!IC74+'[7]TUB-2'!IC74+'[8]Barge-1'!IC74+'[8]Barge-2'!IC74+'[8]Barge-3'!IC74+'[8]Barge-4'!IC74</f>
        <v>0</v>
      </c>
      <c r="AD36" s="133">
        <f>'[2]AHTS-1'!IC36+'[2]AHTS-2'!IC36+'[2]AHTS-3'!IC36+'[2]AHTS-4'!IC36+'[2]AHTS-5'!IC36+'[2]AHTS-6'!IC36+'[2]AHTS-7'!IC36+'[2]AHTS-8'!IC36+'[3]CB-1'!IC36+'[3]CB-2'!IC36+'[3]CB-3'!IC36+'[3]CB-4'!IC36+'[3]CB-5'!IC36+'[3]CB-6'!IC36+'[3]CB-7'!IC36+'[3]CB-8'!IC36+'[3]CB-9'!IC36+'[3]CB-10'!IC36+'[3]CB-11'!IC36+'[3]CB-12'!IC36+'[3]CB-13'!IC36+'[3]CB-14'!IC36+'[3]CB-15'!IC36+'[3]CB-16'!IC36+'[3]CB-17'!IC36+'[3]CB-18'!IC36+'[3]CB-19'!IC36+'[3]CB-20'!IC36+'[3]CB-21'!IC36+'[3]CB-22'!IC36+'[3]CB-23'!IC36+'[3]CB-24'!IC36+'[4]LCT-1'!IC36+'[4]LCT-2'!IC36+'[4]LCT-3'!IC36+'[4]LCT-4'!IC36+'[4]LCT-5'!IC36+'[4]LCT-6'!IC36+'[4]LCT-7'!IC36+'[4]LCT-8'!IC36+'[5]TB-1'!IC36+'[5]TB-2'!IC36+'[5]TB-3'!IC36+'[5]TB-4'!IC36+'[5]TB-5'!IC36+'[5]TB-6'!IC36+'[5]TB-7'!IC36+'[5]TB-8'!IC36+'[5]TB-9'!IC36+'[5]TB-10'!IC36+'[6]DSV-1'!IC36+'[6]DSV-2'!IC36+'[6]DSV-3'!IC36+'[7]TUB-1'!IC36+'[7]TUB-2'!IC36+'[8]Barge-1'!IC36+'[8]Barge-2'!IC36+'[8]Barge-3'!IC36+'[8]Barge-4'!IC36</f>
        <v>0</v>
      </c>
      <c r="AE36" s="134">
        <f>'[2]AHTS-1'!IC107+'[2]AHTS-2'!IC107+'[2]AHTS-3'!IC107+'[2]AHTS-4'!IC107+'[2]AHTS-5'!IC107+'[2]AHTS-6'!IC107+'[2]AHTS-7'!IC107+'[2]AHTS-8'!IC107+'[3]CB-1'!IC107+'[3]CB-2'!IC107+'[3]CB-3'!IC107+'[3]CB-4'!IC107+'[3]CB-5'!IC107+'[3]CB-6'!IC107+'[3]CB-7'!IC107+'[3]CB-8'!IC107+'[3]CB-9'!IC107+'[3]CB-10'!IC107+'[3]CB-11'!IC107+'[3]CB-12'!IC107+'[3]CB-13'!IC107+'[3]CB-14'!IC107+'[3]CB-15'!IC107+'[3]CB-16'!IC107+'[3]CB-17'!IC107+'[3]CB-18'!IC107+'[3]CB-19'!IC107+'[3]CB-20'!IC107+'[3]CB-21'!IC107+'[3]CB-22'!IC107+'[3]CB-23'!IC107+'[3]CB-24'!IC107+'[4]LCT-1'!IC107+'[4]LCT-2'!IC107+'[4]LCT-3'!IC107+'[4]LCT-4'!IC107+'[4]LCT-5'!IC107+'[4]LCT-6'!IC107+'[4]LCT-7'!IC107+'[4]LCT-8'!IC107+'[5]TB-1'!IC107+'[5]TB-2'!IC107+'[5]TB-3'!IC107+'[5]TB-4'!IC107+'[5]TB-5'!IC107+'[5]TB-6'!IC107+'[5]TB-7'!IC107+'[5]TB-8'!IC107+'[5]TB-9'!IC107+'[5]TB-10'!IC107+'[6]DSV-1'!IC107+'[6]DSV-2'!IC107+'[6]DSV-3'!IC107+'[7]TUB-1'!IC107+'[7]TUB-2'!IC107+'[8]Barge-1'!IC107+'[8]Barge-2'!IC107+'[8]Barge-3'!IC107+'[8]Barge-4'!IC107</f>
        <v>0</v>
      </c>
      <c r="AF36" s="135">
        <f>'[2]AHTS-1'!ID74+'[2]AHTS-2'!ID74+'[2]AHTS-3'!ID74+'[2]AHTS-4'!ID74+'[2]AHTS-5'!ID74+'[2]AHTS-6'!ID74+'[2]AHTS-7'!ID74+'[2]AHTS-8'!ID74+'[3]CB-1'!ID74+'[3]CB-2'!ID74+'[3]CB-3'!ID74+'[3]CB-4'!ID74+'[3]CB-5'!ID74+'[3]CB-6'!ID74+'[3]CB-7'!ID74+'[3]CB-8'!ID74+'[3]CB-9'!ID74+'[3]CB-10'!ID74+'[3]CB-11'!ID74+'[3]CB-12'!ID74+'[3]CB-13'!ID74+'[3]CB-14'!ID74+'[3]CB-15'!ID74+'[3]CB-16'!ID74+'[3]CB-17'!ID74+'[3]CB-18'!ID74+'[3]CB-19'!ID74+'[3]CB-20'!ID74+'[3]CB-21'!ID74+'[3]CB-22'!ID74+'[3]CB-23'!ID74+'[3]CB-24'!ID74+'[4]LCT-1'!ID74+'[4]LCT-2'!ID74+'[4]LCT-3'!ID74+'[4]LCT-4'!ID74+'[4]LCT-5'!ID74+'[4]LCT-6'!ID74+'[4]LCT-7'!ID74+'[4]LCT-8'!ID74+'[5]TB-1'!ID74+'[5]TB-2'!ID74+'[5]TB-3'!ID74+'[5]TB-4'!ID74+'[5]TB-5'!ID74+'[5]TB-6'!ID74+'[5]TB-7'!ID74+'[5]TB-8'!ID74+'[5]TB-9'!ID74+'[5]TB-10'!ID74+'[6]DSV-1'!ID74+'[6]DSV-2'!ID74+'[6]DSV-3'!ID74+'[7]TUB-1'!ID74+'[7]TUB-2'!ID74+'[8]Barge-1'!ID74+'[8]Barge-2'!ID74+'[8]Barge-3'!ID74+'[8]Barge-4'!ID74</f>
        <v>25712594.444444444</v>
      </c>
      <c r="AG36" s="136">
        <f>'[2]AHTS-1'!ID36+'[2]AHTS-2'!ID36+'[2]AHTS-3'!ID36+'[2]AHTS-4'!ID36+'[2]AHTS-5'!ID36+'[2]AHTS-6'!ID36+'[2]AHTS-7'!ID36+'[2]AHTS-8'!ID36+'[3]CB-1'!ID36+'[3]CB-2'!ID36+'[3]CB-3'!ID36+'[3]CB-4'!ID36+'[3]CB-5'!ID36+'[3]CB-6'!ID36+'[3]CB-7'!ID36+'[3]CB-8'!ID36+'[3]CB-9'!ID36+'[3]CB-10'!ID36+'[3]CB-11'!ID36+'[3]CB-12'!ID36+'[3]CB-13'!ID36+'[3]CB-14'!ID36+'[3]CB-15'!ID36+'[3]CB-16'!ID36+'[3]CB-17'!ID36+'[3]CB-18'!ID36+'[3]CB-19'!ID36+'[3]CB-20'!ID36+'[3]CB-21'!ID36+'[3]CB-22'!ID36+'[3]CB-23'!ID36+'[3]CB-24'!ID36+'[4]LCT-1'!ID36+'[4]LCT-2'!ID36+'[4]LCT-3'!ID36+'[4]LCT-4'!ID36+'[4]LCT-5'!ID36+'[4]LCT-6'!ID36+'[4]LCT-7'!ID36+'[4]LCT-8'!ID36+'[5]TB-1'!ID36+'[5]TB-2'!ID36+'[5]TB-3'!ID36+'[5]TB-4'!ID36+'[5]TB-5'!ID36+'[5]TB-6'!ID36+'[5]TB-7'!ID36+'[5]TB-8'!ID36+'[5]TB-9'!ID36+'[5]TB-10'!ID36+'[6]DSV-1'!ID36+'[6]DSV-2'!ID36+'[6]DSV-3'!ID36+'[7]TUB-1'!ID36+'[7]TUB-2'!ID36+'[8]Barge-1'!ID36+'[8]Barge-2'!ID36+'[8]Barge-3'!ID36+'[8]Barge-4'!ID36</f>
        <v>27869444.44444444</v>
      </c>
      <c r="AH36" s="136">
        <f>'[2]AHTS-1'!ID107+'[2]AHTS-2'!ID107+'[2]AHTS-3'!ID107+'[2]AHTS-4'!ID107+'[2]AHTS-5'!ID107+'[2]AHTS-6'!ID107+'[2]AHTS-7'!ID107+'[2]AHTS-8'!ID107+'[3]CB-1'!ID107+'[3]CB-2'!ID107+'[3]CB-3'!ID107+'[3]CB-4'!ID107+'[3]CB-5'!ID107+'[3]CB-6'!ID107+'[3]CB-7'!ID107+'[3]CB-8'!ID107+'[3]CB-9'!ID107+'[3]CB-10'!ID107+'[3]CB-11'!ID107+'[3]CB-12'!ID107+'[3]CB-13'!ID107+'[3]CB-14'!ID107+'[3]CB-15'!ID107+'[3]CB-16'!ID107+'[3]CB-17'!ID107+'[3]CB-18'!ID107+'[3]CB-19'!ID107+'[3]CB-20'!ID107+'[3]CB-21'!ID107+'[3]CB-22'!ID107+'[3]CB-23'!ID107+'[3]CB-24'!ID107+'[4]LCT-1'!ID107+'[4]LCT-2'!ID107+'[4]LCT-3'!ID107+'[4]LCT-4'!ID107+'[4]LCT-5'!ID107+'[4]LCT-6'!ID107+'[4]LCT-7'!ID107+'[4]LCT-8'!ID107+'[5]TB-1'!ID107+'[5]TB-2'!ID107+'[5]TB-3'!ID107+'[5]TB-4'!ID107+'[5]TB-5'!ID107+'[5]TB-6'!ID107+'[5]TB-7'!ID107+'[5]TB-8'!ID107+'[5]TB-9'!ID107+'[5]TB-10'!ID107+'[6]DSV-1'!ID107+'[6]DSV-2'!ID107+'[6]DSV-3'!ID107+'[7]TUB-1'!ID107+'[7]TUB-2'!ID107+'[8]Barge-1'!ID107+'[8]Barge-2'!ID107+'[8]Barge-3'!ID107+'[8]Barge-4'!ID107</f>
        <v>0</v>
      </c>
      <c r="AI36" s="135">
        <f>'[2]AHTS-1'!IE74+'[2]AHTS-2'!IE74+'[2]AHTS-3'!IE74+'[2]AHTS-4'!IE74+'[2]AHTS-5'!IE74+'[2]AHTS-6'!IE74+'[2]AHTS-7'!IE74+'[2]AHTS-8'!IE74+'[3]CB-1'!IE74+'[3]CB-2'!IE74+'[3]CB-3'!IE74+'[3]CB-4'!IE74+'[3]CB-5'!IE74+'[3]CB-6'!IE74+'[3]CB-7'!IE74+'[3]CB-8'!IE74+'[3]CB-9'!IE74+'[3]CB-10'!IE74+'[3]CB-11'!IE74+'[3]CB-12'!IE74+'[3]CB-13'!IE74+'[3]CB-14'!IE74+'[3]CB-15'!IE74+'[3]CB-16'!IE74+'[3]CB-17'!IE74+'[3]CB-18'!IE74+'[3]CB-19'!IE74+'[3]CB-20'!IE74+'[3]CB-21'!IE74+'[3]CB-22'!IE74+'[3]CB-23'!IE74+'[3]CB-24'!IE74+'[4]LCT-1'!IE74+'[4]LCT-2'!IE74+'[4]LCT-3'!IE74+'[4]LCT-4'!IE74+'[4]LCT-5'!IE74+'[4]LCT-6'!IE74+'[4]LCT-7'!IE74+'[4]LCT-8'!IE74+'[5]TB-1'!IE74+'[5]TB-2'!IE74+'[5]TB-3'!IE74+'[5]TB-4'!IE74+'[5]TB-5'!IE74+'[5]TB-6'!IE74+'[5]TB-7'!IE74+'[5]TB-8'!IE74+'[5]TB-9'!IE74+'[5]TB-10'!IE74+'[6]DSV-1'!IE74+'[6]DSV-2'!IE74+'[6]DSV-3'!IE74+'[7]TUB-1'!IE74+'[7]TUB-2'!IE74+'[8]Barge-1'!IE74+'[8]Barge-2'!IE74+'[8]Barge-3'!IE74+'[8]Barge-4'!IE74</f>
        <v>84105611.111111104</v>
      </c>
      <c r="AJ36" s="136">
        <f>'[2]AHTS-1'!IE36+'[2]AHTS-2'!IE36+'[2]AHTS-3'!IE36+'[2]AHTS-4'!IE36+'[2]AHTS-5'!IE36+'[2]AHTS-6'!IE36+'[2]AHTS-7'!IE36+'[2]AHTS-8'!IE36+'[3]CB-1'!IE36+'[3]CB-2'!IE36+'[3]CB-3'!IE36+'[3]CB-4'!IE36+'[3]CB-5'!IE36+'[3]CB-6'!IE36+'[3]CB-7'!IE36+'[3]CB-8'!IE36+'[3]CB-9'!IE36+'[3]CB-10'!IE36+'[3]CB-11'!IE36+'[3]CB-12'!IE36+'[3]CB-13'!IE36+'[3]CB-14'!IE36+'[3]CB-15'!IE36+'[3]CB-16'!IE36+'[3]CB-17'!IE36+'[3]CB-18'!IE36+'[3]CB-19'!IE36+'[3]CB-20'!IE36+'[3]CB-21'!IE36+'[3]CB-22'!IE36+'[3]CB-23'!IE36+'[3]CB-24'!IE36+'[4]LCT-1'!IE36+'[4]LCT-2'!IE36+'[4]LCT-3'!IE36+'[4]LCT-4'!IE36+'[4]LCT-5'!IE36+'[4]LCT-6'!IE36+'[4]LCT-7'!IE36+'[4]LCT-8'!IE36+'[5]TB-1'!IE36+'[5]TB-2'!IE36+'[5]TB-3'!IE36+'[5]TB-4'!IE36+'[5]TB-5'!IE36+'[5]TB-6'!IE36+'[5]TB-7'!IE36+'[5]TB-8'!IE36+'[5]TB-9'!IE36+'[5]TB-10'!IE36+'[6]DSV-1'!IE36+'[6]DSV-2'!IE36+'[6]DSV-3'!IE36+'[7]TUB-1'!IE36+'[7]TUB-2'!IE36+'[8]Barge-1'!IE36+'[8]Barge-2'!IE36+'[8]Barge-3'!IE36+'[8]Barge-4'!IE36</f>
        <v>60794444.444444448</v>
      </c>
      <c r="AK36" s="136">
        <f>'[2]AHTS-1'!IE107+'[2]AHTS-2'!IE107+'[2]AHTS-3'!IE107+'[2]AHTS-4'!IE107+'[2]AHTS-5'!IE107+'[2]AHTS-6'!IE107+'[2]AHTS-7'!IE107+'[2]AHTS-8'!IE107+'[3]CB-1'!IE107+'[3]CB-2'!IE107+'[3]CB-3'!IE107+'[3]CB-4'!IE107+'[3]CB-5'!IE107+'[3]CB-6'!IE107+'[3]CB-7'!IE107+'[3]CB-8'!IE107+'[3]CB-9'!IE107+'[3]CB-10'!IE107+'[3]CB-11'!IE107+'[3]CB-12'!IE107+'[3]CB-13'!IE107+'[3]CB-14'!IE107+'[3]CB-15'!IE107+'[3]CB-16'!IE107+'[3]CB-17'!IE107+'[3]CB-18'!IE107+'[3]CB-19'!IE107+'[3]CB-20'!IE107+'[3]CB-21'!IE107+'[3]CB-22'!IE107+'[3]CB-23'!IE107+'[3]CB-24'!IE107+'[4]LCT-1'!IE107+'[4]LCT-2'!IE107+'[4]LCT-3'!IE107+'[4]LCT-4'!IE107+'[4]LCT-5'!IE107+'[4]LCT-6'!IE107+'[4]LCT-7'!IE107+'[4]LCT-8'!IE107+'[5]TB-1'!IE107+'[5]TB-2'!IE107+'[5]TB-3'!IE107+'[5]TB-4'!IE107+'[5]TB-5'!IE107+'[5]TB-6'!IE107+'[5]TB-7'!IE107+'[5]TB-8'!IE107+'[5]TB-9'!IE107+'[5]TB-10'!IE107+'[6]DSV-1'!IE107+'[6]DSV-2'!IE107+'[6]DSV-3'!IE107+'[7]TUB-1'!IE107+'[7]TUB-2'!IE107+'[8]Barge-1'!IE107+'[8]Barge-2'!IE107+'[8]Barge-3'!IE107+'[8]Barge-4'!IE107</f>
        <v>0</v>
      </c>
      <c r="AL36" s="137">
        <f>'[2]AHTS-1'!IF74+'[2]AHTS-2'!IF74+'[2]AHTS-3'!IF74+'[2]AHTS-4'!IF74+'[2]AHTS-5'!IF74+'[2]AHTS-6'!IF74+'[2]AHTS-7'!IF74+'[2]AHTS-8'!IF74+'[3]CB-1'!IF74+'[3]CB-2'!IF74+'[3]CB-3'!IF74+'[3]CB-4'!IF74+'[3]CB-5'!IF74+'[3]CB-6'!IF74+'[3]CB-7'!IF74+'[3]CB-8'!IF74+'[3]CB-9'!IF74+'[3]CB-10'!IF74+'[3]CB-11'!IF74+'[3]CB-12'!IF74+'[3]CB-13'!IF74+'[3]CB-14'!IF74+'[3]CB-15'!IF74+'[3]CB-16'!IF74+'[3]CB-17'!IF74+'[3]CB-18'!IF74+'[3]CB-19'!IF74+'[3]CB-20'!IF74+'[3]CB-21'!IF74+'[3]CB-22'!IF74+'[3]CB-23'!IF74+'[3]CB-24'!IF74+'[4]LCT-1'!IF74+'[4]LCT-2'!IF74+'[4]LCT-3'!IF74+'[4]LCT-4'!IF74+'[4]LCT-5'!IF74+'[4]LCT-6'!IF74+'[4]LCT-7'!IF74+'[4]LCT-8'!IF74+'[5]TB-1'!IF74+'[5]TB-2'!IF74+'[5]TB-3'!IF74+'[5]TB-4'!IF74+'[5]TB-5'!IF74+'[5]TB-6'!IF74+'[5]TB-7'!IF74+'[5]TB-8'!IF74+'[5]TB-9'!IF74+'[5]TB-10'!IF74+'[6]DSV-1'!IF74+'[6]DSV-2'!IF74+'[6]DSV-3'!IF74+'[7]TUB-1'!IF74+'[7]TUB-2'!IF74+'[8]Barge-1'!IF74+'[8]Barge-2'!IF74+'[8]Barge-3'!IF74+'[8]Barge-4'!IF74</f>
        <v>42038450</v>
      </c>
      <c r="AM36" s="138">
        <f>'[2]AHTS-1'!IF36+'[2]AHTS-2'!IF36+'[2]AHTS-3'!IF36+'[2]AHTS-4'!IF36+'[2]AHTS-5'!IF36+'[2]AHTS-6'!IF36+'[2]AHTS-7'!IF36+'[2]AHTS-8'!IF36+'[3]CB-1'!IF36+'[3]CB-2'!IF36+'[3]CB-3'!IF36+'[3]CB-4'!IF36+'[3]CB-5'!IF36+'[3]CB-6'!IF36+'[3]CB-7'!IF36+'[3]CB-8'!IF36+'[3]CB-9'!IF36+'[3]CB-10'!IF36+'[3]CB-11'!IF36+'[3]CB-12'!IF36+'[3]CB-13'!IF36+'[3]CB-14'!IF36+'[3]CB-15'!IF36+'[3]CB-16'!IF36+'[3]CB-17'!IF36+'[3]CB-18'!IF36+'[3]CB-19'!IF36+'[3]CB-20'!IF36+'[3]CB-21'!IF36+'[3]CB-22'!IF36+'[3]CB-23'!IF36+'[3]CB-24'!IF36+'[4]LCT-1'!IF36+'[4]LCT-2'!IF36+'[4]LCT-3'!IF36+'[4]LCT-4'!IF36+'[4]LCT-5'!IF36+'[4]LCT-6'!IF36+'[4]LCT-7'!IF36+'[4]LCT-8'!IF36+'[5]TB-1'!IF36+'[5]TB-2'!IF36+'[5]TB-3'!IF36+'[5]TB-4'!IF36+'[5]TB-5'!IF36+'[5]TB-6'!IF36+'[5]TB-7'!IF36+'[5]TB-8'!IF36+'[5]TB-9'!IF36+'[5]TB-10'!IF36+'[6]DSV-1'!IF36+'[6]DSV-2'!IF36+'[6]DSV-3'!IF36+'[7]TUB-1'!IF36+'[7]TUB-2'!IF36+'[8]Barge-1'!IF36+'[8]Barge-2'!IF36+'[8]Barge-3'!IF36+'[8]Barge-4'!IF36</f>
        <v>63200000</v>
      </c>
      <c r="AN36" s="138">
        <f>'[2]AHTS-1'!IF107+'[2]AHTS-2'!IF107+'[2]AHTS-3'!IF107+'[2]AHTS-4'!IF107+'[2]AHTS-5'!IF107+'[2]AHTS-6'!IF107+'[2]AHTS-7'!IF107+'[2]AHTS-8'!IF107+'[3]CB-1'!IF107+'[3]CB-2'!IF107+'[3]CB-3'!IF107+'[3]CB-4'!IF107+'[3]CB-5'!IF107+'[3]CB-6'!IF107+'[3]CB-7'!IF107+'[3]CB-8'!IF107+'[3]CB-9'!IF107+'[3]CB-10'!IF107+'[3]CB-11'!IF107+'[3]CB-12'!IF107+'[3]CB-13'!IF107+'[3]CB-14'!IF107+'[3]CB-15'!IF107+'[3]CB-16'!IF107+'[3]CB-17'!IF107+'[3]CB-18'!IF107+'[3]CB-19'!IF107+'[3]CB-20'!IF107+'[3]CB-21'!IF107+'[3]CB-22'!IF107+'[3]CB-23'!IF107+'[3]CB-24'!IF107+'[4]LCT-1'!IF107+'[4]LCT-2'!IF107+'[4]LCT-3'!IF107+'[4]LCT-4'!IF107+'[4]LCT-5'!IF107+'[4]LCT-6'!IF107+'[4]LCT-7'!IF107+'[4]LCT-8'!IF107+'[5]TB-1'!IF107+'[5]TB-2'!IF107+'[5]TB-3'!IF107+'[5]TB-4'!IF107+'[5]TB-5'!IF107+'[5]TB-6'!IF107+'[5]TB-7'!IF107+'[5]TB-8'!IF107+'[5]TB-9'!IF107+'[5]TB-10'!IF107+'[6]DSV-1'!IF107+'[6]DSV-2'!IF107+'[6]DSV-3'!IF107+'[7]TUB-1'!IF107+'[7]TUB-2'!IF107+'[8]Barge-1'!IF107+'[8]Barge-2'!IF107+'[8]Barge-3'!IF107+'[8]Barge-4'!IF107</f>
        <v>0</v>
      </c>
      <c r="AO36" s="135">
        <f>'[2]AHTS-1'!IG74+'[2]AHTS-2'!IG74+'[2]AHTS-3'!IG74+'[2]AHTS-4'!IG74+'[2]AHTS-5'!IG74+'[2]AHTS-6'!IG74+'[2]AHTS-7'!IG74+'[2]AHTS-8'!IG74+'[3]CB-1'!IG74+'[3]CB-2'!IG74+'[3]CB-3'!IG74+'[3]CB-4'!IG74+'[3]CB-5'!IG74+'[3]CB-6'!IG74+'[3]CB-7'!IG74+'[3]CB-8'!IG74+'[3]CB-9'!IG74+'[3]CB-10'!IG74+'[3]CB-11'!IG74+'[3]CB-12'!IG74+'[3]CB-13'!IG74+'[3]CB-14'!IG74+'[3]CB-15'!IG74+'[3]CB-16'!IG74+'[3]CB-17'!IG74+'[3]CB-18'!IG74+'[3]CB-19'!IG74+'[3]CB-20'!IG74+'[3]CB-21'!IG74+'[3]CB-22'!IG74+'[3]CB-23'!IG74+'[3]CB-24'!IG74+'[4]LCT-1'!IG74+'[4]LCT-2'!IG74+'[4]LCT-3'!IG74+'[4]LCT-4'!IG74+'[4]LCT-5'!IG74+'[4]LCT-6'!IG74+'[4]LCT-7'!IG74+'[4]LCT-8'!IG74+'[5]TB-1'!IG74+'[5]TB-2'!IG74+'[5]TB-3'!IG74+'[5]TB-4'!IG74+'[5]TB-5'!IG74+'[5]TB-6'!IG74+'[5]TB-7'!IG74+'[5]TB-8'!IG74+'[5]TB-9'!IG74+'[5]TB-10'!IG74+'[6]DSV-1'!IG74+'[6]DSV-2'!IG74+'[6]DSV-3'!IG74+'[7]TUB-1'!IG74+'[7]TUB-2'!IG74+'[8]Barge-1'!IG74+'[8]Barge-2'!IG74+'[8]Barge-3'!IG74+'[8]Barge-4'!IG74</f>
        <v>366066.66666666669</v>
      </c>
      <c r="AP36" s="136">
        <f>'[2]AHTS-1'!IG36+'[2]AHTS-2'!IG36+'[2]AHTS-3'!IG36+'[2]AHTS-4'!IG36+'[2]AHTS-5'!IG36+'[2]AHTS-6'!IG36+'[2]AHTS-7'!IG36+'[2]AHTS-8'!IG36+'[3]CB-1'!IG36+'[3]CB-2'!IG36+'[3]CB-3'!IG36+'[3]CB-4'!IG36+'[3]CB-5'!IG36+'[3]CB-6'!IG36+'[3]CB-7'!IG36+'[3]CB-8'!IG36+'[3]CB-9'!IG36+'[3]CB-10'!IG36+'[3]CB-11'!IG36+'[3]CB-12'!IG36+'[3]CB-13'!IG36+'[3]CB-14'!IG36+'[3]CB-15'!IG36+'[3]CB-16'!IG36+'[3]CB-17'!IG36+'[3]CB-18'!IG36+'[3]CB-19'!IG36+'[3]CB-20'!IG36+'[3]CB-21'!IG36+'[3]CB-22'!IG36+'[3]CB-23'!IG36+'[3]CB-24'!IG36+'[4]LCT-1'!IG36+'[4]LCT-2'!IG36+'[4]LCT-3'!IG36+'[4]LCT-4'!IG36+'[4]LCT-5'!IG36+'[4]LCT-6'!IG36+'[4]LCT-7'!IG36+'[4]LCT-8'!IG36+'[5]TB-1'!IG36+'[5]TB-2'!IG36+'[5]TB-3'!IG36+'[5]TB-4'!IG36+'[5]TB-5'!IG36+'[5]TB-6'!IG36+'[5]TB-7'!IG36+'[5]TB-8'!IG36+'[5]TB-9'!IG36+'[5]TB-10'!IG36+'[6]DSV-1'!IG36+'[6]DSV-2'!IG36+'[6]DSV-3'!IG36+'[7]TUB-1'!IG36+'[7]TUB-2'!IG36+'[8]Barge-1'!IG36+'[8]Barge-2'!IG36+'[8]Barge-3'!IG36+'[8]Barge-4'!IG36</f>
        <v>4333333.333333333</v>
      </c>
      <c r="AQ36" s="136">
        <f>'[2]AHTS-1'!IG107+'[2]AHTS-2'!IG107+'[2]AHTS-3'!IG107+'[2]AHTS-4'!IG107+'[2]AHTS-5'!IG107+'[2]AHTS-6'!IG107+'[2]AHTS-7'!IG107+'[2]AHTS-8'!IG107+'[3]CB-1'!IG107+'[3]CB-2'!IG107+'[3]CB-3'!IG107+'[3]CB-4'!IG107+'[3]CB-5'!IG107+'[3]CB-6'!IG107+'[3]CB-7'!IG107+'[3]CB-8'!IG107+'[3]CB-9'!IG107+'[3]CB-10'!IG107+'[3]CB-11'!IG107+'[3]CB-12'!IG107+'[3]CB-13'!IG107+'[3]CB-14'!IG107+'[3]CB-15'!IG107+'[3]CB-16'!IG107+'[3]CB-17'!IG107+'[3]CB-18'!IG107+'[3]CB-19'!IG107+'[3]CB-20'!IG107+'[3]CB-21'!IG107+'[3]CB-22'!IG107+'[3]CB-23'!IG107+'[3]CB-24'!IG107+'[4]LCT-1'!IG107+'[4]LCT-2'!IG107+'[4]LCT-3'!IG107+'[4]LCT-4'!IG107+'[4]LCT-5'!IG107+'[4]LCT-6'!IG107+'[4]LCT-7'!IG107+'[4]LCT-8'!IG107+'[5]TB-1'!IG107+'[5]TB-2'!IG107+'[5]TB-3'!IG107+'[5]TB-4'!IG107+'[5]TB-5'!IG107+'[5]TB-6'!IG107+'[5]TB-7'!IG107+'[5]TB-8'!IG107+'[5]TB-9'!IG107+'[5]TB-10'!IG107+'[6]DSV-1'!IG107+'[6]DSV-2'!IG107+'[6]DSV-3'!IG107+'[7]TUB-1'!IG107+'[7]TUB-2'!IG107+'[8]Barge-1'!IG107+'[8]Barge-2'!IG107+'[8]Barge-3'!IG107+'[8]Barge-4'!IG107</f>
        <v>0</v>
      </c>
      <c r="AR36" s="139">
        <f>'[2]AHTS-1'!IH74+'[2]AHTS-2'!IH74+'[2]AHTS-3'!IH74+'[2]AHTS-4'!IH74+'[2]AHTS-5'!IH74+'[2]AHTS-6'!IH74+'[2]AHTS-7'!IH74+'[2]AHTS-8'!IH74+'[3]CB-1'!IH74+'[3]CB-2'!IH74+'[3]CB-3'!IH74+'[3]CB-4'!IH74+'[3]CB-5'!IH74+'[3]CB-6'!IH74+'[3]CB-7'!IH74+'[3]CB-8'!IH74+'[3]CB-9'!IH74+'[3]CB-10'!IH74+'[3]CB-11'!IH74+'[3]CB-12'!IH74+'[3]CB-13'!IH74+'[3]CB-14'!IH74+'[3]CB-15'!IH74+'[3]CB-16'!IH74+'[3]CB-17'!IH74+'[3]CB-18'!IH74+'[3]CB-19'!IH74+'[3]CB-20'!IH74+'[3]CB-21'!IH74+'[3]CB-22'!IH74+'[3]CB-23'!IH74+'[3]CB-24'!IH74+'[4]LCT-1'!IH74+'[4]LCT-2'!IH74+'[4]LCT-3'!IH74+'[4]LCT-4'!IH74+'[4]LCT-5'!IH74+'[4]LCT-6'!IH74+'[4]LCT-7'!IH74+'[4]LCT-8'!IH74+'[5]TB-1'!IH74+'[5]TB-2'!IH74+'[5]TB-3'!IH74+'[5]TB-4'!IH74+'[5]TB-5'!IH74+'[5]TB-6'!IH74+'[5]TB-7'!IH74+'[5]TB-8'!IH74+'[5]TB-9'!IH74+'[5]TB-10'!IH74+'[6]DSV-1'!IH74+'[6]DSV-2'!IH74+'[6]DSV-3'!IH74+'[7]TUB-1'!IH74+'[7]TUB-2'!IH74+'[8]Barge-1'!IH74+'[8]Barge-2'!IH74+'[8]Barge-3'!IH74+'[8]Barge-4'!IH74</f>
        <v>63523333.333333336</v>
      </c>
      <c r="AS36" s="136">
        <f>'[2]AHTS-1'!IH36+'[2]AHTS-2'!IH36+'[2]AHTS-3'!IH36+'[2]AHTS-4'!IH36+'[2]AHTS-5'!IH36+'[2]AHTS-6'!IH36+'[2]AHTS-7'!IH36+'[2]AHTS-8'!IH36+'[3]CB-1'!IH36+'[3]CB-2'!IH36+'[3]CB-3'!IH36+'[3]CB-4'!IH36+'[3]CB-5'!IH36+'[3]CB-6'!IH36+'[3]CB-7'!IH36+'[3]CB-8'!IH36+'[3]CB-9'!IH36+'[3]CB-10'!IH36+'[3]CB-11'!IH36+'[3]CB-12'!IH36+'[3]CB-13'!IH36+'[3]CB-14'!IH36+'[3]CB-15'!IH36+'[3]CB-16'!IH36+'[3]CB-17'!IH36+'[3]CB-18'!IH36+'[3]CB-19'!IH36+'[3]CB-20'!IH36+'[3]CB-21'!IH36+'[3]CB-22'!IH36+'[3]CB-23'!IH36+'[3]CB-24'!IH36+'[4]LCT-1'!IH36+'[4]LCT-2'!IH36+'[4]LCT-3'!IH36+'[4]LCT-4'!IH36+'[4]LCT-5'!IH36+'[4]LCT-6'!IH36+'[4]LCT-7'!IH36+'[4]LCT-8'!IH36+'[5]TB-1'!IH36+'[5]TB-2'!IH36+'[5]TB-3'!IH36+'[5]TB-4'!IH36+'[5]TB-5'!IH36+'[5]TB-6'!IH36+'[5]TB-7'!IH36+'[5]TB-8'!IH36+'[5]TB-9'!IH36+'[5]TB-10'!IH36+'[6]DSV-1'!IH36+'[6]DSV-2'!IH36+'[6]DSV-3'!IH36+'[7]TUB-1'!IH36+'[7]TUB-2'!IH36+'[8]Barge-1'!IH36+'[8]Barge-2'!IH36+'[8]Barge-3'!IH36+'[8]Barge-4'!IH36</f>
        <v>83950000</v>
      </c>
      <c r="AT36" s="140">
        <f>'[2]AHTS-1'!IH107+'[2]AHTS-2'!IH107+'[2]AHTS-3'!IH107+'[2]AHTS-4'!IH107+'[2]AHTS-5'!IH107+'[2]AHTS-6'!IH107+'[2]AHTS-7'!IH107+'[2]AHTS-8'!IH107+'[3]CB-1'!IH107+'[3]CB-2'!IH107+'[3]CB-3'!IH107+'[3]CB-4'!IH107+'[3]CB-5'!IH107+'[3]CB-6'!IH107+'[3]CB-7'!IH107+'[3]CB-8'!IH107+'[3]CB-9'!IH107+'[3]CB-10'!IH107+'[3]CB-11'!IH107+'[3]CB-12'!IH107+'[3]CB-13'!IH107+'[3]CB-14'!IH107+'[3]CB-15'!IH107+'[3]CB-16'!IH107+'[3]CB-17'!IH107+'[3]CB-18'!IH107+'[3]CB-19'!IH107+'[3]CB-20'!IH107+'[3]CB-21'!IH107+'[3]CB-22'!IH107+'[3]CB-23'!IH107+'[3]CB-24'!IH107+'[4]LCT-1'!IH107+'[4]LCT-2'!IH107+'[4]LCT-3'!IH107+'[4]LCT-4'!IH107+'[4]LCT-5'!IH107+'[4]LCT-6'!IH107+'[4]LCT-7'!IH107+'[4]LCT-8'!IH107+'[5]TB-1'!IH107+'[5]TB-2'!IH107+'[5]TB-3'!IH107+'[5]TB-4'!IH107+'[5]TB-5'!IH107+'[5]TB-6'!IH107+'[5]TB-7'!IH107+'[5]TB-8'!IH107+'[5]TB-9'!IH107+'[5]TB-10'!IH107+'[6]DSV-1'!IH107+'[6]DSV-2'!IH107+'[6]DSV-3'!IH107+'[7]TUB-1'!IH107+'[7]TUB-2'!IH107+'[8]Barge-1'!IH107+'[8]Barge-2'!IH107+'[8]Barge-3'!IH107+'[8]Barge-4'!IH107</f>
        <v>0</v>
      </c>
      <c r="AU36" s="139">
        <f>'[2]AHTS-1'!II74+'[2]AHTS-2'!II74+'[2]AHTS-3'!II74+'[2]AHTS-4'!II74+'[2]AHTS-5'!II74+'[2]AHTS-6'!II74+'[2]AHTS-7'!II74+'[2]AHTS-8'!II74+'[3]CB-1'!II74+'[3]CB-2'!II74+'[3]CB-3'!II74+'[3]CB-4'!II74+'[3]CB-5'!II74+'[3]CB-6'!II74+'[3]CB-7'!II74+'[3]CB-8'!II74+'[3]CB-9'!II74+'[3]CB-10'!II74+'[3]CB-11'!II74+'[3]CB-12'!II74+'[3]CB-13'!II74+'[3]CB-14'!II74+'[3]CB-15'!II74+'[3]CB-16'!II74+'[3]CB-17'!II74+'[3]CB-18'!II74+'[3]CB-19'!II74+'[3]CB-20'!II74+'[3]CB-21'!II74+'[3]CB-22'!II74+'[3]CB-23'!II74+'[3]CB-24'!II74+'[4]LCT-1'!II74+'[4]LCT-2'!II74+'[4]LCT-3'!II74+'[4]LCT-4'!II74+'[4]LCT-5'!II74+'[4]LCT-6'!II74+'[4]LCT-7'!II74+'[4]LCT-8'!II74+'[5]TB-1'!II74+'[5]TB-2'!II74+'[5]TB-3'!II74+'[5]TB-4'!II74+'[5]TB-5'!II74+'[5]TB-6'!II74+'[5]TB-7'!II74+'[5]TB-8'!II74+'[5]TB-9'!II74+'[5]TB-10'!II74+'[6]DSV-1'!II74+'[6]DSV-2'!II74+'[6]DSV-3'!II74+'[7]TUB-1'!II74+'[7]TUB-2'!II74+'[8]Barge-1'!II74+'[8]Barge-2'!II74+'[8]Barge-3'!II74+'[8]Barge-4'!II74</f>
        <v>0</v>
      </c>
      <c r="AV36" s="136">
        <f>'[2]AHTS-1'!II36+'[2]AHTS-2'!II36+'[2]AHTS-3'!II36+'[2]AHTS-4'!II36+'[2]AHTS-5'!II36+'[2]AHTS-6'!II36+'[2]AHTS-7'!II36+'[2]AHTS-8'!II36+'[3]CB-1'!II36+'[3]CB-2'!II36+'[3]CB-3'!II36+'[3]CB-4'!II36+'[3]CB-5'!II36+'[3]CB-6'!II36+'[3]CB-7'!II36+'[3]CB-8'!II36+'[3]CB-9'!II36+'[3]CB-10'!II36+'[3]CB-11'!II36+'[3]CB-12'!II36+'[3]CB-13'!II36+'[3]CB-14'!II36+'[3]CB-15'!II36+'[3]CB-16'!II36+'[3]CB-17'!II36+'[3]CB-18'!II36+'[3]CB-19'!II36+'[3]CB-20'!II36+'[3]CB-21'!II36+'[3]CB-22'!II36+'[3]CB-23'!II36+'[3]CB-24'!II36+'[4]LCT-1'!II36+'[4]LCT-2'!II36+'[4]LCT-3'!II36+'[4]LCT-4'!II36+'[4]LCT-5'!II36+'[4]LCT-6'!II36+'[4]LCT-7'!II36+'[4]LCT-8'!II36+'[5]TB-1'!II36+'[5]TB-2'!II36+'[5]TB-3'!II36+'[5]TB-4'!II36+'[5]TB-5'!II36+'[5]TB-6'!II36+'[5]TB-7'!II36+'[5]TB-8'!II36+'[5]TB-9'!II36+'[5]TB-10'!II36+'[6]DSV-1'!II36+'[6]DSV-2'!II36+'[6]DSV-3'!II36+'[7]TUB-1'!II36+'[7]TUB-2'!II36+'[8]Barge-1'!II36+'[8]Barge-2'!II36+'[8]Barge-3'!II36+'[8]Barge-4'!II36</f>
        <v>0</v>
      </c>
      <c r="AW36" s="140">
        <f>'[2]AHTS-1'!II107+'[2]AHTS-2'!II107+'[2]AHTS-3'!II107+'[2]AHTS-4'!II107+'[2]AHTS-5'!II107+'[2]AHTS-6'!II107+'[2]AHTS-7'!II107+'[2]AHTS-8'!II107+'[3]CB-1'!II107+'[3]CB-2'!II107+'[3]CB-3'!II107+'[3]CB-4'!II107+'[3]CB-5'!II107+'[3]CB-6'!II107+'[3]CB-7'!II107+'[3]CB-8'!II107+'[3]CB-9'!II107+'[3]CB-10'!II107+'[3]CB-11'!II107+'[3]CB-12'!II107+'[3]CB-13'!II107+'[3]CB-14'!II107+'[3]CB-15'!II107+'[3]CB-16'!II107+'[3]CB-17'!II107+'[3]CB-18'!II107+'[3]CB-19'!II107+'[3]CB-20'!II107+'[3]CB-21'!II107+'[3]CB-22'!II107+'[3]CB-23'!II107+'[3]CB-24'!II107+'[4]LCT-1'!II107+'[4]LCT-2'!II107+'[4]LCT-3'!II107+'[4]LCT-4'!II107+'[4]LCT-5'!II107+'[4]LCT-6'!II107+'[4]LCT-7'!II107+'[4]LCT-8'!II107+'[5]TB-1'!II107+'[5]TB-2'!II107+'[5]TB-3'!II107+'[5]TB-4'!II107+'[5]TB-5'!II107+'[5]TB-6'!II107+'[5]TB-7'!II107+'[5]TB-8'!II107+'[5]TB-9'!II107+'[5]TB-10'!II107+'[6]DSV-1'!II107+'[6]DSV-2'!II107+'[6]DSV-3'!II107+'[7]TUB-1'!II107+'[7]TUB-2'!II107+'[8]Barge-1'!II107+'[8]Barge-2'!II107+'[8]Barge-3'!II107+'[8]Barge-4'!II107</f>
        <v>0</v>
      </c>
      <c r="AX36" s="67"/>
      <c r="AY36" s="67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</row>
    <row r="37" spans="1:97" s="69" customFormat="1" ht="14.25" customHeight="1" x14ac:dyDescent="0.25">
      <c r="A37" s="111">
        <f>[1]Control!AZ37</f>
        <v>46012</v>
      </c>
      <c r="B37" s="66"/>
      <c r="C37" s="176">
        <f>'[2]AHTS-1'!AV37+'[2]AHTS-2'!AV37+'[2]AHTS-3'!AV37+'[2]AHTS-4'!AV37+'[2]AHTS-5'!AV37+'[2]AHTS-6'!AV37+'[2]AHTS-7'!AV37+'[2]AHTS-8'!AV37+'[3]CB-1'!AV37+'[3]CB-2'!AV37+'[3]CB-3'!AV37+'[3]CB-4'!AV37+'[3]CB-5'!AV37+'[3]CB-6'!AV37+'[3]CB-7'!AV37+'[3]CB-8'!AV37+'[3]CB-9'!AV37+'[3]CB-10'!AV37+'[3]CB-11'!AV37+'[3]CB-12'!AV37+'[3]CB-13'!AV37+'[3]CB-14'!AV37+'[3]CB-15'!AV37+'[3]CB-16'!AV37+'[3]CB-17'!AV37+'[3]CB-18'!AV37+'[3]CB-19'!AV37+'[3]CB-20'!AV37+'[3]CB-21'!AV37+'[3]CB-22'!AV37+'[3]CB-23'!AV37+'[3]CB-24'!AV37+'[4]LCT-1'!AV37+'[4]LCT-2'!AV37+'[4]LCT-3'!AV37+'[4]LCT-4'!AV37+'[4]LCT-5'!AV37+'[4]LCT-6'!AV37+'[4]LCT-7'!AV37+'[4]LCT-8'!AV37+'[5]TB-1'!AV37+'[5]TB-2'!AV37+'[5]TB-3'!AV37+'[5]TB-4'!AV37+'[5]TB-5'!AV37+'[5]TB-6'!AV37+'[5]TB-7'!AV37+'[5]TB-8'!AV37+'[5]TB-9'!AV37+'[5]TB-10'!AV37+'[6]DSV-1'!AV37+'[6]DSV-2'!AV37+'[6]DSV-3'!AV37+'[7]TUB-1'!AV37+'[7]TUB-2'!AV37+'[8]Barge-1'!AV37+'[8]Barge-2'!AV37+'[8]Barge-3'!AV37+'[8]Barge-4'!AV37</f>
        <v>0</v>
      </c>
      <c r="D37" s="177">
        <f>'[2]AHTS-1'!BR37+'[2]AHTS-2'!BR37+'[2]AHTS-3'!BR37+'[2]AHTS-4'!BR37+'[2]AHTS-5'!BR37+'[2]AHTS-6'!BR37+'[2]AHTS-7'!BR37+'[2]AHTS-8'!BR37+'[3]CB-1'!BR37+'[3]CB-2'!BR37+'[3]CB-3'!BR37+'[3]CB-4'!BR37+'[3]CB-5'!BR37+'[3]CB-6'!BR37+'[3]CB-7'!BR37+'[3]CB-8'!BR37+'[3]CB-9'!BR37+'[3]CB-10'!BR37+'[3]CB-11'!BR37+'[3]CB-12'!BR37+'[3]CB-13'!BR37+'[3]CB-14'!BR37+'[3]CB-15'!BR37+'[3]CB-16'!BR37+'[3]CB-17'!BR37+'[3]CB-18'!BR37+'[3]CB-19'!BR37+'[3]CB-20'!BR37+'[3]CB-21'!BR37+'[3]CB-22'!BR37+'[3]CB-23'!BR37+'[3]CB-24'!BR37+'[4]LCT-1'!BR37+'[4]LCT-2'!BR37+'[4]LCT-3'!BR37+'[4]LCT-4'!BR37+'[4]LCT-5'!BR37+'[4]LCT-6'!BR37+'[4]LCT-7'!BR37+'[4]LCT-8'!BR37+'[5]TB-1'!BR37+'[5]TB-2'!BR37+'[5]TB-3'!BR37+'[5]TB-4'!BR37+'[5]TB-5'!BR37+'[5]TB-6'!BR37+'[5]TB-7'!BR37+'[5]TB-8'!BR37+'[5]TB-9'!BR37+'[5]TB-10'!BR37+'[6]DSV-1'!BR37+'[6]DSV-2'!BR37+'[6]DSV-3'!BR37+'[7]TUB-1'!BR37+'[7]TUB-2'!BR37+'[8]Barge-1'!BR37+'[8]Barge-2'!BR37+'[8]Barge-3'!BR37+'[8]Barge-4'!BR37</f>
        <v>0</v>
      </c>
      <c r="E37" s="178">
        <f>'[2]AHTS-1'!CN37+'[2]AHTS-2'!CN37+'[2]AHTS-3'!CN37+'[2]AHTS-4'!CN37+'[2]AHTS-5'!CN37+'[2]AHTS-6'!CN37+'[2]AHTS-7'!CN37+'[2]AHTS-8'!CN37+'[3]CB-1'!CN37+'[3]CB-2'!CN37+'[3]CB-3'!CN37+'[3]CB-4'!CN37+'[3]CB-5'!CN37+'[3]CB-6'!CN37+'[3]CB-7'!CN37+'[3]CB-8'!CN37+'[3]CB-9'!CN37+'[3]CB-10'!CN37+'[3]CB-11'!CN37+'[3]CB-12'!CN37+'[3]CB-13'!CN37+'[3]CB-14'!CN37+'[3]CB-15'!CN37+'[3]CB-16'!CN37+'[3]CB-17'!CN37+'[3]CB-18'!CN37+'[3]CB-19'!CN37+'[3]CB-20'!CN37+'[3]CB-21'!CN37+'[3]CB-22'!CN37+'[3]CB-23'!CN37+'[3]CB-24'!CN37+'[4]LCT-1'!CN37+'[4]LCT-2'!CN37+'[4]LCT-3'!CN37+'[4]LCT-4'!CN37+'[4]LCT-5'!CN37+'[4]LCT-6'!CN37+'[4]LCT-7'!CN37+'[4]LCT-8'!CN37+'[5]TB-1'!CN37+'[5]TB-2'!CN37+'[5]TB-3'!CN37+'[5]TB-4'!CN37+'[5]TB-5'!CN37+'[5]TB-6'!CN37+'[5]TB-7'!CN37+'[5]TB-8'!CN37+'[5]TB-9'!CN37+'[5]TB-10'!CN37+'[6]DSV-1'!CN37+'[6]DSV-2'!CN37+'[6]DSV-3'!CN37+'[7]TUB-1'!CN37+'[7]TUB-2'!CN37+'[8]Barge-1'!CN37+'[8]Barge-2'!CN37+'[8]Barge-3'!CN37+'[8]Barge-4'!CN37</f>
        <v>0</v>
      </c>
      <c r="F37" s="179">
        <f>'[2]AHTS-1'!AW37+'[2]AHTS-2'!AW37+'[2]AHTS-3'!AW37+'[2]AHTS-4'!AW37+'[2]AHTS-5'!AW37+'[2]AHTS-6'!AW37+'[2]AHTS-7'!AW37+'[2]AHTS-8'!AW37+'[3]CB-1'!AW37+'[3]CB-2'!AW37+'[3]CB-3'!AW37+'[3]CB-4'!AW37+'[3]CB-5'!AW37+'[3]CB-6'!AW37+'[3]CB-7'!AW37+'[3]CB-8'!AW37+'[3]CB-9'!AW37+'[3]CB-10'!AW37+'[3]CB-11'!AW37+'[3]CB-12'!AW37+'[3]CB-13'!AW37+'[3]CB-14'!AW37+'[3]CB-15'!AW37+'[3]CB-16'!AW37+'[3]CB-17'!AW37+'[3]CB-18'!AW37+'[3]CB-19'!AW37+'[3]CB-20'!AW37+'[3]CB-21'!AW37+'[3]CB-22'!AW37+'[3]CB-23'!AW37+'[3]CB-24'!AW37+'[4]LCT-1'!AW37+'[4]LCT-2'!AW37+'[4]LCT-3'!AW37+'[4]LCT-4'!AW37+'[4]LCT-5'!AW37+'[4]LCT-6'!AW37+'[4]LCT-7'!AW37+'[4]LCT-8'!AW37+'[5]TB-1'!AW37+'[5]TB-2'!AW37+'[5]TB-3'!AW37+'[5]TB-4'!AW37+'[5]TB-5'!AW37+'[5]TB-6'!AW37+'[5]TB-7'!AW37+'[5]TB-8'!AW37+'[5]TB-9'!AW37+'[5]TB-10'!AW37+'[6]DSV-1'!AW37+'[6]DSV-2'!AW37+'[6]DSV-3'!AW37+'[7]TUB-1'!AW37+'[7]TUB-2'!AW37+'[8]Barge-1'!AW37+'[8]Barge-2'!AW37+'[8]Barge-3'!AW37+'[8]Barge-4'!AW37</f>
        <v>1730.3692668264175</v>
      </c>
      <c r="G37" s="180">
        <f>'[2]AHTS-1'!BS37+'[2]AHTS-2'!BS37+'[2]AHTS-3'!BS37+'[2]AHTS-4'!BS37+'[2]AHTS-5'!BS37+'[2]AHTS-6'!BS37+'[2]AHTS-7'!BS37+'[2]AHTS-8'!BS37+'[3]CB-1'!BS37+'[3]CB-2'!BS37+'[3]CB-3'!BS37+'[3]CB-4'!BS37+'[3]CB-5'!BS37+'[3]CB-6'!BS37+'[3]CB-7'!BS37+'[3]CB-8'!BS37+'[3]CB-9'!BS37+'[3]CB-10'!BS37+'[3]CB-11'!BS37+'[3]CB-12'!BS37+'[3]CB-13'!BS37+'[3]CB-14'!BS37+'[3]CB-15'!BS37+'[3]CB-16'!BS37+'[3]CB-17'!BS37+'[3]CB-18'!BS37+'[3]CB-19'!BS37+'[3]CB-20'!BS37+'[3]CB-21'!BS37+'[3]CB-22'!BS37+'[3]CB-23'!BS37+'[3]CB-24'!BS37+'[4]LCT-1'!BS37+'[4]LCT-2'!BS37+'[4]LCT-3'!BS37+'[4]LCT-4'!BS37+'[4]LCT-5'!BS37+'[4]LCT-6'!BS37+'[4]LCT-7'!BS37+'[4]LCT-8'!BS37+'[5]TB-1'!BS37+'[5]TB-2'!BS37+'[5]TB-3'!BS37+'[5]TB-4'!BS37+'[5]TB-5'!BS37+'[5]TB-6'!BS37+'[5]TB-7'!BS37+'[5]TB-8'!BS37+'[5]TB-9'!BS37+'[5]TB-10'!BS37+'[6]DSV-1'!BS37+'[6]DSV-2'!BS37+'[6]DSV-3'!BS37+'[7]TUB-1'!BS37+'[7]TUB-2'!BS37+'[8]Barge-1'!BS37+'[8]Barge-2'!BS37+'[8]Barge-3'!BS37+'[8]Barge-4'!BS37</f>
        <v>1755.773461694763</v>
      </c>
      <c r="H37" s="180">
        <f>'[2]AHTS-1'!CO37+'[2]AHTS-2'!CO37+'[2]AHTS-3'!CO37+'[2]AHTS-4'!CO37+'[2]AHTS-5'!CO37+'[2]AHTS-6'!CO37+'[2]AHTS-7'!CO37+'[2]AHTS-8'!CO37+'[3]CB-1'!CO37+'[3]CB-2'!CO37+'[3]CB-3'!CO37+'[3]CB-4'!CO37+'[3]CB-5'!CO37+'[3]CB-6'!CO37+'[3]CB-7'!CO37+'[3]CB-8'!CO37+'[3]CB-9'!CO37+'[3]CB-10'!CO37+'[3]CB-11'!CO37+'[3]CB-12'!CO37+'[3]CB-13'!CO37+'[3]CB-14'!CO37+'[3]CB-15'!CO37+'[3]CB-16'!CO37+'[3]CB-17'!CO37+'[3]CB-18'!CO37+'[3]CB-19'!CO37+'[3]CB-20'!CO37+'[3]CB-21'!CO37+'[3]CB-22'!CO37+'[3]CB-23'!CO37+'[3]CB-24'!CO37+'[4]LCT-1'!CO37+'[4]LCT-2'!CO37+'[4]LCT-3'!CO37+'[4]LCT-4'!CO37+'[4]LCT-5'!CO37+'[4]LCT-6'!CO37+'[4]LCT-7'!CO37+'[4]LCT-8'!CO37+'[5]TB-1'!CO37+'[5]TB-2'!CO37+'[5]TB-3'!CO37+'[5]TB-4'!CO37+'[5]TB-5'!CO37+'[5]TB-6'!CO37+'[5]TB-7'!CO37+'[5]TB-8'!CO37+'[5]TB-9'!CO37+'[5]TB-10'!CO37+'[6]DSV-1'!CO37+'[6]DSV-2'!CO37+'[6]DSV-3'!CO37+'[7]TUB-1'!CO37+'[7]TUB-2'!CO37+'[8]Barge-1'!CO37+'[8]Barge-2'!CO37+'[8]Barge-3'!CO37+'[8]Barge-4'!CO37</f>
        <v>0</v>
      </c>
      <c r="I37" s="179">
        <f>'[2]AHTS-1'!AX37+'[2]AHTS-2'!AX37+'[2]AHTS-3'!AX37+'[2]AHTS-4'!AX37+'[2]AHTS-5'!AX37+'[2]AHTS-6'!AX37+'[2]AHTS-7'!AX37+'[2]AHTS-8'!AX37+'[3]CB-1'!AX37+'[3]CB-2'!AX37+'[3]CB-3'!AX37+'[3]CB-4'!AX37+'[3]CB-5'!AX37+'[3]CB-6'!AX37+'[3]CB-7'!AX37+'[3]CB-8'!AX37+'[3]CB-9'!AX37+'[3]CB-10'!AX37+'[3]CB-11'!AX37+'[3]CB-12'!AX37+'[3]CB-13'!AX37+'[3]CB-14'!AX37+'[3]CB-15'!AX37+'[3]CB-16'!AX37+'[3]CB-17'!AX37+'[3]CB-18'!AX37+'[3]CB-19'!AX37+'[3]CB-20'!AX37+'[3]CB-21'!AX37+'[3]CB-22'!AX37+'[3]CB-23'!AX37+'[3]CB-24'!AX37+'[4]LCT-1'!AX37+'[4]LCT-2'!AX37+'[4]LCT-3'!AX37+'[4]LCT-4'!AX37+'[4]LCT-5'!AX37+'[4]LCT-6'!AX37+'[4]LCT-7'!AX37+'[4]LCT-8'!AX37+'[5]TB-1'!AX37+'[5]TB-2'!AX37+'[5]TB-3'!AX37+'[5]TB-4'!AX37+'[5]TB-5'!AX37+'[5]TB-6'!AX37+'[5]TB-7'!AX37+'[5]TB-8'!AX37+'[5]TB-9'!AX37+'[5]TB-10'!AX37+'[6]DSV-1'!AX37+'[6]DSV-2'!AX37+'[6]DSV-3'!AX37+'[7]TUB-1'!AX37+'[7]TUB-2'!AX37+'[8]Barge-1'!AX37+'[8]Barge-2'!AX37+'[8]Barge-3'!AX37+'[8]Barge-4'!AX37</f>
        <v>4697.0924244335138</v>
      </c>
      <c r="J37" s="180">
        <f>'[2]AHTS-1'!BT37+'[2]AHTS-2'!BT37+'[2]AHTS-3'!BT37+'[2]AHTS-4'!BT37+'[2]AHTS-5'!BT37+'[2]AHTS-6'!BT37+'[2]AHTS-7'!BT37+'[2]AHTS-8'!BT37+'[3]CB-1'!BT37+'[3]CB-2'!BT37+'[3]CB-3'!BT37+'[3]CB-4'!BT37+'[3]CB-5'!BT37+'[3]CB-6'!BT37+'[3]CB-7'!BT37+'[3]CB-8'!BT37+'[3]CB-9'!BT37+'[3]CB-10'!BT37+'[3]CB-11'!BT37+'[3]CB-12'!BT37+'[3]CB-13'!BT37+'[3]CB-14'!BT37+'[3]CB-15'!BT37+'[3]CB-16'!BT37+'[3]CB-17'!BT37+'[3]CB-18'!BT37+'[3]CB-19'!BT37+'[3]CB-20'!BT37+'[3]CB-21'!BT37+'[3]CB-22'!BT37+'[3]CB-23'!BT37+'[3]CB-24'!BT37+'[4]LCT-1'!BT37+'[4]LCT-2'!BT37+'[4]LCT-3'!BT37+'[4]LCT-4'!BT37+'[4]LCT-5'!BT37+'[4]LCT-6'!BT37+'[4]LCT-7'!BT37+'[4]LCT-8'!BT37+'[5]TB-1'!BT37+'[5]TB-2'!BT37+'[5]TB-3'!BT37+'[5]TB-4'!BT37+'[5]TB-5'!BT37+'[5]TB-6'!BT37+'[5]TB-7'!BT37+'[5]TB-8'!BT37+'[5]TB-9'!BT37+'[5]TB-10'!BT37+'[6]DSV-1'!BT37+'[6]DSV-2'!BT37+'[6]DSV-3'!BT37+'[7]TUB-1'!BT37+'[7]TUB-2'!BT37+'[8]Barge-1'!BT37+'[8]Barge-2'!BT37+'[8]Barge-3'!BT37+'[8]Barge-4'!BT37</f>
        <v>3885.0877930522274</v>
      </c>
      <c r="K37" s="180">
        <f>'[2]AHTS-1'!CP37+'[2]AHTS-2'!CP37+'[2]AHTS-3'!CP37+'[2]AHTS-4'!CP37+'[2]AHTS-5'!CP37+'[2]AHTS-6'!CP37+'[2]AHTS-7'!CP37+'[2]AHTS-8'!CP37+'[3]CB-1'!CP37+'[3]CB-2'!CP37+'[3]CB-3'!CP37+'[3]CB-4'!CP37+'[3]CB-5'!CP37+'[3]CB-6'!CP37+'[3]CB-7'!CP37+'[3]CB-8'!CP37+'[3]CB-9'!CP37+'[3]CB-10'!CP37+'[3]CB-11'!CP37+'[3]CB-12'!CP37+'[3]CB-13'!CP37+'[3]CB-14'!CP37+'[3]CB-15'!CP37+'[3]CB-16'!CP37+'[3]CB-17'!CP37+'[3]CB-18'!CP37+'[3]CB-19'!CP37+'[3]CB-20'!CP37+'[3]CB-21'!CP37+'[3]CB-22'!CP37+'[3]CB-23'!CP37+'[3]CB-24'!CP37+'[4]LCT-1'!CP37+'[4]LCT-2'!CP37+'[4]LCT-3'!CP37+'[4]LCT-4'!CP37+'[4]LCT-5'!CP37+'[4]LCT-6'!CP37+'[4]LCT-7'!CP37+'[4]LCT-8'!CP37+'[5]TB-1'!CP37+'[5]TB-2'!CP37+'[5]TB-3'!CP37+'[5]TB-4'!CP37+'[5]TB-5'!CP37+'[5]TB-6'!CP37+'[5]TB-7'!CP37+'[5]TB-8'!CP37+'[5]TB-9'!CP37+'[5]TB-10'!CP37+'[6]DSV-1'!CP37+'[6]DSV-2'!CP37+'[6]DSV-3'!CP37+'[7]TUB-1'!CP37+'[7]TUB-2'!CP37+'[8]Barge-1'!CP37+'[8]Barge-2'!CP37+'[8]Barge-3'!CP37+'[8]Barge-4'!CP37</f>
        <v>0</v>
      </c>
      <c r="L37" s="181">
        <f>'[2]AHTS-1'!AY37+'[2]AHTS-2'!AY37+'[2]AHTS-3'!AY37+'[2]AHTS-4'!AY37+'[2]AHTS-5'!AY37+'[2]AHTS-6'!AY37+'[2]AHTS-7'!AY37+'[2]AHTS-8'!AY37+'[3]CB-1'!AY37+'[3]CB-2'!AY37+'[3]CB-3'!AY37+'[3]CB-4'!AY37+'[3]CB-5'!AY37+'[3]CB-6'!AY37+'[3]CB-7'!AY37+'[3]CB-8'!AY37+'[3]CB-9'!AY37+'[3]CB-10'!AY37+'[3]CB-11'!AY37+'[3]CB-12'!AY37+'[3]CB-13'!AY37+'[3]CB-14'!AY37+'[3]CB-15'!AY37+'[3]CB-16'!AY37+'[3]CB-17'!AY37+'[3]CB-18'!AY37+'[3]CB-19'!AY37+'[3]CB-20'!AY37+'[3]CB-21'!AY37+'[3]CB-22'!AY37+'[3]CB-23'!AY37+'[3]CB-24'!AY37+'[4]LCT-1'!AY37+'[4]LCT-2'!AY37+'[4]LCT-3'!AY37+'[4]LCT-4'!AY37+'[4]LCT-5'!AY37+'[4]LCT-6'!AY37+'[4]LCT-7'!AY37+'[4]LCT-8'!AY37+'[5]TB-1'!AY37+'[5]TB-2'!AY37+'[5]TB-3'!AY37+'[5]TB-4'!AY37+'[5]TB-5'!AY37+'[5]TB-6'!AY37+'[5]TB-7'!AY37+'[5]TB-8'!AY37+'[5]TB-9'!AY37+'[5]TB-10'!AY37+'[6]DSV-1'!AY37+'[6]DSV-2'!AY37+'[6]DSV-3'!AY37+'[7]TUB-1'!AY37+'[7]TUB-2'!AY37+'[8]Barge-1'!AY37+'[8]Barge-2'!AY37+'[8]Barge-3'!AY37+'[8]Barge-4'!AY37</f>
        <v>2782.305460966074</v>
      </c>
      <c r="M37" s="182">
        <f>'[2]AHTS-1'!BU37+'[2]AHTS-2'!BU37+'[2]AHTS-3'!BU37+'[2]AHTS-4'!BU37+'[2]AHTS-5'!BU37+'[2]AHTS-6'!BU37+'[2]AHTS-7'!BU37+'[2]AHTS-8'!BU37+'[3]CB-1'!BU37+'[3]CB-2'!BU37+'[3]CB-3'!BU37+'[3]CB-4'!BU37+'[3]CB-5'!BU37+'[3]CB-6'!BU37+'[3]CB-7'!BU37+'[3]CB-8'!BU37+'[3]CB-9'!BU37+'[3]CB-10'!BU37+'[3]CB-11'!BU37+'[3]CB-12'!BU37+'[3]CB-13'!BU37+'[3]CB-14'!BU37+'[3]CB-15'!BU37+'[3]CB-16'!BU37+'[3]CB-17'!BU37+'[3]CB-18'!BU37+'[3]CB-19'!BU37+'[3]CB-20'!BU37+'[3]CB-21'!BU37+'[3]CB-22'!BU37+'[3]CB-23'!BU37+'[3]CB-24'!BU37+'[4]LCT-1'!BU37+'[4]LCT-2'!BU37+'[4]LCT-3'!BU37+'[4]LCT-4'!BU37+'[4]LCT-5'!BU37+'[4]LCT-6'!BU37+'[4]LCT-7'!BU37+'[4]LCT-8'!BU37+'[5]TB-1'!BU37+'[5]TB-2'!BU37+'[5]TB-3'!BU37+'[5]TB-4'!BU37+'[5]TB-5'!BU37+'[5]TB-6'!BU37+'[5]TB-7'!BU37+'[5]TB-8'!BU37+'[5]TB-9'!BU37+'[5]TB-10'!BU37+'[6]DSV-1'!BU37+'[6]DSV-2'!BU37+'[6]DSV-3'!BU37+'[7]TUB-1'!BU37+'[7]TUB-2'!BU37+'[8]Barge-1'!BU37+'[8]Barge-2'!BU37+'[8]Barge-3'!BU37+'[8]Barge-4'!BU37</f>
        <v>3985.370160171522</v>
      </c>
      <c r="N37" s="182">
        <f>'[2]AHTS-1'!CQ37+'[2]AHTS-2'!CQ37+'[2]AHTS-3'!CQ37+'[2]AHTS-4'!CQ37+'[2]AHTS-5'!CQ37+'[2]AHTS-6'!CQ37+'[2]AHTS-7'!CQ37+'[2]AHTS-8'!CQ37+'[3]CB-1'!CQ37+'[3]CB-2'!CQ37+'[3]CB-3'!CQ37+'[3]CB-4'!CQ37+'[3]CB-5'!CQ37+'[3]CB-6'!CQ37+'[3]CB-7'!CQ37+'[3]CB-8'!CQ37+'[3]CB-9'!CQ37+'[3]CB-10'!CQ37+'[3]CB-11'!CQ37+'[3]CB-12'!CQ37+'[3]CB-13'!CQ37+'[3]CB-14'!CQ37+'[3]CB-15'!CQ37+'[3]CB-16'!CQ37+'[3]CB-17'!CQ37+'[3]CB-18'!CQ37+'[3]CB-19'!CQ37+'[3]CB-20'!CQ37+'[3]CB-21'!CQ37+'[3]CB-22'!CQ37+'[3]CB-23'!CQ37+'[3]CB-24'!CQ37+'[4]LCT-1'!CQ37+'[4]LCT-2'!CQ37+'[4]LCT-3'!CQ37+'[4]LCT-4'!CQ37+'[4]LCT-5'!CQ37+'[4]LCT-6'!CQ37+'[4]LCT-7'!CQ37+'[4]LCT-8'!CQ37+'[5]TB-1'!CQ37+'[5]TB-2'!CQ37+'[5]TB-3'!CQ37+'[5]TB-4'!CQ37+'[5]TB-5'!CQ37+'[5]TB-6'!CQ37+'[5]TB-7'!CQ37+'[5]TB-8'!CQ37+'[5]TB-9'!CQ37+'[5]TB-10'!CQ37+'[6]DSV-1'!CQ37+'[6]DSV-2'!CQ37+'[6]DSV-3'!CQ37+'[7]TUB-1'!CQ37+'[7]TUB-2'!CQ37+'[8]Barge-1'!CQ37+'[8]Barge-2'!CQ37+'[8]Barge-3'!CQ37+'[8]Barge-4'!CQ37</f>
        <v>0</v>
      </c>
      <c r="O37" s="179">
        <f>'[2]AHTS-1'!AZ37+'[2]AHTS-2'!AZ37+'[2]AHTS-3'!AZ37+'[2]AHTS-4'!AZ37+'[2]AHTS-5'!AZ37+'[2]AHTS-6'!AZ37+'[2]AHTS-7'!AZ37+'[2]AHTS-8'!AZ37+'[3]CB-1'!AZ37+'[3]CB-2'!AZ37+'[3]CB-3'!AZ37+'[3]CB-4'!AZ37+'[3]CB-5'!AZ37+'[3]CB-6'!AZ37+'[3]CB-7'!AZ37+'[3]CB-8'!AZ37+'[3]CB-9'!AZ37+'[3]CB-10'!AZ37+'[3]CB-11'!AZ37+'[3]CB-12'!AZ37+'[3]CB-13'!AZ37+'[3]CB-14'!AZ37+'[3]CB-15'!AZ37+'[3]CB-16'!AZ37+'[3]CB-17'!AZ37+'[3]CB-18'!AZ37+'[3]CB-19'!AZ37+'[3]CB-20'!AZ37+'[3]CB-21'!AZ37+'[3]CB-22'!AZ37+'[3]CB-23'!AZ37+'[3]CB-24'!AZ37+'[4]LCT-1'!AZ37+'[4]LCT-2'!AZ37+'[4]LCT-3'!AZ37+'[4]LCT-4'!AZ37+'[4]LCT-5'!AZ37+'[4]LCT-6'!AZ37+'[4]LCT-7'!AZ37+'[4]LCT-8'!AZ37+'[5]TB-1'!AZ37+'[5]TB-2'!AZ37+'[5]TB-3'!AZ37+'[5]TB-4'!AZ37+'[5]TB-5'!AZ37+'[5]TB-6'!AZ37+'[5]TB-7'!AZ37+'[5]TB-8'!AZ37+'[5]TB-9'!AZ37+'[5]TB-10'!AZ37+'[6]DSV-1'!AZ37+'[6]DSV-2'!AZ37+'[6]DSV-3'!AZ37+'[7]TUB-1'!AZ37+'[7]TUB-2'!AZ37+'[8]Barge-1'!AZ37+'[8]Barge-2'!AZ37+'[8]Barge-3'!AZ37+'[8]Barge-4'!AZ37</f>
        <v>23.084037499474505</v>
      </c>
      <c r="P37" s="180">
        <f>'[2]AHTS-1'!BV37+'[2]AHTS-2'!BV37+'[2]AHTS-3'!BV37+'[2]AHTS-4'!BV37+'[2]AHTS-5'!BV37+'[2]AHTS-6'!BV37+'[2]AHTS-7'!BV37+'[2]AHTS-8'!BV37+'[3]CB-1'!BV37+'[3]CB-2'!BV37+'[3]CB-3'!BV37+'[3]CB-4'!BV37+'[3]CB-5'!BV37+'[3]CB-6'!BV37+'[3]CB-7'!BV37+'[3]CB-8'!BV37+'[3]CB-9'!BV37+'[3]CB-10'!BV37+'[3]CB-11'!BV37+'[3]CB-12'!BV37+'[3]CB-13'!BV37+'[3]CB-14'!BV37+'[3]CB-15'!BV37+'[3]CB-16'!BV37+'[3]CB-17'!BV37+'[3]CB-18'!BV37+'[3]CB-19'!BV37+'[3]CB-20'!BV37+'[3]CB-21'!BV37+'[3]CB-22'!BV37+'[3]CB-23'!BV37+'[3]CB-24'!BV37+'[4]LCT-1'!BV37+'[4]LCT-2'!BV37+'[4]LCT-3'!BV37+'[4]LCT-4'!BV37+'[4]LCT-5'!BV37+'[4]LCT-6'!BV37+'[4]LCT-7'!BV37+'[4]LCT-8'!BV37+'[5]TB-1'!BV37+'[5]TB-2'!BV37+'[5]TB-3'!BV37+'[5]TB-4'!BV37+'[5]TB-5'!BV37+'[5]TB-6'!BV37+'[5]TB-7'!BV37+'[5]TB-8'!BV37+'[5]TB-9'!BV37+'[5]TB-10'!BV37+'[6]DSV-1'!BV37+'[6]DSV-2'!BV37+'[6]DSV-3'!BV37+'[7]TUB-1'!BV37+'[7]TUB-2'!BV37+'[8]Barge-1'!BV37+'[8]Barge-2'!BV37+'[8]Barge-3'!BV37+'[8]Barge-4'!BV37</f>
        <v>273.25850254340605</v>
      </c>
      <c r="Q37" s="180">
        <f>'[2]AHTS-1'!CR37+'[2]AHTS-2'!CR37+'[2]AHTS-3'!CR37+'[2]AHTS-4'!CR37+'[2]AHTS-5'!CR37+'[2]AHTS-6'!CR37+'[2]AHTS-7'!CR37+'[2]AHTS-8'!CR37+'[3]CB-1'!CR37+'[3]CB-2'!CR37+'[3]CB-3'!CR37+'[3]CB-4'!CR37+'[3]CB-5'!CR37+'[3]CB-6'!CR37+'[3]CB-7'!CR37+'[3]CB-8'!CR37+'[3]CB-9'!CR37+'[3]CB-10'!CR37+'[3]CB-11'!CR37+'[3]CB-12'!CR37+'[3]CB-13'!CR37+'[3]CB-14'!CR37+'[3]CB-15'!CR37+'[3]CB-16'!CR37+'[3]CB-17'!CR37+'[3]CB-18'!CR37+'[3]CB-19'!CR37+'[3]CB-20'!CR37+'[3]CB-21'!CR37+'[3]CB-22'!CR37+'[3]CB-23'!CR37+'[3]CB-24'!CR37+'[4]LCT-1'!CR37+'[4]LCT-2'!CR37+'[4]LCT-3'!CR37+'[4]LCT-4'!CR37+'[4]LCT-5'!CR37+'[4]LCT-6'!CR37+'[4]LCT-7'!CR37+'[4]LCT-8'!CR37+'[5]TB-1'!CR37+'[5]TB-2'!CR37+'[5]TB-3'!CR37+'[5]TB-4'!CR37+'[5]TB-5'!CR37+'[5]TB-6'!CR37+'[5]TB-7'!CR37+'[5]TB-8'!CR37+'[5]TB-9'!CR37+'[5]TB-10'!CR37+'[6]DSV-1'!CR37+'[6]DSV-2'!CR37+'[6]DSV-3'!CR37+'[7]TUB-1'!CR37+'[7]TUB-2'!CR37+'[8]Barge-1'!CR37+'[8]Barge-2'!CR37+'[8]Barge-3'!CR37+'[8]Barge-4'!CR37</f>
        <v>0</v>
      </c>
      <c r="R37" s="183">
        <f>'[2]AHTS-1'!BA37+'[2]AHTS-2'!BA37+'[2]AHTS-3'!BA37+'[2]AHTS-4'!BA37+'[2]AHTS-5'!BA37+'[2]AHTS-6'!BA37+'[2]AHTS-7'!BA37+'[2]AHTS-8'!BA37+'[3]CB-1'!BA37+'[3]CB-2'!BA37+'[3]CB-3'!BA37+'[3]CB-4'!BA37+'[3]CB-5'!BA37+'[3]CB-6'!BA37+'[3]CB-7'!BA37+'[3]CB-8'!BA37+'[3]CB-9'!BA37+'[3]CB-10'!BA37+'[3]CB-11'!BA37+'[3]CB-12'!BA37+'[3]CB-13'!BA37+'[3]CB-14'!BA37+'[3]CB-15'!BA37+'[3]CB-16'!BA37+'[3]CB-17'!BA37+'[3]CB-18'!BA37+'[3]CB-19'!BA37+'[3]CB-20'!BA37+'[3]CB-21'!BA37+'[3]CB-22'!BA37+'[3]CB-23'!BA37+'[3]CB-24'!BA37+'[4]LCT-1'!BA37+'[4]LCT-2'!BA37+'[4]LCT-3'!BA37+'[4]LCT-4'!BA37+'[4]LCT-5'!BA37+'[4]LCT-6'!BA37+'[4]LCT-7'!BA37+'[4]LCT-8'!BA37+'[5]TB-1'!BA37+'[5]TB-2'!BA37+'[5]TB-3'!BA37+'[5]TB-4'!BA37+'[5]TB-5'!BA37+'[5]TB-6'!BA37+'[5]TB-7'!BA37+'[5]TB-8'!BA37+'[5]TB-9'!BA37+'[5]TB-10'!BA37+'[6]DSV-1'!BA37+'[6]DSV-2'!BA37+'[6]DSV-3'!BA37+'[7]TUB-1'!BA37+'[7]TUB-2'!BA37+'[8]Barge-1'!BA37+'[8]Barge-2'!BA37+'[8]Barge-3'!BA37+'[8]Barge-4'!BA37</f>
        <v>4315.0176567032404</v>
      </c>
      <c r="S37" s="180">
        <f>'[2]AHTS-1'!BW37+'[2]AHTS-2'!BW37+'[2]AHTS-3'!BW37+'[2]AHTS-4'!BW37+'[2]AHTS-5'!BW37+'[2]AHTS-6'!BW37+'[2]AHTS-7'!BW37+'[2]AHTS-8'!BW37+'[3]CB-1'!BW37+'[3]CB-2'!BW37+'[3]CB-3'!BW37+'[3]CB-4'!BW37+'[3]CB-5'!BW37+'[3]CB-6'!BW37+'[3]CB-7'!BW37+'[3]CB-8'!BW37+'[3]CB-9'!BW37+'[3]CB-10'!BW37+'[3]CB-11'!BW37+'[3]CB-12'!BW37+'[3]CB-13'!BW37+'[3]CB-14'!BW37+'[3]CB-15'!BW37+'[3]CB-16'!BW37+'[3]CB-17'!BW37+'[3]CB-18'!BW37+'[3]CB-19'!BW37+'[3]CB-20'!BW37+'[3]CB-21'!BW37+'[3]CB-22'!BW37+'[3]CB-23'!BW37+'[3]CB-24'!BW37+'[4]LCT-1'!BW37+'[4]LCT-2'!BW37+'[4]LCT-3'!BW37+'[4]LCT-4'!BW37+'[4]LCT-5'!BW37+'[4]LCT-6'!BW37+'[4]LCT-7'!BW37+'[4]LCT-8'!BW37+'[5]TB-1'!BW37+'[5]TB-2'!BW37+'[5]TB-3'!BW37+'[5]TB-4'!BW37+'[5]TB-5'!BW37+'[5]TB-6'!BW37+'[5]TB-7'!BW37+'[5]TB-8'!BW37+'[5]TB-9'!BW37+'[5]TB-10'!BW37+'[6]DSV-1'!BW37+'[6]DSV-2'!BW37+'[6]DSV-3'!BW37+'[7]TUB-1'!BW37+'[7]TUB-2'!BW37+'[8]Barge-1'!BW37+'[8]Barge-2'!BW37+'[8]Barge-3'!BW37+'[8]Barge-4'!BW37</f>
        <v>5561.8615209988657</v>
      </c>
      <c r="T37" s="184">
        <f>'[2]AHTS-1'!CS37+'[2]AHTS-2'!CS37+'[2]AHTS-3'!CS37+'[2]AHTS-4'!CS37+'[2]AHTS-5'!CS37+'[2]AHTS-6'!CS37+'[2]AHTS-7'!CS37+'[2]AHTS-8'!CS37+'[3]CB-1'!CS37+'[3]CB-2'!CS37+'[3]CB-3'!CS37+'[3]CB-4'!CS37+'[3]CB-5'!CS37+'[3]CB-6'!CS37+'[3]CB-7'!CS37+'[3]CB-8'!CS37+'[3]CB-9'!CS37+'[3]CB-10'!CS37+'[3]CB-11'!CS37+'[3]CB-12'!CS37+'[3]CB-13'!CS37+'[3]CB-14'!CS37+'[3]CB-15'!CS37+'[3]CB-16'!CS37+'[3]CB-17'!CS37+'[3]CB-18'!CS37+'[3]CB-19'!CS37+'[3]CB-20'!CS37+'[3]CB-21'!CS37+'[3]CB-22'!CS37+'[3]CB-23'!CS37+'[3]CB-24'!CS37+'[4]LCT-1'!CS37+'[4]LCT-2'!CS37+'[4]LCT-3'!CS37+'[4]LCT-4'!CS37+'[4]LCT-5'!CS37+'[4]LCT-6'!CS37+'[4]LCT-7'!CS37+'[4]LCT-8'!CS37+'[5]TB-1'!CS37+'[5]TB-2'!CS37+'[5]TB-3'!CS37+'[5]TB-4'!CS37+'[5]TB-5'!CS37+'[5]TB-6'!CS37+'[5]TB-7'!CS37+'[5]TB-8'!CS37+'[5]TB-9'!CS37+'[5]TB-10'!CS37+'[6]DSV-1'!CS37+'[6]DSV-2'!CS37+'[6]DSV-3'!CS37+'[7]TUB-1'!CS37+'[7]TUB-2'!CS37+'[8]Barge-1'!CS37+'[8]Barge-2'!CS37+'[8]Barge-3'!CS37+'[8]Barge-4'!CS37</f>
        <v>0</v>
      </c>
      <c r="U37" s="183">
        <f>'[2]AHTS-1'!BB37+'[2]AHTS-2'!BB37+'[2]AHTS-3'!BB37+'[2]AHTS-4'!BB37+'[2]AHTS-5'!BB37+'[2]AHTS-6'!BB37+'[2]AHTS-7'!BB37+'[2]AHTS-8'!BB37+'[3]CB-1'!BB37+'[3]CB-2'!BB37+'[3]CB-3'!BB37+'[3]CB-4'!BB37+'[3]CB-5'!BB37+'[3]CB-6'!BB37+'[3]CB-7'!BB37+'[3]CB-8'!BB37+'[3]CB-9'!BB37+'[3]CB-10'!BB37+'[3]CB-11'!BB37+'[3]CB-12'!BB37+'[3]CB-13'!BB37+'[3]CB-14'!BB37+'[3]CB-15'!BB37+'[3]CB-16'!BB37+'[3]CB-17'!BB37+'[3]CB-18'!BB37+'[3]CB-19'!BB37+'[3]CB-20'!BB37+'[3]CB-21'!BB37+'[3]CB-22'!BB37+'[3]CB-23'!BB37+'[3]CB-24'!BB37+'[4]LCT-1'!BB37+'[4]LCT-2'!BB37+'[4]LCT-3'!BB37+'[4]LCT-4'!BB37+'[4]LCT-5'!BB37+'[4]LCT-6'!BB37+'[4]LCT-7'!BB37+'[4]LCT-8'!BB37+'[5]TB-1'!BB37+'[5]TB-2'!BB37+'[5]TB-3'!BB37+'[5]TB-4'!BB37+'[5]TB-5'!BB37+'[5]TB-6'!BB37+'[5]TB-7'!BB37+'[5]TB-8'!BB37+'[5]TB-9'!BB37+'[5]TB-10'!BB37+'[6]DSV-1'!BB37+'[6]DSV-2'!BB37+'[6]DSV-3'!BB37+'[7]TUB-1'!BB37+'[7]TUB-2'!BB37+'[8]Barge-1'!BB37+'[8]Barge-2'!BB37+'[8]Barge-3'!BB37+'[8]Barge-4'!BB37</f>
        <v>0</v>
      </c>
      <c r="V37" s="180">
        <f>'[2]AHTS-1'!BX37+'[2]AHTS-2'!BX37+'[2]AHTS-3'!BX37+'[2]AHTS-4'!BX37+'[2]AHTS-5'!BX37+'[2]AHTS-6'!BX37+'[2]AHTS-7'!BX37+'[2]AHTS-8'!BX37+'[3]CB-1'!BX37+'[3]CB-2'!BX37+'[3]CB-3'!BX37+'[3]CB-4'!BX37+'[3]CB-5'!BX37+'[3]CB-6'!BX37+'[3]CB-7'!BX37+'[3]CB-8'!BX37+'[3]CB-9'!BX37+'[3]CB-10'!BX37+'[3]CB-11'!BX37+'[3]CB-12'!BX37+'[3]CB-13'!BX37+'[3]CB-14'!BX37+'[3]CB-15'!BX37+'[3]CB-16'!BX37+'[3]CB-17'!BX37+'[3]CB-18'!BX37+'[3]CB-19'!BX37+'[3]CB-20'!BX37+'[3]CB-21'!BX37+'[3]CB-22'!BX37+'[3]CB-23'!BX37+'[3]CB-24'!BX37+'[4]LCT-1'!BX37+'[4]LCT-2'!BX37+'[4]LCT-3'!BX37+'[4]LCT-4'!BX37+'[4]LCT-5'!BX37+'[4]LCT-6'!BX37+'[4]LCT-7'!BX37+'[4]LCT-8'!BX37+'[5]TB-1'!BX37+'[5]TB-2'!BX37+'[5]TB-3'!BX37+'[5]TB-4'!BX37+'[5]TB-5'!BX37+'[5]TB-6'!BX37+'[5]TB-7'!BX37+'[5]TB-8'!BX37+'[5]TB-9'!BX37+'[5]TB-10'!BX37+'[6]DSV-1'!BX37+'[6]DSV-2'!BX37+'[6]DSV-3'!BX37+'[7]TUB-1'!BX37+'[7]TUB-2'!BX37+'[8]Barge-1'!BX37+'[8]Barge-2'!BX37+'[8]Barge-3'!BX37+'[8]Barge-4'!BX37</f>
        <v>0</v>
      </c>
      <c r="W37" s="184">
        <f>'[2]AHTS-1'!CT37+'[2]AHTS-2'!CT37+'[2]AHTS-3'!CT37+'[2]AHTS-4'!CT37+'[2]AHTS-5'!CT37+'[2]AHTS-6'!CT37+'[2]AHTS-7'!CT37+'[2]AHTS-8'!CT37+'[3]CB-1'!CT37+'[3]CB-2'!CT37+'[3]CB-3'!CT37+'[3]CB-4'!CT37+'[3]CB-5'!CT37+'[3]CB-6'!CT37+'[3]CB-7'!CT37+'[3]CB-8'!CT37+'[3]CB-9'!CT37+'[3]CB-10'!CT37+'[3]CB-11'!CT37+'[3]CB-12'!CT37+'[3]CB-13'!CT37+'[3]CB-14'!CT37+'[3]CB-15'!CT37+'[3]CB-16'!CT37+'[3]CB-17'!CT37+'[3]CB-18'!CT37+'[3]CB-19'!CT37+'[3]CB-20'!CT37+'[3]CB-21'!CT37+'[3]CB-22'!CT37+'[3]CB-23'!CT37+'[3]CB-24'!CT37+'[4]LCT-1'!CT37+'[4]LCT-2'!CT37+'[4]LCT-3'!CT37+'[4]LCT-4'!CT37+'[4]LCT-5'!CT37+'[4]LCT-6'!CT37+'[4]LCT-7'!CT37+'[4]LCT-8'!CT37+'[5]TB-1'!CT37+'[5]TB-2'!CT37+'[5]TB-3'!CT37+'[5]TB-4'!CT37+'[5]TB-5'!CT37+'[5]TB-6'!CT37+'[5]TB-7'!CT37+'[5]TB-8'!CT37+'[5]TB-9'!CT37+'[5]TB-10'!CT37+'[6]DSV-1'!CT37+'[6]DSV-2'!CT37+'[6]DSV-3'!CT37+'[7]TUB-1'!CT37+'[7]TUB-2'!CT37+'[8]Barge-1'!CT37+'[8]Barge-2'!CT37+'[8]Barge-3'!CT37+'[8]Barge-4'!CT37</f>
        <v>0</v>
      </c>
      <c r="X37" s="67"/>
      <c r="Y37" s="67"/>
      <c r="Z37" s="68"/>
      <c r="AA37" s="111">
        <f>[1]Control!AZ37</f>
        <v>46012</v>
      </c>
      <c r="AB37" s="66"/>
      <c r="AC37" s="132">
        <f>'[2]AHTS-1'!IC75+'[2]AHTS-2'!IC75+'[2]AHTS-3'!IC75+'[2]AHTS-4'!IC75+'[2]AHTS-5'!IC75+'[2]AHTS-6'!IC75+'[2]AHTS-7'!IC75+'[2]AHTS-8'!IC75+'[3]CB-1'!IC75+'[3]CB-2'!IC75+'[3]CB-3'!IC75+'[3]CB-4'!IC75+'[3]CB-5'!IC75+'[3]CB-6'!IC75+'[3]CB-7'!IC75+'[3]CB-8'!IC75+'[3]CB-9'!IC75+'[3]CB-10'!IC75+'[3]CB-11'!IC75+'[3]CB-12'!IC75+'[3]CB-13'!IC75+'[3]CB-14'!IC75+'[3]CB-15'!IC75+'[3]CB-16'!IC75+'[3]CB-17'!IC75+'[3]CB-18'!IC75+'[3]CB-19'!IC75+'[3]CB-20'!IC75+'[3]CB-21'!IC75+'[3]CB-22'!IC75+'[3]CB-23'!IC75+'[3]CB-24'!IC75+'[4]LCT-1'!IC75+'[4]LCT-2'!IC75+'[4]LCT-3'!IC75+'[4]LCT-4'!IC75+'[4]LCT-5'!IC75+'[4]LCT-6'!IC75+'[4]LCT-7'!IC75+'[4]LCT-8'!IC75+'[5]TB-1'!IC75+'[5]TB-2'!IC75+'[5]TB-3'!IC75+'[5]TB-4'!IC75+'[5]TB-5'!IC75+'[5]TB-6'!IC75+'[5]TB-7'!IC75+'[5]TB-8'!IC75+'[5]TB-9'!IC75+'[5]TB-10'!IC75+'[6]DSV-1'!IC75+'[6]DSV-2'!IC75+'[6]DSV-3'!IC75+'[7]TUB-1'!IC75+'[7]TUB-2'!IC75+'[8]Barge-1'!IC75+'[8]Barge-2'!IC75+'[8]Barge-3'!IC75+'[8]Barge-4'!IC75</f>
        <v>0</v>
      </c>
      <c r="AD37" s="133">
        <f>'[2]AHTS-1'!IC37+'[2]AHTS-2'!IC37+'[2]AHTS-3'!IC37+'[2]AHTS-4'!IC37+'[2]AHTS-5'!IC37+'[2]AHTS-6'!IC37+'[2]AHTS-7'!IC37+'[2]AHTS-8'!IC37+'[3]CB-1'!IC37+'[3]CB-2'!IC37+'[3]CB-3'!IC37+'[3]CB-4'!IC37+'[3]CB-5'!IC37+'[3]CB-6'!IC37+'[3]CB-7'!IC37+'[3]CB-8'!IC37+'[3]CB-9'!IC37+'[3]CB-10'!IC37+'[3]CB-11'!IC37+'[3]CB-12'!IC37+'[3]CB-13'!IC37+'[3]CB-14'!IC37+'[3]CB-15'!IC37+'[3]CB-16'!IC37+'[3]CB-17'!IC37+'[3]CB-18'!IC37+'[3]CB-19'!IC37+'[3]CB-20'!IC37+'[3]CB-21'!IC37+'[3]CB-22'!IC37+'[3]CB-23'!IC37+'[3]CB-24'!IC37+'[4]LCT-1'!IC37+'[4]LCT-2'!IC37+'[4]LCT-3'!IC37+'[4]LCT-4'!IC37+'[4]LCT-5'!IC37+'[4]LCT-6'!IC37+'[4]LCT-7'!IC37+'[4]LCT-8'!IC37+'[5]TB-1'!IC37+'[5]TB-2'!IC37+'[5]TB-3'!IC37+'[5]TB-4'!IC37+'[5]TB-5'!IC37+'[5]TB-6'!IC37+'[5]TB-7'!IC37+'[5]TB-8'!IC37+'[5]TB-9'!IC37+'[5]TB-10'!IC37+'[6]DSV-1'!IC37+'[6]DSV-2'!IC37+'[6]DSV-3'!IC37+'[7]TUB-1'!IC37+'[7]TUB-2'!IC37+'[8]Barge-1'!IC37+'[8]Barge-2'!IC37+'[8]Barge-3'!IC37+'[8]Barge-4'!IC37</f>
        <v>0</v>
      </c>
      <c r="AE37" s="134">
        <f>'[2]AHTS-1'!IC108+'[2]AHTS-2'!IC108+'[2]AHTS-3'!IC108+'[2]AHTS-4'!IC108+'[2]AHTS-5'!IC108+'[2]AHTS-6'!IC108+'[2]AHTS-7'!IC108+'[2]AHTS-8'!IC108+'[3]CB-1'!IC108+'[3]CB-2'!IC108+'[3]CB-3'!IC108+'[3]CB-4'!IC108+'[3]CB-5'!IC108+'[3]CB-6'!IC108+'[3]CB-7'!IC108+'[3]CB-8'!IC108+'[3]CB-9'!IC108+'[3]CB-10'!IC108+'[3]CB-11'!IC108+'[3]CB-12'!IC108+'[3]CB-13'!IC108+'[3]CB-14'!IC108+'[3]CB-15'!IC108+'[3]CB-16'!IC108+'[3]CB-17'!IC108+'[3]CB-18'!IC108+'[3]CB-19'!IC108+'[3]CB-20'!IC108+'[3]CB-21'!IC108+'[3]CB-22'!IC108+'[3]CB-23'!IC108+'[3]CB-24'!IC108+'[4]LCT-1'!IC108+'[4]LCT-2'!IC108+'[4]LCT-3'!IC108+'[4]LCT-4'!IC108+'[4]LCT-5'!IC108+'[4]LCT-6'!IC108+'[4]LCT-7'!IC108+'[4]LCT-8'!IC108+'[5]TB-1'!IC108+'[5]TB-2'!IC108+'[5]TB-3'!IC108+'[5]TB-4'!IC108+'[5]TB-5'!IC108+'[5]TB-6'!IC108+'[5]TB-7'!IC108+'[5]TB-8'!IC108+'[5]TB-9'!IC108+'[5]TB-10'!IC108+'[6]DSV-1'!IC108+'[6]DSV-2'!IC108+'[6]DSV-3'!IC108+'[7]TUB-1'!IC108+'[7]TUB-2'!IC108+'[8]Barge-1'!IC108+'[8]Barge-2'!IC108+'[8]Barge-3'!IC108+'[8]Barge-4'!IC108</f>
        <v>0</v>
      </c>
      <c r="AF37" s="135">
        <f>'[2]AHTS-1'!ID75+'[2]AHTS-2'!ID75+'[2]AHTS-3'!ID75+'[2]AHTS-4'!ID75+'[2]AHTS-5'!ID75+'[2]AHTS-6'!ID75+'[2]AHTS-7'!ID75+'[2]AHTS-8'!ID75+'[3]CB-1'!ID75+'[3]CB-2'!ID75+'[3]CB-3'!ID75+'[3]CB-4'!ID75+'[3]CB-5'!ID75+'[3]CB-6'!ID75+'[3]CB-7'!ID75+'[3]CB-8'!ID75+'[3]CB-9'!ID75+'[3]CB-10'!ID75+'[3]CB-11'!ID75+'[3]CB-12'!ID75+'[3]CB-13'!ID75+'[3]CB-14'!ID75+'[3]CB-15'!ID75+'[3]CB-16'!ID75+'[3]CB-17'!ID75+'[3]CB-18'!ID75+'[3]CB-19'!ID75+'[3]CB-20'!ID75+'[3]CB-21'!ID75+'[3]CB-22'!ID75+'[3]CB-23'!ID75+'[3]CB-24'!ID75+'[4]LCT-1'!ID75+'[4]LCT-2'!ID75+'[4]LCT-3'!ID75+'[4]LCT-4'!ID75+'[4]LCT-5'!ID75+'[4]LCT-6'!ID75+'[4]LCT-7'!ID75+'[4]LCT-8'!ID75+'[5]TB-1'!ID75+'[5]TB-2'!ID75+'[5]TB-3'!ID75+'[5]TB-4'!ID75+'[5]TB-5'!ID75+'[5]TB-6'!ID75+'[5]TB-7'!ID75+'[5]TB-8'!ID75+'[5]TB-9'!ID75+'[5]TB-10'!ID75+'[6]DSV-1'!ID75+'[6]DSV-2'!ID75+'[6]DSV-3'!ID75+'[7]TUB-1'!ID75+'[7]TUB-2'!ID75+'[8]Barge-1'!ID75+'[8]Barge-2'!ID75+'[8]Barge-3'!ID75+'[8]Barge-4'!ID75</f>
        <v>27440195.833333332</v>
      </c>
      <c r="AG37" s="136">
        <f>'[2]AHTS-1'!ID37+'[2]AHTS-2'!ID37+'[2]AHTS-3'!ID37+'[2]AHTS-4'!ID37+'[2]AHTS-5'!ID37+'[2]AHTS-6'!ID37+'[2]AHTS-7'!ID37+'[2]AHTS-8'!ID37+'[3]CB-1'!ID37+'[3]CB-2'!ID37+'[3]CB-3'!ID37+'[3]CB-4'!ID37+'[3]CB-5'!ID37+'[3]CB-6'!ID37+'[3]CB-7'!ID37+'[3]CB-8'!ID37+'[3]CB-9'!ID37+'[3]CB-10'!ID37+'[3]CB-11'!ID37+'[3]CB-12'!ID37+'[3]CB-13'!ID37+'[3]CB-14'!ID37+'[3]CB-15'!ID37+'[3]CB-16'!ID37+'[3]CB-17'!ID37+'[3]CB-18'!ID37+'[3]CB-19'!ID37+'[3]CB-20'!ID37+'[3]CB-21'!ID37+'[3]CB-22'!ID37+'[3]CB-23'!ID37+'[3]CB-24'!ID37+'[4]LCT-1'!ID37+'[4]LCT-2'!ID37+'[4]LCT-3'!ID37+'[4]LCT-4'!ID37+'[4]LCT-5'!ID37+'[4]LCT-6'!ID37+'[4]LCT-7'!ID37+'[4]LCT-8'!ID37+'[5]TB-1'!ID37+'[5]TB-2'!ID37+'[5]TB-3'!ID37+'[5]TB-4'!ID37+'[5]TB-5'!ID37+'[5]TB-6'!ID37+'[5]TB-7'!ID37+'[5]TB-8'!ID37+'[5]TB-9'!ID37+'[5]TB-10'!ID37+'[6]DSV-1'!ID37+'[6]DSV-2'!ID37+'[6]DSV-3'!ID37+'[7]TUB-1'!ID37+'[7]TUB-2'!ID37+'[8]Barge-1'!ID37+'[8]Barge-2'!ID37+'[8]Barge-3'!ID37+'[8]Barge-4'!ID37</f>
        <v>27843055.555555552</v>
      </c>
      <c r="AH37" s="136">
        <f>'[2]AHTS-1'!ID108+'[2]AHTS-2'!ID108+'[2]AHTS-3'!ID108+'[2]AHTS-4'!ID108+'[2]AHTS-5'!ID108+'[2]AHTS-6'!ID108+'[2]AHTS-7'!ID108+'[2]AHTS-8'!ID108+'[3]CB-1'!ID108+'[3]CB-2'!ID108+'[3]CB-3'!ID108+'[3]CB-4'!ID108+'[3]CB-5'!ID108+'[3]CB-6'!ID108+'[3]CB-7'!ID108+'[3]CB-8'!ID108+'[3]CB-9'!ID108+'[3]CB-10'!ID108+'[3]CB-11'!ID108+'[3]CB-12'!ID108+'[3]CB-13'!ID108+'[3]CB-14'!ID108+'[3]CB-15'!ID108+'[3]CB-16'!ID108+'[3]CB-17'!ID108+'[3]CB-18'!ID108+'[3]CB-19'!ID108+'[3]CB-20'!ID108+'[3]CB-21'!ID108+'[3]CB-22'!ID108+'[3]CB-23'!ID108+'[3]CB-24'!ID108+'[4]LCT-1'!ID108+'[4]LCT-2'!ID108+'[4]LCT-3'!ID108+'[4]LCT-4'!ID108+'[4]LCT-5'!ID108+'[4]LCT-6'!ID108+'[4]LCT-7'!ID108+'[4]LCT-8'!ID108+'[5]TB-1'!ID108+'[5]TB-2'!ID108+'[5]TB-3'!ID108+'[5]TB-4'!ID108+'[5]TB-5'!ID108+'[5]TB-6'!ID108+'[5]TB-7'!ID108+'[5]TB-8'!ID108+'[5]TB-9'!ID108+'[5]TB-10'!ID108+'[6]DSV-1'!ID108+'[6]DSV-2'!ID108+'[6]DSV-3'!ID108+'[7]TUB-1'!ID108+'[7]TUB-2'!ID108+'[8]Barge-1'!ID108+'[8]Barge-2'!ID108+'[8]Barge-3'!ID108+'[8]Barge-4'!ID108</f>
        <v>0</v>
      </c>
      <c r="AI37" s="135">
        <f>'[2]AHTS-1'!IE75+'[2]AHTS-2'!IE75+'[2]AHTS-3'!IE75+'[2]AHTS-4'!IE75+'[2]AHTS-5'!IE75+'[2]AHTS-6'!IE75+'[2]AHTS-7'!IE75+'[2]AHTS-8'!IE75+'[3]CB-1'!IE75+'[3]CB-2'!IE75+'[3]CB-3'!IE75+'[3]CB-4'!IE75+'[3]CB-5'!IE75+'[3]CB-6'!IE75+'[3]CB-7'!IE75+'[3]CB-8'!IE75+'[3]CB-9'!IE75+'[3]CB-10'!IE75+'[3]CB-11'!IE75+'[3]CB-12'!IE75+'[3]CB-13'!IE75+'[3]CB-14'!IE75+'[3]CB-15'!IE75+'[3]CB-16'!IE75+'[3]CB-17'!IE75+'[3]CB-18'!IE75+'[3]CB-19'!IE75+'[3]CB-20'!IE75+'[3]CB-21'!IE75+'[3]CB-22'!IE75+'[3]CB-23'!IE75+'[3]CB-24'!IE75+'[4]LCT-1'!IE75+'[4]LCT-2'!IE75+'[4]LCT-3'!IE75+'[4]LCT-4'!IE75+'[4]LCT-5'!IE75+'[4]LCT-6'!IE75+'[4]LCT-7'!IE75+'[4]LCT-8'!IE75+'[5]TB-1'!IE75+'[5]TB-2'!IE75+'[5]TB-3'!IE75+'[5]TB-4'!IE75+'[5]TB-5'!IE75+'[5]TB-6'!IE75+'[5]TB-7'!IE75+'[5]TB-8'!IE75+'[5]TB-9'!IE75+'[5]TB-10'!IE75+'[6]DSV-1'!IE75+'[6]DSV-2'!IE75+'[6]DSV-3'!IE75+'[7]TUB-1'!IE75+'[7]TUB-2'!IE75+'[8]Barge-1'!IE75+'[8]Barge-2'!IE75+'[8]Barge-3'!IE75+'[8]Barge-4'!IE75</f>
        <v>74486491.666666672</v>
      </c>
      <c r="AJ37" s="136">
        <f>'[2]AHTS-1'!IE37+'[2]AHTS-2'!IE37+'[2]AHTS-3'!IE37+'[2]AHTS-4'!IE37+'[2]AHTS-5'!IE37+'[2]AHTS-6'!IE37+'[2]AHTS-7'!IE37+'[2]AHTS-8'!IE37+'[3]CB-1'!IE37+'[3]CB-2'!IE37+'[3]CB-3'!IE37+'[3]CB-4'!IE37+'[3]CB-5'!IE37+'[3]CB-6'!IE37+'[3]CB-7'!IE37+'[3]CB-8'!IE37+'[3]CB-9'!IE37+'[3]CB-10'!IE37+'[3]CB-11'!IE37+'[3]CB-12'!IE37+'[3]CB-13'!IE37+'[3]CB-14'!IE37+'[3]CB-15'!IE37+'[3]CB-16'!IE37+'[3]CB-17'!IE37+'[3]CB-18'!IE37+'[3]CB-19'!IE37+'[3]CB-20'!IE37+'[3]CB-21'!IE37+'[3]CB-22'!IE37+'[3]CB-23'!IE37+'[3]CB-24'!IE37+'[4]LCT-1'!IE37+'[4]LCT-2'!IE37+'[4]LCT-3'!IE37+'[4]LCT-4'!IE37+'[4]LCT-5'!IE37+'[4]LCT-6'!IE37+'[4]LCT-7'!IE37+'[4]LCT-8'!IE37+'[5]TB-1'!IE37+'[5]TB-2'!IE37+'[5]TB-3'!IE37+'[5]TB-4'!IE37+'[5]TB-5'!IE37+'[5]TB-6'!IE37+'[5]TB-7'!IE37+'[5]TB-8'!IE37+'[5]TB-9'!IE37+'[5]TB-10'!IE37+'[6]DSV-1'!IE37+'[6]DSV-2'!IE37+'[6]DSV-3'!IE37+'[7]TUB-1'!IE37+'[7]TUB-2'!IE37+'[8]Barge-1'!IE37+'[8]Barge-2'!IE37+'[8]Barge-3'!IE37+'[8]Barge-4'!IE37</f>
        <v>61609722.222222224</v>
      </c>
      <c r="AK37" s="136">
        <f>'[2]AHTS-1'!IE108+'[2]AHTS-2'!IE108+'[2]AHTS-3'!IE108+'[2]AHTS-4'!IE108+'[2]AHTS-5'!IE108+'[2]AHTS-6'!IE108+'[2]AHTS-7'!IE108+'[2]AHTS-8'!IE108+'[3]CB-1'!IE108+'[3]CB-2'!IE108+'[3]CB-3'!IE108+'[3]CB-4'!IE108+'[3]CB-5'!IE108+'[3]CB-6'!IE108+'[3]CB-7'!IE108+'[3]CB-8'!IE108+'[3]CB-9'!IE108+'[3]CB-10'!IE108+'[3]CB-11'!IE108+'[3]CB-12'!IE108+'[3]CB-13'!IE108+'[3]CB-14'!IE108+'[3]CB-15'!IE108+'[3]CB-16'!IE108+'[3]CB-17'!IE108+'[3]CB-18'!IE108+'[3]CB-19'!IE108+'[3]CB-20'!IE108+'[3]CB-21'!IE108+'[3]CB-22'!IE108+'[3]CB-23'!IE108+'[3]CB-24'!IE108+'[4]LCT-1'!IE108+'[4]LCT-2'!IE108+'[4]LCT-3'!IE108+'[4]LCT-4'!IE108+'[4]LCT-5'!IE108+'[4]LCT-6'!IE108+'[4]LCT-7'!IE108+'[4]LCT-8'!IE108+'[5]TB-1'!IE108+'[5]TB-2'!IE108+'[5]TB-3'!IE108+'[5]TB-4'!IE108+'[5]TB-5'!IE108+'[5]TB-6'!IE108+'[5]TB-7'!IE108+'[5]TB-8'!IE108+'[5]TB-9'!IE108+'[5]TB-10'!IE108+'[6]DSV-1'!IE108+'[6]DSV-2'!IE108+'[6]DSV-3'!IE108+'[7]TUB-1'!IE108+'[7]TUB-2'!IE108+'[8]Barge-1'!IE108+'[8]Barge-2'!IE108+'[8]Barge-3'!IE108+'[8]Barge-4'!IE108</f>
        <v>0</v>
      </c>
      <c r="AL37" s="137">
        <f>'[2]AHTS-1'!IF75+'[2]AHTS-2'!IF75+'[2]AHTS-3'!IF75+'[2]AHTS-4'!IF75+'[2]AHTS-5'!IF75+'[2]AHTS-6'!IF75+'[2]AHTS-7'!IF75+'[2]AHTS-8'!IF75+'[3]CB-1'!IF75+'[3]CB-2'!IF75+'[3]CB-3'!IF75+'[3]CB-4'!IF75+'[3]CB-5'!IF75+'[3]CB-6'!IF75+'[3]CB-7'!IF75+'[3]CB-8'!IF75+'[3]CB-9'!IF75+'[3]CB-10'!IF75+'[3]CB-11'!IF75+'[3]CB-12'!IF75+'[3]CB-13'!IF75+'[3]CB-14'!IF75+'[3]CB-15'!IF75+'[3]CB-16'!IF75+'[3]CB-17'!IF75+'[3]CB-18'!IF75+'[3]CB-19'!IF75+'[3]CB-20'!IF75+'[3]CB-21'!IF75+'[3]CB-22'!IF75+'[3]CB-23'!IF75+'[3]CB-24'!IF75+'[4]LCT-1'!IF75+'[4]LCT-2'!IF75+'[4]LCT-3'!IF75+'[4]LCT-4'!IF75+'[4]LCT-5'!IF75+'[4]LCT-6'!IF75+'[4]LCT-7'!IF75+'[4]LCT-8'!IF75+'[5]TB-1'!IF75+'[5]TB-2'!IF75+'[5]TB-3'!IF75+'[5]TB-4'!IF75+'[5]TB-5'!IF75+'[5]TB-6'!IF75+'[5]TB-7'!IF75+'[5]TB-8'!IF75+'[5]TB-9'!IF75+'[5]TB-10'!IF75+'[6]DSV-1'!IF75+'[6]DSV-2'!IF75+'[6]DSV-3'!IF75+'[7]TUB-1'!IF75+'[7]TUB-2'!IF75+'[8]Barge-1'!IF75+'[8]Barge-2'!IF75+'[8]Barge-3'!IF75+'[8]Barge-4'!IF75</f>
        <v>44121800</v>
      </c>
      <c r="AM37" s="138">
        <f>'[2]AHTS-1'!IF37+'[2]AHTS-2'!IF37+'[2]AHTS-3'!IF37+'[2]AHTS-4'!IF37+'[2]AHTS-5'!IF37+'[2]AHTS-6'!IF37+'[2]AHTS-7'!IF37+'[2]AHTS-8'!IF37+'[3]CB-1'!IF37+'[3]CB-2'!IF37+'[3]CB-3'!IF37+'[3]CB-4'!IF37+'[3]CB-5'!IF37+'[3]CB-6'!IF37+'[3]CB-7'!IF37+'[3]CB-8'!IF37+'[3]CB-9'!IF37+'[3]CB-10'!IF37+'[3]CB-11'!IF37+'[3]CB-12'!IF37+'[3]CB-13'!IF37+'[3]CB-14'!IF37+'[3]CB-15'!IF37+'[3]CB-16'!IF37+'[3]CB-17'!IF37+'[3]CB-18'!IF37+'[3]CB-19'!IF37+'[3]CB-20'!IF37+'[3]CB-21'!IF37+'[3]CB-22'!IF37+'[3]CB-23'!IF37+'[3]CB-24'!IF37+'[4]LCT-1'!IF37+'[4]LCT-2'!IF37+'[4]LCT-3'!IF37+'[4]LCT-4'!IF37+'[4]LCT-5'!IF37+'[4]LCT-6'!IF37+'[4]LCT-7'!IF37+'[4]LCT-8'!IF37+'[5]TB-1'!IF37+'[5]TB-2'!IF37+'[5]TB-3'!IF37+'[5]TB-4'!IF37+'[5]TB-5'!IF37+'[5]TB-6'!IF37+'[5]TB-7'!IF37+'[5]TB-8'!IF37+'[5]TB-9'!IF37+'[5]TB-10'!IF37+'[6]DSV-1'!IF37+'[6]DSV-2'!IF37+'[6]DSV-3'!IF37+'[7]TUB-1'!IF37+'[7]TUB-2'!IF37+'[8]Barge-1'!IF37+'[8]Barge-2'!IF37+'[8]Barge-3'!IF37+'[8]Barge-4'!IF37</f>
        <v>63200000</v>
      </c>
      <c r="AN37" s="138">
        <f>'[2]AHTS-1'!IF108+'[2]AHTS-2'!IF108+'[2]AHTS-3'!IF108+'[2]AHTS-4'!IF108+'[2]AHTS-5'!IF108+'[2]AHTS-6'!IF108+'[2]AHTS-7'!IF108+'[2]AHTS-8'!IF108+'[3]CB-1'!IF108+'[3]CB-2'!IF108+'[3]CB-3'!IF108+'[3]CB-4'!IF108+'[3]CB-5'!IF108+'[3]CB-6'!IF108+'[3]CB-7'!IF108+'[3]CB-8'!IF108+'[3]CB-9'!IF108+'[3]CB-10'!IF108+'[3]CB-11'!IF108+'[3]CB-12'!IF108+'[3]CB-13'!IF108+'[3]CB-14'!IF108+'[3]CB-15'!IF108+'[3]CB-16'!IF108+'[3]CB-17'!IF108+'[3]CB-18'!IF108+'[3]CB-19'!IF108+'[3]CB-20'!IF108+'[3]CB-21'!IF108+'[3]CB-22'!IF108+'[3]CB-23'!IF108+'[3]CB-24'!IF108+'[4]LCT-1'!IF108+'[4]LCT-2'!IF108+'[4]LCT-3'!IF108+'[4]LCT-4'!IF108+'[4]LCT-5'!IF108+'[4]LCT-6'!IF108+'[4]LCT-7'!IF108+'[4]LCT-8'!IF108+'[5]TB-1'!IF108+'[5]TB-2'!IF108+'[5]TB-3'!IF108+'[5]TB-4'!IF108+'[5]TB-5'!IF108+'[5]TB-6'!IF108+'[5]TB-7'!IF108+'[5]TB-8'!IF108+'[5]TB-9'!IF108+'[5]TB-10'!IF108+'[6]DSV-1'!IF108+'[6]DSV-2'!IF108+'[6]DSV-3'!IF108+'[7]TUB-1'!IF108+'[7]TUB-2'!IF108+'[8]Barge-1'!IF108+'[8]Barge-2'!IF108+'[8]Barge-3'!IF108+'[8]Barge-4'!IF108</f>
        <v>0</v>
      </c>
      <c r="AO37" s="135">
        <f>'[2]AHTS-1'!IG75+'[2]AHTS-2'!IG75+'[2]AHTS-3'!IG75+'[2]AHTS-4'!IG75+'[2]AHTS-5'!IG75+'[2]AHTS-6'!IG75+'[2]AHTS-7'!IG75+'[2]AHTS-8'!IG75+'[3]CB-1'!IG75+'[3]CB-2'!IG75+'[3]CB-3'!IG75+'[3]CB-4'!IG75+'[3]CB-5'!IG75+'[3]CB-6'!IG75+'[3]CB-7'!IG75+'[3]CB-8'!IG75+'[3]CB-9'!IG75+'[3]CB-10'!IG75+'[3]CB-11'!IG75+'[3]CB-12'!IG75+'[3]CB-13'!IG75+'[3]CB-14'!IG75+'[3]CB-15'!IG75+'[3]CB-16'!IG75+'[3]CB-17'!IG75+'[3]CB-18'!IG75+'[3]CB-19'!IG75+'[3]CB-20'!IG75+'[3]CB-21'!IG75+'[3]CB-22'!IG75+'[3]CB-23'!IG75+'[3]CB-24'!IG75+'[4]LCT-1'!IG75+'[4]LCT-2'!IG75+'[4]LCT-3'!IG75+'[4]LCT-4'!IG75+'[4]LCT-5'!IG75+'[4]LCT-6'!IG75+'[4]LCT-7'!IG75+'[4]LCT-8'!IG75+'[5]TB-1'!IG75+'[5]TB-2'!IG75+'[5]TB-3'!IG75+'[5]TB-4'!IG75+'[5]TB-5'!IG75+'[5]TB-6'!IG75+'[5]TB-7'!IG75+'[5]TB-8'!IG75+'[5]TB-9'!IG75+'[5]TB-10'!IG75+'[6]DSV-1'!IG75+'[6]DSV-2'!IG75+'[6]DSV-3'!IG75+'[7]TUB-1'!IG75+'[7]TUB-2'!IG75+'[8]Barge-1'!IG75+'[8]Barge-2'!IG75+'[8]Barge-3'!IG75+'[8]Barge-4'!IG75</f>
        <v>366066.66666666669</v>
      </c>
      <c r="AP37" s="136">
        <f>'[2]AHTS-1'!IG37+'[2]AHTS-2'!IG37+'[2]AHTS-3'!IG37+'[2]AHTS-4'!IG37+'[2]AHTS-5'!IG37+'[2]AHTS-6'!IG37+'[2]AHTS-7'!IG37+'[2]AHTS-8'!IG37+'[3]CB-1'!IG37+'[3]CB-2'!IG37+'[3]CB-3'!IG37+'[3]CB-4'!IG37+'[3]CB-5'!IG37+'[3]CB-6'!IG37+'[3]CB-7'!IG37+'[3]CB-8'!IG37+'[3]CB-9'!IG37+'[3]CB-10'!IG37+'[3]CB-11'!IG37+'[3]CB-12'!IG37+'[3]CB-13'!IG37+'[3]CB-14'!IG37+'[3]CB-15'!IG37+'[3]CB-16'!IG37+'[3]CB-17'!IG37+'[3]CB-18'!IG37+'[3]CB-19'!IG37+'[3]CB-20'!IG37+'[3]CB-21'!IG37+'[3]CB-22'!IG37+'[3]CB-23'!IG37+'[3]CB-24'!IG37+'[4]LCT-1'!IG37+'[4]LCT-2'!IG37+'[4]LCT-3'!IG37+'[4]LCT-4'!IG37+'[4]LCT-5'!IG37+'[4]LCT-6'!IG37+'[4]LCT-7'!IG37+'[4]LCT-8'!IG37+'[5]TB-1'!IG37+'[5]TB-2'!IG37+'[5]TB-3'!IG37+'[5]TB-4'!IG37+'[5]TB-5'!IG37+'[5]TB-6'!IG37+'[5]TB-7'!IG37+'[5]TB-8'!IG37+'[5]TB-9'!IG37+'[5]TB-10'!IG37+'[6]DSV-1'!IG37+'[6]DSV-2'!IG37+'[6]DSV-3'!IG37+'[7]TUB-1'!IG37+'[7]TUB-2'!IG37+'[8]Barge-1'!IG37+'[8]Barge-2'!IG37+'[8]Barge-3'!IG37+'[8]Barge-4'!IG37</f>
        <v>4333333.333333333</v>
      </c>
      <c r="AQ37" s="136">
        <f>'[2]AHTS-1'!IG108+'[2]AHTS-2'!IG108+'[2]AHTS-3'!IG108+'[2]AHTS-4'!IG108+'[2]AHTS-5'!IG108+'[2]AHTS-6'!IG108+'[2]AHTS-7'!IG108+'[2]AHTS-8'!IG108+'[3]CB-1'!IG108+'[3]CB-2'!IG108+'[3]CB-3'!IG108+'[3]CB-4'!IG108+'[3]CB-5'!IG108+'[3]CB-6'!IG108+'[3]CB-7'!IG108+'[3]CB-8'!IG108+'[3]CB-9'!IG108+'[3]CB-10'!IG108+'[3]CB-11'!IG108+'[3]CB-12'!IG108+'[3]CB-13'!IG108+'[3]CB-14'!IG108+'[3]CB-15'!IG108+'[3]CB-16'!IG108+'[3]CB-17'!IG108+'[3]CB-18'!IG108+'[3]CB-19'!IG108+'[3]CB-20'!IG108+'[3]CB-21'!IG108+'[3]CB-22'!IG108+'[3]CB-23'!IG108+'[3]CB-24'!IG108+'[4]LCT-1'!IG108+'[4]LCT-2'!IG108+'[4]LCT-3'!IG108+'[4]LCT-4'!IG108+'[4]LCT-5'!IG108+'[4]LCT-6'!IG108+'[4]LCT-7'!IG108+'[4]LCT-8'!IG108+'[5]TB-1'!IG108+'[5]TB-2'!IG108+'[5]TB-3'!IG108+'[5]TB-4'!IG108+'[5]TB-5'!IG108+'[5]TB-6'!IG108+'[5]TB-7'!IG108+'[5]TB-8'!IG108+'[5]TB-9'!IG108+'[5]TB-10'!IG108+'[6]DSV-1'!IG108+'[6]DSV-2'!IG108+'[6]DSV-3'!IG108+'[7]TUB-1'!IG108+'[7]TUB-2'!IG108+'[8]Barge-1'!IG108+'[8]Barge-2'!IG108+'[8]Barge-3'!IG108+'[8]Barge-4'!IG108</f>
        <v>0</v>
      </c>
      <c r="AR37" s="139">
        <f>'[2]AHTS-1'!IH75+'[2]AHTS-2'!IH75+'[2]AHTS-3'!IH75+'[2]AHTS-4'!IH75+'[2]AHTS-5'!IH75+'[2]AHTS-6'!IH75+'[2]AHTS-7'!IH75+'[2]AHTS-8'!IH75+'[3]CB-1'!IH75+'[3]CB-2'!IH75+'[3]CB-3'!IH75+'[3]CB-4'!IH75+'[3]CB-5'!IH75+'[3]CB-6'!IH75+'[3]CB-7'!IH75+'[3]CB-8'!IH75+'[3]CB-9'!IH75+'[3]CB-10'!IH75+'[3]CB-11'!IH75+'[3]CB-12'!IH75+'[3]CB-13'!IH75+'[3]CB-14'!IH75+'[3]CB-15'!IH75+'[3]CB-16'!IH75+'[3]CB-17'!IH75+'[3]CB-18'!IH75+'[3]CB-19'!IH75+'[3]CB-20'!IH75+'[3]CB-21'!IH75+'[3]CB-22'!IH75+'[3]CB-23'!IH75+'[3]CB-24'!IH75+'[4]LCT-1'!IH75+'[4]LCT-2'!IH75+'[4]LCT-3'!IH75+'[4]LCT-4'!IH75+'[4]LCT-5'!IH75+'[4]LCT-6'!IH75+'[4]LCT-7'!IH75+'[4]LCT-8'!IH75+'[5]TB-1'!IH75+'[5]TB-2'!IH75+'[5]TB-3'!IH75+'[5]TB-4'!IH75+'[5]TB-5'!IH75+'[5]TB-6'!IH75+'[5]TB-7'!IH75+'[5]TB-8'!IH75+'[5]TB-9'!IH75+'[5]TB-10'!IH75+'[6]DSV-1'!IH75+'[6]DSV-2'!IH75+'[6]DSV-3'!IH75+'[7]TUB-1'!IH75+'[7]TUB-2'!IH75+'[8]Barge-1'!IH75+'[8]Barge-2'!IH75+'[8]Barge-3'!IH75+'[8]Barge-4'!IH75</f>
        <v>68427550</v>
      </c>
      <c r="AS37" s="136">
        <f>'[2]AHTS-1'!IH37+'[2]AHTS-2'!IH37+'[2]AHTS-3'!IH37+'[2]AHTS-4'!IH37+'[2]AHTS-5'!IH37+'[2]AHTS-6'!IH37+'[2]AHTS-7'!IH37+'[2]AHTS-8'!IH37+'[3]CB-1'!IH37+'[3]CB-2'!IH37+'[3]CB-3'!IH37+'[3]CB-4'!IH37+'[3]CB-5'!IH37+'[3]CB-6'!IH37+'[3]CB-7'!IH37+'[3]CB-8'!IH37+'[3]CB-9'!IH37+'[3]CB-10'!IH37+'[3]CB-11'!IH37+'[3]CB-12'!IH37+'[3]CB-13'!IH37+'[3]CB-14'!IH37+'[3]CB-15'!IH37+'[3]CB-16'!IH37+'[3]CB-17'!IH37+'[3]CB-18'!IH37+'[3]CB-19'!IH37+'[3]CB-20'!IH37+'[3]CB-21'!IH37+'[3]CB-22'!IH37+'[3]CB-23'!IH37+'[3]CB-24'!IH37+'[4]LCT-1'!IH37+'[4]LCT-2'!IH37+'[4]LCT-3'!IH37+'[4]LCT-4'!IH37+'[4]LCT-5'!IH37+'[4]LCT-6'!IH37+'[4]LCT-7'!IH37+'[4]LCT-8'!IH37+'[5]TB-1'!IH37+'[5]TB-2'!IH37+'[5]TB-3'!IH37+'[5]TB-4'!IH37+'[5]TB-5'!IH37+'[5]TB-6'!IH37+'[5]TB-7'!IH37+'[5]TB-8'!IH37+'[5]TB-9'!IH37+'[5]TB-10'!IH37+'[6]DSV-1'!IH37+'[6]DSV-2'!IH37+'[6]DSV-3'!IH37+'[7]TUB-1'!IH37+'[7]TUB-2'!IH37+'[8]Barge-1'!IH37+'[8]Barge-2'!IH37+'[8]Barge-3'!IH37+'[8]Barge-4'!IH37</f>
        <v>88200000</v>
      </c>
      <c r="AT37" s="140">
        <f>'[2]AHTS-1'!IH108+'[2]AHTS-2'!IH108+'[2]AHTS-3'!IH108+'[2]AHTS-4'!IH108+'[2]AHTS-5'!IH108+'[2]AHTS-6'!IH108+'[2]AHTS-7'!IH108+'[2]AHTS-8'!IH108+'[3]CB-1'!IH108+'[3]CB-2'!IH108+'[3]CB-3'!IH108+'[3]CB-4'!IH108+'[3]CB-5'!IH108+'[3]CB-6'!IH108+'[3]CB-7'!IH108+'[3]CB-8'!IH108+'[3]CB-9'!IH108+'[3]CB-10'!IH108+'[3]CB-11'!IH108+'[3]CB-12'!IH108+'[3]CB-13'!IH108+'[3]CB-14'!IH108+'[3]CB-15'!IH108+'[3]CB-16'!IH108+'[3]CB-17'!IH108+'[3]CB-18'!IH108+'[3]CB-19'!IH108+'[3]CB-20'!IH108+'[3]CB-21'!IH108+'[3]CB-22'!IH108+'[3]CB-23'!IH108+'[3]CB-24'!IH108+'[4]LCT-1'!IH108+'[4]LCT-2'!IH108+'[4]LCT-3'!IH108+'[4]LCT-4'!IH108+'[4]LCT-5'!IH108+'[4]LCT-6'!IH108+'[4]LCT-7'!IH108+'[4]LCT-8'!IH108+'[5]TB-1'!IH108+'[5]TB-2'!IH108+'[5]TB-3'!IH108+'[5]TB-4'!IH108+'[5]TB-5'!IH108+'[5]TB-6'!IH108+'[5]TB-7'!IH108+'[5]TB-8'!IH108+'[5]TB-9'!IH108+'[5]TB-10'!IH108+'[6]DSV-1'!IH108+'[6]DSV-2'!IH108+'[6]DSV-3'!IH108+'[7]TUB-1'!IH108+'[7]TUB-2'!IH108+'[8]Barge-1'!IH108+'[8]Barge-2'!IH108+'[8]Barge-3'!IH108+'[8]Barge-4'!IH108</f>
        <v>0</v>
      </c>
      <c r="AU37" s="139">
        <f>'[2]AHTS-1'!II75+'[2]AHTS-2'!II75+'[2]AHTS-3'!II75+'[2]AHTS-4'!II75+'[2]AHTS-5'!II75+'[2]AHTS-6'!II75+'[2]AHTS-7'!II75+'[2]AHTS-8'!II75+'[3]CB-1'!II75+'[3]CB-2'!II75+'[3]CB-3'!II75+'[3]CB-4'!II75+'[3]CB-5'!II75+'[3]CB-6'!II75+'[3]CB-7'!II75+'[3]CB-8'!II75+'[3]CB-9'!II75+'[3]CB-10'!II75+'[3]CB-11'!II75+'[3]CB-12'!II75+'[3]CB-13'!II75+'[3]CB-14'!II75+'[3]CB-15'!II75+'[3]CB-16'!II75+'[3]CB-17'!II75+'[3]CB-18'!II75+'[3]CB-19'!II75+'[3]CB-20'!II75+'[3]CB-21'!II75+'[3]CB-22'!II75+'[3]CB-23'!II75+'[3]CB-24'!II75+'[4]LCT-1'!II75+'[4]LCT-2'!II75+'[4]LCT-3'!II75+'[4]LCT-4'!II75+'[4]LCT-5'!II75+'[4]LCT-6'!II75+'[4]LCT-7'!II75+'[4]LCT-8'!II75+'[5]TB-1'!II75+'[5]TB-2'!II75+'[5]TB-3'!II75+'[5]TB-4'!II75+'[5]TB-5'!II75+'[5]TB-6'!II75+'[5]TB-7'!II75+'[5]TB-8'!II75+'[5]TB-9'!II75+'[5]TB-10'!II75+'[6]DSV-1'!II75+'[6]DSV-2'!II75+'[6]DSV-3'!II75+'[7]TUB-1'!II75+'[7]TUB-2'!II75+'[8]Barge-1'!II75+'[8]Barge-2'!II75+'[8]Barge-3'!II75+'[8]Barge-4'!II75</f>
        <v>0</v>
      </c>
      <c r="AV37" s="136">
        <f>'[2]AHTS-1'!II37+'[2]AHTS-2'!II37+'[2]AHTS-3'!II37+'[2]AHTS-4'!II37+'[2]AHTS-5'!II37+'[2]AHTS-6'!II37+'[2]AHTS-7'!II37+'[2]AHTS-8'!II37+'[3]CB-1'!II37+'[3]CB-2'!II37+'[3]CB-3'!II37+'[3]CB-4'!II37+'[3]CB-5'!II37+'[3]CB-6'!II37+'[3]CB-7'!II37+'[3]CB-8'!II37+'[3]CB-9'!II37+'[3]CB-10'!II37+'[3]CB-11'!II37+'[3]CB-12'!II37+'[3]CB-13'!II37+'[3]CB-14'!II37+'[3]CB-15'!II37+'[3]CB-16'!II37+'[3]CB-17'!II37+'[3]CB-18'!II37+'[3]CB-19'!II37+'[3]CB-20'!II37+'[3]CB-21'!II37+'[3]CB-22'!II37+'[3]CB-23'!II37+'[3]CB-24'!II37+'[4]LCT-1'!II37+'[4]LCT-2'!II37+'[4]LCT-3'!II37+'[4]LCT-4'!II37+'[4]LCT-5'!II37+'[4]LCT-6'!II37+'[4]LCT-7'!II37+'[4]LCT-8'!II37+'[5]TB-1'!II37+'[5]TB-2'!II37+'[5]TB-3'!II37+'[5]TB-4'!II37+'[5]TB-5'!II37+'[5]TB-6'!II37+'[5]TB-7'!II37+'[5]TB-8'!II37+'[5]TB-9'!II37+'[5]TB-10'!II37+'[6]DSV-1'!II37+'[6]DSV-2'!II37+'[6]DSV-3'!II37+'[7]TUB-1'!II37+'[7]TUB-2'!II37+'[8]Barge-1'!II37+'[8]Barge-2'!II37+'[8]Barge-3'!II37+'[8]Barge-4'!II37</f>
        <v>0</v>
      </c>
      <c r="AW37" s="140">
        <f>'[2]AHTS-1'!II108+'[2]AHTS-2'!II108+'[2]AHTS-3'!II108+'[2]AHTS-4'!II108+'[2]AHTS-5'!II108+'[2]AHTS-6'!II108+'[2]AHTS-7'!II108+'[2]AHTS-8'!II108+'[3]CB-1'!II108+'[3]CB-2'!II108+'[3]CB-3'!II108+'[3]CB-4'!II108+'[3]CB-5'!II108+'[3]CB-6'!II108+'[3]CB-7'!II108+'[3]CB-8'!II108+'[3]CB-9'!II108+'[3]CB-10'!II108+'[3]CB-11'!II108+'[3]CB-12'!II108+'[3]CB-13'!II108+'[3]CB-14'!II108+'[3]CB-15'!II108+'[3]CB-16'!II108+'[3]CB-17'!II108+'[3]CB-18'!II108+'[3]CB-19'!II108+'[3]CB-20'!II108+'[3]CB-21'!II108+'[3]CB-22'!II108+'[3]CB-23'!II108+'[3]CB-24'!II108+'[4]LCT-1'!II108+'[4]LCT-2'!II108+'[4]LCT-3'!II108+'[4]LCT-4'!II108+'[4]LCT-5'!II108+'[4]LCT-6'!II108+'[4]LCT-7'!II108+'[4]LCT-8'!II108+'[5]TB-1'!II108+'[5]TB-2'!II108+'[5]TB-3'!II108+'[5]TB-4'!II108+'[5]TB-5'!II108+'[5]TB-6'!II108+'[5]TB-7'!II108+'[5]TB-8'!II108+'[5]TB-9'!II108+'[5]TB-10'!II108+'[6]DSV-1'!II108+'[6]DSV-2'!II108+'[6]DSV-3'!II108+'[7]TUB-1'!II108+'[7]TUB-2'!II108+'[8]Barge-1'!II108+'[8]Barge-2'!II108+'[8]Barge-3'!II108+'[8]Barge-4'!II108</f>
        <v>0</v>
      </c>
      <c r="AX37" s="67"/>
      <c r="AY37" s="67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</row>
    <row r="38" spans="1:97" s="69" customFormat="1" ht="14.25" customHeight="1" x14ac:dyDescent="0.25">
      <c r="A38" s="111">
        <f>[1]Control!AZ38</f>
        <v>46013</v>
      </c>
      <c r="B38" s="66"/>
      <c r="C38" s="176">
        <f>'[2]AHTS-1'!AV38+'[2]AHTS-2'!AV38+'[2]AHTS-3'!AV38+'[2]AHTS-4'!AV38+'[2]AHTS-5'!AV38+'[2]AHTS-6'!AV38+'[2]AHTS-7'!AV38+'[2]AHTS-8'!AV38+'[3]CB-1'!AV38+'[3]CB-2'!AV38+'[3]CB-3'!AV38+'[3]CB-4'!AV38+'[3]CB-5'!AV38+'[3]CB-6'!AV38+'[3]CB-7'!AV38+'[3]CB-8'!AV38+'[3]CB-9'!AV38+'[3]CB-10'!AV38+'[3]CB-11'!AV38+'[3]CB-12'!AV38+'[3]CB-13'!AV38+'[3]CB-14'!AV38+'[3]CB-15'!AV38+'[3]CB-16'!AV38+'[3]CB-17'!AV38+'[3]CB-18'!AV38+'[3]CB-19'!AV38+'[3]CB-20'!AV38+'[3]CB-21'!AV38+'[3]CB-22'!AV38+'[3]CB-23'!AV38+'[3]CB-24'!AV38+'[4]LCT-1'!AV38+'[4]LCT-2'!AV38+'[4]LCT-3'!AV38+'[4]LCT-4'!AV38+'[4]LCT-5'!AV38+'[4]LCT-6'!AV38+'[4]LCT-7'!AV38+'[4]LCT-8'!AV38+'[5]TB-1'!AV38+'[5]TB-2'!AV38+'[5]TB-3'!AV38+'[5]TB-4'!AV38+'[5]TB-5'!AV38+'[5]TB-6'!AV38+'[5]TB-7'!AV38+'[5]TB-8'!AV38+'[5]TB-9'!AV38+'[5]TB-10'!AV38+'[6]DSV-1'!AV38+'[6]DSV-2'!AV38+'[6]DSV-3'!AV38+'[7]TUB-1'!AV38+'[7]TUB-2'!AV38+'[8]Barge-1'!AV38+'[8]Barge-2'!AV38+'[8]Barge-3'!AV38+'[8]Barge-4'!AV38</f>
        <v>0</v>
      </c>
      <c r="D38" s="177">
        <f>'[2]AHTS-1'!BR38+'[2]AHTS-2'!BR38+'[2]AHTS-3'!BR38+'[2]AHTS-4'!BR38+'[2]AHTS-5'!BR38+'[2]AHTS-6'!BR38+'[2]AHTS-7'!BR38+'[2]AHTS-8'!BR38+'[3]CB-1'!BR38+'[3]CB-2'!BR38+'[3]CB-3'!BR38+'[3]CB-4'!BR38+'[3]CB-5'!BR38+'[3]CB-6'!BR38+'[3]CB-7'!BR38+'[3]CB-8'!BR38+'[3]CB-9'!BR38+'[3]CB-10'!BR38+'[3]CB-11'!BR38+'[3]CB-12'!BR38+'[3]CB-13'!BR38+'[3]CB-14'!BR38+'[3]CB-15'!BR38+'[3]CB-16'!BR38+'[3]CB-17'!BR38+'[3]CB-18'!BR38+'[3]CB-19'!BR38+'[3]CB-20'!BR38+'[3]CB-21'!BR38+'[3]CB-22'!BR38+'[3]CB-23'!BR38+'[3]CB-24'!BR38+'[4]LCT-1'!BR38+'[4]LCT-2'!BR38+'[4]LCT-3'!BR38+'[4]LCT-4'!BR38+'[4]LCT-5'!BR38+'[4]LCT-6'!BR38+'[4]LCT-7'!BR38+'[4]LCT-8'!BR38+'[5]TB-1'!BR38+'[5]TB-2'!BR38+'[5]TB-3'!BR38+'[5]TB-4'!BR38+'[5]TB-5'!BR38+'[5]TB-6'!BR38+'[5]TB-7'!BR38+'[5]TB-8'!BR38+'[5]TB-9'!BR38+'[5]TB-10'!BR38+'[6]DSV-1'!BR38+'[6]DSV-2'!BR38+'[6]DSV-3'!BR38+'[7]TUB-1'!BR38+'[7]TUB-2'!BR38+'[8]Barge-1'!BR38+'[8]Barge-2'!BR38+'[8]Barge-3'!BR38+'[8]Barge-4'!BR38</f>
        <v>0</v>
      </c>
      <c r="E38" s="178">
        <f>'[2]AHTS-1'!CN38+'[2]AHTS-2'!CN38+'[2]AHTS-3'!CN38+'[2]AHTS-4'!CN38+'[2]AHTS-5'!CN38+'[2]AHTS-6'!CN38+'[2]AHTS-7'!CN38+'[2]AHTS-8'!CN38+'[3]CB-1'!CN38+'[3]CB-2'!CN38+'[3]CB-3'!CN38+'[3]CB-4'!CN38+'[3]CB-5'!CN38+'[3]CB-6'!CN38+'[3]CB-7'!CN38+'[3]CB-8'!CN38+'[3]CB-9'!CN38+'[3]CB-10'!CN38+'[3]CB-11'!CN38+'[3]CB-12'!CN38+'[3]CB-13'!CN38+'[3]CB-14'!CN38+'[3]CB-15'!CN38+'[3]CB-16'!CN38+'[3]CB-17'!CN38+'[3]CB-18'!CN38+'[3]CB-19'!CN38+'[3]CB-20'!CN38+'[3]CB-21'!CN38+'[3]CB-22'!CN38+'[3]CB-23'!CN38+'[3]CB-24'!CN38+'[4]LCT-1'!CN38+'[4]LCT-2'!CN38+'[4]LCT-3'!CN38+'[4]LCT-4'!CN38+'[4]LCT-5'!CN38+'[4]LCT-6'!CN38+'[4]LCT-7'!CN38+'[4]LCT-8'!CN38+'[5]TB-1'!CN38+'[5]TB-2'!CN38+'[5]TB-3'!CN38+'[5]TB-4'!CN38+'[5]TB-5'!CN38+'[5]TB-6'!CN38+'[5]TB-7'!CN38+'[5]TB-8'!CN38+'[5]TB-9'!CN38+'[5]TB-10'!CN38+'[6]DSV-1'!CN38+'[6]DSV-2'!CN38+'[6]DSV-3'!CN38+'[7]TUB-1'!CN38+'[7]TUB-2'!CN38+'[8]Barge-1'!CN38+'[8]Barge-2'!CN38+'[8]Barge-3'!CN38+'[8]Barge-4'!CN38</f>
        <v>0</v>
      </c>
      <c r="F38" s="179">
        <f>'[2]AHTS-1'!AW38+'[2]AHTS-2'!AW38+'[2]AHTS-3'!AW38+'[2]AHTS-4'!AW38+'[2]AHTS-5'!AW38+'[2]AHTS-6'!AW38+'[2]AHTS-7'!AW38+'[2]AHTS-8'!AW38+'[3]CB-1'!AW38+'[3]CB-2'!AW38+'[3]CB-3'!AW38+'[3]CB-4'!AW38+'[3]CB-5'!AW38+'[3]CB-6'!AW38+'[3]CB-7'!AW38+'[3]CB-8'!AW38+'[3]CB-9'!AW38+'[3]CB-10'!AW38+'[3]CB-11'!AW38+'[3]CB-12'!AW38+'[3]CB-13'!AW38+'[3]CB-14'!AW38+'[3]CB-15'!AW38+'[3]CB-16'!AW38+'[3]CB-17'!AW38+'[3]CB-18'!AW38+'[3]CB-19'!AW38+'[3]CB-20'!AW38+'[3]CB-21'!AW38+'[3]CB-22'!AW38+'[3]CB-23'!AW38+'[3]CB-24'!AW38+'[4]LCT-1'!AW38+'[4]LCT-2'!AW38+'[4]LCT-3'!AW38+'[4]LCT-4'!AW38+'[4]LCT-5'!AW38+'[4]LCT-6'!AW38+'[4]LCT-7'!AW38+'[4]LCT-8'!AW38+'[5]TB-1'!AW38+'[5]TB-2'!AW38+'[5]TB-3'!AW38+'[5]TB-4'!AW38+'[5]TB-5'!AW38+'[5]TB-6'!AW38+'[5]TB-7'!AW38+'[5]TB-8'!AW38+'[5]TB-9'!AW38+'[5]TB-10'!AW38+'[6]DSV-1'!AW38+'[6]DSV-2'!AW38+'[6]DSV-3'!AW38+'[7]TUB-1'!AW38+'[7]TUB-2'!AW38+'[8]Barge-1'!AW38+'[8]Barge-2'!AW38+'[8]Barge-3'!AW38+'[8]Barge-4'!AW38</f>
        <v>1350.5608873834317</v>
      </c>
      <c r="G38" s="180">
        <f>'[2]AHTS-1'!BS38+'[2]AHTS-2'!BS38+'[2]AHTS-3'!BS38+'[2]AHTS-4'!BS38+'[2]AHTS-5'!BS38+'[2]AHTS-6'!BS38+'[2]AHTS-7'!BS38+'[2]AHTS-8'!BS38+'[3]CB-1'!BS38+'[3]CB-2'!BS38+'[3]CB-3'!BS38+'[3]CB-4'!BS38+'[3]CB-5'!BS38+'[3]CB-6'!BS38+'[3]CB-7'!BS38+'[3]CB-8'!BS38+'[3]CB-9'!BS38+'[3]CB-10'!BS38+'[3]CB-11'!BS38+'[3]CB-12'!BS38+'[3]CB-13'!BS38+'[3]CB-14'!BS38+'[3]CB-15'!BS38+'[3]CB-16'!BS38+'[3]CB-17'!BS38+'[3]CB-18'!BS38+'[3]CB-19'!BS38+'[3]CB-20'!BS38+'[3]CB-21'!BS38+'[3]CB-22'!BS38+'[3]CB-23'!BS38+'[3]CB-24'!BS38+'[4]LCT-1'!BS38+'[4]LCT-2'!BS38+'[4]LCT-3'!BS38+'[4]LCT-4'!BS38+'[4]LCT-5'!BS38+'[4]LCT-6'!BS38+'[4]LCT-7'!BS38+'[4]LCT-8'!BS38+'[5]TB-1'!BS38+'[5]TB-2'!BS38+'[5]TB-3'!BS38+'[5]TB-4'!BS38+'[5]TB-5'!BS38+'[5]TB-6'!BS38+'[5]TB-7'!BS38+'[5]TB-8'!BS38+'[5]TB-9'!BS38+'[5]TB-10'!BS38+'[6]DSV-1'!BS38+'[6]DSV-2'!BS38+'[6]DSV-3'!BS38+'[7]TUB-1'!BS38+'[7]TUB-2'!BS38+'[8]Barge-1'!BS38+'[8]Barge-2'!BS38+'[8]Barge-3'!BS38+'[8]Barge-4'!BS38</f>
        <v>1140.0702546731904</v>
      </c>
      <c r="H38" s="180">
        <f>'[2]AHTS-1'!CO38+'[2]AHTS-2'!CO38+'[2]AHTS-3'!CO38+'[2]AHTS-4'!CO38+'[2]AHTS-5'!CO38+'[2]AHTS-6'!CO38+'[2]AHTS-7'!CO38+'[2]AHTS-8'!CO38+'[3]CB-1'!CO38+'[3]CB-2'!CO38+'[3]CB-3'!CO38+'[3]CB-4'!CO38+'[3]CB-5'!CO38+'[3]CB-6'!CO38+'[3]CB-7'!CO38+'[3]CB-8'!CO38+'[3]CB-9'!CO38+'[3]CB-10'!CO38+'[3]CB-11'!CO38+'[3]CB-12'!CO38+'[3]CB-13'!CO38+'[3]CB-14'!CO38+'[3]CB-15'!CO38+'[3]CB-16'!CO38+'[3]CB-17'!CO38+'[3]CB-18'!CO38+'[3]CB-19'!CO38+'[3]CB-20'!CO38+'[3]CB-21'!CO38+'[3]CB-22'!CO38+'[3]CB-23'!CO38+'[3]CB-24'!CO38+'[4]LCT-1'!CO38+'[4]LCT-2'!CO38+'[4]LCT-3'!CO38+'[4]LCT-4'!CO38+'[4]LCT-5'!CO38+'[4]LCT-6'!CO38+'[4]LCT-7'!CO38+'[4]LCT-8'!CO38+'[5]TB-1'!CO38+'[5]TB-2'!CO38+'[5]TB-3'!CO38+'[5]TB-4'!CO38+'[5]TB-5'!CO38+'[5]TB-6'!CO38+'[5]TB-7'!CO38+'[5]TB-8'!CO38+'[5]TB-9'!CO38+'[5]TB-10'!CO38+'[6]DSV-1'!CO38+'[6]DSV-2'!CO38+'[6]DSV-3'!CO38+'[7]TUB-1'!CO38+'[7]TUB-2'!CO38+'[8]Barge-1'!CO38+'[8]Barge-2'!CO38+'[8]Barge-3'!CO38+'[8]Barge-4'!CO38</f>
        <v>0</v>
      </c>
      <c r="I38" s="179">
        <f>'[2]AHTS-1'!AX38+'[2]AHTS-2'!AX38+'[2]AHTS-3'!AX38+'[2]AHTS-4'!AX38+'[2]AHTS-5'!AX38+'[2]AHTS-6'!AX38+'[2]AHTS-7'!AX38+'[2]AHTS-8'!AX38+'[3]CB-1'!AX38+'[3]CB-2'!AX38+'[3]CB-3'!AX38+'[3]CB-4'!AX38+'[3]CB-5'!AX38+'[3]CB-6'!AX38+'[3]CB-7'!AX38+'[3]CB-8'!AX38+'[3]CB-9'!AX38+'[3]CB-10'!AX38+'[3]CB-11'!AX38+'[3]CB-12'!AX38+'[3]CB-13'!AX38+'[3]CB-14'!AX38+'[3]CB-15'!AX38+'[3]CB-16'!AX38+'[3]CB-17'!AX38+'[3]CB-18'!AX38+'[3]CB-19'!AX38+'[3]CB-20'!AX38+'[3]CB-21'!AX38+'[3]CB-22'!AX38+'[3]CB-23'!AX38+'[3]CB-24'!AX38+'[4]LCT-1'!AX38+'[4]LCT-2'!AX38+'[4]LCT-3'!AX38+'[4]LCT-4'!AX38+'[4]LCT-5'!AX38+'[4]LCT-6'!AX38+'[4]LCT-7'!AX38+'[4]LCT-8'!AX38+'[5]TB-1'!AX38+'[5]TB-2'!AX38+'[5]TB-3'!AX38+'[5]TB-4'!AX38+'[5]TB-5'!AX38+'[5]TB-6'!AX38+'[5]TB-7'!AX38+'[5]TB-8'!AX38+'[5]TB-9'!AX38+'[5]TB-10'!AX38+'[6]DSV-1'!AX38+'[6]DSV-2'!AX38+'[6]DSV-3'!AX38+'[7]TUB-1'!AX38+'[7]TUB-2'!AX38+'[8]Barge-1'!AX38+'[8]Barge-2'!AX38+'[8]Barge-3'!AX38+'[8]Barge-4'!AX38</f>
        <v>4905.1750094091085</v>
      </c>
      <c r="J38" s="180">
        <f>'[2]AHTS-1'!BT38+'[2]AHTS-2'!BT38+'[2]AHTS-3'!BT38+'[2]AHTS-4'!BT38+'[2]AHTS-5'!BT38+'[2]AHTS-6'!BT38+'[2]AHTS-7'!BT38+'[2]AHTS-8'!BT38+'[3]CB-1'!BT38+'[3]CB-2'!BT38+'[3]CB-3'!BT38+'[3]CB-4'!BT38+'[3]CB-5'!BT38+'[3]CB-6'!BT38+'[3]CB-7'!BT38+'[3]CB-8'!BT38+'[3]CB-9'!BT38+'[3]CB-10'!BT38+'[3]CB-11'!BT38+'[3]CB-12'!BT38+'[3]CB-13'!BT38+'[3]CB-14'!BT38+'[3]CB-15'!BT38+'[3]CB-16'!BT38+'[3]CB-17'!BT38+'[3]CB-18'!BT38+'[3]CB-19'!BT38+'[3]CB-20'!BT38+'[3]CB-21'!BT38+'[3]CB-22'!BT38+'[3]CB-23'!BT38+'[3]CB-24'!BT38+'[4]LCT-1'!BT38+'[4]LCT-2'!BT38+'[4]LCT-3'!BT38+'[4]LCT-4'!BT38+'[4]LCT-5'!BT38+'[4]LCT-6'!BT38+'[4]LCT-7'!BT38+'[4]LCT-8'!BT38+'[5]TB-1'!BT38+'[5]TB-2'!BT38+'[5]TB-3'!BT38+'[5]TB-4'!BT38+'[5]TB-5'!BT38+'[5]TB-6'!BT38+'[5]TB-7'!BT38+'[5]TB-8'!BT38+'[5]TB-9'!BT38+'[5]TB-10'!BT38+'[6]DSV-1'!BT38+'[6]DSV-2'!BT38+'[6]DSV-3'!BT38+'[7]TUB-1'!BT38+'[7]TUB-2'!BT38+'[8]Barge-1'!BT38+'[8]Barge-2'!BT38+'[8]Barge-3'!BT38+'[8]Barge-4'!BT38</f>
        <v>4271.7350395182539</v>
      </c>
      <c r="K38" s="180">
        <f>'[2]AHTS-1'!CP38+'[2]AHTS-2'!CP38+'[2]AHTS-3'!CP38+'[2]AHTS-4'!CP38+'[2]AHTS-5'!CP38+'[2]AHTS-6'!CP38+'[2]AHTS-7'!CP38+'[2]AHTS-8'!CP38+'[3]CB-1'!CP38+'[3]CB-2'!CP38+'[3]CB-3'!CP38+'[3]CB-4'!CP38+'[3]CB-5'!CP38+'[3]CB-6'!CP38+'[3]CB-7'!CP38+'[3]CB-8'!CP38+'[3]CB-9'!CP38+'[3]CB-10'!CP38+'[3]CB-11'!CP38+'[3]CB-12'!CP38+'[3]CB-13'!CP38+'[3]CB-14'!CP38+'[3]CB-15'!CP38+'[3]CB-16'!CP38+'[3]CB-17'!CP38+'[3]CB-18'!CP38+'[3]CB-19'!CP38+'[3]CB-20'!CP38+'[3]CB-21'!CP38+'[3]CB-22'!CP38+'[3]CB-23'!CP38+'[3]CB-24'!CP38+'[4]LCT-1'!CP38+'[4]LCT-2'!CP38+'[4]LCT-3'!CP38+'[4]LCT-4'!CP38+'[4]LCT-5'!CP38+'[4]LCT-6'!CP38+'[4]LCT-7'!CP38+'[4]LCT-8'!CP38+'[5]TB-1'!CP38+'[5]TB-2'!CP38+'[5]TB-3'!CP38+'[5]TB-4'!CP38+'[5]TB-5'!CP38+'[5]TB-6'!CP38+'[5]TB-7'!CP38+'[5]TB-8'!CP38+'[5]TB-9'!CP38+'[5]TB-10'!CP38+'[6]DSV-1'!CP38+'[6]DSV-2'!CP38+'[6]DSV-3'!CP38+'[7]TUB-1'!CP38+'[7]TUB-2'!CP38+'[8]Barge-1'!CP38+'[8]Barge-2'!CP38+'[8]Barge-3'!CP38+'[8]Barge-4'!CP38</f>
        <v>0</v>
      </c>
      <c r="L38" s="181">
        <f>'[2]AHTS-1'!AY38+'[2]AHTS-2'!AY38+'[2]AHTS-3'!AY38+'[2]AHTS-4'!AY38+'[2]AHTS-5'!AY38+'[2]AHTS-6'!AY38+'[2]AHTS-7'!AY38+'[2]AHTS-8'!AY38+'[3]CB-1'!AY38+'[3]CB-2'!AY38+'[3]CB-3'!AY38+'[3]CB-4'!AY38+'[3]CB-5'!AY38+'[3]CB-6'!AY38+'[3]CB-7'!AY38+'[3]CB-8'!AY38+'[3]CB-9'!AY38+'[3]CB-10'!AY38+'[3]CB-11'!AY38+'[3]CB-12'!AY38+'[3]CB-13'!AY38+'[3]CB-14'!AY38+'[3]CB-15'!AY38+'[3]CB-16'!AY38+'[3]CB-17'!AY38+'[3]CB-18'!AY38+'[3]CB-19'!AY38+'[3]CB-20'!AY38+'[3]CB-21'!AY38+'[3]CB-22'!AY38+'[3]CB-23'!AY38+'[3]CB-24'!AY38+'[4]LCT-1'!AY38+'[4]LCT-2'!AY38+'[4]LCT-3'!AY38+'[4]LCT-4'!AY38+'[4]LCT-5'!AY38+'[4]LCT-6'!AY38+'[4]LCT-7'!AY38+'[4]LCT-8'!AY38+'[5]TB-1'!AY38+'[5]TB-2'!AY38+'[5]TB-3'!AY38+'[5]TB-4'!AY38+'[5]TB-5'!AY38+'[5]TB-6'!AY38+'[5]TB-7'!AY38+'[5]TB-8'!AY38+'[5]TB-9'!AY38+'[5]TB-10'!AY38+'[6]DSV-1'!AY38+'[6]DSV-2'!AY38+'[6]DSV-3'!AY38+'[7]TUB-1'!AY38+'[7]TUB-2'!AY38+'[8]Barge-1'!AY38+'[8]Barge-2'!AY38+'[8]Barge-3'!AY38+'[8]Barge-4'!AY38</f>
        <v>2804.1149165725756</v>
      </c>
      <c r="M38" s="182">
        <f>'[2]AHTS-1'!BU38+'[2]AHTS-2'!BU38+'[2]AHTS-3'!BU38+'[2]AHTS-4'!BU38+'[2]AHTS-5'!BU38+'[2]AHTS-6'!BU38+'[2]AHTS-7'!BU38+'[2]AHTS-8'!BU38+'[3]CB-1'!BU38+'[3]CB-2'!BU38+'[3]CB-3'!BU38+'[3]CB-4'!BU38+'[3]CB-5'!BU38+'[3]CB-6'!BU38+'[3]CB-7'!BU38+'[3]CB-8'!BU38+'[3]CB-9'!BU38+'[3]CB-10'!BU38+'[3]CB-11'!BU38+'[3]CB-12'!BU38+'[3]CB-13'!BU38+'[3]CB-14'!BU38+'[3]CB-15'!BU38+'[3]CB-16'!BU38+'[3]CB-17'!BU38+'[3]CB-18'!BU38+'[3]CB-19'!BU38+'[3]CB-20'!BU38+'[3]CB-21'!BU38+'[3]CB-22'!BU38+'[3]CB-23'!BU38+'[3]CB-24'!BU38+'[4]LCT-1'!BU38+'[4]LCT-2'!BU38+'[4]LCT-3'!BU38+'[4]LCT-4'!BU38+'[4]LCT-5'!BU38+'[4]LCT-6'!BU38+'[4]LCT-7'!BU38+'[4]LCT-8'!BU38+'[5]TB-1'!BU38+'[5]TB-2'!BU38+'[5]TB-3'!BU38+'[5]TB-4'!BU38+'[5]TB-5'!BU38+'[5]TB-6'!BU38+'[5]TB-7'!BU38+'[5]TB-8'!BU38+'[5]TB-9'!BU38+'[5]TB-10'!BU38+'[6]DSV-1'!BU38+'[6]DSV-2'!BU38+'[6]DSV-3'!BU38+'[7]TUB-1'!BU38+'[7]TUB-2'!BU38+'[8]Barge-1'!BU38+'[8]Barge-2'!BU38+'[8]Barge-3'!BU38+'[8]Barge-4'!BU38</f>
        <v>4372.0988583615608</v>
      </c>
      <c r="N38" s="182">
        <f>'[2]AHTS-1'!CQ38+'[2]AHTS-2'!CQ38+'[2]AHTS-3'!CQ38+'[2]AHTS-4'!CQ38+'[2]AHTS-5'!CQ38+'[2]AHTS-6'!CQ38+'[2]AHTS-7'!CQ38+'[2]AHTS-8'!CQ38+'[3]CB-1'!CQ38+'[3]CB-2'!CQ38+'[3]CB-3'!CQ38+'[3]CB-4'!CQ38+'[3]CB-5'!CQ38+'[3]CB-6'!CQ38+'[3]CB-7'!CQ38+'[3]CB-8'!CQ38+'[3]CB-9'!CQ38+'[3]CB-10'!CQ38+'[3]CB-11'!CQ38+'[3]CB-12'!CQ38+'[3]CB-13'!CQ38+'[3]CB-14'!CQ38+'[3]CB-15'!CQ38+'[3]CB-16'!CQ38+'[3]CB-17'!CQ38+'[3]CB-18'!CQ38+'[3]CB-19'!CQ38+'[3]CB-20'!CQ38+'[3]CB-21'!CQ38+'[3]CB-22'!CQ38+'[3]CB-23'!CQ38+'[3]CB-24'!CQ38+'[4]LCT-1'!CQ38+'[4]LCT-2'!CQ38+'[4]LCT-3'!CQ38+'[4]LCT-4'!CQ38+'[4]LCT-5'!CQ38+'[4]LCT-6'!CQ38+'[4]LCT-7'!CQ38+'[4]LCT-8'!CQ38+'[5]TB-1'!CQ38+'[5]TB-2'!CQ38+'[5]TB-3'!CQ38+'[5]TB-4'!CQ38+'[5]TB-5'!CQ38+'[5]TB-6'!CQ38+'[5]TB-7'!CQ38+'[5]TB-8'!CQ38+'[5]TB-9'!CQ38+'[5]TB-10'!CQ38+'[6]DSV-1'!CQ38+'[6]DSV-2'!CQ38+'[6]DSV-3'!CQ38+'[7]TUB-1'!CQ38+'[7]TUB-2'!CQ38+'[8]Barge-1'!CQ38+'[8]Barge-2'!CQ38+'[8]Barge-3'!CQ38+'[8]Barge-4'!CQ38</f>
        <v>0</v>
      </c>
      <c r="O38" s="179">
        <f>'[2]AHTS-1'!AZ38+'[2]AHTS-2'!AZ38+'[2]AHTS-3'!AZ38+'[2]AHTS-4'!AZ38+'[2]AHTS-5'!AZ38+'[2]AHTS-6'!AZ38+'[2]AHTS-7'!AZ38+'[2]AHTS-8'!AZ38+'[3]CB-1'!AZ38+'[3]CB-2'!AZ38+'[3]CB-3'!AZ38+'[3]CB-4'!AZ38+'[3]CB-5'!AZ38+'[3]CB-6'!AZ38+'[3]CB-7'!AZ38+'[3]CB-8'!AZ38+'[3]CB-9'!AZ38+'[3]CB-10'!AZ38+'[3]CB-11'!AZ38+'[3]CB-12'!AZ38+'[3]CB-13'!AZ38+'[3]CB-14'!AZ38+'[3]CB-15'!AZ38+'[3]CB-16'!AZ38+'[3]CB-17'!AZ38+'[3]CB-18'!AZ38+'[3]CB-19'!AZ38+'[3]CB-20'!AZ38+'[3]CB-21'!AZ38+'[3]CB-22'!AZ38+'[3]CB-23'!AZ38+'[3]CB-24'!AZ38+'[4]LCT-1'!AZ38+'[4]LCT-2'!AZ38+'[4]LCT-3'!AZ38+'[4]LCT-4'!AZ38+'[4]LCT-5'!AZ38+'[4]LCT-6'!AZ38+'[4]LCT-7'!AZ38+'[4]LCT-8'!AZ38+'[5]TB-1'!AZ38+'[5]TB-2'!AZ38+'[5]TB-3'!AZ38+'[5]TB-4'!AZ38+'[5]TB-5'!AZ38+'[5]TB-6'!AZ38+'[5]TB-7'!AZ38+'[5]TB-8'!AZ38+'[5]TB-9'!AZ38+'[5]TB-10'!AZ38+'[6]DSV-1'!AZ38+'[6]DSV-2'!AZ38+'[6]DSV-3'!AZ38+'[7]TUB-1'!AZ38+'[7]TUB-2'!AZ38+'[8]Barge-1'!AZ38+'[8]Barge-2'!AZ38+'[8]Barge-3'!AZ38+'[8]Barge-4'!AZ38</f>
        <v>40.18420942583532</v>
      </c>
      <c r="P38" s="180">
        <f>'[2]AHTS-1'!BV38+'[2]AHTS-2'!BV38+'[2]AHTS-3'!BV38+'[2]AHTS-4'!BV38+'[2]AHTS-5'!BV38+'[2]AHTS-6'!BV38+'[2]AHTS-7'!BV38+'[2]AHTS-8'!BV38+'[3]CB-1'!BV38+'[3]CB-2'!BV38+'[3]CB-3'!BV38+'[3]CB-4'!BV38+'[3]CB-5'!BV38+'[3]CB-6'!BV38+'[3]CB-7'!BV38+'[3]CB-8'!BV38+'[3]CB-9'!BV38+'[3]CB-10'!BV38+'[3]CB-11'!BV38+'[3]CB-12'!BV38+'[3]CB-13'!BV38+'[3]CB-14'!BV38+'[3]CB-15'!BV38+'[3]CB-16'!BV38+'[3]CB-17'!BV38+'[3]CB-18'!BV38+'[3]CB-19'!BV38+'[3]CB-20'!BV38+'[3]CB-21'!BV38+'[3]CB-22'!BV38+'[3]CB-23'!BV38+'[3]CB-24'!BV38+'[4]LCT-1'!BV38+'[4]LCT-2'!BV38+'[4]LCT-3'!BV38+'[4]LCT-4'!BV38+'[4]LCT-5'!BV38+'[4]LCT-6'!BV38+'[4]LCT-7'!BV38+'[4]LCT-8'!BV38+'[5]TB-1'!BV38+'[5]TB-2'!BV38+'[5]TB-3'!BV38+'[5]TB-4'!BV38+'[5]TB-5'!BV38+'[5]TB-6'!BV38+'[5]TB-7'!BV38+'[5]TB-8'!BV38+'[5]TB-9'!BV38+'[5]TB-10'!BV38+'[6]DSV-1'!BV38+'[6]DSV-2'!BV38+'[6]DSV-3'!BV38+'[7]TUB-1'!BV38+'[7]TUB-2'!BV38+'[8]Barge-1'!BV38+'[8]Barge-2'!BV38+'[8]Barge-3'!BV38+'[8]Barge-4'!BV38</f>
        <v>135.90933801697821</v>
      </c>
      <c r="Q38" s="180">
        <f>'[2]AHTS-1'!CR38+'[2]AHTS-2'!CR38+'[2]AHTS-3'!CR38+'[2]AHTS-4'!CR38+'[2]AHTS-5'!CR38+'[2]AHTS-6'!CR38+'[2]AHTS-7'!CR38+'[2]AHTS-8'!CR38+'[3]CB-1'!CR38+'[3]CB-2'!CR38+'[3]CB-3'!CR38+'[3]CB-4'!CR38+'[3]CB-5'!CR38+'[3]CB-6'!CR38+'[3]CB-7'!CR38+'[3]CB-8'!CR38+'[3]CB-9'!CR38+'[3]CB-10'!CR38+'[3]CB-11'!CR38+'[3]CB-12'!CR38+'[3]CB-13'!CR38+'[3]CB-14'!CR38+'[3]CB-15'!CR38+'[3]CB-16'!CR38+'[3]CB-17'!CR38+'[3]CB-18'!CR38+'[3]CB-19'!CR38+'[3]CB-20'!CR38+'[3]CB-21'!CR38+'[3]CB-22'!CR38+'[3]CB-23'!CR38+'[3]CB-24'!CR38+'[4]LCT-1'!CR38+'[4]LCT-2'!CR38+'[4]LCT-3'!CR38+'[4]LCT-4'!CR38+'[4]LCT-5'!CR38+'[4]LCT-6'!CR38+'[4]LCT-7'!CR38+'[4]LCT-8'!CR38+'[5]TB-1'!CR38+'[5]TB-2'!CR38+'[5]TB-3'!CR38+'[5]TB-4'!CR38+'[5]TB-5'!CR38+'[5]TB-6'!CR38+'[5]TB-7'!CR38+'[5]TB-8'!CR38+'[5]TB-9'!CR38+'[5]TB-10'!CR38+'[6]DSV-1'!CR38+'[6]DSV-2'!CR38+'[6]DSV-3'!CR38+'[7]TUB-1'!CR38+'[7]TUB-2'!CR38+'[8]Barge-1'!CR38+'[8]Barge-2'!CR38+'[8]Barge-3'!CR38+'[8]Barge-4'!CR38</f>
        <v>0</v>
      </c>
      <c r="R38" s="183">
        <f>'[2]AHTS-1'!BA38+'[2]AHTS-2'!BA38+'[2]AHTS-3'!BA38+'[2]AHTS-4'!BA38+'[2]AHTS-5'!BA38+'[2]AHTS-6'!BA38+'[2]AHTS-7'!BA38+'[2]AHTS-8'!BA38+'[3]CB-1'!BA38+'[3]CB-2'!BA38+'[3]CB-3'!BA38+'[3]CB-4'!BA38+'[3]CB-5'!BA38+'[3]CB-6'!BA38+'[3]CB-7'!BA38+'[3]CB-8'!BA38+'[3]CB-9'!BA38+'[3]CB-10'!BA38+'[3]CB-11'!BA38+'[3]CB-12'!BA38+'[3]CB-13'!BA38+'[3]CB-14'!BA38+'[3]CB-15'!BA38+'[3]CB-16'!BA38+'[3]CB-17'!BA38+'[3]CB-18'!BA38+'[3]CB-19'!BA38+'[3]CB-20'!BA38+'[3]CB-21'!BA38+'[3]CB-22'!BA38+'[3]CB-23'!BA38+'[3]CB-24'!BA38+'[4]LCT-1'!BA38+'[4]LCT-2'!BA38+'[4]LCT-3'!BA38+'[4]LCT-4'!BA38+'[4]LCT-5'!BA38+'[4]LCT-6'!BA38+'[4]LCT-7'!BA38+'[4]LCT-8'!BA38+'[5]TB-1'!BA38+'[5]TB-2'!BA38+'[5]TB-3'!BA38+'[5]TB-4'!BA38+'[5]TB-5'!BA38+'[5]TB-6'!BA38+'[5]TB-7'!BA38+'[5]TB-8'!BA38+'[5]TB-9'!BA38+'[5]TB-10'!BA38+'[6]DSV-1'!BA38+'[6]DSV-2'!BA38+'[6]DSV-3'!BA38+'[7]TUB-1'!BA38+'[7]TUB-2'!BA38+'[8]Barge-1'!BA38+'[8]Barge-2'!BA38+'[8]Barge-3'!BA38+'[8]Barge-4'!BA38</f>
        <v>4135.9344289716901</v>
      </c>
      <c r="S38" s="180">
        <f>'[2]AHTS-1'!BW38+'[2]AHTS-2'!BW38+'[2]AHTS-3'!BW38+'[2]AHTS-4'!BW38+'[2]AHTS-5'!BW38+'[2]AHTS-6'!BW38+'[2]AHTS-7'!BW38+'[2]AHTS-8'!BW38+'[3]CB-1'!BW38+'[3]CB-2'!BW38+'[3]CB-3'!BW38+'[3]CB-4'!BW38+'[3]CB-5'!BW38+'[3]CB-6'!BW38+'[3]CB-7'!BW38+'[3]CB-8'!BW38+'[3]CB-9'!BW38+'[3]CB-10'!BW38+'[3]CB-11'!BW38+'[3]CB-12'!BW38+'[3]CB-13'!BW38+'[3]CB-14'!BW38+'[3]CB-15'!BW38+'[3]CB-16'!BW38+'[3]CB-17'!BW38+'[3]CB-18'!BW38+'[3]CB-19'!BW38+'[3]CB-20'!BW38+'[3]CB-21'!BW38+'[3]CB-22'!BW38+'[3]CB-23'!BW38+'[3]CB-24'!BW38+'[4]LCT-1'!BW38+'[4]LCT-2'!BW38+'[4]LCT-3'!BW38+'[4]LCT-4'!BW38+'[4]LCT-5'!BW38+'[4]LCT-6'!BW38+'[4]LCT-7'!BW38+'[4]LCT-8'!BW38+'[5]TB-1'!BW38+'[5]TB-2'!BW38+'[5]TB-3'!BW38+'[5]TB-4'!BW38+'[5]TB-5'!BW38+'[5]TB-6'!BW38+'[5]TB-7'!BW38+'[5]TB-8'!BW38+'[5]TB-9'!BW38+'[5]TB-10'!BW38+'[6]DSV-1'!BW38+'[6]DSV-2'!BW38+'[6]DSV-3'!BW38+'[7]TUB-1'!BW38+'[7]TUB-2'!BW38+'[8]Barge-1'!BW38+'[8]Barge-2'!BW38+'[8]Barge-3'!BW38+'[8]Barge-4'!BW38</f>
        <v>5087.1910676201223</v>
      </c>
      <c r="T38" s="184">
        <f>'[2]AHTS-1'!CS38+'[2]AHTS-2'!CS38+'[2]AHTS-3'!CS38+'[2]AHTS-4'!CS38+'[2]AHTS-5'!CS38+'[2]AHTS-6'!CS38+'[2]AHTS-7'!CS38+'[2]AHTS-8'!CS38+'[3]CB-1'!CS38+'[3]CB-2'!CS38+'[3]CB-3'!CS38+'[3]CB-4'!CS38+'[3]CB-5'!CS38+'[3]CB-6'!CS38+'[3]CB-7'!CS38+'[3]CB-8'!CS38+'[3]CB-9'!CS38+'[3]CB-10'!CS38+'[3]CB-11'!CS38+'[3]CB-12'!CS38+'[3]CB-13'!CS38+'[3]CB-14'!CS38+'[3]CB-15'!CS38+'[3]CB-16'!CS38+'[3]CB-17'!CS38+'[3]CB-18'!CS38+'[3]CB-19'!CS38+'[3]CB-20'!CS38+'[3]CB-21'!CS38+'[3]CB-22'!CS38+'[3]CB-23'!CS38+'[3]CB-24'!CS38+'[4]LCT-1'!CS38+'[4]LCT-2'!CS38+'[4]LCT-3'!CS38+'[4]LCT-4'!CS38+'[4]LCT-5'!CS38+'[4]LCT-6'!CS38+'[4]LCT-7'!CS38+'[4]LCT-8'!CS38+'[5]TB-1'!CS38+'[5]TB-2'!CS38+'[5]TB-3'!CS38+'[5]TB-4'!CS38+'[5]TB-5'!CS38+'[5]TB-6'!CS38+'[5]TB-7'!CS38+'[5]TB-8'!CS38+'[5]TB-9'!CS38+'[5]TB-10'!CS38+'[6]DSV-1'!CS38+'[6]DSV-2'!CS38+'[6]DSV-3'!CS38+'[7]TUB-1'!CS38+'[7]TUB-2'!CS38+'[8]Barge-1'!CS38+'[8]Barge-2'!CS38+'[8]Barge-3'!CS38+'[8]Barge-4'!CS38</f>
        <v>0</v>
      </c>
      <c r="U38" s="183">
        <f>'[2]AHTS-1'!BB38+'[2]AHTS-2'!BB38+'[2]AHTS-3'!BB38+'[2]AHTS-4'!BB38+'[2]AHTS-5'!BB38+'[2]AHTS-6'!BB38+'[2]AHTS-7'!BB38+'[2]AHTS-8'!BB38+'[3]CB-1'!BB38+'[3]CB-2'!BB38+'[3]CB-3'!BB38+'[3]CB-4'!BB38+'[3]CB-5'!BB38+'[3]CB-6'!BB38+'[3]CB-7'!BB38+'[3]CB-8'!BB38+'[3]CB-9'!BB38+'[3]CB-10'!BB38+'[3]CB-11'!BB38+'[3]CB-12'!BB38+'[3]CB-13'!BB38+'[3]CB-14'!BB38+'[3]CB-15'!BB38+'[3]CB-16'!BB38+'[3]CB-17'!BB38+'[3]CB-18'!BB38+'[3]CB-19'!BB38+'[3]CB-20'!BB38+'[3]CB-21'!BB38+'[3]CB-22'!BB38+'[3]CB-23'!BB38+'[3]CB-24'!BB38+'[4]LCT-1'!BB38+'[4]LCT-2'!BB38+'[4]LCT-3'!BB38+'[4]LCT-4'!BB38+'[4]LCT-5'!BB38+'[4]LCT-6'!BB38+'[4]LCT-7'!BB38+'[4]LCT-8'!BB38+'[5]TB-1'!BB38+'[5]TB-2'!BB38+'[5]TB-3'!BB38+'[5]TB-4'!BB38+'[5]TB-5'!BB38+'[5]TB-6'!BB38+'[5]TB-7'!BB38+'[5]TB-8'!BB38+'[5]TB-9'!BB38+'[5]TB-10'!BB38+'[6]DSV-1'!BB38+'[6]DSV-2'!BB38+'[6]DSV-3'!BB38+'[7]TUB-1'!BB38+'[7]TUB-2'!BB38+'[8]Barge-1'!BB38+'[8]Barge-2'!BB38+'[8]Barge-3'!BB38+'[8]Barge-4'!BB38</f>
        <v>0</v>
      </c>
      <c r="V38" s="180">
        <f>'[2]AHTS-1'!BX38+'[2]AHTS-2'!BX38+'[2]AHTS-3'!BX38+'[2]AHTS-4'!BX38+'[2]AHTS-5'!BX38+'[2]AHTS-6'!BX38+'[2]AHTS-7'!BX38+'[2]AHTS-8'!BX38+'[3]CB-1'!BX38+'[3]CB-2'!BX38+'[3]CB-3'!BX38+'[3]CB-4'!BX38+'[3]CB-5'!BX38+'[3]CB-6'!BX38+'[3]CB-7'!BX38+'[3]CB-8'!BX38+'[3]CB-9'!BX38+'[3]CB-10'!BX38+'[3]CB-11'!BX38+'[3]CB-12'!BX38+'[3]CB-13'!BX38+'[3]CB-14'!BX38+'[3]CB-15'!BX38+'[3]CB-16'!BX38+'[3]CB-17'!BX38+'[3]CB-18'!BX38+'[3]CB-19'!BX38+'[3]CB-20'!BX38+'[3]CB-21'!BX38+'[3]CB-22'!BX38+'[3]CB-23'!BX38+'[3]CB-24'!BX38+'[4]LCT-1'!BX38+'[4]LCT-2'!BX38+'[4]LCT-3'!BX38+'[4]LCT-4'!BX38+'[4]LCT-5'!BX38+'[4]LCT-6'!BX38+'[4]LCT-7'!BX38+'[4]LCT-8'!BX38+'[5]TB-1'!BX38+'[5]TB-2'!BX38+'[5]TB-3'!BX38+'[5]TB-4'!BX38+'[5]TB-5'!BX38+'[5]TB-6'!BX38+'[5]TB-7'!BX38+'[5]TB-8'!BX38+'[5]TB-9'!BX38+'[5]TB-10'!BX38+'[6]DSV-1'!BX38+'[6]DSV-2'!BX38+'[6]DSV-3'!BX38+'[7]TUB-1'!BX38+'[7]TUB-2'!BX38+'[8]Barge-1'!BX38+'[8]Barge-2'!BX38+'[8]Barge-3'!BX38+'[8]Barge-4'!BX38</f>
        <v>0</v>
      </c>
      <c r="W38" s="184">
        <f>'[2]AHTS-1'!CT38+'[2]AHTS-2'!CT38+'[2]AHTS-3'!CT38+'[2]AHTS-4'!CT38+'[2]AHTS-5'!CT38+'[2]AHTS-6'!CT38+'[2]AHTS-7'!CT38+'[2]AHTS-8'!CT38+'[3]CB-1'!CT38+'[3]CB-2'!CT38+'[3]CB-3'!CT38+'[3]CB-4'!CT38+'[3]CB-5'!CT38+'[3]CB-6'!CT38+'[3]CB-7'!CT38+'[3]CB-8'!CT38+'[3]CB-9'!CT38+'[3]CB-10'!CT38+'[3]CB-11'!CT38+'[3]CB-12'!CT38+'[3]CB-13'!CT38+'[3]CB-14'!CT38+'[3]CB-15'!CT38+'[3]CB-16'!CT38+'[3]CB-17'!CT38+'[3]CB-18'!CT38+'[3]CB-19'!CT38+'[3]CB-20'!CT38+'[3]CB-21'!CT38+'[3]CB-22'!CT38+'[3]CB-23'!CT38+'[3]CB-24'!CT38+'[4]LCT-1'!CT38+'[4]LCT-2'!CT38+'[4]LCT-3'!CT38+'[4]LCT-4'!CT38+'[4]LCT-5'!CT38+'[4]LCT-6'!CT38+'[4]LCT-7'!CT38+'[4]LCT-8'!CT38+'[5]TB-1'!CT38+'[5]TB-2'!CT38+'[5]TB-3'!CT38+'[5]TB-4'!CT38+'[5]TB-5'!CT38+'[5]TB-6'!CT38+'[5]TB-7'!CT38+'[5]TB-8'!CT38+'[5]TB-9'!CT38+'[5]TB-10'!CT38+'[6]DSV-1'!CT38+'[6]DSV-2'!CT38+'[6]DSV-3'!CT38+'[7]TUB-1'!CT38+'[7]TUB-2'!CT38+'[8]Barge-1'!CT38+'[8]Barge-2'!CT38+'[8]Barge-3'!CT38+'[8]Barge-4'!CT38</f>
        <v>0</v>
      </c>
      <c r="X38" s="67"/>
      <c r="Y38" s="67"/>
      <c r="Z38" s="68"/>
      <c r="AA38" s="111">
        <f>[1]Control!AZ38</f>
        <v>46013</v>
      </c>
      <c r="AB38" s="66"/>
      <c r="AC38" s="132">
        <f>'[2]AHTS-1'!IC76+'[2]AHTS-2'!IC76+'[2]AHTS-3'!IC76+'[2]AHTS-4'!IC76+'[2]AHTS-5'!IC76+'[2]AHTS-6'!IC76+'[2]AHTS-7'!IC76+'[2]AHTS-8'!IC76+'[3]CB-1'!IC76+'[3]CB-2'!IC76+'[3]CB-3'!IC76+'[3]CB-4'!IC76+'[3]CB-5'!IC76+'[3]CB-6'!IC76+'[3]CB-7'!IC76+'[3]CB-8'!IC76+'[3]CB-9'!IC76+'[3]CB-10'!IC76+'[3]CB-11'!IC76+'[3]CB-12'!IC76+'[3]CB-13'!IC76+'[3]CB-14'!IC76+'[3]CB-15'!IC76+'[3]CB-16'!IC76+'[3]CB-17'!IC76+'[3]CB-18'!IC76+'[3]CB-19'!IC76+'[3]CB-20'!IC76+'[3]CB-21'!IC76+'[3]CB-22'!IC76+'[3]CB-23'!IC76+'[3]CB-24'!IC76+'[4]LCT-1'!IC76+'[4]LCT-2'!IC76+'[4]LCT-3'!IC76+'[4]LCT-4'!IC76+'[4]LCT-5'!IC76+'[4]LCT-6'!IC76+'[4]LCT-7'!IC76+'[4]LCT-8'!IC76+'[5]TB-1'!IC76+'[5]TB-2'!IC76+'[5]TB-3'!IC76+'[5]TB-4'!IC76+'[5]TB-5'!IC76+'[5]TB-6'!IC76+'[5]TB-7'!IC76+'[5]TB-8'!IC76+'[5]TB-9'!IC76+'[5]TB-10'!IC76+'[6]DSV-1'!IC76+'[6]DSV-2'!IC76+'[6]DSV-3'!IC76+'[7]TUB-1'!IC76+'[7]TUB-2'!IC76+'[8]Barge-1'!IC76+'[8]Barge-2'!IC76+'[8]Barge-3'!IC76+'[8]Barge-4'!IC76</f>
        <v>0</v>
      </c>
      <c r="AD38" s="133">
        <f>'[2]AHTS-1'!IC38+'[2]AHTS-2'!IC38+'[2]AHTS-3'!IC38+'[2]AHTS-4'!IC38+'[2]AHTS-5'!IC38+'[2]AHTS-6'!IC38+'[2]AHTS-7'!IC38+'[2]AHTS-8'!IC38+'[3]CB-1'!IC38+'[3]CB-2'!IC38+'[3]CB-3'!IC38+'[3]CB-4'!IC38+'[3]CB-5'!IC38+'[3]CB-6'!IC38+'[3]CB-7'!IC38+'[3]CB-8'!IC38+'[3]CB-9'!IC38+'[3]CB-10'!IC38+'[3]CB-11'!IC38+'[3]CB-12'!IC38+'[3]CB-13'!IC38+'[3]CB-14'!IC38+'[3]CB-15'!IC38+'[3]CB-16'!IC38+'[3]CB-17'!IC38+'[3]CB-18'!IC38+'[3]CB-19'!IC38+'[3]CB-20'!IC38+'[3]CB-21'!IC38+'[3]CB-22'!IC38+'[3]CB-23'!IC38+'[3]CB-24'!IC38+'[4]LCT-1'!IC38+'[4]LCT-2'!IC38+'[4]LCT-3'!IC38+'[4]LCT-4'!IC38+'[4]LCT-5'!IC38+'[4]LCT-6'!IC38+'[4]LCT-7'!IC38+'[4]LCT-8'!IC38+'[5]TB-1'!IC38+'[5]TB-2'!IC38+'[5]TB-3'!IC38+'[5]TB-4'!IC38+'[5]TB-5'!IC38+'[5]TB-6'!IC38+'[5]TB-7'!IC38+'[5]TB-8'!IC38+'[5]TB-9'!IC38+'[5]TB-10'!IC38+'[6]DSV-1'!IC38+'[6]DSV-2'!IC38+'[6]DSV-3'!IC38+'[7]TUB-1'!IC38+'[7]TUB-2'!IC38+'[8]Barge-1'!IC38+'[8]Barge-2'!IC38+'[8]Barge-3'!IC38+'[8]Barge-4'!IC38</f>
        <v>0</v>
      </c>
      <c r="AE38" s="134">
        <f>'[2]AHTS-1'!IC109+'[2]AHTS-2'!IC109+'[2]AHTS-3'!IC109+'[2]AHTS-4'!IC109+'[2]AHTS-5'!IC109+'[2]AHTS-6'!IC109+'[2]AHTS-7'!IC109+'[2]AHTS-8'!IC109+'[3]CB-1'!IC109+'[3]CB-2'!IC109+'[3]CB-3'!IC109+'[3]CB-4'!IC109+'[3]CB-5'!IC109+'[3]CB-6'!IC109+'[3]CB-7'!IC109+'[3]CB-8'!IC109+'[3]CB-9'!IC109+'[3]CB-10'!IC109+'[3]CB-11'!IC109+'[3]CB-12'!IC109+'[3]CB-13'!IC109+'[3]CB-14'!IC109+'[3]CB-15'!IC109+'[3]CB-16'!IC109+'[3]CB-17'!IC109+'[3]CB-18'!IC109+'[3]CB-19'!IC109+'[3]CB-20'!IC109+'[3]CB-21'!IC109+'[3]CB-22'!IC109+'[3]CB-23'!IC109+'[3]CB-24'!IC109+'[4]LCT-1'!IC109+'[4]LCT-2'!IC109+'[4]LCT-3'!IC109+'[4]LCT-4'!IC109+'[4]LCT-5'!IC109+'[4]LCT-6'!IC109+'[4]LCT-7'!IC109+'[4]LCT-8'!IC109+'[5]TB-1'!IC109+'[5]TB-2'!IC109+'[5]TB-3'!IC109+'[5]TB-4'!IC109+'[5]TB-5'!IC109+'[5]TB-6'!IC109+'[5]TB-7'!IC109+'[5]TB-8'!IC109+'[5]TB-9'!IC109+'[5]TB-10'!IC109+'[6]DSV-1'!IC109+'[6]DSV-2'!IC109+'[6]DSV-3'!IC109+'[7]TUB-1'!IC109+'[7]TUB-2'!IC109+'[8]Barge-1'!IC109+'[8]Barge-2'!IC109+'[8]Barge-3'!IC109+'[8]Barge-4'!IC109</f>
        <v>0</v>
      </c>
      <c r="AF38" s="135">
        <f>'[2]AHTS-1'!ID76+'[2]AHTS-2'!ID76+'[2]AHTS-3'!ID76+'[2]AHTS-4'!ID76+'[2]AHTS-5'!ID76+'[2]AHTS-6'!ID76+'[2]AHTS-7'!ID76+'[2]AHTS-8'!ID76+'[3]CB-1'!ID76+'[3]CB-2'!ID76+'[3]CB-3'!ID76+'[3]CB-4'!ID76+'[3]CB-5'!ID76+'[3]CB-6'!ID76+'[3]CB-7'!ID76+'[3]CB-8'!ID76+'[3]CB-9'!ID76+'[3]CB-10'!ID76+'[3]CB-11'!ID76+'[3]CB-12'!ID76+'[3]CB-13'!ID76+'[3]CB-14'!ID76+'[3]CB-15'!ID76+'[3]CB-16'!ID76+'[3]CB-17'!ID76+'[3]CB-18'!ID76+'[3]CB-19'!ID76+'[3]CB-20'!ID76+'[3]CB-21'!ID76+'[3]CB-22'!ID76+'[3]CB-23'!ID76+'[3]CB-24'!ID76+'[4]LCT-1'!ID76+'[4]LCT-2'!ID76+'[4]LCT-3'!ID76+'[4]LCT-4'!ID76+'[4]LCT-5'!ID76+'[4]LCT-6'!ID76+'[4]LCT-7'!ID76+'[4]LCT-8'!ID76+'[5]TB-1'!ID76+'[5]TB-2'!ID76+'[5]TB-3'!ID76+'[5]TB-4'!ID76+'[5]TB-5'!ID76+'[5]TB-6'!ID76+'[5]TB-7'!ID76+'[5]TB-8'!ID76+'[5]TB-9'!ID76+'[5]TB-10'!ID76+'[6]DSV-1'!ID76+'[6]DSV-2'!ID76+'[6]DSV-3'!ID76+'[7]TUB-1'!ID76+'[7]TUB-2'!ID76+'[8]Barge-1'!ID76+'[8]Barge-2'!ID76+'[8]Barge-3'!ID76+'[8]Barge-4'!ID76</f>
        <v>21530641.666666668</v>
      </c>
      <c r="AG38" s="136">
        <f>'[2]AHTS-1'!ID38+'[2]AHTS-2'!ID38+'[2]AHTS-3'!ID38+'[2]AHTS-4'!ID38+'[2]AHTS-5'!ID38+'[2]AHTS-6'!ID38+'[2]AHTS-7'!ID38+'[2]AHTS-8'!ID38+'[3]CB-1'!ID38+'[3]CB-2'!ID38+'[3]CB-3'!ID38+'[3]CB-4'!ID38+'[3]CB-5'!ID38+'[3]CB-6'!ID38+'[3]CB-7'!ID38+'[3]CB-8'!ID38+'[3]CB-9'!ID38+'[3]CB-10'!ID38+'[3]CB-11'!ID38+'[3]CB-12'!ID38+'[3]CB-13'!ID38+'[3]CB-14'!ID38+'[3]CB-15'!ID38+'[3]CB-16'!ID38+'[3]CB-17'!ID38+'[3]CB-18'!ID38+'[3]CB-19'!ID38+'[3]CB-20'!ID38+'[3]CB-21'!ID38+'[3]CB-22'!ID38+'[3]CB-23'!ID38+'[3]CB-24'!ID38+'[4]LCT-1'!ID38+'[4]LCT-2'!ID38+'[4]LCT-3'!ID38+'[4]LCT-4'!ID38+'[4]LCT-5'!ID38+'[4]LCT-6'!ID38+'[4]LCT-7'!ID38+'[4]LCT-8'!ID38+'[5]TB-1'!ID38+'[5]TB-2'!ID38+'[5]TB-3'!ID38+'[5]TB-4'!ID38+'[5]TB-5'!ID38+'[5]TB-6'!ID38+'[5]TB-7'!ID38+'[5]TB-8'!ID38+'[5]TB-9'!ID38+'[5]TB-10'!ID38+'[6]DSV-1'!ID38+'[6]DSV-2'!ID38+'[6]DSV-3'!ID38+'[7]TUB-1'!ID38+'[7]TUB-2'!ID38+'[8]Barge-1'!ID38+'[8]Barge-2'!ID38+'[8]Barge-3'!ID38+'[8]Barge-4'!ID38</f>
        <v>18175000</v>
      </c>
      <c r="AH38" s="136">
        <f>'[2]AHTS-1'!ID109+'[2]AHTS-2'!ID109+'[2]AHTS-3'!ID109+'[2]AHTS-4'!ID109+'[2]AHTS-5'!ID109+'[2]AHTS-6'!ID109+'[2]AHTS-7'!ID109+'[2]AHTS-8'!ID109+'[3]CB-1'!ID109+'[3]CB-2'!ID109+'[3]CB-3'!ID109+'[3]CB-4'!ID109+'[3]CB-5'!ID109+'[3]CB-6'!ID109+'[3]CB-7'!ID109+'[3]CB-8'!ID109+'[3]CB-9'!ID109+'[3]CB-10'!ID109+'[3]CB-11'!ID109+'[3]CB-12'!ID109+'[3]CB-13'!ID109+'[3]CB-14'!ID109+'[3]CB-15'!ID109+'[3]CB-16'!ID109+'[3]CB-17'!ID109+'[3]CB-18'!ID109+'[3]CB-19'!ID109+'[3]CB-20'!ID109+'[3]CB-21'!ID109+'[3]CB-22'!ID109+'[3]CB-23'!ID109+'[3]CB-24'!ID109+'[4]LCT-1'!ID109+'[4]LCT-2'!ID109+'[4]LCT-3'!ID109+'[4]LCT-4'!ID109+'[4]LCT-5'!ID109+'[4]LCT-6'!ID109+'[4]LCT-7'!ID109+'[4]LCT-8'!ID109+'[5]TB-1'!ID109+'[5]TB-2'!ID109+'[5]TB-3'!ID109+'[5]TB-4'!ID109+'[5]TB-5'!ID109+'[5]TB-6'!ID109+'[5]TB-7'!ID109+'[5]TB-8'!ID109+'[5]TB-9'!ID109+'[5]TB-10'!ID109+'[6]DSV-1'!ID109+'[6]DSV-2'!ID109+'[6]DSV-3'!ID109+'[7]TUB-1'!ID109+'[7]TUB-2'!ID109+'[8]Barge-1'!ID109+'[8]Barge-2'!ID109+'[8]Barge-3'!ID109+'[8]Barge-4'!ID109</f>
        <v>0</v>
      </c>
      <c r="AI38" s="135">
        <f>'[2]AHTS-1'!IE76+'[2]AHTS-2'!IE76+'[2]AHTS-3'!IE76+'[2]AHTS-4'!IE76+'[2]AHTS-5'!IE76+'[2]AHTS-6'!IE76+'[2]AHTS-7'!IE76+'[2]AHTS-8'!IE76+'[3]CB-1'!IE76+'[3]CB-2'!IE76+'[3]CB-3'!IE76+'[3]CB-4'!IE76+'[3]CB-5'!IE76+'[3]CB-6'!IE76+'[3]CB-7'!IE76+'[3]CB-8'!IE76+'[3]CB-9'!IE76+'[3]CB-10'!IE76+'[3]CB-11'!IE76+'[3]CB-12'!IE76+'[3]CB-13'!IE76+'[3]CB-14'!IE76+'[3]CB-15'!IE76+'[3]CB-16'!IE76+'[3]CB-17'!IE76+'[3]CB-18'!IE76+'[3]CB-19'!IE76+'[3]CB-20'!IE76+'[3]CB-21'!IE76+'[3]CB-22'!IE76+'[3]CB-23'!IE76+'[3]CB-24'!IE76+'[4]LCT-1'!IE76+'[4]LCT-2'!IE76+'[4]LCT-3'!IE76+'[4]LCT-4'!IE76+'[4]LCT-5'!IE76+'[4]LCT-6'!IE76+'[4]LCT-7'!IE76+'[4]LCT-8'!IE76+'[5]TB-1'!IE76+'[5]TB-2'!IE76+'[5]TB-3'!IE76+'[5]TB-4'!IE76+'[5]TB-5'!IE76+'[5]TB-6'!IE76+'[5]TB-7'!IE76+'[5]TB-8'!IE76+'[5]TB-9'!IE76+'[5]TB-10'!IE76+'[6]DSV-1'!IE76+'[6]DSV-2'!IE76+'[6]DSV-3'!IE76+'[7]TUB-1'!IE76+'[7]TUB-2'!IE76+'[8]Barge-1'!IE76+'[8]Barge-2'!IE76+'[8]Barge-3'!IE76+'[8]Barge-4'!IE76</f>
        <v>78198300</v>
      </c>
      <c r="AJ38" s="136">
        <f>'[2]AHTS-1'!IE38+'[2]AHTS-2'!IE38+'[2]AHTS-3'!IE38+'[2]AHTS-4'!IE38+'[2]AHTS-5'!IE38+'[2]AHTS-6'!IE38+'[2]AHTS-7'!IE38+'[2]AHTS-8'!IE38+'[3]CB-1'!IE38+'[3]CB-2'!IE38+'[3]CB-3'!IE38+'[3]CB-4'!IE38+'[3]CB-5'!IE38+'[3]CB-6'!IE38+'[3]CB-7'!IE38+'[3]CB-8'!IE38+'[3]CB-9'!IE38+'[3]CB-10'!IE38+'[3]CB-11'!IE38+'[3]CB-12'!IE38+'[3]CB-13'!IE38+'[3]CB-14'!IE38+'[3]CB-15'!IE38+'[3]CB-16'!IE38+'[3]CB-17'!IE38+'[3]CB-18'!IE38+'[3]CB-19'!IE38+'[3]CB-20'!IE38+'[3]CB-21'!IE38+'[3]CB-22'!IE38+'[3]CB-23'!IE38+'[3]CB-24'!IE38+'[4]LCT-1'!IE38+'[4]LCT-2'!IE38+'[4]LCT-3'!IE38+'[4]LCT-4'!IE38+'[4]LCT-5'!IE38+'[4]LCT-6'!IE38+'[4]LCT-7'!IE38+'[4]LCT-8'!IE38+'[5]TB-1'!IE38+'[5]TB-2'!IE38+'[5]TB-3'!IE38+'[5]TB-4'!IE38+'[5]TB-5'!IE38+'[5]TB-6'!IE38+'[5]TB-7'!IE38+'[5]TB-8'!IE38+'[5]TB-9'!IE38+'[5]TB-10'!IE38+'[6]DSV-1'!IE38+'[6]DSV-2'!IE38+'[6]DSV-3'!IE38+'[7]TUB-1'!IE38+'[7]TUB-2'!IE38+'[8]Barge-1'!IE38+'[8]Barge-2'!IE38+'[8]Barge-3'!IE38+'[8]Barge-4'!IE38</f>
        <v>68100000</v>
      </c>
      <c r="AK38" s="136">
        <f>'[2]AHTS-1'!IE109+'[2]AHTS-2'!IE109+'[2]AHTS-3'!IE109+'[2]AHTS-4'!IE109+'[2]AHTS-5'!IE109+'[2]AHTS-6'!IE109+'[2]AHTS-7'!IE109+'[2]AHTS-8'!IE109+'[3]CB-1'!IE109+'[3]CB-2'!IE109+'[3]CB-3'!IE109+'[3]CB-4'!IE109+'[3]CB-5'!IE109+'[3]CB-6'!IE109+'[3]CB-7'!IE109+'[3]CB-8'!IE109+'[3]CB-9'!IE109+'[3]CB-10'!IE109+'[3]CB-11'!IE109+'[3]CB-12'!IE109+'[3]CB-13'!IE109+'[3]CB-14'!IE109+'[3]CB-15'!IE109+'[3]CB-16'!IE109+'[3]CB-17'!IE109+'[3]CB-18'!IE109+'[3]CB-19'!IE109+'[3]CB-20'!IE109+'[3]CB-21'!IE109+'[3]CB-22'!IE109+'[3]CB-23'!IE109+'[3]CB-24'!IE109+'[4]LCT-1'!IE109+'[4]LCT-2'!IE109+'[4]LCT-3'!IE109+'[4]LCT-4'!IE109+'[4]LCT-5'!IE109+'[4]LCT-6'!IE109+'[4]LCT-7'!IE109+'[4]LCT-8'!IE109+'[5]TB-1'!IE109+'[5]TB-2'!IE109+'[5]TB-3'!IE109+'[5]TB-4'!IE109+'[5]TB-5'!IE109+'[5]TB-6'!IE109+'[5]TB-7'!IE109+'[5]TB-8'!IE109+'[5]TB-9'!IE109+'[5]TB-10'!IE109+'[6]DSV-1'!IE109+'[6]DSV-2'!IE109+'[6]DSV-3'!IE109+'[7]TUB-1'!IE109+'[7]TUB-2'!IE109+'[8]Barge-1'!IE109+'[8]Barge-2'!IE109+'[8]Barge-3'!IE109+'[8]Barge-4'!IE109</f>
        <v>0</v>
      </c>
      <c r="AL38" s="137">
        <f>'[2]AHTS-1'!IF76+'[2]AHTS-2'!IF76+'[2]AHTS-3'!IF76+'[2]AHTS-4'!IF76+'[2]AHTS-5'!IF76+'[2]AHTS-6'!IF76+'[2]AHTS-7'!IF76+'[2]AHTS-8'!IF76+'[3]CB-1'!IF76+'[3]CB-2'!IF76+'[3]CB-3'!IF76+'[3]CB-4'!IF76+'[3]CB-5'!IF76+'[3]CB-6'!IF76+'[3]CB-7'!IF76+'[3]CB-8'!IF76+'[3]CB-9'!IF76+'[3]CB-10'!IF76+'[3]CB-11'!IF76+'[3]CB-12'!IF76+'[3]CB-13'!IF76+'[3]CB-14'!IF76+'[3]CB-15'!IF76+'[3]CB-16'!IF76+'[3]CB-17'!IF76+'[3]CB-18'!IF76+'[3]CB-19'!IF76+'[3]CB-20'!IF76+'[3]CB-21'!IF76+'[3]CB-22'!IF76+'[3]CB-23'!IF76+'[3]CB-24'!IF76+'[4]LCT-1'!IF76+'[4]LCT-2'!IF76+'[4]LCT-3'!IF76+'[4]LCT-4'!IF76+'[4]LCT-5'!IF76+'[4]LCT-6'!IF76+'[4]LCT-7'!IF76+'[4]LCT-8'!IF76+'[5]TB-1'!IF76+'[5]TB-2'!IF76+'[5]TB-3'!IF76+'[5]TB-4'!IF76+'[5]TB-5'!IF76+'[5]TB-6'!IF76+'[5]TB-7'!IF76+'[5]TB-8'!IF76+'[5]TB-9'!IF76+'[5]TB-10'!IF76+'[6]DSV-1'!IF76+'[6]DSV-2'!IF76+'[6]DSV-3'!IF76+'[7]TUB-1'!IF76+'[7]TUB-2'!IF76+'[8]Barge-1'!IF76+'[8]Barge-2'!IF76+'[8]Barge-3'!IF76+'[8]Barge-4'!IF76</f>
        <v>44703200</v>
      </c>
      <c r="AM38" s="138">
        <f>'[2]AHTS-1'!IF38+'[2]AHTS-2'!IF38+'[2]AHTS-3'!IF38+'[2]AHTS-4'!IF38+'[2]AHTS-5'!IF38+'[2]AHTS-6'!IF38+'[2]AHTS-7'!IF38+'[2]AHTS-8'!IF38+'[3]CB-1'!IF38+'[3]CB-2'!IF38+'[3]CB-3'!IF38+'[3]CB-4'!IF38+'[3]CB-5'!IF38+'[3]CB-6'!IF38+'[3]CB-7'!IF38+'[3]CB-8'!IF38+'[3]CB-9'!IF38+'[3]CB-10'!IF38+'[3]CB-11'!IF38+'[3]CB-12'!IF38+'[3]CB-13'!IF38+'[3]CB-14'!IF38+'[3]CB-15'!IF38+'[3]CB-16'!IF38+'[3]CB-17'!IF38+'[3]CB-18'!IF38+'[3]CB-19'!IF38+'[3]CB-20'!IF38+'[3]CB-21'!IF38+'[3]CB-22'!IF38+'[3]CB-23'!IF38+'[3]CB-24'!IF38+'[4]LCT-1'!IF38+'[4]LCT-2'!IF38+'[4]LCT-3'!IF38+'[4]LCT-4'!IF38+'[4]LCT-5'!IF38+'[4]LCT-6'!IF38+'[4]LCT-7'!IF38+'[4]LCT-8'!IF38+'[5]TB-1'!IF38+'[5]TB-2'!IF38+'[5]TB-3'!IF38+'[5]TB-4'!IF38+'[5]TB-5'!IF38+'[5]TB-6'!IF38+'[5]TB-7'!IF38+'[5]TB-8'!IF38+'[5]TB-9'!IF38+'[5]TB-10'!IF38+'[6]DSV-1'!IF38+'[6]DSV-2'!IF38+'[6]DSV-3'!IF38+'[7]TUB-1'!IF38+'[7]TUB-2'!IF38+'[8]Barge-1'!IF38+'[8]Barge-2'!IF38+'[8]Barge-3'!IF38+'[8]Barge-4'!IF38</f>
        <v>69700000</v>
      </c>
      <c r="AN38" s="138">
        <f>'[2]AHTS-1'!IF109+'[2]AHTS-2'!IF109+'[2]AHTS-3'!IF109+'[2]AHTS-4'!IF109+'[2]AHTS-5'!IF109+'[2]AHTS-6'!IF109+'[2]AHTS-7'!IF109+'[2]AHTS-8'!IF109+'[3]CB-1'!IF109+'[3]CB-2'!IF109+'[3]CB-3'!IF109+'[3]CB-4'!IF109+'[3]CB-5'!IF109+'[3]CB-6'!IF109+'[3]CB-7'!IF109+'[3]CB-8'!IF109+'[3]CB-9'!IF109+'[3]CB-10'!IF109+'[3]CB-11'!IF109+'[3]CB-12'!IF109+'[3]CB-13'!IF109+'[3]CB-14'!IF109+'[3]CB-15'!IF109+'[3]CB-16'!IF109+'[3]CB-17'!IF109+'[3]CB-18'!IF109+'[3]CB-19'!IF109+'[3]CB-20'!IF109+'[3]CB-21'!IF109+'[3]CB-22'!IF109+'[3]CB-23'!IF109+'[3]CB-24'!IF109+'[4]LCT-1'!IF109+'[4]LCT-2'!IF109+'[4]LCT-3'!IF109+'[4]LCT-4'!IF109+'[4]LCT-5'!IF109+'[4]LCT-6'!IF109+'[4]LCT-7'!IF109+'[4]LCT-8'!IF109+'[5]TB-1'!IF109+'[5]TB-2'!IF109+'[5]TB-3'!IF109+'[5]TB-4'!IF109+'[5]TB-5'!IF109+'[5]TB-6'!IF109+'[5]TB-7'!IF109+'[5]TB-8'!IF109+'[5]TB-9'!IF109+'[5]TB-10'!IF109+'[6]DSV-1'!IF109+'[6]DSV-2'!IF109+'[6]DSV-3'!IF109+'[7]TUB-1'!IF109+'[7]TUB-2'!IF109+'[8]Barge-1'!IF109+'[8]Barge-2'!IF109+'[8]Barge-3'!IF109+'[8]Barge-4'!IF109</f>
        <v>0</v>
      </c>
      <c r="AO38" s="135">
        <f>'[2]AHTS-1'!IG76+'[2]AHTS-2'!IG76+'[2]AHTS-3'!IG76+'[2]AHTS-4'!IG76+'[2]AHTS-5'!IG76+'[2]AHTS-6'!IG76+'[2]AHTS-7'!IG76+'[2]AHTS-8'!IG76+'[3]CB-1'!IG76+'[3]CB-2'!IG76+'[3]CB-3'!IG76+'[3]CB-4'!IG76+'[3]CB-5'!IG76+'[3]CB-6'!IG76+'[3]CB-7'!IG76+'[3]CB-8'!IG76+'[3]CB-9'!IG76+'[3]CB-10'!IG76+'[3]CB-11'!IG76+'[3]CB-12'!IG76+'[3]CB-13'!IG76+'[3]CB-14'!IG76+'[3]CB-15'!IG76+'[3]CB-16'!IG76+'[3]CB-17'!IG76+'[3]CB-18'!IG76+'[3]CB-19'!IG76+'[3]CB-20'!IG76+'[3]CB-21'!IG76+'[3]CB-22'!IG76+'[3]CB-23'!IG76+'[3]CB-24'!IG76+'[4]LCT-1'!IG76+'[4]LCT-2'!IG76+'[4]LCT-3'!IG76+'[4]LCT-4'!IG76+'[4]LCT-5'!IG76+'[4]LCT-6'!IG76+'[4]LCT-7'!IG76+'[4]LCT-8'!IG76+'[5]TB-1'!IG76+'[5]TB-2'!IG76+'[5]TB-3'!IG76+'[5]TB-4'!IG76+'[5]TB-5'!IG76+'[5]TB-6'!IG76+'[5]TB-7'!IG76+'[5]TB-8'!IG76+'[5]TB-9'!IG76+'[5]TB-10'!IG76+'[6]DSV-1'!IG76+'[6]DSV-2'!IG76+'[6]DSV-3'!IG76+'[7]TUB-1'!IG76+'[7]TUB-2'!IG76+'[8]Barge-1'!IG76+'[8]Barge-2'!IG76+'[8]Barge-3'!IG76+'[8]Barge-4'!IG76</f>
        <v>640616.66666666663</v>
      </c>
      <c r="AP38" s="136">
        <f>'[2]AHTS-1'!IG38+'[2]AHTS-2'!IG38+'[2]AHTS-3'!IG38+'[2]AHTS-4'!IG38+'[2]AHTS-5'!IG38+'[2]AHTS-6'!IG38+'[2]AHTS-7'!IG38+'[2]AHTS-8'!IG38+'[3]CB-1'!IG38+'[3]CB-2'!IG38+'[3]CB-3'!IG38+'[3]CB-4'!IG38+'[3]CB-5'!IG38+'[3]CB-6'!IG38+'[3]CB-7'!IG38+'[3]CB-8'!IG38+'[3]CB-9'!IG38+'[3]CB-10'!IG38+'[3]CB-11'!IG38+'[3]CB-12'!IG38+'[3]CB-13'!IG38+'[3]CB-14'!IG38+'[3]CB-15'!IG38+'[3]CB-16'!IG38+'[3]CB-17'!IG38+'[3]CB-18'!IG38+'[3]CB-19'!IG38+'[3]CB-20'!IG38+'[3]CB-21'!IG38+'[3]CB-22'!IG38+'[3]CB-23'!IG38+'[3]CB-24'!IG38+'[4]LCT-1'!IG38+'[4]LCT-2'!IG38+'[4]LCT-3'!IG38+'[4]LCT-4'!IG38+'[4]LCT-5'!IG38+'[4]LCT-6'!IG38+'[4]LCT-7'!IG38+'[4]LCT-8'!IG38+'[5]TB-1'!IG38+'[5]TB-2'!IG38+'[5]TB-3'!IG38+'[5]TB-4'!IG38+'[5]TB-5'!IG38+'[5]TB-6'!IG38+'[5]TB-7'!IG38+'[5]TB-8'!IG38+'[5]TB-9'!IG38+'[5]TB-10'!IG38+'[6]DSV-1'!IG38+'[6]DSV-2'!IG38+'[6]DSV-3'!IG38+'[7]TUB-1'!IG38+'[7]TUB-2'!IG38+'[8]Barge-1'!IG38+'[8]Barge-2'!IG38+'[8]Barge-3'!IG38+'[8]Barge-4'!IG38</f>
        <v>2166666.6666666665</v>
      </c>
      <c r="AQ38" s="136">
        <f>'[2]AHTS-1'!IG109+'[2]AHTS-2'!IG109+'[2]AHTS-3'!IG109+'[2]AHTS-4'!IG109+'[2]AHTS-5'!IG109+'[2]AHTS-6'!IG109+'[2]AHTS-7'!IG109+'[2]AHTS-8'!IG109+'[3]CB-1'!IG109+'[3]CB-2'!IG109+'[3]CB-3'!IG109+'[3]CB-4'!IG109+'[3]CB-5'!IG109+'[3]CB-6'!IG109+'[3]CB-7'!IG109+'[3]CB-8'!IG109+'[3]CB-9'!IG109+'[3]CB-10'!IG109+'[3]CB-11'!IG109+'[3]CB-12'!IG109+'[3]CB-13'!IG109+'[3]CB-14'!IG109+'[3]CB-15'!IG109+'[3]CB-16'!IG109+'[3]CB-17'!IG109+'[3]CB-18'!IG109+'[3]CB-19'!IG109+'[3]CB-20'!IG109+'[3]CB-21'!IG109+'[3]CB-22'!IG109+'[3]CB-23'!IG109+'[3]CB-24'!IG109+'[4]LCT-1'!IG109+'[4]LCT-2'!IG109+'[4]LCT-3'!IG109+'[4]LCT-4'!IG109+'[4]LCT-5'!IG109+'[4]LCT-6'!IG109+'[4]LCT-7'!IG109+'[4]LCT-8'!IG109+'[5]TB-1'!IG109+'[5]TB-2'!IG109+'[5]TB-3'!IG109+'[5]TB-4'!IG109+'[5]TB-5'!IG109+'[5]TB-6'!IG109+'[5]TB-7'!IG109+'[5]TB-8'!IG109+'[5]TB-9'!IG109+'[5]TB-10'!IG109+'[6]DSV-1'!IG109+'[6]DSV-2'!IG109+'[6]DSV-3'!IG109+'[7]TUB-1'!IG109+'[7]TUB-2'!IG109+'[8]Barge-1'!IG109+'[8]Barge-2'!IG109+'[8]Barge-3'!IG109+'[8]Barge-4'!IG109</f>
        <v>0</v>
      </c>
      <c r="AR38" s="139">
        <f>'[2]AHTS-1'!IH76+'[2]AHTS-2'!IH76+'[2]AHTS-3'!IH76+'[2]AHTS-4'!IH76+'[2]AHTS-5'!IH76+'[2]AHTS-6'!IH76+'[2]AHTS-7'!IH76+'[2]AHTS-8'!IH76+'[3]CB-1'!IH76+'[3]CB-2'!IH76+'[3]CB-3'!IH76+'[3]CB-4'!IH76+'[3]CB-5'!IH76+'[3]CB-6'!IH76+'[3]CB-7'!IH76+'[3]CB-8'!IH76+'[3]CB-9'!IH76+'[3]CB-10'!IH76+'[3]CB-11'!IH76+'[3]CB-12'!IH76+'[3]CB-13'!IH76+'[3]CB-14'!IH76+'[3]CB-15'!IH76+'[3]CB-16'!IH76+'[3]CB-17'!IH76+'[3]CB-18'!IH76+'[3]CB-19'!IH76+'[3]CB-20'!IH76+'[3]CB-21'!IH76+'[3]CB-22'!IH76+'[3]CB-23'!IH76+'[3]CB-24'!IH76+'[4]LCT-1'!IH76+'[4]LCT-2'!IH76+'[4]LCT-3'!IH76+'[4]LCT-4'!IH76+'[4]LCT-5'!IH76+'[4]LCT-6'!IH76+'[4]LCT-7'!IH76+'[4]LCT-8'!IH76+'[5]TB-1'!IH76+'[5]TB-2'!IH76+'[5]TB-3'!IH76+'[5]TB-4'!IH76+'[5]TB-5'!IH76+'[5]TB-6'!IH76+'[5]TB-7'!IH76+'[5]TB-8'!IH76+'[5]TB-9'!IH76+'[5]TB-10'!IH76+'[6]DSV-1'!IH76+'[6]DSV-2'!IH76+'[6]DSV-3'!IH76+'[7]TUB-1'!IH76+'[7]TUB-2'!IH76+'[8]Barge-1'!IH76+'[8]Barge-2'!IH76+'[8]Barge-3'!IH76+'[8]Barge-4'!IH76</f>
        <v>65935066.666666664</v>
      </c>
      <c r="AS38" s="136">
        <f>'[2]AHTS-1'!IH38+'[2]AHTS-2'!IH38+'[2]AHTS-3'!IH38+'[2]AHTS-4'!IH38+'[2]AHTS-5'!IH38+'[2]AHTS-6'!IH38+'[2]AHTS-7'!IH38+'[2]AHTS-8'!IH38+'[3]CB-1'!IH38+'[3]CB-2'!IH38+'[3]CB-3'!IH38+'[3]CB-4'!IH38+'[3]CB-5'!IH38+'[3]CB-6'!IH38+'[3]CB-7'!IH38+'[3]CB-8'!IH38+'[3]CB-9'!IH38+'[3]CB-10'!IH38+'[3]CB-11'!IH38+'[3]CB-12'!IH38+'[3]CB-13'!IH38+'[3]CB-14'!IH38+'[3]CB-15'!IH38+'[3]CB-16'!IH38+'[3]CB-17'!IH38+'[3]CB-18'!IH38+'[3]CB-19'!IH38+'[3]CB-20'!IH38+'[3]CB-21'!IH38+'[3]CB-22'!IH38+'[3]CB-23'!IH38+'[3]CB-24'!IH38+'[4]LCT-1'!IH38+'[4]LCT-2'!IH38+'[4]LCT-3'!IH38+'[4]LCT-4'!IH38+'[4]LCT-5'!IH38+'[4]LCT-6'!IH38+'[4]LCT-7'!IH38+'[4]LCT-8'!IH38+'[5]TB-1'!IH38+'[5]TB-2'!IH38+'[5]TB-3'!IH38+'[5]TB-4'!IH38+'[5]TB-5'!IH38+'[5]TB-6'!IH38+'[5]TB-7'!IH38+'[5]TB-8'!IH38+'[5]TB-9'!IH38+'[5]TB-10'!IH38+'[6]DSV-1'!IH38+'[6]DSV-2'!IH38+'[6]DSV-3'!IH38+'[7]TUB-1'!IH38+'[7]TUB-2'!IH38+'[8]Barge-1'!IH38+'[8]Barge-2'!IH38+'[8]Barge-3'!IH38+'[8]Barge-4'!IH38</f>
        <v>81100000</v>
      </c>
      <c r="AT38" s="140">
        <f>'[2]AHTS-1'!IH109+'[2]AHTS-2'!IH109+'[2]AHTS-3'!IH109+'[2]AHTS-4'!IH109+'[2]AHTS-5'!IH109+'[2]AHTS-6'!IH109+'[2]AHTS-7'!IH109+'[2]AHTS-8'!IH109+'[3]CB-1'!IH109+'[3]CB-2'!IH109+'[3]CB-3'!IH109+'[3]CB-4'!IH109+'[3]CB-5'!IH109+'[3]CB-6'!IH109+'[3]CB-7'!IH109+'[3]CB-8'!IH109+'[3]CB-9'!IH109+'[3]CB-10'!IH109+'[3]CB-11'!IH109+'[3]CB-12'!IH109+'[3]CB-13'!IH109+'[3]CB-14'!IH109+'[3]CB-15'!IH109+'[3]CB-16'!IH109+'[3]CB-17'!IH109+'[3]CB-18'!IH109+'[3]CB-19'!IH109+'[3]CB-20'!IH109+'[3]CB-21'!IH109+'[3]CB-22'!IH109+'[3]CB-23'!IH109+'[3]CB-24'!IH109+'[4]LCT-1'!IH109+'[4]LCT-2'!IH109+'[4]LCT-3'!IH109+'[4]LCT-4'!IH109+'[4]LCT-5'!IH109+'[4]LCT-6'!IH109+'[4]LCT-7'!IH109+'[4]LCT-8'!IH109+'[5]TB-1'!IH109+'[5]TB-2'!IH109+'[5]TB-3'!IH109+'[5]TB-4'!IH109+'[5]TB-5'!IH109+'[5]TB-6'!IH109+'[5]TB-7'!IH109+'[5]TB-8'!IH109+'[5]TB-9'!IH109+'[5]TB-10'!IH109+'[6]DSV-1'!IH109+'[6]DSV-2'!IH109+'[6]DSV-3'!IH109+'[7]TUB-1'!IH109+'[7]TUB-2'!IH109+'[8]Barge-1'!IH109+'[8]Barge-2'!IH109+'[8]Barge-3'!IH109+'[8]Barge-4'!IH109</f>
        <v>0</v>
      </c>
      <c r="AU38" s="139">
        <f>'[2]AHTS-1'!II76+'[2]AHTS-2'!II76+'[2]AHTS-3'!II76+'[2]AHTS-4'!II76+'[2]AHTS-5'!II76+'[2]AHTS-6'!II76+'[2]AHTS-7'!II76+'[2]AHTS-8'!II76+'[3]CB-1'!II76+'[3]CB-2'!II76+'[3]CB-3'!II76+'[3]CB-4'!II76+'[3]CB-5'!II76+'[3]CB-6'!II76+'[3]CB-7'!II76+'[3]CB-8'!II76+'[3]CB-9'!II76+'[3]CB-10'!II76+'[3]CB-11'!II76+'[3]CB-12'!II76+'[3]CB-13'!II76+'[3]CB-14'!II76+'[3]CB-15'!II76+'[3]CB-16'!II76+'[3]CB-17'!II76+'[3]CB-18'!II76+'[3]CB-19'!II76+'[3]CB-20'!II76+'[3]CB-21'!II76+'[3]CB-22'!II76+'[3]CB-23'!II76+'[3]CB-24'!II76+'[4]LCT-1'!II76+'[4]LCT-2'!II76+'[4]LCT-3'!II76+'[4]LCT-4'!II76+'[4]LCT-5'!II76+'[4]LCT-6'!II76+'[4]LCT-7'!II76+'[4]LCT-8'!II76+'[5]TB-1'!II76+'[5]TB-2'!II76+'[5]TB-3'!II76+'[5]TB-4'!II76+'[5]TB-5'!II76+'[5]TB-6'!II76+'[5]TB-7'!II76+'[5]TB-8'!II76+'[5]TB-9'!II76+'[5]TB-10'!II76+'[6]DSV-1'!II76+'[6]DSV-2'!II76+'[6]DSV-3'!II76+'[7]TUB-1'!II76+'[7]TUB-2'!II76+'[8]Barge-1'!II76+'[8]Barge-2'!II76+'[8]Barge-3'!II76+'[8]Barge-4'!II76</f>
        <v>0</v>
      </c>
      <c r="AV38" s="136">
        <f>'[2]AHTS-1'!II38+'[2]AHTS-2'!II38+'[2]AHTS-3'!II38+'[2]AHTS-4'!II38+'[2]AHTS-5'!II38+'[2]AHTS-6'!II38+'[2]AHTS-7'!II38+'[2]AHTS-8'!II38+'[3]CB-1'!II38+'[3]CB-2'!II38+'[3]CB-3'!II38+'[3]CB-4'!II38+'[3]CB-5'!II38+'[3]CB-6'!II38+'[3]CB-7'!II38+'[3]CB-8'!II38+'[3]CB-9'!II38+'[3]CB-10'!II38+'[3]CB-11'!II38+'[3]CB-12'!II38+'[3]CB-13'!II38+'[3]CB-14'!II38+'[3]CB-15'!II38+'[3]CB-16'!II38+'[3]CB-17'!II38+'[3]CB-18'!II38+'[3]CB-19'!II38+'[3]CB-20'!II38+'[3]CB-21'!II38+'[3]CB-22'!II38+'[3]CB-23'!II38+'[3]CB-24'!II38+'[4]LCT-1'!II38+'[4]LCT-2'!II38+'[4]LCT-3'!II38+'[4]LCT-4'!II38+'[4]LCT-5'!II38+'[4]LCT-6'!II38+'[4]LCT-7'!II38+'[4]LCT-8'!II38+'[5]TB-1'!II38+'[5]TB-2'!II38+'[5]TB-3'!II38+'[5]TB-4'!II38+'[5]TB-5'!II38+'[5]TB-6'!II38+'[5]TB-7'!II38+'[5]TB-8'!II38+'[5]TB-9'!II38+'[5]TB-10'!II38+'[6]DSV-1'!II38+'[6]DSV-2'!II38+'[6]DSV-3'!II38+'[7]TUB-1'!II38+'[7]TUB-2'!II38+'[8]Barge-1'!II38+'[8]Barge-2'!II38+'[8]Barge-3'!II38+'[8]Barge-4'!II38</f>
        <v>0</v>
      </c>
      <c r="AW38" s="140">
        <f>'[2]AHTS-1'!II109+'[2]AHTS-2'!II109+'[2]AHTS-3'!II109+'[2]AHTS-4'!II109+'[2]AHTS-5'!II109+'[2]AHTS-6'!II109+'[2]AHTS-7'!II109+'[2]AHTS-8'!II109+'[3]CB-1'!II109+'[3]CB-2'!II109+'[3]CB-3'!II109+'[3]CB-4'!II109+'[3]CB-5'!II109+'[3]CB-6'!II109+'[3]CB-7'!II109+'[3]CB-8'!II109+'[3]CB-9'!II109+'[3]CB-10'!II109+'[3]CB-11'!II109+'[3]CB-12'!II109+'[3]CB-13'!II109+'[3]CB-14'!II109+'[3]CB-15'!II109+'[3]CB-16'!II109+'[3]CB-17'!II109+'[3]CB-18'!II109+'[3]CB-19'!II109+'[3]CB-20'!II109+'[3]CB-21'!II109+'[3]CB-22'!II109+'[3]CB-23'!II109+'[3]CB-24'!II109+'[4]LCT-1'!II109+'[4]LCT-2'!II109+'[4]LCT-3'!II109+'[4]LCT-4'!II109+'[4]LCT-5'!II109+'[4]LCT-6'!II109+'[4]LCT-7'!II109+'[4]LCT-8'!II109+'[5]TB-1'!II109+'[5]TB-2'!II109+'[5]TB-3'!II109+'[5]TB-4'!II109+'[5]TB-5'!II109+'[5]TB-6'!II109+'[5]TB-7'!II109+'[5]TB-8'!II109+'[5]TB-9'!II109+'[5]TB-10'!II109+'[6]DSV-1'!II109+'[6]DSV-2'!II109+'[6]DSV-3'!II109+'[7]TUB-1'!II109+'[7]TUB-2'!II109+'[8]Barge-1'!II109+'[8]Barge-2'!II109+'[8]Barge-3'!II109+'[8]Barge-4'!II109</f>
        <v>0</v>
      </c>
      <c r="AX38" s="67"/>
      <c r="AY38" s="67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</row>
    <row r="39" spans="1:97" s="69" customFormat="1" ht="14.25" customHeight="1" x14ac:dyDescent="0.25">
      <c r="A39" s="111">
        <f>[1]Control!AZ39</f>
        <v>46014</v>
      </c>
      <c r="B39" s="66"/>
      <c r="C39" s="176">
        <f>'[2]AHTS-1'!AV39+'[2]AHTS-2'!AV39+'[2]AHTS-3'!AV39+'[2]AHTS-4'!AV39+'[2]AHTS-5'!AV39+'[2]AHTS-6'!AV39+'[2]AHTS-7'!AV39+'[2]AHTS-8'!AV39+'[3]CB-1'!AV39+'[3]CB-2'!AV39+'[3]CB-3'!AV39+'[3]CB-4'!AV39+'[3]CB-5'!AV39+'[3]CB-6'!AV39+'[3]CB-7'!AV39+'[3]CB-8'!AV39+'[3]CB-9'!AV39+'[3]CB-10'!AV39+'[3]CB-11'!AV39+'[3]CB-12'!AV39+'[3]CB-13'!AV39+'[3]CB-14'!AV39+'[3]CB-15'!AV39+'[3]CB-16'!AV39+'[3]CB-17'!AV39+'[3]CB-18'!AV39+'[3]CB-19'!AV39+'[3]CB-20'!AV39+'[3]CB-21'!AV39+'[3]CB-22'!AV39+'[3]CB-23'!AV39+'[3]CB-24'!AV39+'[4]LCT-1'!AV39+'[4]LCT-2'!AV39+'[4]LCT-3'!AV39+'[4]LCT-4'!AV39+'[4]LCT-5'!AV39+'[4]LCT-6'!AV39+'[4]LCT-7'!AV39+'[4]LCT-8'!AV39+'[5]TB-1'!AV39+'[5]TB-2'!AV39+'[5]TB-3'!AV39+'[5]TB-4'!AV39+'[5]TB-5'!AV39+'[5]TB-6'!AV39+'[5]TB-7'!AV39+'[5]TB-8'!AV39+'[5]TB-9'!AV39+'[5]TB-10'!AV39+'[6]DSV-1'!AV39+'[6]DSV-2'!AV39+'[6]DSV-3'!AV39+'[7]TUB-1'!AV39+'[7]TUB-2'!AV39+'[8]Barge-1'!AV39+'[8]Barge-2'!AV39+'[8]Barge-3'!AV39+'[8]Barge-4'!AV39</f>
        <v>0</v>
      </c>
      <c r="D39" s="177">
        <f>'[2]AHTS-1'!BR39+'[2]AHTS-2'!BR39+'[2]AHTS-3'!BR39+'[2]AHTS-4'!BR39+'[2]AHTS-5'!BR39+'[2]AHTS-6'!BR39+'[2]AHTS-7'!BR39+'[2]AHTS-8'!BR39+'[3]CB-1'!BR39+'[3]CB-2'!BR39+'[3]CB-3'!BR39+'[3]CB-4'!BR39+'[3]CB-5'!BR39+'[3]CB-6'!BR39+'[3]CB-7'!BR39+'[3]CB-8'!BR39+'[3]CB-9'!BR39+'[3]CB-10'!BR39+'[3]CB-11'!BR39+'[3]CB-12'!BR39+'[3]CB-13'!BR39+'[3]CB-14'!BR39+'[3]CB-15'!BR39+'[3]CB-16'!BR39+'[3]CB-17'!BR39+'[3]CB-18'!BR39+'[3]CB-19'!BR39+'[3]CB-20'!BR39+'[3]CB-21'!BR39+'[3]CB-22'!BR39+'[3]CB-23'!BR39+'[3]CB-24'!BR39+'[4]LCT-1'!BR39+'[4]LCT-2'!BR39+'[4]LCT-3'!BR39+'[4]LCT-4'!BR39+'[4]LCT-5'!BR39+'[4]LCT-6'!BR39+'[4]LCT-7'!BR39+'[4]LCT-8'!BR39+'[5]TB-1'!BR39+'[5]TB-2'!BR39+'[5]TB-3'!BR39+'[5]TB-4'!BR39+'[5]TB-5'!BR39+'[5]TB-6'!BR39+'[5]TB-7'!BR39+'[5]TB-8'!BR39+'[5]TB-9'!BR39+'[5]TB-10'!BR39+'[6]DSV-1'!BR39+'[6]DSV-2'!BR39+'[6]DSV-3'!BR39+'[7]TUB-1'!BR39+'[7]TUB-2'!BR39+'[8]Barge-1'!BR39+'[8]Barge-2'!BR39+'[8]Barge-3'!BR39+'[8]Barge-4'!BR39</f>
        <v>0</v>
      </c>
      <c r="E39" s="178">
        <f>'[2]AHTS-1'!CN39+'[2]AHTS-2'!CN39+'[2]AHTS-3'!CN39+'[2]AHTS-4'!CN39+'[2]AHTS-5'!CN39+'[2]AHTS-6'!CN39+'[2]AHTS-7'!CN39+'[2]AHTS-8'!CN39+'[3]CB-1'!CN39+'[3]CB-2'!CN39+'[3]CB-3'!CN39+'[3]CB-4'!CN39+'[3]CB-5'!CN39+'[3]CB-6'!CN39+'[3]CB-7'!CN39+'[3]CB-8'!CN39+'[3]CB-9'!CN39+'[3]CB-10'!CN39+'[3]CB-11'!CN39+'[3]CB-12'!CN39+'[3]CB-13'!CN39+'[3]CB-14'!CN39+'[3]CB-15'!CN39+'[3]CB-16'!CN39+'[3]CB-17'!CN39+'[3]CB-18'!CN39+'[3]CB-19'!CN39+'[3]CB-20'!CN39+'[3]CB-21'!CN39+'[3]CB-22'!CN39+'[3]CB-23'!CN39+'[3]CB-24'!CN39+'[4]LCT-1'!CN39+'[4]LCT-2'!CN39+'[4]LCT-3'!CN39+'[4]LCT-4'!CN39+'[4]LCT-5'!CN39+'[4]LCT-6'!CN39+'[4]LCT-7'!CN39+'[4]LCT-8'!CN39+'[5]TB-1'!CN39+'[5]TB-2'!CN39+'[5]TB-3'!CN39+'[5]TB-4'!CN39+'[5]TB-5'!CN39+'[5]TB-6'!CN39+'[5]TB-7'!CN39+'[5]TB-8'!CN39+'[5]TB-9'!CN39+'[5]TB-10'!CN39+'[6]DSV-1'!CN39+'[6]DSV-2'!CN39+'[6]DSV-3'!CN39+'[7]TUB-1'!CN39+'[7]TUB-2'!CN39+'[8]Barge-1'!CN39+'[8]Barge-2'!CN39+'[8]Barge-3'!CN39+'[8]Barge-4'!CN39</f>
        <v>0</v>
      </c>
      <c r="F39" s="179">
        <f>'[2]AHTS-1'!AW39+'[2]AHTS-2'!AW39+'[2]AHTS-3'!AW39+'[2]AHTS-4'!AW39+'[2]AHTS-5'!AW39+'[2]AHTS-6'!AW39+'[2]AHTS-7'!AW39+'[2]AHTS-8'!AW39+'[3]CB-1'!AW39+'[3]CB-2'!AW39+'[3]CB-3'!AW39+'[3]CB-4'!AW39+'[3]CB-5'!AW39+'[3]CB-6'!AW39+'[3]CB-7'!AW39+'[3]CB-8'!AW39+'[3]CB-9'!AW39+'[3]CB-10'!AW39+'[3]CB-11'!AW39+'[3]CB-12'!AW39+'[3]CB-13'!AW39+'[3]CB-14'!AW39+'[3]CB-15'!AW39+'[3]CB-16'!AW39+'[3]CB-17'!AW39+'[3]CB-18'!AW39+'[3]CB-19'!AW39+'[3]CB-20'!AW39+'[3]CB-21'!AW39+'[3]CB-22'!AW39+'[3]CB-23'!AW39+'[3]CB-24'!AW39+'[4]LCT-1'!AW39+'[4]LCT-2'!AW39+'[4]LCT-3'!AW39+'[4]LCT-4'!AW39+'[4]LCT-5'!AW39+'[4]LCT-6'!AW39+'[4]LCT-7'!AW39+'[4]LCT-8'!AW39+'[5]TB-1'!AW39+'[5]TB-2'!AW39+'[5]TB-3'!AW39+'[5]TB-4'!AW39+'[5]TB-5'!AW39+'[5]TB-6'!AW39+'[5]TB-7'!AW39+'[5]TB-8'!AW39+'[5]TB-9'!AW39+'[5]TB-10'!AW39+'[6]DSV-1'!AW39+'[6]DSV-2'!AW39+'[6]DSV-3'!AW39+'[7]TUB-1'!AW39+'[7]TUB-2'!AW39+'[8]Barge-1'!AW39+'[8]Barge-2'!AW39+'[8]Barge-3'!AW39+'[8]Barge-4'!AW39</f>
        <v>901.84620702658538</v>
      </c>
      <c r="G39" s="180">
        <f>'[2]AHTS-1'!BS39+'[2]AHTS-2'!BS39+'[2]AHTS-3'!BS39+'[2]AHTS-4'!BS39+'[2]AHTS-5'!BS39+'[2]AHTS-6'!BS39+'[2]AHTS-7'!BS39+'[2]AHTS-8'!BS39+'[3]CB-1'!BS39+'[3]CB-2'!BS39+'[3]CB-3'!BS39+'[3]CB-4'!BS39+'[3]CB-5'!BS39+'[3]CB-6'!BS39+'[3]CB-7'!BS39+'[3]CB-8'!BS39+'[3]CB-9'!BS39+'[3]CB-10'!BS39+'[3]CB-11'!BS39+'[3]CB-12'!BS39+'[3]CB-13'!BS39+'[3]CB-14'!BS39+'[3]CB-15'!BS39+'[3]CB-16'!BS39+'[3]CB-17'!BS39+'[3]CB-18'!BS39+'[3]CB-19'!BS39+'[3]CB-20'!BS39+'[3]CB-21'!BS39+'[3]CB-22'!BS39+'[3]CB-23'!BS39+'[3]CB-24'!BS39+'[4]LCT-1'!BS39+'[4]LCT-2'!BS39+'[4]LCT-3'!BS39+'[4]LCT-4'!BS39+'[4]LCT-5'!BS39+'[4]LCT-6'!BS39+'[4]LCT-7'!BS39+'[4]LCT-8'!BS39+'[5]TB-1'!BS39+'[5]TB-2'!BS39+'[5]TB-3'!BS39+'[5]TB-4'!BS39+'[5]TB-5'!BS39+'[5]TB-6'!BS39+'[5]TB-7'!BS39+'[5]TB-8'!BS39+'[5]TB-9'!BS39+'[5]TB-10'!BS39+'[6]DSV-1'!BS39+'[6]DSV-2'!BS39+'[6]DSV-3'!BS39+'[7]TUB-1'!BS39+'[7]TUB-2'!BS39+'[8]Barge-1'!BS39+'[8]Barge-2'!BS39+'[8]Barge-3'!BS39+'[8]Barge-4'!BS39</f>
        <v>954.09185818336709</v>
      </c>
      <c r="H39" s="180">
        <f>'[2]AHTS-1'!CO39+'[2]AHTS-2'!CO39+'[2]AHTS-3'!CO39+'[2]AHTS-4'!CO39+'[2]AHTS-5'!CO39+'[2]AHTS-6'!CO39+'[2]AHTS-7'!CO39+'[2]AHTS-8'!CO39+'[3]CB-1'!CO39+'[3]CB-2'!CO39+'[3]CB-3'!CO39+'[3]CB-4'!CO39+'[3]CB-5'!CO39+'[3]CB-6'!CO39+'[3]CB-7'!CO39+'[3]CB-8'!CO39+'[3]CB-9'!CO39+'[3]CB-10'!CO39+'[3]CB-11'!CO39+'[3]CB-12'!CO39+'[3]CB-13'!CO39+'[3]CB-14'!CO39+'[3]CB-15'!CO39+'[3]CB-16'!CO39+'[3]CB-17'!CO39+'[3]CB-18'!CO39+'[3]CB-19'!CO39+'[3]CB-20'!CO39+'[3]CB-21'!CO39+'[3]CB-22'!CO39+'[3]CB-23'!CO39+'[3]CB-24'!CO39+'[4]LCT-1'!CO39+'[4]LCT-2'!CO39+'[4]LCT-3'!CO39+'[4]LCT-4'!CO39+'[4]LCT-5'!CO39+'[4]LCT-6'!CO39+'[4]LCT-7'!CO39+'[4]LCT-8'!CO39+'[5]TB-1'!CO39+'[5]TB-2'!CO39+'[5]TB-3'!CO39+'[5]TB-4'!CO39+'[5]TB-5'!CO39+'[5]TB-6'!CO39+'[5]TB-7'!CO39+'[5]TB-8'!CO39+'[5]TB-9'!CO39+'[5]TB-10'!CO39+'[6]DSV-1'!CO39+'[6]DSV-2'!CO39+'[6]DSV-3'!CO39+'[7]TUB-1'!CO39+'[7]TUB-2'!CO39+'[8]Barge-1'!CO39+'[8]Barge-2'!CO39+'[8]Barge-3'!CO39+'[8]Barge-4'!CO39</f>
        <v>0</v>
      </c>
      <c r="I39" s="179">
        <f>'[2]AHTS-1'!AX39+'[2]AHTS-2'!AX39+'[2]AHTS-3'!AX39+'[2]AHTS-4'!AX39+'[2]AHTS-5'!AX39+'[2]AHTS-6'!AX39+'[2]AHTS-7'!AX39+'[2]AHTS-8'!AX39+'[3]CB-1'!AX39+'[3]CB-2'!AX39+'[3]CB-3'!AX39+'[3]CB-4'!AX39+'[3]CB-5'!AX39+'[3]CB-6'!AX39+'[3]CB-7'!AX39+'[3]CB-8'!AX39+'[3]CB-9'!AX39+'[3]CB-10'!AX39+'[3]CB-11'!AX39+'[3]CB-12'!AX39+'[3]CB-13'!AX39+'[3]CB-14'!AX39+'[3]CB-15'!AX39+'[3]CB-16'!AX39+'[3]CB-17'!AX39+'[3]CB-18'!AX39+'[3]CB-19'!AX39+'[3]CB-20'!AX39+'[3]CB-21'!AX39+'[3]CB-22'!AX39+'[3]CB-23'!AX39+'[3]CB-24'!AX39+'[4]LCT-1'!AX39+'[4]LCT-2'!AX39+'[4]LCT-3'!AX39+'[4]LCT-4'!AX39+'[4]LCT-5'!AX39+'[4]LCT-6'!AX39+'[4]LCT-7'!AX39+'[4]LCT-8'!AX39+'[5]TB-1'!AX39+'[5]TB-2'!AX39+'[5]TB-3'!AX39+'[5]TB-4'!AX39+'[5]TB-5'!AX39+'[5]TB-6'!AX39+'[5]TB-7'!AX39+'[5]TB-8'!AX39+'[5]TB-9'!AX39+'[5]TB-10'!AX39+'[6]DSV-1'!AX39+'[6]DSV-2'!AX39+'[6]DSV-3'!AX39+'[7]TUB-1'!AX39+'[7]TUB-2'!AX39+'[8]Barge-1'!AX39+'[8]Barge-2'!AX39+'[8]Barge-3'!AX39+'[8]Barge-4'!AX39</f>
        <v>4645.7513669788195</v>
      </c>
      <c r="J39" s="180">
        <f>'[2]AHTS-1'!BT39+'[2]AHTS-2'!BT39+'[2]AHTS-3'!BT39+'[2]AHTS-4'!BT39+'[2]AHTS-5'!BT39+'[2]AHTS-6'!BT39+'[2]AHTS-7'!BT39+'[2]AHTS-8'!BT39+'[3]CB-1'!BT39+'[3]CB-2'!BT39+'[3]CB-3'!BT39+'[3]CB-4'!BT39+'[3]CB-5'!BT39+'[3]CB-6'!BT39+'[3]CB-7'!BT39+'[3]CB-8'!BT39+'[3]CB-9'!BT39+'[3]CB-10'!BT39+'[3]CB-11'!BT39+'[3]CB-12'!BT39+'[3]CB-13'!BT39+'[3]CB-14'!BT39+'[3]CB-15'!BT39+'[3]CB-16'!BT39+'[3]CB-17'!BT39+'[3]CB-18'!BT39+'[3]CB-19'!BT39+'[3]CB-20'!BT39+'[3]CB-21'!BT39+'[3]CB-22'!BT39+'[3]CB-23'!BT39+'[3]CB-24'!BT39+'[4]LCT-1'!BT39+'[4]LCT-2'!BT39+'[4]LCT-3'!BT39+'[4]LCT-4'!BT39+'[4]LCT-5'!BT39+'[4]LCT-6'!BT39+'[4]LCT-7'!BT39+'[4]LCT-8'!BT39+'[5]TB-1'!BT39+'[5]TB-2'!BT39+'[5]TB-3'!BT39+'[5]TB-4'!BT39+'[5]TB-5'!BT39+'[5]TB-6'!BT39+'[5]TB-7'!BT39+'[5]TB-8'!BT39+'[5]TB-9'!BT39+'[5]TB-10'!BT39+'[6]DSV-1'!BT39+'[6]DSV-2'!BT39+'[6]DSV-3'!BT39+'[7]TUB-1'!BT39+'[7]TUB-2'!BT39+'[8]Barge-1'!BT39+'[8]Barge-2'!BT39+'[8]Barge-3'!BT39+'[8]Barge-4'!BT39</f>
        <v>3865.5996201090784</v>
      </c>
      <c r="K39" s="180">
        <f>'[2]AHTS-1'!CP39+'[2]AHTS-2'!CP39+'[2]AHTS-3'!CP39+'[2]AHTS-4'!CP39+'[2]AHTS-5'!CP39+'[2]AHTS-6'!CP39+'[2]AHTS-7'!CP39+'[2]AHTS-8'!CP39+'[3]CB-1'!CP39+'[3]CB-2'!CP39+'[3]CB-3'!CP39+'[3]CB-4'!CP39+'[3]CB-5'!CP39+'[3]CB-6'!CP39+'[3]CB-7'!CP39+'[3]CB-8'!CP39+'[3]CB-9'!CP39+'[3]CB-10'!CP39+'[3]CB-11'!CP39+'[3]CB-12'!CP39+'[3]CB-13'!CP39+'[3]CB-14'!CP39+'[3]CB-15'!CP39+'[3]CB-16'!CP39+'[3]CB-17'!CP39+'[3]CB-18'!CP39+'[3]CB-19'!CP39+'[3]CB-20'!CP39+'[3]CB-21'!CP39+'[3]CB-22'!CP39+'[3]CB-23'!CP39+'[3]CB-24'!CP39+'[4]LCT-1'!CP39+'[4]LCT-2'!CP39+'[4]LCT-3'!CP39+'[4]LCT-4'!CP39+'[4]LCT-5'!CP39+'[4]LCT-6'!CP39+'[4]LCT-7'!CP39+'[4]LCT-8'!CP39+'[5]TB-1'!CP39+'[5]TB-2'!CP39+'[5]TB-3'!CP39+'[5]TB-4'!CP39+'[5]TB-5'!CP39+'[5]TB-6'!CP39+'[5]TB-7'!CP39+'[5]TB-8'!CP39+'[5]TB-9'!CP39+'[5]TB-10'!CP39+'[6]DSV-1'!CP39+'[6]DSV-2'!CP39+'[6]DSV-3'!CP39+'[7]TUB-1'!CP39+'[7]TUB-2'!CP39+'[8]Barge-1'!CP39+'[8]Barge-2'!CP39+'[8]Barge-3'!CP39+'[8]Barge-4'!CP39</f>
        <v>0</v>
      </c>
      <c r="L39" s="181">
        <f>'[2]AHTS-1'!AY39+'[2]AHTS-2'!AY39+'[2]AHTS-3'!AY39+'[2]AHTS-4'!AY39+'[2]AHTS-5'!AY39+'[2]AHTS-6'!AY39+'[2]AHTS-7'!AY39+'[2]AHTS-8'!AY39+'[3]CB-1'!AY39+'[3]CB-2'!AY39+'[3]CB-3'!AY39+'[3]CB-4'!AY39+'[3]CB-5'!AY39+'[3]CB-6'!AY39+'[3]CB-7'!AY39+'[3]CB-8'!AY39+'[3]CB-9'!AY39+'[3]CB-10'!AY39+'[3]CB-11'!AY39+'[3]CB-12'!AY39+'[3]CB-13'!AY39+'[3]CB-14'!AY39+'[3]CB-15'!AY39+'[3]CB-16'!AY39+'[3]CB-17'!AY39+'[3]CB-18'!AY39+'[3]CB-19'!AY39+'[3]CB-20'!AY39+'[3]CB-21'!AY39+'[3]CB-22'!AY39+'[3]CB-23'!AY39+'[3]CB-24'!AY39+'[4]LCT-1'!AY39+'[4]LCT-2'!AY39+'[4]LCT-3'!AY39+'[4]LCT-4'!AY39+'[4]LCT-5'!AY39+'[4]LCT-6'!AY39+'[4]LCT-7'!AY39+'[4]LCT-8'!AY39+'[5]TB-1'!AY39+'[5]TB-2'!AY39+'[5]TB-3'!AY39+'[5]TB-4'!AY39+'[5]TB-5'!AY39+'[5]TB-6'!AY39+'[5]TB-7'!AY39+'[5]TB-8'!AY39+'[5]TB-9'!AY39+'[5]TB-10'!AY39+'[6]DSV-1'!AY39+'[6]DSV-2'!AY39+'[6]DSV-3'!AY39+'[7]TUB-1'!AY39+'[7]TUB-2'!AY39+'[8]Barge-1'!AY39+'[8]Barge-2'!AY39+'[8]Barge-3'!AY39+'[8]Barge-4'!AY39</f>
        <v>8712.940732826346</v>
      </c>
      <c r="M39" s="182">
        <f>'[2]AHTS-1'!BU39+'[2]AHTS-2'!BU39+'[2]AHTS-3'!BU39+'[2]AHTS-4'!BU39+'[2]AHTS-5'!BU39+'[2]AHTS-6'!BU39+'[2]AHTS-7'!BU39+'[2]AHTS-8'!BU39+'[3]CB-1'!BU39+'[3]CB-2'!BU39+'[3]CB-3'!BU39+'[3]CB-4'!BU39+'[3]CB-5'!BU39+'[3]CB-6'!BU39+'[3]CB-7'!BU39+'[3]CB-8'!BU39+'[3]CB-9'!BU39+'[3]CB-10'!BU39+'[3]CB-11'!BU39+'[3]CB-12'!BU39+'[3]CB-13'!BU39+'[3]CB-14'!BU39+'[3]CB-15'!BU39+'[3]CB-16'!BU39+'[3]CB-17'!BU39+'[3]CB-18'!BU39+'[3]CB-19'!BU39+'[3]CB-20'!BU39+'[3]CB-21'!BU39+'[3]CB-22'!BU39+'[3]CB-23'!BU39+'[3]CB-24'!BU39+'[4]LCT-1'!BU39+'[4]LCT-2'!BU39+'[4]LCT-3'!BU39+'[4]LCT-4'!BU39+'[4]LCT-5'!BU39+'[4]LCT-6'!BU39+'[4]LCT-7'!BU39+'[4]LCT-8'!BU39+'[5]TB-1'!BU39+'[5]TB-2'!BU39+'[5]TB-3'!BU39+'[5]TB-4'!BU39+'[5]TB-5'!BU39+'[5]TB-6'!BU39+'[5]TB-7'!BU39+'[5]TB-8'!BU39+'[5]TB-9'!BU39+'[5]TB-10'!BU39+'[6]DSV-1'!BU39+'[6]DSV-2'!BU39+'[6]DSV-3'!BU39+'[7]TUB-1'!BU39+'[7]TUB-2'!BU39+'[8]Barge-1'!BU39+'[8]Barge-2'!BU39+'[8]Barge-3'!BU39+'[8]Barge-4'!BU39</f>
        <v>4705.3401210902312</v>
      </c>
      <c r="N39" s="182">
        <f>'[2]AHTS-1'!CQ39+'[2]AHTS-2'!CQ39+'[2]AHTS-3'!CQ39+'[2]AHTS-4'!CQ39+'[2]AHTS-5'!CQ39+'[2]AHTS-6'!CQ39+'[2]AHTS-7'!CQ39+'[2]AHTS-8'!CQ39+'[3]CB-1'!CQ39+'[3]CB-2'!CQ39+'[3]CB-3'!CQ39+'[3]CB-4'!CQ39+'[3]CB-5'!CQ39+'[3]CB-6'!CQ39+'[3]CB-7'!CQ39+'[3]CB-8'!CQ39+'[3]CB-9'!CQ39+'[3]CB-10'!CQ39+'[3]CB-11'!CQ39+'[3]CB-12'!CQ39+'[3]CB-13'!CQ39+'[3]CB-14'!CQ39+'[3]CB-15'!CQ39+'[3]CB-16'!CQ39+'[3]CB-17'!CQ39+'[3]CB-18'!CQ39+'[3]CB-19'!CQ39+'[3]CB-20'!CQ39+'[3]CB-21'!CQ39+'[3]CB-22'!CQ39+'[3]CB-23'!CQ39+'[3]CB-24'!CQ39+'[4]LCT-1'!CQ39+'[4]LCT-2'!CQ39+'[4]LCT-3'!CQ39+'[4]LCT-4'!CQ39+'[4]LCT-5'!CQ39+'[4]LCT-6'!CQ39+'[4]LCT-7'!CQ39+'[4]LCT-8'!CQ39+'[5]TB-1'!CQ39+'[5]TB-2'!CQ39+'[5]TB-3'!CQ39+'[5]TB-4'!CQ39+'[5]TB-5'!CQ39+'[5]TB-6'!CQ39+'[5]TB-7'!CQ39+'[5]TB-8'!CQ39+'[5]TB-9'!CQ39+'[5]TB-10'!CQ39+'[6]DSV-1'!CQ39+'[6]DSV-2'!CQ39+'[6]DSV-3'!CQ39+'[7]TUB-1'!CQ39+'[7]TUB-2'!CQ39+'[8]Barge-1'!CQ39+'[8]Barge-2'!CQ39+'[8]Barge-3'!CQ39+'[8]Barge-4'!CQ39</f>
        <v>0</v>
      </c>
      <c r="O39" s="179">
        <f>'[2]AHTS-1'!AZ39+'[2]AHTS-2'!AZ39+'[2]AHTS-3'!AZ39+'[2]AHTS-4'!AZ39+'[2]AHTS-5'!AZ39+'[2]AHTS-6'!AZ39+'[2]AHTS-7'!AZ39+'[2]AHTS-8'!AZ39+'[3]CB-1'!AZ39+'[3]CB-2'!AZ39+'[3]CB-3'!AZ39+'[3]CB-4'!AZ39+'[3]CB-5'!AZ39+'[3]CB-6'!AZ39+'[3]CB-7'!AZ39+'[3]CB-8'!AZ39+'[3]CB-9'!AZ39+'[3]CB-10'!AZ39+'[3]CB-11'!AZ39+'[3]CB-12'!AZ39+'[3]CB-13'!AZ39+'[3]CB-14'!AZ39+'[3]CB-15'!AZ39+'[3]CB-16'!AZ39+'[3]CB-17'!AZ39+'[3]CB-18'!AZ39+'[3]CB-19'!AZ39+'[3]CB-20'!AZ39+'[3]CB-21'!AZ39+'[3]CB-22'!AZ39+'[3]CB-23'!AZ39+'[3]CB-24'!AZ39+'[4]LCT-1'!AZ39+'[4]LCT-2'!AZ39+'[4]LCT-3'!AZ39+'[4]LCT-4'!AZ39+'[4]LCT-5'!AZ39+'[4]LCT-6'!AZ39+'[4]LCT-7'!AZ39+'[4]LCT-8'!AZ39+'[5]TB-1'!AZ39+'[5]TB-2'!AZ39+'[5]TB-3'!AZ39+'[5]TB-4'!AZ39+'[5]TB-5'!AZ39+'[5]TB-6'!AZ39+'[5]TB-7'!AZ39+'[5]TB-8'!AZ39+'[5]TB-9'!AZ39+'[5]TB-10'!AZ39+'[6]DSV-1'!AZ39+'[6]DSV-2'!AZ39+'[6]DSV-3'!AZ39+'[7]TUB-1'!AZ39+'[7]TUB-2'!AZ39+'[8]Barge-1'!AZ39+'[8]Barge-2'!AZ39+'[8]Barge-3'!AZ39+'[8]Barge-4'!AZ39</f>
        <v>17.255357928477153</v>
      </c>
      <c r="P39" s="180">
        <f>'[2]AHTS-1'!BV39+'[2]AHTS-2'!BV39+'[2]AHTS-3'!BV39+'[2]AHTS-4'!BV39+'[2]AHTS-5'!BV39+'[2]AHTS-6'!BV39+'[2]AHTS-7'!BV39+'[2]AHTS-8'!BV39+'[3]CB-1'!BV39+'[3]CB-2'!BV39+'[3]CB-3'!BV39+'[3]CB-4'!BV39+'[3]CB-5'!BV39+'[3]CB-6'!BV39+'[3]CB-7'!BV39+'[3]CB-8'!BV39+'[3]CB-9'!BV39+'[3]CB-10'!BV39+'[3]CB-11'!BV39+'[3]CB-12'!BV39+'[3]CB-13'!BV39+'[3]CB-14'!BV39+'[3]CB-15'!BV39+'[3]CB-16'!BV39+'[3]CB-17'!BV39+'[3]CB-18'!BV39+'[3]CB-19'!BV39+'[3]CB-20'!BV39+'[3]CB-21'!BV39+'[3]CB-22'!BV39+'[3]CB-23'!BV39+'[3]CB-24'!BV39+'[4]LCT-1'!BV39+'[4]LCT-2'!BV39+'[4]LCT-3'!BV39+'[4]LCT-4'!BV39+'[4]LCT-5'!BV39+'[4]LCT-6'!BV39+'[4]LCT-7'!BV39+'[4]LCT-8'!BV39+'[5]TB-1'!BV39+'[5]TB-2'!BV39+'[5]TB-3'!BV39+'[5]TB-4'!BV39+'[5]TB-5'!BV39+'[5]TB-6'!BV39+'[5]TB-7'!BV39+'[5]TB-8'!BV39+'[5]TB-9'!BV39+'[5]TB-10'!BV39+'[6]DSV-1'!BV39+'[6]DSV-2'!BV39+'[6]DSV-3'!BV39+'[7]TUB-1'!BV39+'[7]TUB-2'!BV39+'[8]Barge-1'!BV39+'[8]Barge-2'!BV39+'[8]Barge-3'!BV39+'[8]Barge-4'!BV39</f>
        <v>136.17413529424087</v>
      </c>
      <c r="Q39" s="180">
        <f>'[2]AHTS-1'!CR39+'[2]AHTS-2'!CR39+'[2]AHTS-3'!CR39+'[2]AHTS-4'!CR39+'[2]AHTS-5'!CR39+'[2]AHTS-6'!CR39+'[2]AHTS-7'!CR39+'[2]AHTS-8'!CR39+'[3]CB-1'!CR39+'[3]CB-2'!CR39+'[3]CB-3'!CR39+'[3]CB-4'!CR39+'[3]CB-5'!CR39+'[3]CB-6'!CR39+'[3]CB-7'!CR39+'[3]CB-8'!CR39+'[3]CB-9'!CR39+'[3]CB-10'!CR39+'[3]CB-11'!CR39+'[3]CB-12'!CR39+'[3]CB-13'!CR39+'[3]CB-14'!CR39+'[3]CB-15'!CR39+'[3]CB-16'!CR39+'[3]CB-17'!CR39+'[3]CB-18'!CR39+'[3]CB-19'!CR39+'[3]CB-20'!CR39+'[3]CB-21'!CR39+'[3]CB-22'!CR39+'[3]CB-23'!CR39+'[3]CB-24'!CR39+'[4]LCT-1'!CR39+'[4]LCT-2'!CR39+'[4]LCT-3'!CR39+'[4]LCT-4'!CR39+'[4]LCT-5'!CR39+'[4]LCT-6'!CR39+'[4]LCT-7'!CR39+'[4]LCT-8'!CR39+'[5]TB-1'!CR39+'[5]TB-2'!CR39+'[5]TB-3'!CR39+'[5]TB-4'!CR39+'[5]TB-5'!CR39+'[5]TB-6'!CR39+'[5]TB-7'!CR39+'[5]TB-8'!CR39+'[5]TB-9'!CR39+'[5]TB-10'!CR39+'[6]DSV-1'!CR39+'[6]DSV-2'!CR39+'[6]DSV-3'!CR39+'[7]TUB-1'!CR39+'[7]TUB-2'!CR39+'[8]Barge-1'!CR39+'[8]Barge-2'!CR39+'[8]Barge-3'!CR39+'[8]Barge-4'!CR39</f>
        <v>0</v>
      </c>
      <c r="R39" s="183">
        <f>'[2]AHTS-1'!BA39+'[2]AHTS-2'!BA39+'[2]AHTS-3'!BA39+'[2]AHTS-4'!BA39+'[2]AHTS-5'!BA39+'[2]AHTS-6'!BA39+'[2]AHTS-7'!BA39+'[2]AHTS-8'!BA39+'[3]CB-1'!BA39+'[3]CB-2'!BA39+'[3]CB-3'!BA39+'[3]CB-4'!BA39+'[3]CB-5'!BA39+'[3]CB-6'!BA39+'[3]CB-7'!BA39+'[3]CB-8'!BA39+'[3]CB-9'!BA39+'[3]CB-10'!BA39+'[3]CB-11'!BA39+'[3]CB-12'!BA39+'[3]CB-13'!BA39+'[3]CB-14'!BA39+'[3]CB-15'!BA39+'[3]CB-16'!BA39+'[3]CB-17'!BA39+'[3]CB-18'!BA39+'[3]CB-19'!BA39+'[3]CB-20'!BA39+'[3]CB-21'!BA39+'[3]CB-22'!BA39+'[3]CB-23'!BA39+'[3]CB-24'!BA39+'[4]LCT-1'!BA39+'[4]LCT-2'!BA39+'[4]LCT-3'!BA39+'[4]LCT-4'!BA39+'[4]LCT-5'!BA39+'[4]LCT-6'!BA39+'[4]LCT-7'!BA39+'[4]LCT-8'!BA39+'[5]TB-1'!BA39+'[5]TB-2'!BA39+'[5]TB-3'!BA39+'[5]TB-4'!BA39+'[5]TB-5'!BA39+'[5]TB-6'!BA39+'[5]TB-7'!BA39+'[5]TB-8'!BA39+'[5]TB-9'!BA39+'[5]TB-10'!BA39+'[6]DSV-1'!BA39+'[6]DSV-2'!BA39+'[6]DSV-3'!BA39+'[7]TUB-1'!BA39+'[7]TUB-2'!BA39+'[8]Barge-1'!BA39+'[8]Barge-2'!BA39+'[8]Barge-3'!BA39+'[8]Barge-4'!BA39</f>
        <v>4606.1655458487839</v>
      </c>
      <c r="S39" s="180">
        <f>'[2]AHTS-1'!BW39+'[2]AHTS-2'!BW39+'[2]AHTS-3'!BW39+'[2]AHTS-4'!BW39+'[2]AHTS-5'!BW39+'[2]AHTS-6'!BW39+'[2]AHTS-7'!BW39+'[2]AHTS-8'!BW39+'[3]CB-1'!BW39+'[3]CB-2'!BW39+'[3]CB-3'!BW39+'[3]CB-4'!BW39+'[3]CB-5'!BW39+'[3]CB-6'!BW39+'[3]CB-7'!BW39+'[3]CB-8'!BW39+'[3]CB-9'!BW39+'[3]CB-10'!BW39+'[3]CB-11'!BW39+'[3]CB-12'!BW39+'[3]CB-13'!BW39+'[3]CB-14'!BW39+'[3]CB-15'!BW39+'[3]CB-16'!BW39+'[3]CB-17'!BW39+'[3]CB-18'!BW39+'[3]CB-19'!BW39+'[3]CB-20'!BW39+'[3]CB-21'!BW39+'[3]CB-22'!BW39+'[3]CB-23'!BW39+'[3]CB-24'!BW39+'[4]LCT-1'!BW39+'[4]LCT-2'!BW39+'[4]LCT-3'!BW39+'[4]LCT-4'!BW39+'[4]LCT-5'!BW39+'[4]LCT-6'!BW39+'[4]LCT-7'!BW39+'[4]LCT-8'!BW39+'[5]TB-1'!BW39+'[5]TB-2'!BW39+'[5]TB-3'!BW39+'[5]TB-4'!BW39+'[5]TB-5'!BW39+'[5]TB-6'!BW39+'[5]TB-7'!BW39+'[5]TB-8'!BW39+'[5]TB-9'!BW39+'[5]TB-10'!BW39+'[6]DSV-1'!BW39+'[6]DSV-2'!BW39+'[6]DSV-3'!BW39+'[7]TUB-1'!BW39+'[7]TUB-2'!BW39+'[8]Barge-1'!BW39+'[8]Barge-2'!BW39+'[8]Barge-3'!BW39+'[8]Barge-4'!BW39</f>
        <v>5810.4456036704169</v>
      </c>
      <c r="T39" s="184">
        <f>'[2]AHTS-1'!CS39+'[2]AHTS-2'!CS39+'[2]AHTS-3'!CS39+'[2]AHTS-4'!CS39+'[2]AHTS-5'!CS39+'[2]AHTS-6'!CS39+'[2]AHTS-7'!CS39+'[2]AHTS-8'!CS39+'[3]CB-1'!CS39+'[3]CB-2'!CS39+'[3]CB-3'!CS39+'[3]CB-4'!CS39+'[3]CB-5'!CS39+'[3]CB-6'!CS39+'[3]CB-7'!CS39+'[3]CB-8'!CS39+'[3]CB-9'!CS39+'[3]CB-10'!CS39+'[3]CB-11'!CS39+'[3]CB-12'!CS39+'[3]CB-13'!CS39+'[3]CB-14'!CS39+'[3]CB-15'!CS39+'[3]CB-16'!CS39+'[3]CB-17'!CS39+'[3]CB-18'!CS39+'[3]CB-19'!CS39+'[3]CB-20'!CS39+'[3]CB-21'!CS39+'[3]CB-22'!CS39+'[3]CB-23'!CS39+'[3]CB-24'!CS39+'[4]LCT-1'!CS39+'[4]LCT-2'!CS39+'[4]LCT-3'!CS39+'[4]LCT-4'!CS39+'[4]LCT-5'!CS39+'[4]LCT-6'!CS39+'[4]LCT-7'!CS39+'[4]LCT-8'!CS39+'[5]TB-1'!CS39+'[5]TB-2'!CS39+'[5]TB-3'!CS39+'[5]TB-4'!CS39+'[5]TB-5'!CS39+'[5]TB-6'!CS39+'[5]TB-7'!CS39+'[5]TB-8'!CS39+'[5]TB-9'!CS39+'[5]TB-10'!CS39+'[6]DSV-1'!CS39+'[6]DSV-2'!CS39+'[6]DSV-3'!CS39+'[7]TUB-1'!CS39+'[7]TUB-2'!CS39+'[8]Barge-1'!CS39+'[8]Barge-2'!CS39+'[8]Barge-3'!CS39+'[8]Barge-4'!CS39</f>
        <v>0</v>
      </c>
      <c r="U39" s="183">
        <f>'[2]AHTS-1'!BB39+'[2]AHTS-2'!BB39+'[2]AHTS-3'!BB39+'[2]AHTS-4'!BB39+'[2]AHTS-5'!BB39+'[2]AHTS-6'!BB39+'[2]AHTS-7'!BB39+'[2]AHTS-8'!BB39+'[3]CB-1'!BB39+'[3]CB-2'!BB39+'[3]CB-3'!BB39+'[3]CB-4'!BB39+'[3]CB-5'!BB39+'[3]CB-6'!BB39+'[3]CB-7'!BB39+'[3]CB-8'!BB39+'[3]CB-9'!BB39+'[3]CB-10'!BB39+'[3]CB-11'!BB39+'[3]CB-12'!BB39+'[3]CB-13'!BB39+'[3]CB-14'!BB39+'[3]CB-15'!BB39+'[3]CB-16'!BB39+'[3]CB-17'!BB39+'[3]CB-18'!BB39+'[3]CB-19'!BB39+'[3]CB-20'!BB39+'[3]CB-21'!BB39+'[3]CB-22'!BB39+'[3]CB-23'!BB39+'[3]CB-24'!BB39+'[4]LCT-1'!BB39+'[4]LCT-2'!BB39+'[4]LCT-3'!BB39+'[4]LCT-4'!BB39+'[4]LCT-5'!BB39+'[4]LCT-6'!BB39+'[4]LCT-7'!BB39+'[4]LCT-8'!BB39+'[5]TB-1'!BB39+'[5]TB-2'!BB39+'[5]TB-3'!BB39+'[5]TB-4'!BB39+'[5]TB-5'!BB39+'[5]TB-6'!BB39+'[5]TB-7'!BB39+'[5]TB-8'!BB39+'[5]TB-9'!BB39+'[5]TB-10'!BB39+'[6]DSV-1'!BB39+'[6]DSV-2'!BB39+'[6]DSV-3'!BB39+'[7]TUB-1'!BB39+'[7]TUB-2'!BB39+'[8]Barge-1'!BB39+'[8]Barge-2'!BB39+'[8]Barge-3'!BB39+'[8]Barge-4'!BB39</f>
        <v>0</v>
      </c>
      <c r="V39" s="180">
        <f>'[2]AHTS-1'!BX39+'[2]AHTS-2'!BX39+'[2]AHTS-3'!BX39+'[2]AHTS-4'!BX39+'[2]AHTS-5'!BX39+'[2]AHTS-6'!BX39+'[2]AHTS-7'!BX39+'[2]AHTS-8'!BX39+'[3]CB-1'!BX39+'[3]CB-2'!BX39+'[3]CB-3'!BX39+'[3]CB-4'!BX39+'[3]CB-5'!BX39+'[3]CB-6'!BX39+'[3]CB-7'!BX39+'[3]CB-8'!BX39+'[3]CB-9'!BX39+'[3]CB-10'!BX39+'[3]CB-11'!BX39+'[3]CB-12'!BX39+'[3]CB-13'!BX39+'[3]CB-14'!BX39+'[3]CB-15'!BX39+'[3]CB-16'!BX39+'[3]CB-17'!BX39+'[3]CB-18'!BX39+'[3]CB-19'!BX39+'[3]CB-20'!BX39+'[3]CB-21'!BX39+'[3]CB-22'!BX39+'[3]CB-23'!BX39+'[3]CB-24'!BX39+'[4]LCT-1'!BX39+'[4]LCT-2'!BX39+'[4]LCT-3'!BX39+'[4]LCT-4'!BX39+'[4]LCT-5'!BX39+'[4]LCT-6'!BX39+'[4]LCT-7'!BX39+'[4]LCT-8'!BX39+'[5]TB-1'!BX39+'[5]TB-2'!BX39+'[5]TB-3'!BX39+'[5]TB-4'!BX39+'[5]TB-5'!BX39+'[5]TB-6'!BX39+'[5]TB-7'!BX39+'[5]TB-8'!BX39+'[5]TB-9'!BX39+'[5]TB-10'!BX39+'[6]DSV-1'!BX39+'[6]DSV-2'!BX39+'[6]DSV-3'!BX39+'[7]TUB-1'!BX39+'[7]TUB-2'!BX39+'[8]Barge-1'!BX39+'[8]Barge-2'!BX39+'[8]Barge-3'!BX39+'[8]Barge-4'!BX39</f>
        <v>0</v>
      </c>
      <c r="W39" s="184">
        <f>'[2]AHTS-1'!CT39+'[2]AHTS-2'!CT39+'[2]AHTS-3'!CT39+'[2]AHTS-4'!CT39+'[2]AHTS-5'!CT39+'[2]AHTS-6'!CT39+'[2]AHTS-7'!CT39+'[2]AHTS-8'!CT39+'[3]CB-1'!CT39+'[3]CB-2'!CT39+'[3]CB-3'!CT39+'[3]CB-4'!CT39+'[3]CB-5'!CT39+'[3]CB-6'!CT39+'[3]CB-7'!CT39+'[3]CB-8'!CT39+'[3]CB-9'!CT39+'[3]CB-10'!CT39+'[3]CB-11'!CT39+'[3]CB-12'!CT39+'[3]CB-13'!CT39+'[3]CB-14'!CT39+'[3]CB-15'!CT39+'[3]CB-16'!CT39+'[3]CB-17'!CT39+'[3]CB-18'!CT39+'[3]CB-19'!CT39+'[3]CB-20'!CT39+'[3]CB-21'!CT39+'[3]CB-22'!CT39+'[3]CB-23'!CT39+'[3]CB-24'!CT39+'[4]LCT-1'!CT39+'[4]LCT-2'!CT39+'[4]LCT-3'!CT39+'[4]LCT-4'!CT39+'[4]LCT-5'!CT39+'[4]LCT-6'!CT39+'[4]LCT-7'!CT39+'[4]LCT-8'!CT39+'[5]TB-1'!CT39+'[5]TB-2'!CT39+'[5]TB-3'!CT39+'[5]TB-4'!CT39+'[5]TB-5'!CT39+'[5]TB-6'!CT39+'[5]TB-7'!CT39+'[5]TB-8'!CT39+'[5]TB-9'!CT39+'[5]TB-10'!CT39+'[6]DSV-1'!CT39+'[6]DSV-2'!CT39+'[6]DSV-3'!CT39+'[7]TUB-1'!CT39+'[7]TUB-2'!CT39+'[8]Barge-1'!CT39+'[8]Barge-2'!CT39+'[8]Barge-3'!CT39+'[8]Barge-4'!CT39</f>
        <v>0</v>
      </c>
      <c r="X39" s="67"/>
      <c r="Y39" s="67"/>
      <c r="Z39" s="68"/>
      <c r="AA39" s="111">
        <f>[1]Control!AZ39</f>
        <v>46014</v>
      </c>
      <c r="AB39" s="66"/>
      <c r="AC39" s="132">
        <f>'[2]AHTS-1'!IC77+'[2]AHTS-2'!IC77+'[2]AHTS-3'!IC77+'[2]AHTS-4'!IC77+'[2]AHTS-5'!IC77+'[2]AHTS-6'!IC77+'[2]AHTS-7'!IC77+'[2]AHTS-8'!IC77+'[3]CB-1'!IC77+'[3]CB-2'!IC77+'[3]CB-3'!IC77+'[3]CB-4'!IC77+'[3]CB-5'!IC77+'[3]CB-6'!IC77+'[3]CB-7'!IC77+'[3]CB-8'!IC77+'[3]CB-9'!IC77+'[3]CB-10'!IC77+'[3]CB-11'!IC77+'[3]CB-12'!IC77+'[3]CB-13'!IC77+'[3]CB-14'!IC77+'[3]CB-15'!IC77+'[3]CB-16'!IC77+'[3]CB-17'!IC77+'[3]CB-18'!IC77+'[3]CB-19'!IC77+'[3]CB-20'!IC77+'[3]CB-21'!IC77+'[3]CB-22'!IC77+'[3]CB-23'!IC77+'[3]CB-24'!IC77+'[4]LCT-1'!IC77+'[4]LCT-2'!IC77+'[4]LCT-3'!IC77+'[4]LCT-4'!IC77+'[4]LCT-5'!IC77+'[4]LCT-6'!IC77+'[4]LCT-7'!IC77+'[4]LCT-8'!IC77+'[5]TB-1'!IC77+'[5]TB-2'!IC77+'[5]TB-3'!IC77+'[5]TB-4'!IC77+'[5]TB-5'!IC77+'[5]TB-6'!IC77+'[5]TB-7'!IC77+'[5]TB-8'!IC77+'[5]TB-9'!IC77+'[5]TB-10'!IC77+'[6]DSV-1'!IC77+'[6]DSV-2'!IC77+'[6]DSV-3'!IC77+'[7]TUB-1'!IC77+'[7]TUB-2'!IC77+'[8]Barge-1'!IC77+'[8]Barge-2'!IC77+'[8]Barge-3'!IC77+'[8]Barge-4'!IC77</f>
        <v>0</v>
      </c>
      <c r="AD39" s="133">
        <f>'[2]AHTS-1'!IC39+'[2]AHTS-2'!IC39+'[2]AHTS-3'!IC39+'[2]AHTS-4'!IC39+'[2]AHTS-5'!IC39+'[2]AHTS-6'!IC39+'[2]AHTS-7'!IC39+'[2]AHTS-8'!IC39+'[3]CB-1'!IC39+'[3]CB-2'!IC39+'[3]CB-3'!IC39+'[3]CB-4'!IC39+'[3]CB-5'!IC39+'[3]CB-6'!IC39+'[3]CB-7'!IC39+'[3]CB-8'!IC39+'[3]CB-9'!IC39+'[3]CB-10'!IC39+'[3]CB-11'!IC39+'[3]CB-12'!IC39+'[3]CB-13'!IC39+'[3]CB-14'!IC39+'[3]CB-15'!IC39+'[3]CB-16'!IC39+'[3]CB-17'!IC39+'[3]CB-18'!IC39+'[3]CB-19'!IC39+'[3]CB-20'!IC39+'[3]CB-21'!IC39+'[3]CB-22'!IC39+'[3]CB-23'!IC39+'[3]CB-24'!IC39+'[4]LCT-1'!IC39+'[4]LCT-2'!IC39+'[4]LCT-3'!IC39+'[4]LCT-4'!IC39+'[4]LCT-5'!IC39+'[4]LCT-6'!IC39+'[4]LCT-7'!IC39+'[4]LCT-8'!IC39+'[5]TB-1'!IC39+'[5]TB-2'!IC39+'[5]TB-3'!IC39+'[5]TB-4'!IC39+'[5]TB-5'!IC39+'[5]TB-6'!IC39+'[5]TB-7'!IC39+'[5]TB-8'!IC39+'[5]TB-9'!IC39+'[5]TB-10'!IC39+'[6]DSV-1'!IC39+'[6]DSV-2'!IC39+'[6]DSV-3'!IC39+'[7]TUB-1'!IC39+'[7]TUB-2'!IC39+'[8]Barge-1'!IC39+'[8]Barge-2'!IC39+'[8]Barge-3'!IC39+'[8]Barge-4'!IC39</f>
        <v>0</v>
      </c>
      <c r="AE39" s="134">
        <f>'[2]AHTS-1'!IC110+'[2]AHTS-2'!IC110+'[2]AHTS-3'!IC110+'[2]AHTS-4'!IC110+'[2]AHTS-5'!IC110+'[2]AHTS-6'!IC110+'[2]AHTS-7'!IC110+'[2]AHTS-8'!IC110+'[3]CB-1'!IC110+'[3]CB-2'!IC110+'[3]CB-3'!IC110+'[3]CB-4'!IC110+'[3]CB-5'!IC110+'[3]CB-6'!IC110+'[3]CB-7'!IC110+'[3]CB-8'!IC110+'[3]CB-9'!IC110+'[3]CB-10'!IC110+'[3]CB-11'!IC110+'[3]CB-12'!IC110+'[3]CB-13'!IC110+'[3]CB-14'!IC110+'[3]CB-15'!IC110+'[3]CB-16'!IC110+'[3]CB-17'!IC110+'[3]CB-18'!IC110+'[3]CB-19'!IC110+'[3]CB-20'!IC110+'[3]CB-21'!IC110+'[3]CB-22'!IC110+'[3]CB-23'!IC110+'[3]CB-24'!IC110+'[4]LCT-1'!IC110+'[4]LCT-2'!IC110+'[4]LCT-3'!IC110+'[4]LCT-4'!IC110+'[4]LCT-5'!IC110+'[4]LCT-6'!IC110+'[4]LCT-7'!IC110+'[4]LCT-8'!IC110+'[5]TB-1'!IC110+'[5]TB-2'!IC110+'[5]TB-3'!IC110+'[5]TB-4'!IC110+'[5]TB-5'!IC110+'[5]TB-6'!IC110+'[5]TB-7'!IC110+'[5]TB-8'!IC110+'[5]TB-9'!IC110+'[5]TB-10'!IC110+'[6]DSV-1'!IC110+'[6]DSV-2'!IC110+'[6]DSV-3'!IC110+'[7]TUB-1'!IC110+'[7]TUB-2'!IC110+'[8]Barge-1'!IC110+'[8]Barge-2'!IC110+'[8]Barge-3'!IC110+'[8]Barge-4'!IC110</f>
        <v>0</v>
      </c>
      <c r="AF39" s="135">
        <f>'[2]AHTS-1'!ID77+'[2]AHTS-2'!ID77+'[2]AHTS-3'!ID77+'[2]AHTS-4'!ID77+'[2]AHTS-5'!ID77+'[2]AHTS-6'!ID77+'[2]AHTS-7'!ID77+'[2]AHTS-8'!ID77+'[3]CB-1'!ID77+'[3]CB-2'!ID77+'[3]CB-3'!ID77+'[3]CB-4'!ID77+'[3]CB-5'!ID77+'[3]CB-6'!ID77+'[3]CB-7'!ID77+'[3]CB-8'!ID77+'[3]CB-9'!ID77+'[3]CB-10'!ID77+'[3]CB-11'!ID77+'[3]CB-12'!ID77+'[3]CB-13'!ID77+'[3]CB-14'!ID77+'[3]CB-15'!ID77+'[3]CB-16'!ID77+'[3]CB-17'!ID77+'[3]CB-18'!ID77+'[3]CB-19'!ID77+'[3]CB-20'!ID77+'[3]CB-21'!ID77+'[3]CB-22'!ID77+'[3]CB-23'!ID77+'[3]CB-24'!ID77+'[4]LCT-1'!ID77+'[4]LCT-2'!ID77+'[4]LCT-3'!ID77+'[4]LCT-4'!ID77+'[4]LCT-5'!ID77+'[4]LCT-6'!ID77+'[4]LCT-7'!ID77+'[4]LCT-8'!ID77+'[5]TB-1'!ID77+'[5]TB-2'!ID77+'[5]TB-3'!ID77+'[5]TB-4'!ID77+'[5]TB-5'!ID77+'[5]TB-6'!ID77+'[5]TB-7'!ID77+'[5]TB-8'!ID77+'[5]TB-9'!ID77+'[5]TB-10'!ID77+'[6]DSV-1'!ID77+'[6]DSV-2'!ID77+'[6]DSV-3'!ID77+'[7]TUB-1'!ID77+'[7]TUB-2'!ID77+'[8]Barge-1'!ID77+'[8]Barge-2'!ID77+'[8]Barge-3'!ID77+'[8]Barge-4'!ID77</f>
        <v>14349275</v>
      </c>
      <c r="AG39" s="136">
        <f>'[2]AHTS-1'!ID39+'[2]AHTS-2'!ID39+'[2]AHTS-3'!ID39+'[2]AHTS-4'!ID39+'[2]AHTS-5'!ID39+'[2]AHTS-6'!ID39+'[2]AHTS-7'!ID39+'[2]AHTS-8'!ID39+'[3]CB-1'!ID39+'[3]CB-2'!ID39+'[3]CB-3'!ID39+'[3]CB-4'!ID39+'[3]CB-5'!ID39+'[3]CB-6'!ID39+'[3]CB-7'!ID39+'[3]CB-8'!ID39+'[3]CB-9'!ID39+'[3]CB-10'!ID39+'[3]CB-11'!ID39+'[3]CB-12'!ID39+'[3]CB-13'!ID39+'[3]CB-14'!ID39+'[3]CB-15'!ID39+'[3]CB-16'!ID39+'[3]CB-17'!ID39+'[3]CB-18'!ID39+'[3]CB-19'!ID39+'[3]CB-20'!ID39+'[3]CB-21'!ID39+'[3]CB-22'!ID39+'[3]CB-23'!ID39+'[3]CB-24'!ID39+'[4]LCT-1'!ID39+'[4]LCT-2'!ID39+'[4]LCT-3'!ID39+'[4]LCT-4'!ID39+'[4]LCT-5'!ID39+'[4]LCT-6'!ID39+'[4]LCT-7'!ID39+'[4]LCT-8'!ID39+'[5]TB-1'!ID39+'[5]TB-2'!ID39+'[5]TB-3'!ID39+'[5]TB-4'!ID39+'[5]TB-5'!ID39+'[5]TB-6'!ID39+'[5]TB-7'!ID39+'[5]TB-8'!ID39+'[5]TB-9'!ID39+'[5]TB-10'!ID39+'[6]DSV-1'!ID39+'[6]DSV-2'!ID39+'[6]DSV-3'!ID39+'[7]TUB-1'!ID39+'[7]TUB-2'!ID39+'[8]Barge-1'!ID39+'[8]Barge-2'!ID39+'[8]Barge-3'!ID39+'[8]Barge-4'!ID39</f>
        <v>15180555.555555556</v>
      </c>
      <c r="AH39" s="136">
        <f>'[2]AHTS-1'!ID110+'[2]AHTS-2'!ID110+'[2]AHTS-3'!ID110+'[2]AHTS-4'!ID110+'[2]AHTS-5'!ID110+'[2]AHTS-6'!ID110+'[2]AHTS-7'!ID110+'[2]AHTS-8'!ID110+'[3]CB-1'!ID110+'[3]CB-2'!ID110+'[3]CB-3'!ID110+'[3]CB-4'!ID110+'[3]CB-5'!ID110+'[3]CB-6'!ID110+'[3]CB-7'!ID110+'[3]CB-8'!ID110+'[3]CB-9'!ID110+'[3]CB-10'!ID110+'[3]CB-11'!ID110+'[3]CB-12'!ID110+'[3]CB-13'!ID110+'[3]CB-14'!ID110+'[3]CB-15'!ID110+'[3]CB-16'!ID110+'[3]CB-17'!ID110+'[3]CB-18'!ID110+'[3]CB-19'!ID110+'[3]CB-20'!ID110+'[3]CB-21'!ID110+'[3]CB-22'!ID110+'[3]CB-23'!ID110+'[3]CB-24'!ID110+'[4]LCT-1'!ID110+'[4]LCT-2'!ID110+'[4]LCT-3'!ID110+'[4]LCT-4'!ID110+'[4]LCT-5'!ID110+'[4]LCT-6'!ID110+'[4]LCT-7'!ID110+'[4]LCT-8'!ID110+'[5]TB-1'!ID110+'[5]TB-2'!ID110+'[5]TB-3'!ID110+'[5]TB-4'!ID110+'[5]TB-5'!ID110+'[5]TB-6'!ID110+'[5]TB-7'!ID110+'[5]TB-8'!ID110+'[5]TB-9'!ID110+'[5]TB-10'!ID110+'[6]DSV-1'!ID110+'[6]DSV-2'!ID110+'[6]DSV-3'!ID110+'[7]TUB-1'!ID110+'[7]TUB-2'!ID110+'[8]Barge-1'!ID110+'[8]Barge-2'!ID110+'[8]Barge-3'!ID110+'[8]Barge-4'!ID110</f>
        <v>0</v>
      </c>
      <c r="AI39" s="135">
        <f>'[2]AHTS-1'!IE77+'[2]AHTS-2'!IE77+'[2]AHTS-3'!IE77+'[2]AHTS-4'!IE77+'[2]AHTS-5'!IE77+'[2]AHTS-6'!IE77+'[2]AHTS-7'!IE77+'[2]AHTS-8'!IE77+'[3]CB-1'!IE77+'[3]CB-2'!IE77+'[3]CB-3'!IE77+'[3]CB-4'!IE77+'[3]CB-5'!IE77+'[3]CB-6'!IE77+'[3]CB-7'!IE77+'[3]CB-8'!IE77+'[3]CB-9'!IE77+'[3]CB-10'!IE77+'[3]CB-11'!IE77+'[3]CB-12'!IE77+'[3]CB-13'!IE77+'[3]CB-14'!IE77+'[3]CB-15'!IE77+'[3]CB-16'!IE77+'[3]CB-17'!IE77+'[3]CB-18'!IE77+'[3]CB-19'!IE77+'[3]CB-20'!IE77+'[3]CB-21'!IE77+'[3]CB-22'!IE77+'[3]CB-23'!IE77+'[3]CB-24'!IE77+'[4]LCT-1'!IE77+'[4]LCT-2'!IE77+'[4]LCT-3'!IE77+'[4]LCT-4'!IE77+'[4]LCT-5'!IE77+'[4]LCT-6'!IE77+'[4]LCT-7'!IE77+'[4]LCT-8'!IE77+'[5]TB-1'!IE77+'[5]TB-2'!IE77+'[5]TB-3'!IE77+'[5]TB-4'!IE77+'[5]TB-5'!IE77+'[5]TB-6'!IE77+'[5]TB-7'!IE77+'[5]TB-8'!IE77+'[5]TB-9'!IE77+'[5]TB-10'!IE77+'[6]DSV-1'!IE77+'[6]DSV-2'!IE77+'[6]DSV-3'!IE77+'[7]TUB-1'!IE77+'[7]TUB-2'!IE77+'[8]Barge-1'!IE77+'[8]Barge-2'!IE77+'[8]Barge-3'!IE77+'[8]Barge-4'!IE77</f>
        <v>73918550</v>
      </c>
      <c r="AJ39" s="136">
        <f>'[2]AHTS-1'!IE39+'[2]AHTS-2'!IE39+'[2]AHTS-3'!IE39+'[2]AHTS-4'!IE39+'[2]AHTS-5'!IE39+'[2]AHTS-6'!IE39+'[2]AHTS-7'!IE39+'[2]AHTS-8'!IE39+'[3]CB-1'!IE39+'[3]CB-2'!IE39+'[3]CB-3'!IE39+'[3]CB-4'!IE39+'[3]CB-5'!IE39+'[3]CB-6'!IE39+'[3]CB-7'!IE39+'[3]CB-8'!IE39+'[3]CB-9'!IE39+'[3]CB-10'!IE39+'[3]CB-11'!IE39+'[3]CB-12'!IE39+'[3]CB-13'!IE39+'[3]CB-14'!IE39+'[3]CB-15'!IE39+'[3]CB-16'!IE39+'[3]CB-17'!IE39+'[3]CB-18'!IE39+'[3]CB-19'!IE39+'[3]CB-20'!IE39+'[3]CB-21'!IE39+'[3]CB-22'!IE39+'[3]CB-23'!IE39+'[3]CB-24'!IE39+'[4]LCT-1'!IE39+'[4]LCT-2'!IE39+'[4]LCT-3'!IE39+'[4]LCT-4'!IE39+'[4]LCT-5'!IE39+'[4]LCT-6'!IE39+'[4]LCT-7'!IE39+'[4]LCT-8'!IE39+'[5]TB-1'!IE39+'[5]TB-2'!IE39+'[5]TB-3'!IE39+'[5]TB-4'!IE39+'[5]TB-5'!IE39+'[5]TB-6'!IE39+'[5]TB-7'!IE39+'[5]TB-8'!IE39+'[5]TB-9'!IE39+'[5]TB-10'!IE39+'[6]DSV-1'!IE39+'[6]DSV-2'!IE39+'[6]DSV-3'!IE39+'[7]TUB-1'!IE39+'[7]TUB-2'!IE39+'[8]Barge-1'!IE39+'[8]Barge-2'!IE39+'[8]Barge-3'!IE39+'[8]Barge-4'!IE39</f>
        <v>61505555.55555556</v>
      </c>
      <c r="AK39" s="136">
        <f>'[2]AHTS-1'!IE110+'[2]AHTS-2'!IE110+'[2]AHTS-3'!IE110+'[2]AHTS-4'!IE110+'[2]AHTS-5'!IE110+'[2]AHTS-6'!IE110+'[2]AHTS-7'!IE110+'[2]AHTS-8'!IE110+'[3]CB-1'!IE110+'[3]CB-2'!IE110+'[3]CB-3'!IE110+'[3]CB-4'!IE110+'[3]CB-5'!IE110+'[3]CB-6'!IE110+'[3]CB-7'!IE110+'[3]CB-8'!IE110+'[3]CB-9'!IE110+'[3]CB-10'!IE110+'[3]CB-11'!IE110+'[3]CB-12'!IE110+'[3]CB-13'!IE110+'[3]CB-14'!IE110+'[3]CB-15'!IE110+'[3]CB-16'!IE110+'[3]CB-17'!IE110+'[3]CB-18'!IE110+'[3]CB-19'!IE110+'[3]CB-20'!IE110+'[3]CB-21'!IE110+'[3]CB-22'!IE110+'[3]CB-23'!IE110+'[3]CB-24'!IE110+'[4]LCT-1'!IE110+'[4]LCT-2'!IE110+'[4]LCT-3'!IE110+'[4]LCT-4'!IE110+'[4]LCT-5'!IE110+'[4]LCT-6'!IE110+'[4]LCT-7'!IE110+'[4]LCT-8'!IE110+'[5]TB-1'!IE110+'[5]TB-2'!IE110+'[5]TB-3'!IE110+'[5]TB-4'!IE110+'[5]TB-5'!IE110+'[5]TB-6'!IE110+'[5]TB-7'!IE110+'[5]TB-8'!IE110+'[5]TB-9'!IE110+'[5]TB-10'!IE110+'[6]DSV-1'!IE110+'[6]DSV-2'!IE110+'[6]DSV-3'!IE110+'[7]TUB-1'!IE110+'[7]TUB-2'!IE110+'[8]Barge-1'!IE110+'[8]Barge-2'!IE110+'[8]Barge-3'!IE110+'[8]Barge-4'!IE110</f>
        <v>0</v>
      </c>
      <c r="AL39" s="137">
        <f>'[2]AHTS-1'!IF77+'[2]AHTS-2'!IF77+'[2]AHTS-3'!IF77+'[2]AHTS-4'!IF77+'[2]AHTS-5'!IF77+'[2]AHTS-6'!IF77+'[2]AHTS-7'!IF77+'[2]AHTS-8'!IF77+'[3]CB-1'!IF77+'[3]CB-2'!IF77+'[3]CB-3'!IF77+'[3]CB-4'!IF77+'[3]CB-5'!IF77+'[3]CB-6'!IF77+'[3]CB-7'!IF77+'[3]CB-8'!IF77+'[3]CB-9'!IF77+'[3]CB-10'!IF77+'[3]CB-11'!IF77+'[3]CB-12'!IF77+'[3]CB-13'!IF77+'[3]CB-14'!IF77+'[3]CB-15'!IF77+'[3]CB-16'!IF77+'[3]CB-17'!IF77+'[3]CB-18'!IF77+'[3]CB-19'!IF77+'[3]CB-20'!IF77+'[3]CB-21'!IF77+'[3]CB-22'!IF77+'[3]CB-23'!IF77+'[3]CB-24'!IF77+'[4]LCT-1'!IF77+'[4]LCT-2'!IF77+'[4]LCT-3'!IF77+'[4]LCT-4'!IF77+'[4]LCT-5'!IF77+'[4]LCT-6'!IF77+'[4]LCT-7'!IF77+'[4]LCT-8'!IF77+'[5]TB-1'!IF77+'[5]TB-2'!IF77+'[5]TB-3'!IF77+'[5]TB-4'!IF77+'[5]TB-5'!IF77+'[5]TB-6'!IF77+'[5]TB-7'!IF77+'[5]TB-8'!IF77+'[5]TB-9'!IF77+'[5]TB-10'!IF77+'[6]DSV-1'!IF77+'[6]DSV-2'!IF77+'[6]DSV-3'!IF77+'[7]TUB-1'!IF77+'[7]TUB-2'!IF77+'[8]Barge-1'!IF77+'[8]Barge-2'!IF77+'[8]Barge-3'!IF77+'[8]Barge-4'!IF77</f>
        <v>138631600</v>
      </c>
      <c r="AM39" s="138">
        <f>'[2]AHTS-1'!IF39+'[2]AHTS-2'!IF39+'[2]AHTS-3'!IF39+'[2]AHTS-4'!IF39+'[2]AHTS-5'!IF39+'[2]AHTS-6'!IF39+'[2]AHTS-7'!IF39+'[2]AHTS-8'!IF39+'[3]CB-1'!IF39+'[3]CB-2'!IF39+'[3]CB-3'!IF39+'[3]CB-4'!IF39+'[3]CB-5'!IF39+'[3]CB-6'!IF39+'[3]CB-7'!IF39+'[3]CB-8'!IF39+'[3]CB-9'!IF39+'[3]CB-10'!IF39+'[3]CB-11'!IF39+'[3]CB-12'!IF39+'[3]CB-13'!IF39+'[3]CB-14'!IF39+'[3]CB-15'!IF39+'[3]CB-16'!IF39+'[3]CB-17'!IF39+'[3]CB-18'!IF39+'[3]CB-19'!IF39+'[3]CB-20'!IF39+'[3]CB-21'!IF39+'[3]CB-22'!IF39+'[3]CB-23'!IF39+'[3]CB-24'!IF39+'[4]LCT-1'!IF39+'[4]LCT-2'!IF39+'[4]LCT-3'!IF39+'[4]LCT-4'!IF39+'[4]LCT-5'!IF39+'[4]LCT-6'!IF39+'[4]LCT-7'!IF39+'[4]LCT-8'!IF39+'[5]TB-1'!IF39+'[5]TB-2'!IF39+'[5]TB-3'!IF39+'[5]TB-4'!IF39+'[5]TB-5'!IF39+'[5]TB-6'!IF39+'[5]TB-7'!IF39+'[5]TB-8'!IF39+'[5]TB-9'!IF39+'[5]TB-10'!IF39+'[6]DSV-1'!IF39+'[6]DSV-2'!IF39+'[6]DSV-3'!IF39+'[7]TUB-1'!IF39+'[7]TUB-2'!IF39+'[8]Barge-1'!IF39+'[8]Barge-2'!IF39+'[8]Barge-3'!IF39+'[8]Barge-4'!IF39</f>
        <v>74866666.666666657</v>
      </c>
      <c r="AN39" s="138">
        <f>'[2]AHTS-1'!IF110+'[2]AHTS-2'!IF110+'[2]AHTS-3'!IF110+'[2]AHTS-4'!IF110+'[2]AHTS-5'!IF110+'[2]AHTS-6'!IF110+'[2]AHTS-7'!IF110+'[2]AHTS-8'!IF110+'[3]CB-1'!IF110+'[3]CB-2'!IF110+'[3]CB-3'!IF110+'[3]CB-4'!IF110+'[3]CB-5'!IF110+'[3]CB-6'!IF110+'[3]CB-7'!IF110+'[3]CB-8'!IF110+'[3]CB-9'!IF110+'[3]CB-10'!IF110+'[3]CB-11'!IF110+'[3]CB-12'!IF110+'[3]CB-13'!IF110+'[3]CB-14'!IF110+'[3]CB-15'!IF110+'[3]CB-16'!IF110+'[3]CB-17'!IF110+'[3]CB-18'!IF110+'[3]CB-19'!IF110+'[3]CB-20'!IF110+'[3]CB-21'!IF110+'[3]CB-22'!IF110+'[3]CB-23'!IF110+'[3]CB-24'!IF110+'[4]LCT-1'!IF110+'[4]LCT-2'!IF110+'[4]LCT-3'!IF110+'[4]LCT-4'!IF110+'[4]LCT-5'!IF110+'[4]LCT-6'!IF110+'[4]LCT-7'!IF110+'[4]LCT-8'!IF110+'[5]TB-1'!IF110+'[5]TB-2'!IF110+'[5]TB-3'!IF110+'[5]TB-4'!IF110+'[5]TB-5'!IF110+'[5]TB-6'!IF110+'[5]TB-7'!IF110+'[5]TB-8'!IF110+'[5]TB-9'!IF110+'[5]TB-10'!IF110+'[6]DSV-1'!IF110+'[6]DSV-2'!IF110+'[6]DSV-3'!IF110+'[7]TUB-1'!IF110+'[7]TUB-2'!IF110+'[8]Barge-1'!IF110+'[8]Barge-2'!IF110+'[8]Barge-3'!IF110+'[8]Barge-4'!IF110</f>
        <v>0</v>
      </c>
      <c r="AO39" s="135">
        <f>'[2]AHTS-1'!IG77+'[2]AHTS-2'!IG77+'[2]AHTS-3'!IG77+'[2]AHTS-4'!IG77+'[2]AHTS-5'!IG77+'[2]AHTS-6'!IG77+'[2]AHTS-7'!IG77+'[2]AHTS-8'!IG77+'[3]CB-1'!IG77+'[3]CB-2'!IG77+'[3]CB-3'!IG77+'[3]CB-4'!IG77+'[3]CB-5'!IG77+'[3]CB-6'!IG77+'[3]CB-7'!IG77+'[3]CB-8'!IG77+'[3]CB-9'!IG77+'[3]CB-10'!IG77+'[3]CB-11'!IG77+'[3]CB-12'!IG77+'[3]CB-13'!IG77+'[3]CB-14'!IG77+'[3]CB-15'!IG77+'[3]CB-16'!IG77+'[3]CB-17'!IG77+'[3]CB-18'!IG77+'[3]CB-19'!IG77+'[3]CB-20'!IG77+'[3]CB-21'!IG77+'[3]CB-22'!IG77+'[3]CB-23'!IG77+'[3]CB-24'!IG77+'[4]LCT-1'!IG77+'[4]LCT-2'!IG77+'[4]LCT-3'!IG77+'[4]LCT-4'!IG77+'[4]LCT-5'!IG77+'[4]LCT-6'!IG77+'[4]LCT-7'!IG77+'[4]LCT-8'!IG77+'[5]TB-1'!IG77+'[5]TB-2'!IG77+'[5]TB-3'!IG77+'[5]TB-4'!IG77+'[5]TB-5'!IG77+'[5]TB-6'!IG77+'[5]TB-7'!IG77+'[5]TB-8'!IG77+'[5]TB-9'!IG77+'[5]TB-10'!IG77+'[6]DSV-1'!IG77+'[6]DSV-2'!IG77+'[6]DSV-3'!IG77+'[7]TUB-1'!IG77+'[7]TUB-2'!IG77+'[8]Barge-1'!IG77+'[8]Barge-2'!IG77+'[8]Barge-3'!IG77+'[8]Barge-4'!IG77</f>
        <v>274550</v>
      </c>
      <c r="AP39" s="136">
        <f>'[2]AHTS-1'!IG39+'[2]AHTS-2'!IG39+'[2]AHTS-3'!IG39+'[2]AHTS-4'!IG39+'[2]AHTS-5'!IG39+'[2]AHTS-6'!IG39+'[2]AHTS-7'!IG39+'[2]AHTS-8'!IG39+'[3]CB-1'!IG39+'[3]CB-2'!IG39+'[3]CB-3'!IG39+'[3]CB-4'!IG39+'[3]CB-5'!IG39+'[3]CB-6'!IG39+'[3]CB-7'!IG39+'[3]CB-8'!IG39+'[3]CB-9'!IG39+'[3]CB-10'!IG39+'[3]CB-11'!IG39+'[3]CB-12'!IG39+'[3]CB-13'!IG39+'[3]CB-14'!IG39+'[3]CB-15'!IG39+'[3]CB-16'!IG39+'[3]CB-17'!IG39+'[3]CB-18'!IG39+'[3]CB-19'!IG39+'[3]CB-20'!IG39+'[3]CB-21'!IG39+'[3]CB-22'!IG39+'[3]CB-23'!IG39+'[3]CB-24'!IG39+'[4]LCT-1'!IG39+'[4]LCT-2'!IG39+'[4]LCT-3'!IG39+'[4]LCT-4'!IG39+'[4]LCT-5'!IG39+'[4]LCT-6'!IG39+'[4]LCT-7'!IG39+'[4]LCT-8'!IG39+'[5]TB-1'!IG39+'[5]TB-2'!IG39+'[5]TB-3'!IG39+'[5]TB-4'!IG39+'[5]TB-5'!IG39+'[5]TB-6'!IG39+'[5]TB-7'!IG39+'[5]TB-8'!IG39+'[5]TB-9'!IG39+'[5]TB-10'!IG39+'[6]DSV-1'!IG39+'[6]DSV-2'!IG39+'[6]DSV-3'!IG39+'[7]TUB-1'!IG39+'[7]TUB-2'!IG39+'[8]Barge-1'!IG39+'[8]Barge-2'!IG39+'[8]Barge-3'!IG39+'[8]Barge-4'!IG39</f>
        <v>2166666.6666666665</v>
      </c>
      <c r="AQ39" s="136">
        <f>'[2]AHTS-1'!IG110+'[2]AHTS-2'!IG110+'[2]AHTS-3'!IG110+'[2]AHTS-4'!IG110+'[2]AHTS-5'!IG110+'[2]AHTS-6'!IG110+'[2]AHTS-7'!IG110+'[2]AHTS-8'!IG110+'[3]CB-1'!IG110+'[3]CB-2'!IG110+'[3]CB-3'!IG110+'[3]CB-4'!IG110+'[3]CB-5'!IG110+'[3]CB-6'!IG110+'[3]CB-7'!IG110+'[3]CB-8'!IG110+'[3]CB-9'!IG110+'[3]CB-10'!IG110+'[3]CB-11'!IG110+'[3]CB-12'!IG110+'[3]CB-13'!IG110+'[3]CB-14'!IG110+'[3]CB-15'!IG110+'[3]CB-16'!IG110+'[3]CB-17'!IG110+'[3]CB-18'!IG110+'[3]CB-19'!IG110+'[3]CB-20'!IG110+'[3]CB-21'!IG110+'[3]CB-22'!IG110+'[3]CB-23'!IG110+'[3]CB-24'!IG110+'[4]LCT-1'!IG110+'[4]LCT-2'!IG110+'[4]LCT-3'!IG110+'[4]LCT-4'!IG110+'[4]LCT-5'!IG110+'[4]LCT-6'!IG110+'[4]LCT-7'!IG110+'[4]LCT-8'!IG110+'[5]TB-1'!IG110+'[5]TB-2'!IG110+'[5]TB-3'!IG110+'[5]TB-4'!IG110+'[5]TB-5'!IG110+'[5]TB-6'!IG110+'[5]TB-7'!IG110+'[5]TB-8'!IG110+'[5]TB-9'!IG110+'[5]TB-10'!IG110+'[6]DSV-1'!IG110+'[6]DSV-2'!IG110+'[6]DSV-3'!IG110+'[7]TUB-1'!IG110+'[7]TUB-2'!IG110+'[8]Barge-1'!IG110+'[8]Barge-2'!IG110+'[8]Barge-3'!IG110+'[8]Barge-4'!IG110</f>
        <v>0</v>
      </c>
      <c r="AR39" s="139">
        <f>'[2]AHTS-1'!IH77+'[2]AHTS-2'!IH77+'[2]AHTS-3'!IH77+'[2]AHTS-4'!IH77+'[2]AHTS-5'!IH77+'[2]AHTS-6'!IH77+'[2]AHTS-7'!IH77+'[2]AHTS-8'!IH77+'[3]CB-1'!IH77+'[3]CB-2'!IH77+'[3]CB-3'!IH77+'[3]CB-4'!IH77+'[3]CB-5'!IH77+'[3]CB-6'!IH77+'[3]CB-7'!IH77+'[3]CB-8'!IH77+'[3]CB-9'!IH77+'[3]CB-10'!IH77+'[3]CB-11'!IH77+'[3]CB-12'!IH77+'[3]CB-13'!IH77+'[3]CB-14'!IH77+'[3]CB-15'!IH77+'[3]CB-16'!IH77+'[3]CB-17'!IH77+'[3]CB-18'!IH77+'[3]CB-19'!IH77+'[3]CB-20'!IH77+'[3]CB-21'!IH77+'[3]CB-22'!IH77+'[3]CB-23'!IH77+'[3]CB-24'!IH77+'[4]LCT-1'!IH77+'[4]LCT-2'!IH77+'[4]LCT-3'!IH77+'[4]LCT-4'!IH77+'[4]LCT-5'!IH77+'[4]LCT-6'!IH77+'[4]LCT-7'!IH77+'[4]LCT-8'!IH77+'[5]TB-1'!IH77+'[5]TB-2'!IH77+'[5]TB-3'!IH77+'[5]TB-4'!IH77+'[5]TB-5'!IH77+'[5]TB-6'!IH77+'[5]TB-7'!IH77+'[5]TB-8'!IH77+'[5]TB-9'!IH77+'[5]TB-10'!IH77+'[6]DSV-1'!IH77+'[6]DSV-2'!IH77+'[6]DSV-3'!IH77+'[7]TUB-1'!IH77+'[7]TUB-2'!IH77+'[8]Barge-1'!IH77+'[8]Barge-2'!IH77+'[8]Barge-3'!IH77+'[8]Barge-4'!IH77</f>
        <v>73288700</v>
      </c>
      <c r="AS39" s="136">
        <f>'[2]AHTS-1'!IH39+'[2]AHTS-2'!IH39+'[2]AHTS-3'!IH39+'[2]AHTS-4'!IH39+'[2]AHTS-5'!IH39+'[2]AHTS-6'!IH39+'[2]AHTS-7'!IH39+'[2]AHTS-8'!IH39+'[3]CB-1'!IH39+'[3]CB-2'!IH39+'[3]CB-3'!IH39+'[3]CB-4'!IH39+'[3]CB-5'!IH39+'[3]CB-6'!IH39+'[3]CB-7'!IH39+'[3]CB-8'!IH39+'[3]CB-9'!IH39+'[3]CB-10'!IH39+'[3]CB-11'!IH39+'[3]CB-12'!IH39+'[3]CB-13'!IH39+'[3]CB-14'!IH39+'[3]CB-15'!IH39+'[3]CB-16'!IH39+'[3]CB-17'!IH39+'[3]CB-18'!IH39+'[3]CB-19'!IH39+'[3]CB-20'!IH39+'[3]CB-21'!IH39+'[3]CB-22'!IH39+'[3]CB-23'!IH39+'[3]CB-24'!IH39+'[4]LCT-1'!IH39+'[4]LCT-2'!IH39+'[4]LCT-3'!IH39+'[4]LCT-4'!IH39+'[4]LCT-5'!IH39+'[4]LCT-6'!IH39+'[4]LCT-7'!IH39+'[4]LCT-8'!IH39+'[5]TB-1'!IH39+'[5]TB-2'!IH39+'[5]TB-3'!IH39+'[5]TB-4'!IH39+'[5]TB-5'!IH39+'[5]TB-6'!IH39+'[5]TB-7'!IH39+'[5]TB-8'!IH39+'[5]TB-9'!IH39+'[5]TB-10'!IH39+'[6]DSV-1'!IH39+'[6]DSV-2'!IH39+'[6]DSV-3'!IH39+'[7]TUB-1'!IH39+'[7]TUB-2'!IH39+'[8]Barge-1'!IH39+'[8]Barge-2'!IH39+'[8]Barge-3'!IH39+'[8]Barge-4'!IH39</f>
        <v>92450000</v>
      </c>
      <c r="AT39" s="140">
        <f>'[2]AHTS-1'!IH110+'[2]AHTS-2'!IH110+'[2]AHTS-3'!IH110+'[2]AHTS-4'!IH110+'[2]AHTS-5'!IH110+'[2]AHTS-6'!IH110+'[2]AHTS-7'!IH110+'[2]AHTS-8'!IH110+'[3]CB-1'!IH110+'[3]CB-2'!IH110+'[3]CB-3'!IH110+'[3]CB-4'!IH110+'[3]CB-5'!IH110+'[3]CB-6'!IH110+'[3]CB-7'!IH110+'[3]CB-8'!IH110+'[3]CB-9'!IH110+'[3]CB-10'!IH110+'[3]CB-11'!IH110+'[3]CB-12'!IH110+'[3]CB-13'!IH110+'[3]CB-14'!IH110+'[3]CB-15'!IH110+'[3]CB-16'!IH110+'[3]CB-17'!IH110+'[3]CB-18'!IH110+'[3]CB-19'!IH110+'[3]CB-20'!IH110+'[3]CB-21'!IH110+'[3]CB-22'!IH110+'[3]CB-23'!IH110+'[3]CB-24'!IH110+'[4]LCT-1'!IH110+'[4]LCT-2'!IH110+'[4]LCT-3'!IH110+'[4]LCT-4'!IH110+'[4]LCT-5'!IH110+'[4]LCT-6'!IH110+'[4]LCT-7'!IH110+'[4]LCT-8'!IH110+'[5]TB-1'!IH110+'[5]TB-2'!IH110+'[5]TB-3'!IH110+'[5]TB-4'!IH110+'[5]TB-5'!IH110+'[5]TB-6'!IH110+'[5]TB-7'!IH110+'[5]TB-8'!IH110+'[5]TB-9'!IH110+'[5]TB-10'!IH110+'[6]DSV-1'!IH110+'[6]DSV-2'!IH110+'[6]DSV-3'!IH110+'[7]TUB-1'!IH110+'[7]TUB-2'!IH110+'[8]Barge-1'!IH110+'[8]Barge-2'!IH110+'[8]Barge-3'!IH110+'[8]Barge-4'!IH110</f>
        <v>0</v>
      </c>
      <c r="AU39" s="139">
        <f>'[2]AHTS-1'!II77+'[2]AHTS-2'!II77+'[2]AHTS-3'!II77+'[2]AHTS-4'!II77+'[2]AHTS-5'!II77+'[2]AHTS-6'!II77+'[2]AHTS-7'!II77+'[2]AHTS-8'!II77+'[3]CB-1'!II77+'[3]CB-2'!II77+'[3]CB-3'!II77+'[3]CB-4'!II77+'[3]CB-5'!II77+'[3]CB-6'!II77+'[3]CB-7'!II77+'[3]CB-8'!II77+'[3]CB-9'!II77+'[3]CB-10'!II77+'[3]CB-11'!II77+'[3]CB-12'!II77+'[3]CB-13'!II77+'[3]CB-14'!II77+'[3]CB-15'!II77+'[3]CB-16'!II77+'[3]CB-17'!II77+'[3]CB-18'!II77+'[3]CB-19'!II77+'[3]CB-20'!II77+'[3]CB-21'!II77+'[3]CB-22'!II77+'[3]CB-23'!II77+'[3]CB-24'!II77+'[4]LCT-1'!II77+'[4]LCT-2'!II77+'[4]LCT-3'!II77+'[4]LCT-4'!II77+'[4]LCT-5'!II77+'[4]LCT-6'!II77+'[4]LCT-7'!II77+'[4]LCT-8'!II77+'[5]TB-1'!II77+'[5]TB-2'!II77+'[5]TB-3'!II77+'[5]TB-4'!II77+'[5]TB-5'!II77+'[5]TB-6'!II77+'[5]TB-7'!II77+'[5]TB-8'!II77+'[5]TB-9'!II77+'[5]TB-10'!II77+'[6]DSV-1'!II77+'[6]DSV-2'!II77+'[6]DSV-3'!II77+'[7]TUB-1'!II77+'[7]TUB-2'!II77+'[8]Barge-1'!II77+'[8]Barge-2'!II77+'[8]Barge-3'!II77+'[8]Barge-4'!II77</f>
        <v>0</v>
      </c>
      <c r="AV39" s="136">
        <f>'[2]AHTS-1'!II39+'[2]AHTS-2'!II39+'[2]AHTS-3'!II39+'[2]AHTS-4'!II39+'[2]AHTS-5'!II39+'[2]AHTS-6'!II39+'[2]AHTS-7'!II39+'[2]AHTS-8'!II39+'[3]CB-1'!II39+'[3]CB-2'!II39+'[3]CB-3'!II39+'[3]CB-4'!II39+'[3]CB-5'!II39+'[3]CB-6'!II39+'[3]CB-7'!II39+'[3]CB-8'!II39+'[3]CB-9'!II39+'[3]CB-10'!II39+'[3]CB-11'!II39+'[3]CB-12'!II39+'[3]CB-13'!II39+'[3]CB-14'!II39+'[3]CB-15'!II39+'[3]CB-16'!II39+'[3]CB-17'!II39+'[3]CB-18'!II39+'[3]CB-19'!II39+'[3]CB-20'!II39+'[3]CB-21'!II39+'[3]CB-22'!II39+'[3]CB-23'!II39+'[3]CB-24'!II39+'[4]LCT-1'!II39+'[4]LCT-2'!II39+'[4]LCT-3'!II39+'[4]LCT-4'!II39+'[4]LCT-5'!II39+'[4]LCT-6'!II39+'[4]LCT-7'!II39+'[4]LCT-8'!II39+'[5]TB-1'!II39+'[5]TB-2'!II39+'[5]TB-3'!II39+'[5]TB-4'!II39+'[5]TB-5'!II39+'[5]TB-6'!II39+'[5]TB-7'!II39+'[5]TB-8'!II39+'[5]TB-9'!II39+'[5]TB-10'!II39+'[6]DSV-1'!II39+'[6]DSV-2'!II39+'[6]DSV-3'!II39+'[7]TUB-1'!II39+'[7]TUB-2'!II39+'[8]Barge-1'!II39+'[8]Barge-2'!II39+'[8]Barge-3'!II39+'[8]Barge-4'!II39</f>
        <v>0</v>
      </c>
      <c r="AW39" s="140">
        <f>'[2]AHTS-1'!II110+'[2]AHTS-2'!II110+'[2]AHTS-3'!II110+'[2]AHTS-4'!II110+'[2]AHTS-5'!II110+'[2]AHTS-6'!II110+'[2]AHTS-7'!II110+'[2]AHTS-8'!II110+'[3]CB-1'!II110+'[3]CB-2'!II110+'[3]CB-3'!II110+'[3]CB-4'!II110+'[3]CB-5'!II110+'[3]CB-6'!II110+'[3]CB-7'!II110+'[3]CB-8'!II110+'[3]CB-9'!II110+'[3]CB-10'!II110+'[3]CB-11'!II110+'[3]CB-12'!II110+'[3]CB-13'!II110+'[3]CB-14'!II110+'[3]CB-15'!II110+'[3]CB-16'!II110+'[3]CB-17'!II110+'[3]CB-18'!II110+'[3]CB-19'!II110+'[3]CB-20'!II110+'[3]CB-21'!II110+'[3]CB-22'!II110+'[3]CB-23'!II110+'[3]CB-24'!II110+'[4]LCT-1'!II110+'[4]LCT-2'!II110+'[4]LCT-3'!II110+'[4]LCT-4'!II110+'[4]LCT-5'!II110+'[4]LCT-6'!II110+'[4]LCT-7'!II110+'[4]LCT-8'!II110+'[5]TB-1'!II110+'[5]TB-2'!II110+'[5]TB-3'!II110+'[5]TB-4'!II110+'[5]TB-5'!II110+'[5]TB-6'!II110+'[5]TB-7'!II110+'[5]TB-8'!II110+'[5]TB-9'!II110+'[5]TB-10'!II110+'[6]DSV-1'!II110+'[6]DSV-2'!II110+'[6]DSV-3'!II110+'[7]TUB-1'!II110+'[7]TUB-2'!II110+'[8]Barge-1'!II110+'[8]Barge-2'!II110+'[8]Barge-3'!II110+'[8]Barge-4'!II110</f>
        <v>0</v>
      </c>
      <c r="AX39" s="67"/>
      <c r="AY39" s="67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</row>
    <row r="40" spans="1:97" s="69" customFormat="1" ht="14.25" customHeight="1" x14ac:dyDescent="0.25">
      <c r="A40" s="111">
        <f>[1]Control!AZ40</f>
        <v>46015</v>
      </c>
      <c r="B40" s="66"/>
      <c r="C40" s="176">
        <f>'[2]AHTS-1'!AV40+'[2]AHTS-2'!AV40+'[2]AHTS-3'!AV40+'[2]AHTS-4'!AV40+'[2]AHTS-5'!AV40+'[2]AHTS-6'!AV40+'[2]AHTS-7'!AV40+'[2]AHTS-8'!AV40+'[3]CB-1'!AV40+'[3]CB-2'!AV40+'[3]CB-3'!AV40+'[3]CB-4'!AV40+'[3]CB-5'!AV40+'[3]CB-6'!AV40+'[3]CB-7'!AV40+'[3]CB-8'!AV40+'[3]CB-9'!AV40+'[3]CB-10'!AV40+'[3]CB-11'!AV40+'[3]CB-12'!AV40+'[3]CB-13'!AV40+'[3]CB-14'!AV40+'[3]CB-15'!AV40+'[3]CB-16'!AV40+'[3]CB-17'!AV40+'[3]CB-18'!AV40+'[3]CB-19'!AV40+'[3]CB-20'!AV40+'[3]CB-21'!AV40+'[3]CB-22'!AV40+'[3]CB-23'!AV40+'[3]CB-24'!AV40+'[4]LCT-1'!AV40+'[4]LCT-2'!AV40+'[4]LCT-3'!AV40+'[4]LCT-4'!AV40+'[4]LCT-5'!AV40+'[4]LCT-6'!AV40+'[4]LCT-7'!AV40+'[4]LCT-8'!AV40+'[5]TB-1'!AV40+'[5]TB-2'!AV40+'[5]TB-3'!AV40+'[5]TB-4'!AV40+'[5]TB-5'!AV40+'[5]TB-6'!AV40+'[5]TB-7'!AV40+'[5]TB-8'!AV40+'[5]TB-9'!AV40+'[5]TB-10'!AV40+'[6]DSV-1'!AV40+'[6]DSV-2'!AV40+'[6]DSV-3'!AV40+'[7]TUB-1'!AV40+'[7]TUB-2'!AV40+'[8]Barge-1'!AV40+'[8]Barge-2'!AV40+'[8]Barge-3'!AV40+'[8]Barge-4'!AV40</f>
        <v>0</v>
      </c>
      <c r="D40" s="177">
        <f>'[2]AHTS-1'!BR40+'[2]AHTS-2'!BR40+'[2]AHTS-3'!BR40+'[2]AHTS-4'!BR40+'[2]AHTS-5'!BR40+'[2]AHTS-6'!BR40+'[2]AHTS-7'!BR40+'[2]AHTS-8'!BR40+'[3]CB-1'!BR40+'[3]CB-2'!BR40+'[3]CB-3'!BR40+'[3]CB-4'!BR40+'[3]CB-5'!BR40+'[3]CB-6'!BR40+'[3]CB-7'!BR40+'[3]CB-8'!BR40+'[3]CB-9'!BR40+'[3]CB-10'!BR40+'[3]CB-11'!BR40+'[3]CB-12'!BR40+'[3]CB-13'!BR40+'[3]CB-14'!BR40+'[3]CB-15'!BR40+'[3]CB-16'!BR40+'[3]CB-17'!BR40+'[3]CB-18'!BR40+'[3]CB-19'!BR40+'[3]CB-20'!BR40+'[3]CB-21'!BR40+'[3]CB-22'!BR40+'[3]CB-23'!BR40+'[3]CB-24'!BR40+'[4]LCT-1'!BR40+'[4]LCT-2'!BR40+'[4]LCT-3'!BR40+'[4]LCT-4'!BR40+'[4]LCT-5'!BR40+'[4]LCT-6'!BR40+'[4]LCT-7'!BR40+'[4]LCT-8'!BR40+'[5]TB-1'!BR40+'[5]TB-2'!BR40+'[5]TB-3'!BR40+'[5]TB-4'!BR40+'[5]TB-5'!BR40+'[5]TB-6'!BR40+'[5]TB-7'!BR40+'[5]TB-8'!BR40+'[5]TB-9'!BR40+'[5]TB-10'!BR40+'[6]DSV-1'!BR40+'[6]DSV-2'!BR40+'[6]DSV-3'!BR40+'[7]TUB-1'!BR40+'[7]TUB-2'!BR40+'[8]Barge-1'!BR40+'[8]Barge-2'!BR40+'[8]Barge-3'!BR40+'[8]Barge-4'!BR40</f>
        <v>0</v>
      </c>
      <c r="E40" s="178">
        <f>'[2]AHTS-1'!CN40+'[2]AHTS-2'!CN40+'[2]AHTS-3'!CN40+'[2]AHTS-4'!CN40+'[2]AHTS-5'!CN40+'[2]AHTS-6'!CN40+'[2]AHTS-7'!CN40+'[2]AHTS-8'!CN40+'[3]CB-1'!CN40+'[3]CB-2'!CN40+'[3]CB-3'!CN40+'[3]CB-4'!CN40+'[3]CB-5'!CN40+'[3]CB-6'!CN40+'[3]CB-7'!CN40+'[3]CB-8'!CN40+'[3]CB-9'!CN40+'[3]CB-10'!CN40+'[3]CB-11'!CN40+'[3]CB-12'!CN40+'[3]CB-13'!CN40+'[3]CB-14'!CN40+'[3]CB-15'!CN40+'[3]CB-16'!CN40+'[3]CB-17'!CN40+'[3]CB-18'!CN40+'[3]CB-19'!CN40+'[3]CB-20'!CN40+'[3]CB-21'!CN40+'[3]CB-22'!CN40+'[3]CB-23'!CN40+'[3]CB-24'!CN40+'[4]LCT-1'!CN40+'[4]LCT-2'!CN40+'[4]LCT-3'!CN40+'[4]LCT-4'!CN40+'[4]LCT-5'!CN40+'[4]LCT-6'!CN40+'[4]LCT-7'!CN40+'[4]LCT-8'!CN40+'[5]TB-1'!CN40+'[5]TB-2'!CN40+'[5]TB-3'!CN40+'[5]TB-4'!CN40+'[5]TB-5'!CN40+'[5]TB-6'!CN40+'[5]TB-7'!CN40+'[5]TB-8'!CN40+'[5]TB-9'!CN40+'[5]TB-10'!CN40+'[6]DSV-1'!CN40+'[6]DSV-2'!CN40+'[6]DSV-3'!CN40+'[7]TUB-1'!CN40+'[7]TUB-2'!CN40+'[8]Barge-1'!CN40+'[8]Barge-2'!CN40+'[8]Barge-3'!CN40+'[8]Barge-4'!CN40</f>
        <v>0</v>
      </c>
      <c r="F40" s="179">
        <f>'[2]AHTS-1'!AW40+'[2]AHTS-2'!AW40+'[2]AHTS-3'!AW40+'[2]AHTS-4'!AW40+'[2]AHTS-5'!AW40+'[2]AHTS-6'!AW40+'[2]AHTS-7'!AW40+'[2]AHTS-8'!AW40+'[3]CB-1'!AW40+'[3]CB-2'!AW40+'[3]CB-3'!AW40+'[3]CB-4'!AW40+'[3]CB-5'!AW40+'[3]CB-6'!AW40+'[3]CB-7'!AW40+'[3]CB-8'!AW40+'[3]CB-9'!AW40+'[3]CB-10'!AW40+'[3]CB-11'!AW40+'[3]CB-12'!AW40+'[3]CB-13'!AW40+'[3]CB-14'!AW40+'[3]CB-15'!AW40+'[3]CB-16'!AW40+'[3]CB-17'!AW40+'[3]CB-18'!AW40+'[3]CB-19'!AW40+'[3]CB-20'!AW40+'[3]CB-21'!AW40+'[3]CB-22'!AW40+'[3]CB-23'!AW40+'[3]CB-24'!AW40+'[4]LCT-1'!AW40+'[4]LCT-2'!AW40+'[4]LCT-3'!AW40+'[4]LCT-4'!AW40+'[4]LCT-5'!AW40+'[4]LCT-6'!AW40+'[4]LCT-7'!AW40+'[4]LCT-8'!AW40+'[5]TB-1'!AW40+'[5]TB-2'!AW40+'[5]TB-3'!AW40+'[5]TB-4'!AW40+'[5]TB-5'!AW40+'[5]TB-6'!AW40+'[5]TB-7'!AW40+'[5]TB-8'!AW40+'[5]TB-9'!AW40+'[5]TB-10'!AW40+'[6]DSV-1'!AW40+'[6]DSV-2'!AW40+'[6]DSV-3'!AW40+'[7]TUB-1'!AW40+'[7]TUB-2'!AW40+'[8]Barge-1'!AW40+'[8]Barge-2'!AW40+'[8]Barge-3'!AW40+'[8]Barge-4'!AW40</f>
        <v>1608.5546163031865</v>
      </c>
      <c r="G40" s="180">
        <f>'[2]AHTS-1'!BS40+'[2]AHTS-2'!BS40+'[2]AHTS-3'!BS40+'[2]AHTS-4'!BS40+'[2]AHTS-5'!BS40+'[2]AHTS-6'!BS40+'[2]AHTS-7'!BS40+'[2]AHTS-8'!BS40+'[3]CB-1'!BS40+'[3]CB-2'!BS40+'[3]CB-3'!BS40+'[3]CB-4'!BS40+'[3]CB-5'!BS40+'[3]CB-6'!BS40+'[3]CB-7'!BS40+'[3]CB-8'!BS40+'[3]CB-9'!BS40+'[3]CB-10'!BS40+'[3]CB-11'!BS40+'[3]CB-12'!BS40+'[3]CB-13'!BS40+'[3]CB-14'!BS40+'[3]CB-15'!BS40+'[3]CB-16'!BS40+'[3]CB-17'!BS40+'[3]CB-18'!BS40+'[3]CB-19'!BS40+'[3]CB-20'!BS40+'[3]CB-21'!BS40+'[3]CB-22'!BS40+'[3]CB-23'!BS40+'[3]CB-24'!BS40+'[4]LCT-1'!BS40+'[4]LCT-2'!BS40+'[4]LCT-3'!BS40+'[4]LCT-4'!BS40+'[4]LCT-5'!BS40+'[4]LCT-6'!BS40+'[4]LCT-7'!BS40+'[4]LCT-8'!BS40+'[5]TB-1'!BS40+'[5]TB-2'!BS40+'[5]TB-3'!BS40+'[5]TB-4'!BS40+'[5]TB-5'!BS40+'[5]TB-6'!BS40+'[5]TB-7'!BS40+'[5]TB-8'!BS40+'[5]TB-9'!BS40+'[5]TB-10'!BS40+'[6]DSV-1'!BS40+'[6]DSV-2'!BS40+'[6]DSV-3'!BS40+'[7]TUB-1'!BS40+'[7]TUB-2'!BS40+'[8]Barge-1'!BS40+'[8]Barge-2'!BS40+'[8]Barge-3'!BS40+'[8]Barge-4'!BS40</f>
        <v>2179.8336580562709</v>
      </c>
      <c r="H40" s="180">
        <f>'[2]AHTS-1'!CO40+'[2]AHTS-2'!CO40+'[2]AHTS-3'!CO40+'[2]AHTS-4'!CO40+'[2]AHTS-5'!CO40+'[2]AHTS-6'!CO40+'[2]AHTS-7'!CO40+'[2]AHTS-8'!CO40+'[3]CB-1'!CO40+'[3]CB-2'!CO40+'[3]CB-3'!CO40+'[3]CB-4'!CO40+'[3]CB-5'!CO40+'[3]CB-6'!CO40+'[3]CB-7'!CO40+'[3]CB-8'!CO40+'[3]CB-9'!CO40+'[3]CB-10'!CO40+'[3]CB-11'!CO40+'[3]CB-12'!CO40+'[3]CB-13'!CO40+'[3]CB-14'!CO40+'[3]CB-15'!CO40+'[3]CB-16'!CO40+'[3]CB-17'!CO40+'[3]CB-18'!CO40+'[3]CB-19'!CO40+'[3]CB-20'!CO40+'[3]CB-21'!CO40+'[3]CB-22'!CO40+'[3]CB-23'!CO40+'[3]CB-24'!CO40+'[4]LCT-1'!CO40+'[4]LCT-2'!CO40+'[4]LCT-3'!CO40+'[4]LCT-4'!CO40+'[4]LCT-5'!CO40+'[4]LCT-6'!CO40+'[4]LCT-7'!CO40+'[4]LCT-8'!CO40+'[5]TB-1'!CO40+'[5]TB-2'!CO40+'[5]TB-3'!CO40+'[5]TB-4'!CO40+'[5]TB-5'!CO40+'[5]TB-6'!CO40+'[5]TB-7'!CO40+'[5]TB-8'!CO40+'[5]TB-9'!CO40+'[5]TB-10'!CO40+'[6]DSV-1'!CO40+'[6]DSV-2'!CO40+'[6]DSV-3'!CO40+'[7]TUB-1'!CO40+'[7]TUB-2'!CO40+'[8]Barge-1'!CO40+'[8]Barge-2'!CO40+'[8]Barge-3'!CO40+'[8]Barge-4'!CO40</f>
        <v>0</v>
      </c>
      <c r="I40" s="179">
        <f>'[2]AHTS-1'!AX40+'[2]AHTS-2'!AX40+'[2]AHTS-3'!AX40+'[2]AHTS-4'!AX40+'[2]AHTS-5'!AX40+'[2]AHTS-6'!AX40+'[2]AHTS-7'!AX40+'[2]AHTS-8'!AX40+'[3]CB-1'!AX40+'[3]CB-2'!AX40+'[3]CB-3'!AX40+'[3]CB-4'!AX40+'[3]CB-5'!AX40+'[3]CB-6'!AX40+'[3]CB-7'!AX40+'[3]CB-8'!AX40+'[3]CB-9'!AX40+'[3]CB-10'!AX40+'[3]CB-11'!AX40+'[3]CB-12'!AX40+'[3]CB-13'!AX40+'[3]CB-14'!AX40+'[3]CB-15'!AX40+'[3]CB-16'!AX40+'[3]CB-17'!AX40+'[3]CB-18'!AX40+'[3]CB-19'!AX40+'[3]CB-20'!AX40+'[3]CB-21'!AX40+'[3]CB-22'!AX40+'[3]CB-23'!AX40+'[3]CB-24'!AX40+'[4]LCT-1'!AX40+'[4]LCT-2'!AX40+'[4]LCT-3'!AX40+'[4]LCT-4'!AX40+'[4]LCT-5'!AX40+'[4]LCT-6'!AX40+'[4]LCT-7'!AX40+'[4]LCT-8'!AX40+'[5]TB-1'!AX40+'[5]TB-2'!AX40+'[5]TB-3'!AX40+'[5]TB-4'!AX40+'[5]TB-5'!AX40+'[5]TB-6'!AX40+'[5]TB-7'!AX40+'[5]TB-8'!AX40+'[5]TB-9'!AX40+'[5]TB-10'!AX40+'[6]DSV-1'!AX40+'[6]DSV-2'!AX40+'[6]DSV-3'!AX40+'[7]TUB-1'!AX40+'[7]TUB-2'!AX40+'[8]Barge-1'!AX40+'[8]Barge-2'!AX40+'[8]Barge-3'!AX40+'[8]Barge-4'!AX40</f>
        <v>4142.7238493285568</v>
      </c>
      <c r="J40" s="180">
        <f>'[2]AHTS-1'!BT40+'[2]AHTS-2'!BT40+'[2]AHTS-3'!BT40+'[2]AHTS-4'!BT40+'[2]AHTS-5'!BT40+'[2]AHTS-6'!BT40+'[2]AHTS-7'!BT40+'[2]AHTS-8'!BT40+'[3]CB-1'!BT40+'[3]CB-2'!BT40+'[3]CB-3'!BT40+'[3]CB-4'!BT40+'[3]CB-5'!BT40+'[3]CB-6'!BT40+'[3]CB-7'!BT40+'[3]CB-8'!BT40+'[3]CB-9'!BT40+'[3]CB-10'!BT40+'[3]CB-11'!BT40+'[3]CB-12'!BT40+'[3]CB-13'!BT40+'[3]CB-14'!BT40+'[3]CB-15'!BT40+'[3]CB-16'!BT40+'[3]CB-17'!BT40+'[3]CB-18'!BT40+'[3]CB-19'!BT40+'[3]CB-20'!BT40+'[3]CB-21'!BT40+'[3]CB-22'!BT40+'[3]CB-23'!BT40+'[3]CB-24'!BT40+'[4]LCT-1'!BT40+'[4]LCT-2'!BT40+'[4]LCT-3'!BT40+'[4]LCT-4'!BT40+'[4]LCT-5'!BT40+'[4]LCT-6'!BT40+'[4]LCT-7'!BT40+'[4]LCT-8'!BT40+'[5]TB-1'!BT40+'[5]TB-2'!BT40+'[5]TB-3'!BT40+'[5]TB-4'!BT40+'[5]TB-5'!BT40+'[5]TB-6'!BT40+'[5]TB-7'!BT40+'[5]TB-8'!BT40+'[5]TB-9'!BT40+'[5]TB-10'!BT40+'[6]DSV-1'!BT40+'[6]DSV-2'!BT40+'[6]DSV-3'!BT40+'[7]TUB-1'!BT40+'[7]TUB-2'!BT40+'[8]Barge-1'!BT40+'[8]Barge-2'!BT40+'[8]Barge-3'!BT40+'[8]Barge-4'!BT40</f>
        <v>3492.3428236230698</v>
      </c>
      <c r="K40" s="180">
        <f>'[2]AHTS-1'!CP40+'[2]AHTS-2'!CP40+'[2]AHTS-3'!CP40+'[2]AHTS-4'!CP40+'[2]AHTS-5'!CP40+'[2]AHTS-6'!CP40+'[2]AHTS-7'!CP40+'[2]AHTS-8'!CP40+'[3]CB-1'!CP40+'[3]CB-2'!CP40+'[3]CB-3'!CP40+'[3]CB-4'!CP40+'[3]CB-5'!CP40+'[3]CB-6'!CP40+'[3]CB-7'!CP40+'[3]CB-8'!CP40+'[3]CB-9'!CP40+'[3]CB-10'!CP40+'[3]CB-11'!CP40+'[3]CB-12'!CP40+'[3]CB-13'!CP40+'[3]CB-14'!CP40+'[3]CB-15'!CP40+'[3]CB-16'!CP40+'[3]CB-17'!CP40+'[3]CB-18'!CP40+'[3]CB-19'!CP40+'[3]CB-20'!CP40+'[3]CB-21'!CP40+'[3]CB-22'!CP40+'[3]CB-23'!CP40+'[3]CB-24'!CP40+'[4]LCT-1'!CP40+'[4]LCT-2'!CP40+'[4]LCT-3'!CP40+'[4]LCT-4'!CP40+'[4]LCT-5'!CP40+'[4]LCT-6'!CP40+'[4]LCT-7'!CP40+'[4]LCT-8'!CP40+'[5]TB-1'!CP40+'[5]TB-2'!CP40+'[5]TB-3'!CP40+'[5]TB-4'!CP40+'[5]TB-5'!CP40+'[5]TB-6'!CP40+'[5]TB-7'!CP40+'[5]TB-8'!CP40+'[5]TB-9'!CP40+'[5]TB-10'!CP40+'[6]DSV-1'!CP40+'[6]DSV-2'!CP40+'[6]DSV-3'!CP40+'[7]TUB-1'!CP40+'[7]TUB-2'!CP40+'[8]Barge-1'!CP40+'[8]Barge-2'!CP40+'[8]Barge-3'!CP40+'[8]Barge-4'!CP40</f>
        <v>0</v>
      </c>
      <c r="L40" s="181">
        <f>'[2]AHTS-1'!AY40+'[2]AHTS-2'!AY40+'[2]AHTS-3'!AY40+'[2]AHTS-4'!AY40+'[2]AHTS-5'!AY40+'[2]AHTS-6'!AY40+'[2]AHTS-7'!AY40+'[2]AHTS-8'!AY40+'[3]CB-1'!AY40+'[3]CB-2'!AY40+'[3]CB-3'!AY40+'[3]CB-4'!AY40+'[3]CB-5'!AY40+'[3]CB-6'!AY40+'[3]CB-7'!AY40+'[3]CB-8'!AY40+'[3]CB-9'!AY40+'[3]CB-10'!AY40+'[3]CB-11'!AY40+'[3]CB-12'!AY40+'[3]CB-13'!AY40+'[3]CB-14'!AY40+'[3]CB-15'!AY40+'[3]CB-16'!AY40+'[3]CB-17'!AY40+'[3]CB-18'!AY40+'[3]CB-19'!AY40+'[3]CB-20'!AY40+'[3]CB-21'!AY40+'[3]CB-22'!AY40+'[3]CB-23'!AY40+'[3]CB-24'!AY40+'[4]LCT-1'!AY40+'[4]LCT-2'!AY40+'[4]LCT-3'!AY40+'[4]LCT-4'!AY40+'[4]LCT-5'!AY40+'[4]LCT-6'!AY40+'[4]LCT-7'!AY40+'[4]LCT-8'!AY40+'[5]TB-1'!AY40+'[5]TB-2'!AY40+'[5]TB-3'!AY40+'[5]TB-4'!AY40+'[5]TB-5'!AY40+'[5]TB-6'!AY40+'[5]TB-7'!AY40+'[5]TB-8'!AY40+'[5]TB-9'!AY40+'[5]TB-10'!AY40+'[6]DSV-1'!AY40+'[6]DSV-2'!AY40+'[6]DSV-3'!AY40+'[7]TUB-1'!AY40+'[7]TUB-2'!AY40+'[8]Barge-1'!AY40+'[8]Barge-2'!AY40+'[8]Barge-3'!AY40+'[8]Barge-4'!AY40</f>
        <v>6314.2768105922523</v>
      </c>
      <c r="M40" s="182">
        <f>'[2]AHTS-1'!BU40+'[2]AHTS-2'!BU40+'[2]AHTS-3'!BU40+'[2]AHTS-4'!BU40+'[2]AHTS-5'!BU40+'[2]AHTS-6'!BU40+'[2]AHTS-7'!BU40+'[2]AHTS-8'!BU40+'[3]CB-1'!BU40+'[3]CB-2'!BU40+'[3]CB-3'!BU40+'[3]CB-4'!BU40+'[3]CB-5'!BU40+'[3]CB-6'!BU40+'[3]CB-7'!BU40+'[3]CB-8'!BU40+'[3]CB-9'!BU40+'[3]CB-10'!BU40+'[3]CB-11'!BU40+'[3]CB-12'!BU40+'[3]CB-13'!BU40+'[3]CB-14'!BU40+'[3]CB-15'!BU40+'[3]CB-16'!BU40+'[3]CB-17'!BU40+'[3]CB-18'!BU40+'[3]CB-19'!BU40+'[3]CB-20'!BU40+'[3]CB-21'!BU40+'[3]CB-22'!BU40+'[3]CB-23'!BU40+'[3]CB-24'!BU40+'[4]LCT-1'!BU40+'[4]LCT-2'!BU40+'[4]LCT-3'!BU40+'[4]LCT-4'!BU40+'[4]LCT-5'!BU40+'[4]LCT-6'!BU40+'[4]LCT-7'!BU40+'[4]LCT-8'!BU40+'[5]TB-1'!BU40+'[5]TB-2'!BU40+'[5]TB-3'!BU40+'[5]TB-4'!BU40+'[5]TB-5'!BU40+'[5]TB-6'!BU40+'[5]TB-7'!BU40+'[5]TB-8'!BU40+'[5]TB-9'!BU40+'[5]TB-10'!BU40+'[6]DSV-1'!BU40+'[6]DSV-2'!BU40+'[6]DSV-3'!BU40+'[7]TUB-1'!BU40+'[7]TUB-2'!BU40+'[8]Barge-1'!BU40+'[8]Barge-2'!BU40+'[8]Barge-3'!BU40+'[8]Barge-4'!BU40</f>
        <v>4312.5301154337667</v>
      </c>
      <c r="N40" s="182">
        <f>'[2]AHTS-1'!CQ40+'[2]AHTS-2'!CQ40+'[2]AHTS-3'!CQ40+'[2]AHTS-4'!CQ40+'[2]AHTS-5'!CQ40+'[2]AHTS-6'!CQ40+'[2]AHTS-7'!CQ40+'[2]AHTS-8'!CQ40+'[3]CB-1'!CQ40+'[3]CB-2'!CQ40+'[3]CB-3'!CQ40+'[3]CB-4'!CQ40+'[3]CB-5'!CQ40+'[3]CB-6'!CQ40+'[3]CB-7'!CQ40+'[3]CB-8'!CQ40+'[3]CB-9'!CQ40+'[3]CB-10'!CQ40+'[3]CB-11'!CQ40+'[3]CB-12'!CQ40+'[3]CB-13'!CQ40+'[3]CB-14'!CQ40+'[3]CB-15'!CQ40+'[3]CB-16'!CQ40+'[3]CB-17'!CQ40+'[3]CB-18'!CQ40+'[3]CB-19'!CQ40+'[3]CB-20'!CQ40+'[3]CB-21'!CQ40+'[3]CB-22'!CQ40+'[3]CB-23'!CQ40+'[3]CB-24'!CQ40+'[4]LCT-1'!CQ40+'[4]LCT-2'!CQ40+'[4]LCT-3'!CQ40+'[4]LCT-4'!CQ40+'[4]LCT-5'!CQ40+'[4]LCT-6'!CQ40+'[4]LCT-7'!CQ40+'[4]LCT-8'!CQ40+'[5]TB-1'!CQ40+'[5]TB-2'!CQ40+'[5]TB-3'!CQ40+'[5]TB-4'!CQ40+'[5]TB-5'!CQ40+'[5]TB-6'!CQ40+'[5]TB-7'!CQ40+'[5]TB-8'!CQ40+'[5]TB-9'!CQ40+'[5]TB-10'!CQ40+'[6]DSV-1'!CQ40+'[6]DSV-2'!CQ40+'[6]DSV-3'!CQ40+'[7]TUB-1'!CQ40+'[7]TUB-2'!CQ40+'[8]Barge-1'!CQ40+'[8]Barge-2'!CQ40+'[8]Barge-3'!CQ40+'[8]Barge-4'!CQ40</f>
        <v>0</v>
      </c>
      <c r="O40" s="179">
        <f>'[2]AHTS-1'!AZ40+'[2]AHTS-2'!AZ40+'[2]AHTS-3'!AZ40+'[2]AHTS-4'!AZ40+'[2]AHTS-5'!AZ40+'[2]AHTS-6'!AZ40+'[2]AHTS-7'!AZ40+'[2]AHTS-8'!AZ40+'[3]CB-1'!AZ40+'[3]CB-2'!AZ40+'[3]CB-3'!AZ40+'[3]CB-4'!AZ40+'[3]CB-5'!AZ40+'[3]CB-6'!AZ40+'[3]CB-7'!AZ40+'[3]CB-8'!AZ40+'[3]CB-9'!AZ40+'[3]CB-10'!AZ40+'[3]CB-11'!AZ40+'[3]CB-12'!AZ40+'[3]CB-13'!AZ40+'[3]CB-14'!AZ40+'[3]CB-15'!AZ40+'[3]CB-16'!AZ40+'[3]CB-17'!AZ40+'[3]CB-18'!AZ40+'[3]CB-19'!AZ40+'[3]CB-20'!AZ40+'[3]CB-21'!AZ40+'[3]CB-22'!AZ40+'[3]CB-23'!AZ40+'[3]CB-24'!AZ40+'[4]LCT-1'!AZ40+'[4]LCT-2'!AZ40+'[4]LCT-3'!AZ40+'[4]LCT-4'!AZ40+'[4]LCT-5'!AZ40+'[4]LCT-6'!AZ40+'[4]LCT-7'!AZ40+'[4]LCT-8'!AZ40+'[5]TB-1'!AZ40+'[5]TB-2'!AZ40+'[5]TB-3'!AZ40+'[5]TB-4'!AZ40+'[5]TB-5'!AZ40+'[5]TB-6'!AZ40+'[5]TB-7'!AZ40+'[5]TB-8'!AZ40+'[5]TB-9'!AZ40+'[5]TB-10'!AZ40+'[6]DSV-1'!AZ40+'[6]DSV-2'!AZ40+'[6]DSV-3'!AZ40+'[7]TUB-1'!AZ40+'[7]TUB-2'!AZ40+'[8]Barge-1'!AZ40+'[8]Barge-2'!AZ40+'[8]Barge-3'!AZ40+'[8]Barge-4'!AZ40</f>
        <v>31.634822868874785</v>
      </c>
      <c r="P40" s="180">
        <f>'[2]AHTS-1'!BV40+'[2]AHTS-2'!BV40+'[2]AHTS-3'!BV40+'[2]AHTS-4'!BV40+'[2]AHTS-5'!BV40+'[2]AHTS-6'!BV40+'[2]AHTS-7'!BV40+'[2]AHTS-8'!BV40+'[3]CB-1'!BV40+'[3]CB-2'!BV40+'[3]CB-3'!BV40+'[3]CB-4'!BV40+'[3]CB-5'!BV40+'[3]CB-6'!BV40+'[3]CB-7'!BV40+'[3]CB-8'!BV40+'[3]CB-9'!BV40+'[3]CB-10'!BV40+'[3]CB-11'!BV40+'[3]CB-12'!BV40+'[3]CB-13'!BV40+'[3]CB-14'!BV40+'[3]CB-15'!BV40+'[3]CB-16'!BV40+'[3]CB-17'!BV40+'[3]CB-18'!BV40+'[3]CB-19'!BV40+'[3]CB-20'!BV40+'[3]CB-21'!BV40+'[3]CB-22'!BV40+'[3]CB-23'!BV40+'[3]CB-24'!BV40+'[4]LCT-1'!BV40+'[4]LCT-2'!BV40+'[4]LCT-3'!BV40+'[4]LCT-4'!BV40+'[4]LCT-5'!BV40+'[4]LCT-6'!BV40+'[4]LCT-7'!BV40+'[4]LCT-8'!BV40+'[5]TB-1'!BV40+'[5]TB-2'!BV40+'[5]TB-3'!BV40+'[5]TB-4'!BV40+'[5]TB-5'!BV40+'[5]TB-6'!BV40+'[5]TB-7'!BV40+'[5]TB-8'!BV40+'[5]TB-9'!BV40+'[5]TB-10'!BV40+'[6]DSV-1'!BV40+'[6]DSV-2'!BV40+'[6]DSV-3'!BV40+'[7]TUB-1'!BV40+'[7]TUB-2'!BV40+'[8]Barge-1'!BV40+'[8]Barge-2'!BV40+'[8]Barge-3'!BV40+'[8]Barge-4'!BV40</f>
        <v>68.087067647120435</v>
      </c>
      <c r="Q40" s="180">
        <f>'[2]AHTS-1'!CR40+'[2]AHTS-2'!CR40+'[2]AHTS-3'!CR40+'[2]AHTS-4'!CR40+'[2]AHTS-5'!CR40+'[2]AHTS-6'!CR40+'[2]AHTS-7'!CR40+'[2]AHTS-8'!CR40+'[3]CB-1'!CR40+'[3]CB-2'!CR40+'[3]CB-3'!CR40+'[3]CB-4'!CR40+'[3]CB-5'!CR40+'[3]CB-6'!CR40+'[3]CB-7'!CR40+'[3]CB-8'!CR40+'[3]CB-9'!CR40+'[3]CB-10'!CR40+'[3]CB-11'!CR40+'[3]CB-12'!CR40+'[3]CB-13'!CR40+'[3]CB-14'!CR40+'[3]CB-15'!CR40+'[3]CB-16'!CR40+'[3]CB-17'!CR40+'[3]CB-18'!CR40+'[3]CB-19'!CR40+'[3]CB-20'!CR40+'[3]CB-21'!CR40+'[3]CB-22'!CR40+'[3]CB-23'!CR40+'[3]CB-24'!CR40+'[4]LCT-1'!CR40+'[4]LCT-2'!CR40+'[4]LCT-3'!CR40+'[4]LCT-4'!CR40+'[4]LCT-5'!CR40+'[4]LCT-6'!CR40+'[4]LCT-7'!CR40+'[4]LCT-8'!CR40+'[5]TB-1'!CR40+'[5]TB-2'!CR40+'[5]TB-3'!CR40+'[5]TB-4'!CR40+'[5]TB-5'!CR40+'[5]TB-6'!CR40+'[5]TB-7'!CR40+'[5]TB-8'!CR40+'[5]TB-9'!CR40+'[5]TB-10'!CR40+'[6]DSV-1'!CR40+'[6]DSV-2'!CR40+'[6]DSV-3'!CR40+'[7]TUB-1'!CR40+'[7]TUB-2'!CR40+'[8]Barge-1'!CR40+'[8]Barge-2'!CR40+'[8]Barge-3'!CR40+'[8]Barge-4'!CR40</f>
        <v>0</v>
      </c>
      <c r="R40" s="183">
        <f>'[2]AHTS-1'!BA40+'[2]AHTS-2'!BA40+'[2]AHTS-3'!BA40+'[2]AHTS-4'!BA40+'[2]AHTS-5'!BA40+'[2]AHTS-6'!BA40+'[2]AHTS-7'!BA40+'[2]AHTS-8'!BA40+'[3]CB-1'!BA40+'[3]CB-2'!BA40+'[3]CB-3'!BA40+'[3]CB-4'!BA40+'[3]CB-5'!BA40+'[3]CB-6'!BA40+'[3]CB-7'!BA40+'[3]CB-8'!BA40+'[3]CB-9'!BA40+'[3]CB-10'!BA40+'[3]CB-11'!BA40+'[3]CB-12'!BA40+'[3]CB-13'!BA40+'[3]CB-14'!BA40+'[3]CB-15'!BA40+'[3]CB-16'!BA40+'[3]CB-17'!BA40+'[3]CB-18'!BA40+'[3]CB-19'!BA40+'[3]CB-20'!BA40+'[3]CB-21'!BA40+'[3]CB-22'!BA40+'[3]CB-23'!BA40+'[3]CB-24'!BA40+'[4]LCT-1'!BA40+'[4]LCT-2'!BA40+'[4]LCT-3'!BA40+'[4]LCT-4'!BA40+'[4]LCT-5'!BA40+'[4]LCT-6'!BA40+'[4]LCT-7'!BA40+'[4]LCT-8'!BA40+'[5]TB-1'!BA40+'[5]TB-2'!BA40+'[5]TB-3'!BA40+'[5]TB-4'!BA40+'[5]TB-5'!BA40+'[5]TB-6'!BA40+'[5]TB-7'!BA40+'[5]TB-8'!BA40+'[5]TB-9'!BA40+'[5]TB-10'!BA40+'[6]DSV-1'!BA40+'[6]DSV-2'!BA40+'[6]DSV-3'!BA40+'[7]TUB-1'!BA40+'[7]TUB-2'!BA40+'[8]Barge-1'!BA40+'[8]Barge-2'!BA40+'[8]Barge-3'!BA40+'[8]Barge-4'!BA40</f>
        <v>4473.1977876940482</v>
      </c>
      <c r="S40" s="180">
        <f>'[2]AHTS-1'!BW40+'[2]AHTS-2'!BW40+'[2]AHTS-3'!BW40+'[2]AHTS-4'!BW40+'[2]AHTS-5'!BW40+'[2]AHTS-6'!BW40+'[2]AHTS-7'!BW40+'[2]AHTS-8'!BW40+'[3]CB-1'!BW40+'[3]CB-2'!BW40+'[3]CB-3'!BW40+'[3]CB-4'!BW40+'[3]CB-5'!BW40+'[3]CB-6'!BW40+'[3]CB-7'!BW40+'[3]CB-8'!BW40+'[3]CB-9'!BW40+'[3]CB-10'!BW40+'[3]CB-11'!BW40+'[3]CB-12'!BW40+'[3]CB-13'!BW40+'[3]CB-14'!BW40+'[3]CB-15'!BW40+'[3]CB-16'!BW40+'[3]CB-17'!BW40+'[3]CB-18'!BW40+'[3]CB-19'!BW40+'[3]CB-20'!BW40+'[3]CB-21'!BW40+'[3]CB-22'!BW40+'[3]CB-23'!BW40+'[3]CB-24'!BW40+'[4]LCT-1'!BW40+'[4]LCT-2'!BW40+'[4]LCT-3'!BW40+'[4]LCT-4'!BW40+'[4]LCT-5'!BW40+'[4]LCT-6'!BW40+'[4]LCT-7'!BW40+'[4]LCT-8'!BW40+'[5]TB-1'!BW40+'[5]TB-2'!BW40+'[5]TB-3'!BW40+'[5]TB-4'!BW40+'[5]TB-5'!BW40+'[5]TB-6'!BW40+'[5]TB-7'!BW40+'[5]TB-8'!BW40+'[5]TB-9'!BW40+'[5]TB-10'!BW40+'[6]DSV-1'!BW40+'[6]DSV-2'!BW40+'[6]DSV-3'!BW40+'[7]TUB-1'!BW40+'[7]TUB-2'!BW40+'[8]Barge-1'!BW40+'[8]Barge-2'!BW40+'[8]Barge-3'!BW40+'[8]Barge-4'!BW40</f>
        <v>5276.2239959776261</v>
      </c>
      <c r="T40" s="184">
        <f>'[2]AHTS-1'!CS40+'[2]AHTS-2'!CS40+'[2]AHTS-3'!CS40+'[2]AHTS-4'!CS40+'[2]AHTS-5'!CS40+'[2]AHTS-6'!CS40+'[2]AHTS-7'!CS40+'[2]AHTS-8'!CS40+'[3]CB-1'!CS40+'[3]CB-2'!CS40+'[3]CB-3'!CS40+'[3]CB-4'!CS40+'[3]CB-5'!CS40+'[3]CB-6'!CS40+'[3]CB-7'!CS40+'[3]CB-8'!CS40+'[3]CB-9'!CS40+'[3]CB-10'!CS40+'[3]CB-11'!CS40+'[3]CB-12'!CS40+'[3]CB-13'!CS40+'[3]CB-14'!CS40+'[3]CB-15'!CS40+'[3]CB-16'!CS40+'[3]CB-17'!CS40+'[3]CB-18'!CS40+'[3]CB-19'!CS40+'[3]CB-20'!CS40+'[3]CB-21'!CS40+'[3]CB-22'!CS40+'[3]CB-23'!CS40+'[3]CB-24'!CS40+'[4]LCT-1'!CS40+'[4]LCT-2'!CS40+'[4]LCT-3'!CS40+'[4]LCT-4'!CS40+'[4]LCT-5'!CS40+'[4]LCT-6'!CS40+'[4]LCT-7'!CS40+'[4]LCT-8'!CS40+'[5]TB-1'!CS40+'[5]TB-2'!CS40+'[5]TB-3'!CS40+'[5]TB-4'!CS40+'[5]TB-5'!CS40+'[5]TB-6'!CS40+'[5]TB-7'!CS40+'[5]TB-8'!CS40+'[5]TB-9'!CS40+'[5]TB-10'!CS40+'[6]DSV-1'!CS40+'[6]DSV-2'!CS40+'[6]DSV-3'!CS40+'[7]TUB-1'!CS40+'[7]TUB-2'!CS40+'[8]Barge-1'!CS40+'[8]Barge-2'!CS40+'[8]Barge-3'!CS40+'[8]Barge-4'!CS40</f>
        <v>0</v>
      </c>
      <c r="U40" s="183">
        <f>'[2]AHTS-1'!BB40+'[2]AHTS-2'!BB40+'[2]AHTS-3'!BB40+'[2]AHTS-4'!BB40+'[2]AHTS-5'!BB40+'[2]AHTS-6'!BB40+'[2]AHTS-7'!BB40+'[2]AHTS-8'!BB40+'[3]CB-1'!BB40+'[3]CB-2'!BB40+'[3]CB-3'!BB40+'[3]CB-4'!BB40+'[3]CB-5'!BB40+'[3]CB-6'!BB40+'[3]CB-7'!BB40+'[3]CB-8'!BB40+'[3]CB-9'!BB40+'[3]CB-10'!BB40+'[3]CB-11'!BB40+'[3]CB-12'!BB40+'[3]CB-13'!BB40+'[3]CB-14'!BB40+'[3]CB-15'!BB40+'[3]CB-16'!BB40+'[3]CB-17'!BB40+'[3]CB-18'!BB40+'[3]CB-19'!BB40+'[3]CB-20'!BB40+'[3]CB-21'!BB40+'[3]CB-22'!BB40+'[3]CB-23'!BB40+'[3]CB-24'!BB40+'[4]LCT-1'!BB40+'[4]LCT-2'!BB40+'[4]LCT-3'!BB40+'[4]LCT-4'!BB40+'[4]LCT-5'!BB40+'[4]LCT-6'!BB40+'[4]LCT-7'!BB40+'[4]LCT-8'!BB40+'[5]TB-1'!BB40+'[5]TB-2'!BB40+'[5]TB-3'!BB40+'[5]TB-4'!BB40+'[5]TB-5'!BB40+'[5]TB-6'!BB40+'[5]TB-7'!BB40+'[5]TB-8'!BB40+'[5]TB-9'!BB40+'[5]TB-10'!BB40+'[6]DSV-1'!BB40+'[6]DSV-2'!BB40+'[6]DSV-3'!BB40+'[7]TUB-1'!BB40+'[7]TUB-2'!BB40+'[8]Barge-1'!BB40+'[8]Barge-2'!BB40+'[8]Barge-3'!BB40+'[8]Barge-4'!BB40</f>
        <v>0</v>
      </c>
      <c r="V40" s="180">
        <f>'[2]AHTS-1'!BX40+'[2]AHTS-2'!BX40+'[2]AHTS-3'!BX40+'[2]AHTS-4'!BX40+'[2]AHTS-5'!BX40+'[2]AHTS-6'!BX40+'[2]AHTS-7'!BX40+'[2]AHTS-8'!BX40+'[3]CB-1'!BX40+'[3]CB-2'!BX40+'[3]CB-3'!BX40+'[3]CB-4'!BX40+'[3]CB-5'!BX40+'[3]CB-6'!BX40+'[3]CB-7'!BX40+'[3]CB-8'!BX40+'[3]CB-9'!BX40+'[3]CB-10'!BX40+'[3]CB-11'!BX40+'[3]CB-12'!BX40+'[3]CB-13'!BX40+'[3]CB-14'!BX40+'[3]CB-15'!BX40+'[3]CB-16'!BX40+'[3]CB-17'!BX40+'[3]CB-18'!BX40+'[3]CB-19'!BX40+'[3]CB-20'!BX40+'[3]CB-21'!BX40+'[3]CB-22'!BX40+'[3]CB-23'!BX40+'[3]CB-24'!BX40+'[4]LCT-1'!BX40+'[4]LCT-2'!BX40+'[4]LCT-3'!BX40+'[4]LCT-4'!BX40+'[4]LCT-5'!BX40+'[4]LCT-6'!BX40+'[4]LCT-7'!BX40+'[4]LCT-8'!BX40+'[5]TB-1'!BX40+'[5]TB-2'!BX40+'[5]TB-3'!BX40+'[5]TB-4'!BX40+'[5]TB-5'!BX40+'[5]TB-6'!BX40+'[5]TB-7'!BX40+'[5]TB-8'!BX40+'[5]TB-9'!BX40+'[5]TB-10'!BX40+'[6]DSV-1'!BX40+'[6]DSV-2'!BX40+'[6]DSV-3'!BX40+'[7]TUB-1'!BX40+'[7]TUB-2'!BX40+'[8]Barge-1'!BX40+'[8]Barge-2'!BX40+'[8]Barge-3'!BX40+'[8]Barge-4'!BX40</f>
        <v>0</v>
      </c>
      <c r="W40" s="184">
        <f>'[2]AHTS-1'!CT40+'[2]AHTS-2'!CT40+'[2]AHTS-3'!CT40+'[2]AHTS-4'!CT40+'[2]AHTS-5'!CT40+'[2]AHTS-6'!CT40+'[2]AHTS-7'!CT40+'[2]AHTS-8'!CT40+'[3]CB-1'!CT40+'[3]CB-2'!CT40+'[3]CB-3'!CT40+'[3]CB-4'!CT40+'[3]CB-5'!CT40+'[3]CB-6'!CT40+'[3]CB-7'!CT40+'[3]CB-8'!CT40+'[3]CB-9'!CT40+'[3]CB-10'!CT40+'[3]CB-11'!CT40+'[3]CB-12'!CT40+'[3]CB-13'!CT40+'[3]CB-14'!CT40+'[3]CB-15'!CT40+'[3]CB-16'!CT40+'[3]CB-17'!CT40+'[3]CB-18'!CT40+'[3]CB-19'!CT40+'[3]CB-20'!CT40+'[3]CB-21'!CT40+'[3]CB-22'!CT40+'[3]CB-23'!CT40+'[3]CB-24'!CT40+'[4]LCT-1'!CT40+'[4]LCT-2'!CT40+'[4]LCT-3'!CT40+'[4]LCT-4'!CT40+'[4]LCT-5'!CT40+'[4]LCT-6'!CT40+'[4]LCT-7'!CT40+'[4]LCT-8'!CT40+'[5]TB-1'!CT40+'[5]TB-2'!CT40+'[5]TB-3'!CT40+'[5]TB-4'!CT40+'[5]TB-5'!CT40+'[5]TB-6'!CT40+'[5]TB-7'!CT40+'[5]TB-8'!CT40+'[5]TB-9'!CT40+'[5]TB-10'!CT40+'[6]DSV-1'!CT40+'[6]DSV-2'!CT40+'[6]DSV-3'!CT40+'[7]TUB-1'!CT40+'[7]TUB-2'!CT40+'[8]Barge-1'!CT40+'[8]Barge-2'!CT40+'[8]Barge-3'!CT40+'[8]Barge-4'!CT40</f>
        <v>0</v>
      </c>
      <c r="X40" s="67"/>
      <c r="Y40" s="67"/>
      <c r="Z40" s="68"/>
      <c r="AA40" s="111">
        <f>[1]Control!AZ40</f>
        <v>46015</v>
      </c>
      <c r="AB40" s="66"/>
      <c r="AC40" s="132">
        <f>'[2]AHTS-1'!IC78+'[2]AHTS-2'!IC78+'[2]AHTS-3'!IC78+'[2]AHTS-4'!IC78+'[2]AHTS-5'!IC78+'[2]AHTS-6'!IC78+'[2]AHTS-7'!IC78+'[2]AHTS-8'!IC78+'[3]CB-1'!IC78+'[3]CB-2'!IC78+'[3]CB-3'!IC78+'[3]CB-4'!IC78+'[3]CB-5'!IC78+'[3]CB-6'!IC78+'[3]CB-7'!IC78+'[3]CB-8'!IC78+'[3]CB-9'!IC78+'[3]CB-10'!IC78+'[3]CB-11'!IC78+'[3]CB-12'!IC78+'[3]CB-13'!IC78+'[3]CB-14'!IC78+'[3]CB-15'!IC78+'[3]CB-16'!IC78+'[3]CB-17'!IC78+'[3]CB-18'!IC78+'[3]CB-19'!IC78+'[3]CB-20'!IC78+'[3]CB-21'!IC78+'[3]CB-22'!IC78+'[3]CB-23'!IC78+'[3]CB-24'!IC78+'[4]LCT-1'!IC78+'[4]LCT-2'!IC78+'[4]LCT-3'!IC78+'[4]LCT-4'!IC78+'[4]LCT-5'!IC78+'[4]LCT-6'!IC78+'[4]LCT-7'!IC78+'[4]LCT-8'!IC78+'[5]TB-1'!IC78+'[5]TB-2'!IC78+'[5]TB-3'!IC78+'[5]TB-4'!IC78+'[5]TB-5'!IC78+'[5]TB-6'!IC78+'[5]TB-7'!IC78+'[5]TB-8'!IC78+'[5]TB-9'!IC78+'[5]TB-10'!IC78+'[6]DSV-1'!IC78+'[6]DSV-2'!IC78+'[6]DSV-3'!IC78+'[7]TUB-1'!IC78+'[7]TUB-2'!IC78+'[8]Barge-1'!IC78+'[8]Barge-2'!IC78+'[8]Barge-3'!IC78+'[8]Barge-4'!IC78</f>
        <v>0</v>
      </c>
      <c r="AD40" s="133">
        <f>'[2]AHTS-1'!IC40+'[2]AHTS-2'!IC40+'[2]AHTS-3'!IC40+'[2]AHTS-4'!IC40+'[2]AHTS-5'!IC40+'[2]AHTS-6'!IC40+'[2]AHTS-7'!IC40+'[2]AHTS-8'!IC40+'[3]CB-1'!IC40+'[3]CB-2'!IC40+'[3]CB-3'!IC40+'[3]CB-4'!IC40+'[3]CB-5'!IC40+'[3]CB-6'!IC40+'[3]CB-7'!IC40+'[3]CB-8'!IC40+'[3]CB-9'!IC40+'[3]CB-10'!IC40+'[3]CB-11'!IC40+'[3]CB-12'!IC40+'[3]CB-13'!IC40+'[3]CB-14'!IC40+'[3]CB-15'!IC40+'[3]CB-16'!IC40+'[3]CB-17'!IC40+'[3]CB-18'!IC40+'[3]CB-19'!IC40+'[3]CB-20'!IC40+'[3]CB-21'!IC40+'[3]CB-22'!IC40+'[3]CB-23'!IC40+'[3]CB-24'!IC40+'[4]LCT-1'!IC40+'[4]LCT-2'!IC40+'[4]LCT-3'!IC40+'[4]LCT-4'!IC40+'[4]LCT-5'!IC40+'[4]LCT-6'!IC40+'[4]LCT-7'!IC40+'[4]LCT-8'!IC40+'[5]TB-1'!IC40+'[5]TB-2'!IC40+'[5]TB-3'!IC40+'[5]TB-4'!IC40+'[5]TB-5'!IC40+'[5]TB-6'!IC40+'[5]TB-7'!IC40+'[5]TB-8'!IC40+'[5]TB-9'!IC40+'[5]TB-10'!IC40+'[6]DSV-1'!IC40+'[6]DSV-2'!IC40+'[6]DSV-3'!IC40+'[7]TUB-1'!IC40+'[7]TUB-2'!IC40+'[8]Barge-1'!IC40+'[8]Barge-2'!IC40+'[8]Barge-3'!IC40+'[8]Barge-4'!IC40</f>
        <v>0</v>
      </c>
      <c r="AE40" s="134">
        <f>'[2]AHTS-1'!IC111+'[2]AHTS-2'!IC111+'[2]AHTS-3'!IC111+'[2]AHTS-4'!IC111+'[2]AHTS-5'!IC111+'[2]AHTS-6'!IC111+'[2]AHTS-7'!IC111+'[2]AHTS-8'!IC111+'[3]CB-1'!IC111+'[3]CB-2'!IC111+'[3]CB-3'!IC111+'[3]CB-4'!IC111+'[3]CB-5'!IC111+'[3]CB-6'!IC111+'[3]CB-7'!IC111+'[3]CB-8'!IC111+'[3]CB-9'!IC111+'[3]CB-10'!IC111+'[3]CB-11'!IC111+'[3]CB-12'!IC111+'[3]CB-13'!IC111+'[3]CB-14'!IC111+'[3]CB-15'!IC111+'[3]CB-16'!IC111+'[3]CB-17'!IC111+'[3]CB-18'!IC111+'[3]CB-19'!IC111+'[3]CB-20'!IC111+'[3]CB-21'!IC111+'[3]CB-22'!IC111+'[3]CB-23'!IC111+'[3]CB-24'!IC111+'[4]LCT-1'!IC111+'[4]LCT-2'!IC111+'[4]LCT-3'!IC111+'[4]LCT-4'!IC111+'[4]LCT-5'!IC111+'[4]LCT-6'!IC111+'[4]LCT-7'!IC111+'[4]LCT-8'!IC111+'[5]TB-1'!IC111+'[5]TB-2'!IC111+'[5]TB-3'!IC111+'[5]TB-4'!IC111+'[5]TB-5'!IC111+'[5]TB-6'!IC111+'[5]TB-7'!IC111+'[5]TB-8'!IC111+'[5]TB-9'!IC111+'[5]TB-10'!IC111+'[6]DSV-1'!IC111+'[6]DSV-2'!IC111+'[6]DSV-3'!IC111+'[7]TUB-1'!IC111+'[7]TUB-2'!IC111+'[8]Barge-1'!IC111+'[8]Barge-2'!IC111+'[8]Barge-3'!IC111+'[8]Barge-4'!IC111</f>
        <v>0</v>
      </c>
      <c r="AF40" s="135">
        <f>'[2]AHTS-1'!ID78+'[2]AHTS-2'!ID78+'[2]AHTS-3'!ID78+'[2]AHTS-4'!ID78+'[2]AHTS-5'!ID78+'[2]AHTS-6'!ID78+'[2]AHTS-7'!ID78+'[2]AHTS-8'!ID78+'[3]CB-1'!ID78+'[3]CB-2'!ID78+'[3]CB-3'!ID78+'[3]CB-4'!ID78+'[3]CB-5'!ID78+'[3]CB-6'!ID78+'[3]CB-7'!ID78+'[3]CB-8'!ID78+'[3]CB-9'!ID78+'[3]CB-10'!ID78+'[3]CB-11'!ID78+'[3]CB-12'!ID78+'[3]CB-13'!ID78+'[3]CB-14'!ID78+'[3]CB-15'!ID78+'[3]CB-16'!ID78+'[3]CB-17'!ID78+'[3]CB-18'!ID78+'[3]CB-19'!ID78+'[3]CB-20'!ID78+'[3]CB-21'!ID78+'[3]CB-22'!ID78+'[3]CB-23'!ID78+'[3]CB-24'!ID78+'[4]LCT-1'!ID78+'[4]LCT-2'!ID78+'[4]LCT-3'!ID78+'[4]LCT-4'!ID78+'[4]LCT-5'!ID78+'[4]LCT-6'!ID78+'[4]LCT-7'!ID78+'[4]LCT-8'!ID78+'[5]TB-1'!ID78+'[5]TB-2'!ID78+'[5]TB-3'!ID78+'[5]TB-4'!ID78+'[5]TB-5'!ID78+'[5]TB-6'!ID78+'[5]TB-7'!ID78+'[5]TB-8'!ID78+'[5]TB-9'!ID78+'[5]TB-10'!ID78+'[6]DSV-1'!ID78+'[6]DSV-2'!ID78+'[6]DSV-3'!ID78+'[7]TUB-1'!ID78+'[7]TUB-2'!ID78+'[8]Barge-1'!ID78+'[8]Barge-2'!ID78+'[8]Barge-3'!ID78+'[8]Barge-4'!ID78</f>
        <v>25593712.5</v>
      </c>
      <c r="AG40" s="136">
        <f>'[2]AHTS-1'!ID40+'[2]AHTS-2'!ID40+'[2]AHTS-3'!ID40+'[2]AHTS-4'!ID40+'[2]AHTS-5'!ID40+'[2]AHTS-6'!ID40+'[2]AHTS-7'!ID40+'[2]AHTS-8'!ID40+'[3]CB-1'!ID40+'[3]CB-2'!ID40+'[3]CB-3'!ID40+'[3]CB-4'!ID40+'[3]CB-5'!ID40+'[3]CB-6'!ID40+'[3]CB-7'!ID40+'[3]CB-8'!ID40+'[3]CB-9'!ID40+'[3]CB-10'!ID40+'[3]CB-11'!ID40+'[3]CB-12'!ID40+'[3]CB-13'!ID40+'[3]CB-14'!ID40+'[3]CB-15'!ID40+'[3]CB-16'!ID40+'[3]CB-17'!ID40+'[3]CB-18'!ID40+'[3]CB-19'!ID40+'[3]CB-20'!ID40+'[3]CB-21'!ID40+'[3]CB-22'!ID40+'[3]CB-23'!ID40+'[3]CB-24'!ID40+'[4]LCT-1'!ID40+'[4]LCT-2'!ID40+'[4]LCT-3'!ID40+'[4]LCT-4'!ID40+'[4]LCT-5'!ID40+'[4]LCT-6'!ID40+'[4]LCT-7'!ID40+'[4]LCT-8'!ID40+'[5]TB-1'!ID40+'[5]TB-2'!ID40+'[5]TB-3'!ID40+'[5]TB-4'!ID40+'[5]TB-5'!ID40+'[5]TB-6'!ID40+'[5]TB-7'!ID40+'[5]TB-8'!ID40+'[5]TB-9'!ID40+'[5]TB-10'!ID40+'[6]DSV-1'!ID40+'[6]DSV-2'!ID40+'[6]DSV-3'!ID40+'[7]TUB-1'!ID40+'[7]TUB-2'!ID40+'[8]Barge-1'!ID40+'[8]Barge-2'!ID40+'[8]Barge-3'!ID40+'[8]Barge-4'!ID40</f>
        <v>34683333.333333336</v>
      </c>
      <c r="AH40" s="136">
        <f>'[2]AHTS-1'!ID111+'[2]AHTS-2'!ID111+'[2]AHTS-3'!ID111+'[2]AHTS-4'!ID111+'[2]AHTS-5'!ID111+'[2]AHTS-6'!ID111+'[2]AHTS-7'!ID111+'[2]AHTS-8'!ID111+'[3]CB-1'!ID111+'[3]CB-2'!ID111+'[3]CB-3'!ID111+'[3]CB-4'!ID111+'[3]CB-5'!ID111+'[3]CB-6'!ID111+'[3]CB-7'!ID111+'[3]CB-8'!ID111+'[3]CB-9'!ID111+'[3]CB-10'!ID111+'[3]CB-11'!ID111+'[3]CB-12'!ID111+'[3]CB-13'!ID111+'[3]CB-14'!ID111+'[3]CB-15'!ID111+'[3]CB-16'!ID111+'[3]CB-17'!ID111+'[3]CB-18'!ID111+'[3]CB-19'!ID111+'[3]CB-20'!ID111+'[3]CB-21'!ID111+'[3]CB-22'!ID111+'[3]CB-23'!ID111+'[3]CB-24'!ID111+'[4]LCT-1'!ID111+'[4]LCT-2'!ID111+'[4]LCT-3'!ID111+'[4]LCT-4'!ID111+'[4]LCT-5'!ID111+'[4]LCT-6'!ID111+'[4]LCT-7'!ID111+'[4]LCT-8'!ID111+'[5]TB-1'!ID111+'[5]TB-2'!ID111+'[5]TB-3'!ID111+'[5]TB-4'!ID111+'[5]TB-5'!ID111+'[5]TB-6'!ID111+'[5]TB-7'!ID111+'[5]TB-8'!ID111+'[5]TB-9'!ID111+'[5]TB-10'!ID111+'[6]DSV-1'!ID111+'[6]DSV-2'!ID111+'[6]DSV-3'!ID111+'[7]TUB-1'!ID111+'[7]TUB-2'!ID111+'[8]Barge-1'!ID111+'[8]Barge-2'!ID111+'[8]Barge-3'!ID111+'[8]Barge-4'!ID111</f>
        <v>0</v>
      </c>
      <c r="AI40" s="135">
        <f>'[2]AHTS-1'!IE78+'[2]AHTS-2'!IE78+'[2]AHTS-3'!IE78+'[2]AHTS-4'!IE78+'[2]AHTS-5'!IE78+'[2]AHTS-6'!IE78+'[2]AHTS-7'!IE78+'[2]AHTS-8'!IE78+'[3]CB-1'!IE78+'[3]CB-2'!IE78+'[3]CB-3'!IE78+'[3]CB-4'!IE78+'[3]CB-5'!IE78+'[3]CB-6'!IE78+'[3]CB-7'!IE78+'[3]CB-8'!IE78+'[3]CB-9'!IE78+'[3]CB-10'!IE78+'[3]CB-11'!IE78+'[3]CB-12'!IE78+'[3]CB-13'!IE78+'[3]CB-14'!IE78+'[3]CB-15'!IE78+'[3]CB-16'!IE78+'[3]CB-17'!IE78+'[3]CB-18'!IE78+'[3]CB-19'!IE78+'[3]CB-20'!IE78+'[3]CB-21'!IE78+'[3]CB-22'!IE78+'[3]CB-23'!IE78+'[3]CB-24'!IE78+'[4]LCT-1'!IE78+'[4]LCT-2'!IE78+'[4]LCT-3'!IE78+'[4]LCT-4'!IE78+'[4]LCT-5'!IE78+'[4]LCT-6'!IE78+'[4]LCT-7'!IE78+'[4]LCT-8'!IE78+'[5]TB-1'!IE78+'[5]TB-2'!IE78+'[5]TB-3'!IE78+'[5]TB-4'!IE78+'[5]TB-5'!IE78+'[5]TB-6'!IE78+'[5]TB-7'!IE78+'[5]TB-8'!IE78+'[5]TB-9'!IE78+'[5]TB-10'!IE78+'[6]DSV-1'!IE78+'[6]DSV-2'!IE78+'[6]DSV-3'!IE78+'[7]TUB-1'!IE78+'[7]TUB-2'!IE78+'[8]Barge-1'!IE78+'[8]Barge-2'!IE78+'[8]Barge-3'!IE78+'[8]Barge-4'!IE78</f>
        <v>65914879.166666664</v>
      </c>
      <c r="AJ40" s="136">
        <f>'[2]AHTS-1'!IE40+'[2]AHTS-2'!IE40+'[2]AHTS-3'!IE40+'[2]AHTS-4'!IE40+'[2]AHTS-5'!IE40+'[2]AHTS-6'!IE40+'[2]AHTS-7'!IE40+'[2]AHTS-8'!IE40+'[3]CB-1'!IE40+'[3]CB-2'!IE40+'[3]CB-3'!IE40+'[3]CB-4'!IE40+'[3]CB-5'!IE40+'[3]CB-6'!IE40+'[3]CB-7'!IE40+'[3]CB-8'!IE40+'[3]CB-9'!IE40+'[3]CB-10'!IE40+'[3]CB-11'!IE40+'[3]CB-12'!IE40+'[3]CB-13'!IE40+'[3]CB-14'!IE40+'[3]CB-15'!IE40+'[3]CB-16'!IE40+'[3]CB-17'!IE40+'[3]CB-18'!IE40+'[3]CB-19'!IE40+'[3]CB-20'!IE40+'[3]CB-21'!IE40+'[3]CB-22'!IE40+'[3]CB-23'!IE40+'[3]CB-24'!IE40+'[4]LCT-1'!IE40+'[4]LCT-2'!IE40+'[4]LCT-3'!IE40+'[4]LCT-4'!IE40+'[4]LCT-5'!IE40+'[4]LCT-6'!IE40+'[4]LCT-7'!IE40+'[4]LCT-8'!IE40+'[5]TB-1'!IE40+'[5]TB-2'!IE40+'[5]TB-3'!IE40+'[5]TB-4'!IE40+'[5]TB-5'!IE40+'[5]TB-6'!IE40+'[5]TB-7'!IE40+'[5]TB-8'!IE40+'[5]TB-9'!IE40+'[5]TB-10'!IE40+'[6]DSV-1'!IE40+'[6]DSV-2'!IE40+'[6]DSV-3'!IE40+'[7]TUB-1'!IE40+'[7]TUB-2'!IE40+'[8]Barge-1'!IE40+'[8]Barge-2'!IE40+'[8]Barge-3'!IE40+'[8]Barge-4'!IE40</f>
        <v>55566666.666666672</v>
      </c>
      <c r="AK40" s="136">
        <f>'[2]AHTS-1'!IE111+'[2]AHTS-2'!IE111+'[2]AHTS-3'!IE111+'[2]AHTS-4'!IE111+'[2]AHTS-5'!IE111+'[2]AHTS-6'!IE111+'[2]AHTS-7'!IE111+'[2]AHTS-8'!IE111+'[3]CB-1'!IE111+'[3]CB-2'!IE111+'[3]CB-3'!IE111+'[3]CB-4'!IE111+'[3]CB-5'!IE111+'[3]CB-6'!IE111+'[3]CB-7'!IE111+'[3]CB-8'!IE111+'[3]CB-9'!IE111+'[3]CB-10'!IE111+'[3]CB-11'!IE111+'[3]CB-12'!IE111+'[3]CB-13'!IE111+'[3]CB-14'!IE111+'[3]CB-15'!IE111+'[3]CB-16'!IE111+'[3]CB-17'!IE111+'[3]CB-18'!IE111+'[3]CB-19'!IE111+'[3]CB-20'!IE111+'[3]CB-21'!IE111+'[3]CB-22'!IE111+'[3]CB-23'!IE111+'[3]CB-24'!IE111+'[4]LCT-1'!IE111+'[4]LCT-2'!IE111+'[4]LCT-3'!IE111+'[4]LCT-4'!IE111+'[4]LCT-5'!IE111+'[4]LCT-6'!IE111+'[4]LCT-7'!IE111+'[4]LCT-8'!IE111+'[5]TB-1'!IE111+'[5]TB-2'!IE111+'[5]TB-3'!IE111+'[5]TB-4'!IE111+'[5]TB-5'!IE111+'[5]TB-6'!IE111+'[5]TB-7'!IE111+'[5]TB-8'!IE111+'[5]TB-9'!IE111+'[5]TB-10'!IE111+'[6]DSV-1'!IE111+'[6]DSV-2'!IE111+'[6]DSV-3'!IE111+'[7]TUB-1'!IE111+'[7]TUB-2'!IE111+'[8]Barge-1'!IE111+'[8]Barge-2'!IE111+'[8]Barge-3'!IE111+'[8]Barge-4'!IE111</f>
        <v>0</v>
      </c>
      <c r="AL40" s="137">
        <f>'[2]AHTS-1'!IF78+'[2]AHTS-2'!IF78+'[2]AHTS-3'!IF78+'[2]AHTS-4'!IF78+'[2]AHTS-5'!IF78+'[2]AHTS-6'!IF78+'[2]AHTS-7'!IF78+'[2]AHTS-8'!IF78+'[3]CB-1'!IF78+'[3]CB-2'!IF78+'[3]CB-3'!IF78+'[3]CB-4'!IF78+'[3]CB-5'!IF78+'[3]CB-6'!IF78+'[3]CB-7'!IF78+'[3]CB-8'!IF78+'[3]CB-9'!IF78+'[3]CB-10'!IF78+'[3]CB-11'!IF78+'[3]CB-12'!IF78+'[3]CB-13'!IF78+'[3]CB-14'!IF78+'[3]CB-15'!IF78+'[3]CB-16'!IF78+'[3]CB-17'!IF78+'[3]CB-18'!IF78+'[3]CB-19'!IF78+'[3]CB-20'!IF78+'[3]CB-21'!IF78+'[3]CB-22'!IF78+'[3]CB-23'!IF78+'[3]CB-24'!IF78+'[4]LCT-1'!IF78+'[4]LCT-2'!IF78+'[4]LCT-3'!IF78+'[4]LCT-4'!IF78+'[4]LCT-5'!IF78+'[4]LCT-6'!IF78+'[4]LCT-7'!IF78+'[4]LCT-8'!IF78+'[5]TB-1'!IF78+'[5]TB-2'!IF78+'[5]TB-3'!IF78+'[5]TB-4'!IF78+'[5]TB-5'!IF78+'[5]TB-6'!IF78+'[5]TB-7'!IF78+'[5]TB-8'!IF78+'[5]TB-9'!IF78+'[5]TB-10'!IF78+'[6]DSV-1'!IF78+'[6]DSV-2'!IF78+'[6]DSV-3'!IF78+'[7]TUB-1'!IF78+'[7]TUB-2'!IF78+'[8]Barge-1'!IF78+'[8]Barge-2'!IF78+'[8]Barge-3'!IF78+'[8]Barge-4'!IF78</f>
        <v>100466458.33333333</v>
      </c>
      <c r="AM40" s="138">
        <f>'[2]AHTS-1'!IF40+'[2]AHTS-2'!IF40+'[2]AHTS-3'!IF40+'[2]AHTS-4'!IF40+'[2]AHTS-5'!IF40+'[2]AHTS-6'!IF40+'[2]AHTS-7'!IF40+'[2]AHTS-8'!IF40+'[3]CB-1'!IF40+'[3]CB-2'!IF40+'[3]CB-3'!IF40+'[3]CB-4'!IF40+'[3]CB-5'!IF40+'[3]CB-6'!IF40+'[3]CB-7'!IF40+'[3]CB-8'!IF40+'[3]CB-9'!IF40+'[3]CB-10'!IF40+'[3]CB-11'!IF40+'[3]CB-12'!IF40+'[3]CB-13'!IF40+'[3]CB-14'!IF40+'[3]CB-15'!IF40+'[3]CB-16'!IF40+'[3]CB-17'!IF40+'[3]CB-18'!IF40+'[3]CB-19'!IF40+'[3]CB-20'!IF40+'[3]CB-21'!IF40+'[3]CB-22'!IF40+'[3]CB-23'!IF40+'[3]CB-24'!IF40+'[4]LCT-1'!IF40+'[4]LCT-2'!IF40+'[4]LCT-3'!IF40+'[4]LCT-4'!IF40+'[4]LCT-5'!IF40+'[4]LCT-6'!IF40+'[4]LCT-7'!IF40+'[4]LCT-8'!IF40+'[5]TB-1'!IF40+'[5]TB-2'!IF40+'[5]TB-3'!IF40+'[5]TB-4'!IF40+'[5]TB-5'!IF40+'[5]TB-6'!IF40+'[5]TB-7'!IF40+'[5]TB-8'!IF40+'[5]TB-9'!IF40+'[5]TB-10'!IF40+'[6]DSV-1'!IF40+'[6]DSV-2'!IF40+'[6]DSV-3'!IF40+'[7]TUB-1'!IF40+'[7]TUB-2'!IF40+'[8]Barge-1'!IF40+'[8]Barge-2'!IF40+'[8]Barge-3'!IF40+'[8]Barge-4'!IF40</f>
        <v>68616666.666666657</v>
      </c>
      <c r="AN40" s="138">
        <f>'[2]AHTS-1'!IF111+'[2]AHTS-2'!IF111+'[2]AHTS-3'!IF111+'[2]AHTS-4'!IF111+'[2]AHTS-5'!IF111+'[2]AHTS-6'!IF111+'[2]AHTS-7'!IF111+'[2]AHTS-8'!IF111+'[3]CB-1'!IF111+'[3]CB-2'!IF111+'[3]CB-3'!IF111+'[3]CB-4'!IF111+'[3]CB-5'!IF111+'[3]CB-6'!IF111+'[3]CB-7'!IF111+'[3]CB-8'!IF111+'[3]CB-9'!IF111+'[3]CB-10'!IF111+'[3]CB-11'!IF111+'[3]CB-12'!IF111+'[3]CB-13'!IF111+'[3]CB-14'!IF111+'[3]CB-15'!IF111+'[3]CB-16'!IF111+'[3]CB-17'!IF111+'[3]CB-18'!IF111+'[3]CB-19'!IF111+'[3]CB-20'!IF111+'[3]CB-21'!IF111+'[3]CB-22'!IF111+'[3]CB-23'!IF111+'[3]CB-24'!IF111+'[4]LCT-1'!IF111+'[4]LCT-2'!IF111+'[4]LCT-3'!IF111+'[4]LCT-4'!IF111+'[4]LCT-5'!IF111+'[4]LCT-6'!IF111+'[4]LCT-7'!IF111+'[4]LCT-8'!IF111+'[5]TB-1'!IF111+'[5]TB-2'!IF111+'[5]TB-3'!IF111+'[5]TB-4'!IF111+'[5]TB-5'!IF111+'[5]TB-6'!IF111+'[5]TB-7'!IF111+'[5]TB-8'!IF111+'[5]TB-9'!IF111+'[5]TB-10'!IF111+'[6]DSV-1'!IF111+'[6]DSV-2'!IF111+'[6]DSV-3'!IF111+'[7]TUB-1'!IF111+'[7]TUB-2'!IF111+'[8]Barge-1'!IF111+'[8]Barge-2'!IF111+'[8]Barge-3'!IF111+'[8]Barge-4'!IF111</f>
        <v>0</v>
      </c>
      <c r="AO40" s="135">
        <f>'[2]AHTS-1'!IG78+'[2]AHTS-2'!IG78+'[2]AHTS-3'!IG78+'[2]AHTS-4'!IG78+'[2]AHTS-5'!IG78+'[2]AHTS-6'!IG78+'[2]AHTS-7'!IG78+'[2]AHTS-8'!IG78+'[3]CB-1'!IG78+'[3]CB-2'!IG78+'[3]CB-3'!IG78+'[3]CB-4'!IG78+'[3]CB-5'!IG78+'[3]CB-6'!IG78+'[3]CB-7'!IG78+'[3]CB-8'!IG78+'[3]CB-9'!IG78+'[3]CB-10'!IG78+'[3]CB-11'!IG78+'[3]CB-12'!IG78+'[3]CB-13'!IG78+'[3]CB-14'!IG78+'[3]CB-15'!IG78+'[3]CB-16'!IG78+'[3]CB-17'!IG78+'[3]CB-18'!IG78+'[3]CB-19'!IG78+'[3]CB-20'!IG78+'[3]CB-21'!IG78+'[3]CB-22'!IG78+'[3]CB-23'!IG78+'[3]CB-24'!IG78+'[4]LCT-1'!IG78+'[4]LCT-2'!IG78+'[4]LCT-3'!IG78+'[4]LCT-4'!IG78+'[4]LCT-5'!IG78+'[4]LCT-6'!IG78+'[4]LCT-7'!IG78+'[4]LCT-8'!IG78+'[5]TB-1'!IG78+'[5]TB-2'!IG78+'[5]TB-3'!IG78+'[5]TB-4'!IG78+'[5]TB-5'!IG78+'[5]TB-6'!IG78+'[5]TB-7'!IG78+'[5]TB-8'!IG78+'[5]TB-9'!IG78+'[5]TB-10'!IG78+'[6]DSV-1'!IG78+'[6]DSV-2'!IG78+'[6]DSV-3'!IG78+'[7]TUB-1'!IG78+'[7]TUB-2'!IG78+'[8]Barge-1'!IG78+'[8]Barge-2'!IG78+'[8]Barge-3'!IG78+'[8]Barge-4'!IG78</f>
        <v>503341.66666666669</v>
      </c>
      <c r="AP40" s="136">
        <f>'[2]AHTS-1'!IG40+'[2]AHTS-2'!IG40+'[2]AHTS-3'!IG40+'[2]AHTS-4'!IG40+'[2]AHTS-5'!IG40+'[2]AHTS-6'!IG40+'[2]AHTS-7'!IG40+'[2]AHTS-8'!IG40+'[3]CB-1'!IG40+'[3]CB-2'!IG40+'[3]CB-3'!IG40+'[3]CB-4'!IG40+'[3]CB-5'!IG40+'[3]CB-6'!IG40+'[3]CB-7'!IG40+'[3]CB-8'!IG40+'[3]CB-9'!IG40+'[3]CB-10'!IG40+'[3]CB-11'!IG40+'[3]CB-12'!IG40+'[3]CB-13'!IG40+'[3]CB-14'!IG40+'[3]CB-15'!IG40+'[3]CB-16'!IG40+'[3]CB-17'!IG40+'[3]CB-18'!IG40+'[3]CB-19'!IG40+'[3]CB-20'!IG40+'[3]CB-21'!IG40+'[3]CB-22'!IG40+'[3]CB-23'!IG40+'[3]CB-24'!IG40+'[4]LCT-1'!IG40+'[4]LCT-2'!IG40+'[4]LCT-3'!IG40+'[4]LCT-4'!IG40+'[4]LCT-5'!IG40+'[4]LCT-6'!IG40+'[4]LCT-7'!IG40+'[4]LCT-8'!IG40+'[5]TB-1'!IG40+'[5]TB-2'!IG40+'[5]TB-3'!IG40+'[5]TB-4'!IG40+'[5]TB-5'!IG40+'[5]TB-6'!IG40+'[5]TB-7'!IG40+'[5]TB-8'!IG40+'[5]TB-9'!IG40+'[5]TB-10'!IG40+'[6]DSV-1'!IG40+'[6]DSV-2'!IG40+'[6]DSV-3'!IG40+'[7]TUB-1'!IG40+'[7]TUB-2'!IG40+'[8]Barge-1'!IG40+'[8]Barge-2'!IG40+'[8]Barge-3'!IG40+'[8]Barge-4'!IG40</f>
        <v>1083333.3333333333</v>
      </c>
      <c r="AQ40" s="136">
        <f>'[2]AHTS-1'!IG111+'[2]AHTS-2'!IG111+'[2]AHTS-3'!IG111+'[2]AHTS-4'!IG111+'[2]AHTS-5'!IG111+'[2]AHTS-6'!IG111+'[2]AHTS-7'!IG111+'[2]AHTS-8'!IG111+'[3]CB-1'!IG111+'[3]CB-2'!IG111+'[3]CB-3'!IG111+'[3]CB-4'!IG111+'[3]CB-5'!IG111+'[3]CB-6'!IG111+'[3]CB-7'!IG111+'[3]CB-8'!IG111+'[3]CB-9'!IG111+'[3]CB-10'!IG111+'[3]CB-11'!IG111+'[3]CB-12'!IG111+'[3]CB-13'!IG111+'[3]CB-14'!IG111+'[3]CB-15'!IG111+'[3]CB-16'!IG111+'[3]CB-17'!IG111+'[3]CB-18'!IG111+'[3]CB-19'!IG111+'[3]CB-20'!IG111+'[3]CB-21'!IG111+'[3]CB-22'!IG111+'[3]CB-23'!IG111+'[3]CB-24'!IG111+'[4]LCT-1'!IG111+'[4]LCT-2'!IG111+'[4]LCT-3'!IG111+'[4]LCT-4'!IG111+'[4]LCT-5'!IG111+'[4]LCT-6'!IG111+'[4]LCT-7'!IG111+'[4]LCT-8'!IG111+'[5]TB-1'!IG111+'[5]TB-2'!IG111+'[5]TB-3'!IG111+'[5]TB-4'!IG111+'[5]TB-5'!IG111+'[5]TB-6'!IG111+'[5]TB-7'!IG111+'[5]TB-8'!IG111+'[5]TB-9'!IG111+'[5]TB-10'!IG111+'[6]DSV-1'!IG111+'[6]DSV-2'!IG111+'[6]DSV-3'!IG111+'[7]TUB-1'!IG111+'[7]TUB-2'!IG111+'[8]Barge-1'!IG111+'[8]Barge-2'!IG111+'[8]Barge-3'!IG111+'[8]Barge-4'!IG111</f>
        <v>0</v>
      </c>
      <c r="AR40" s="139">
        <f>'[2]AHTS-1'!IH78+'[2]AHTS-2'!IH78+'[2]AHTS-3'!IH78+'[2]AHTS-4'!IH78+'[2]AHTS-5'!IH78+'[2]AHTS-6'!IH78+'[2]AHTS-7'!IH78+'[2]AHTS-8'!IH78+'[3]CB-1'!IH78+'[3]CB-2'!IH78+'[3]CB-3'!IH78+'[3]CB-4'!IH78+'[3]CB-5'!IH78+'[3]CB-6'!IH78+'[3]CB-7'!IH78+'[3]CB-8'!IH78+'[3]CB-9'!IH78+'[3]CB-10'!IH78+'[3]CB-11'!IH78+'[3]CB-12'!IH78+'[3]CB-13'!IH78+'[3]CB-14'!IH78+'[3]CB-15'!IH78+'[3]CB-16'!IH78+'[3]CB-17'!IH78+'[3]CB-18'!IH78+'[3]CB-19'!IH78+'[3]CB-20'!IH78+'[3]CB-21'!IH78+'[3]CB-22'!IH78+'[3]CB-23'!IH78+'[3]CB-24'!IH78+'[4]LCT-1'!IH78+'[4]LCT-2'!IH78+'[4]LCT-3'!IH78+'[4]LCT-4'!IH78+'[4]LCT-5'!IH78+'[4]LCT-6'!IH78+'[4]LCT-7'!IH78+'[4]LCT-8'!IH78+'[5]TB-1'!IH78+'[5]TB-2'!IH78+'[5]TB-3'!IH78+'[5]TB-4'!IH78+'[5]TB-5'!IH78+'[5]TB-6'!IH78+'[5]TB-7'!IH78+'[5]TB-8'!IH78+'[5]TB-9'!IH78+'[5]TB-10'!IH78+'[6]DSV-1'!IH78+'[6]DSV-2'!IH78+'[6]DSV-3'!IH78+'[7]TUB-1'!IH78+'[7]TUB-2'!IH78+'[8]Barge-1'!IH78+'[8]Barge-2'!IH78+'[8]Barge-3'!IH78+'[8]Barge-4'!IH78</f>
        <v>71173050</v>
      </c>
      <c r="AS40" s="136">
        <f>'[2]AHTS-1'!IH40+'[2]AHTS-2'!IH40+'[2]AHTS-3'!IH40+'[2]AHTS-4'!IH40+'[2]AHTS-5'!IH40+'[2]AHTS-6'!IH40+'[2]AHTS-7'!IH40+'[2]AHTS-8'!IH40+'[3]CB-1'!IH40+'[3]CB-2'!IH40+'[3]CB-3'!IH40+'[3]CB-4'!IH40+'[3]CB-5'!IH40+'[3]CB-6'!IH40+'[3]CB-7'!IH40+'[3]CB-8'!IH40+'[3]CB-9'!IH40+'[3]CB-10'!IH40+'[3]CB-11'!IH40+'[3]CB-12'!IH40+'[3]CB-13'!IH40+'[3]CB-14'!IH40+'[3]CB-15'!IH40+'[3]CB-16'!IH40+'[3]CB-17'!IH40+'[3]CB-18'!IH40+'[3]CB-19'!IH40+'[3]CB-20'!IH40+'[3]CB-21'!IH40+'[3]CB-22'!IH40+'[3]CB-23'!IH40+'[3]CB-24'!IH40+'[4]LCT-1'!IH40+'[4]LCT-2'!IH40+'[4]LCT-3'!IH40+'[4]LCT-4'!IH40+'[4]LCT-5'!IH40+'[4]LCT-6'!IH40+'[4]LCT-7'!IH40+'[4]LCT-8'!IH40+'[5]TB-1'!IH40+'[5]TB-2'!IH40+'[5]TB-3'!IH40+'[5]TB-4'!IH40+'[5]TB-5'!IH40+'[5]TB-6'!IH40+'[5]TB-7'!IH40+'[5]TB-8'!IH40+'[5]TB-9'!IH40+'[5]TB-10'!IH40+'[6]DSV-1'!IH40+'[6]DSV-2'!IH40+'[6]DSV-3'!IH40+'[7]TUB-1'!IH40+'[7]TUB-2'!IH40+'[8]Barge-1'!IH40+'[8]Barge-2'!IH40+'[8]Barge-3'!IH40+'[8]Barge-4'!IH40</f>
        <v>83950000</v>
      </c>
      <c r="AT40" s="140">
        <f>'[2]AHTS-1'!IH111+'[2]AHTS-2'!IH111+'[2]AHTS-3'!IH111+'[2]AHTS-4'!IH111+'[2]AHTS-5'!IH111+'[2]AHTS-6'!IH111+'[2]AHTS-7'!IH111+'[2]AHTS-8'!IH111+'[3]CB-1'!IH111+'[3]CB-2'!IH111+'[3]CB-3'!IH111+'[3]CB-4'!IH111+'[3]CB-5'!IH111+'[3]CB-6'!IH111+'[3]CB-7'!IH111+'[3]CB-8'!IH111+'[3]CB-9'!IH111+'[3]CB-10'!IH111+'[3]CB-11'!IH111+'[3]CB-12'!IH111+'[3]CB-13'!IH111+'[3]CB-14'!IH111+'[3]CB-15'!IH111+'[3]CB-16'!IH111+'[3]CB-17'!IH111+'[3]CB-18'!IH111+'[3]CB-19'!IH111+'[3]CB-20'!IH111+'[3]CB-21'!IH111+'[3]CB-22'!IH111+'[3]CB-23'!IH111+'[3]CB-24'!IH111+'[4]LCT-1'!IH111+'[4]LCT-2'!IH111+'[4]LCT-3'!IH111+'[4]LCT-4'!IH111+'[4]LCT-5'!IH111+'[4]LCT-6'!IH111+'[4]LCT-7'!IH111+'[4]LCT-8'!IH111+'[5]TB-1'!IH111+'[5]TB-2'!IH111+'[5]TB-3'!IH111+'[5]TB-4'!IH111+'[5]TB-5'!IH111+'[5]TB-6'!IH111+'[5]TB-7'!IH111+'[5]TB-8'!IH111+'[5]TB-9'!IH111+'[5]TB-10'!IH111+'[6]DSV-1'!IH111+'[6]DSV-2'!IH111+'[6]DSV-3'!IH111+'[7]TUB-1'!IH111+'[7]TUB-2'!IH111+'[8]Barge-1'!IH111+'[8]Barge-2'!IH111+'[8]Barge-3'!IH111+'[8]Barge-4'!IH111</f>
        <v>0</v>
      </c>
      <c r="AU40" s="139">
        <f>'[2]AHTS-1'!II78+'[2]AHTS-2'!II78+'[2]AHTS-3'!II78+'[2]AHTS-4'!II78+'[2]AHTS-5'!II78+'[2]AHTS-6'!II78+'[2]AHTS-7'!II78+'[2]AHTS-8'!II78+'[3]CB-1'!II78+'[3]CB-2'!II78+'[3]CB-3'!II78+'[3]CB-4'!II78+'[3]CB-5'!II78+'[3]CB-6'!II78+'[3]CB-7'!II78+'[3]CB-8'!II78+'[3]CB-9'!II78+'[3]CB-10'!II78+'[3]CB-11'!II78+'[3]CB-12'!II78+'[3]CB-13'!II78+'[3]CB-14'!II78+'[3]CB-15'!II78+'[3]CB-16'!II78+'[3]CB-17'!II78+'[3]CB-18'!II78+'[3]CB-19'!II78+'[3]CB-20'!II78+'[3]CB-21'!II78+'[3]CB-22'!II78+'[3]CB-23'!II78+'[3]CB-24'!II78+'[4]LCT-1'!II78+'[4]LCT-2'!II78+'[4]LCT-3'!II78+'[4]LCT-4'!II78+'[4]LCT-5'!II78+'[4]LCT-6'!II78+'[4]LCT-7'!II78+'[4]LCT-8'!II78+'[5]TB-1'!II78+'[5]TB-2'!II78+'[5]TB-3'!II78+'[5]TB-4'!II78+'[5]TB-5'!II78+'[5]TB-6'!II78+'[5]TB-7'!II78+'[5]TB-8'!II78+'[5]TB-9'!II78+'[5]TB-10'!II78+'[6]DSV-1'!II78+'[6]DSV-2'!II78+'[6]DSV-3'!II78+'[7]TUB-1'!II78+'[7]TUB-2'!II78+'[8]Barge-1'!II78+'[8]Barge-2'!II78+'[8]Barge-3'!II78+'[8]Barge-4'!II78</f>
        <v>0</v>
      </c>
      <c r="AV40" s="136">
        <f>'[2]AHTS-1'!II40+'[2]AHTS-2'!II40+'[2]AHTS-3'!II40+'[2]AHTS-4'!II40+'[2]AHTS-5'!II40+'[2]AHTS-6'!II40+'[2]AHTS-7'!II40+'[2]AHTS-8'!II40+'[3]CB-1'!II40+'[3]CB-2'!II40+'[3]CB-3'!II40+'[3]CB-4'!II40+'[3]CB-5'!II40+'[3]CB-6'!II40+'[3]CB-7'!II40+'[3]CB-8'!II40+'[3]CB-9'!II40+'[3]CB-10'!II40+'[3]CB-11'!II40+'[3]CB-12'!II40+'[3]CB-13'!II40+'[3]CB-14'!II40+'[3]CB-15'!II40+'[3]CB-16'!II40+'[3]CB-17'!II40+'[3]CB-18'!II40+'[3]CB-19'!II40+'[3]CB-20'!II40+'[3]CB-21'!II40+'[3]CB-22'!II40+'[3]CB-23'!II40+'[3]CB-24'!II40+'[4]LCT-1'!II40+'[4]LCT-2'!II40+'[4]LCT-3'!II40+'[4]LCT-4'!II40+'[4]LCT-5'!II40+'[4]LCT-6'!II40+'[4]LCT-7'!II40+'[4]LCT-8'!II40+'[5]TB-1'!II40+'[5]TB-2'!II40+'[5]TB-3'!II40+'[5]TB-4'!II40+'[5]TB-5'!II40+'[5]TB-6'!II40+'[5]TB-7'!II40+'[5]TB-8'!II40+'[5]TB-9'!II40+'[5]TB-10'!II40+'[6]DSV-1'!II40+'[6]DSV-2'!II40+'[6]DSV-3'!II40+'[7]TUB-1'!II40+'[7]TUB-2'!II40+'[8]Barge-1'!II40+'[8]Barge-2'!II40+'[8]Barge-3'!II40+'[8]Barge-4'!II40</f>
        <v>0</v>
      </c>
      <c r="AW40" s="140">
        <f>'[2]AHTS-1'!II111+'[2]AHTS-2'!II111+'[2]AHTS-3'!II111+'[2]AHTS-4'!II111+'[2]AHTS-5'!II111+'[2]AHTS-6'!II111+'[2]AHTS-7'!II111+'[2]AHTS-8'!II111+'[3]CB-1'!II111+'[3]CB-2'!II111+'[3]CB-3'!II111+'[3]CB-4'!II111+'[3]CB-5'!II111+'[3]CB-6'!II111+'[3]CB-7'!II111+'[3]CB-8'!II111+'[3]CB-9'!II111+'[3]CB-10'!II111+'[3]CB-11'!II111+'[3]CB-12'!II111+'[3]CB-13'!II111+'[3]CB-14'!II111+'[3]CB-15'!II111+'[3]CB-16'!II111+'[3]CB-17'!II111+'[3]CB-18'!II111+'[3]CB-19'!II111+'[3]CB-20'!II111+'[3]CB-21'!II111+'[3]CB-22'!II111+'[3]CB-23'!II111+'[3]CB-24'!II111+'[4]LCT-1'!II111+'[4]LCT-2'!II111+'[4]LCT-3'!II111+'[4]LCT-4'!II111+'[4]LCT-5'!II111+'[4]LCT-6'!II111+'[4]LCT-7'!II111+'[4]LCT-8'!II111+'[5]TB-1'!II111+'[5]TB-2'!II111+'[5]TB-3'!II111+'[5]TB-4'!II111+'[5]TB-5'!II111+'[5]TB-6'!II111+'[5]TB-7'!II111+'[5]TB-8'!II111+'[5]TB-9'!II111+'[5]TB-10'!II111+'[6]DSV-1'!II111+'[6]DSV-2'!II111+'[6]DSV-3'!II111+'[7]TUB-1'!II111+'[7]TUB-2'!II111+'[8]Barge-1'!II111+'[8]Barge-2'!II111+'[8]Barge-3'!II111+'[8]Barge-4'!II111</f>
        <v>0</v>
      </c>
      <c r="AX40" s="67"/>
      <c r="AY40" s="67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</row>
    <row r="41" spans="1:97" s="69" customFormat="1" ht="14.25" customHeight="1" thickBot="1" x14ac:dyDescent="0.3">
      <c r="A41" s="112" t="str">
        <f>[1]Control!AZ41</f>
        <v>-</v>
      </c>
      <c r="B41" s="66"/>
      <c r="C41" s="176">
        <f>'[2]AHTS-1'!AV41+'[2]AHTS-2'!AV41+'[2]AHTS-3'!AV41+'[2]AHTS-4'!AV41+'[2]AHTS-5'!AV41+'[2]AHTS-6'!AV41+'[2]AHTS-7'!AV41+'[2]AHTS-8'!AV41+'[3]CB-1'!AV41+'[3]CB-2'!AV41+'[3]CB-3'!AV41+'[3]CB-4'!AV41+'[3]CB-5'!AV41+'[3]CB-6'!AV41+'[3]CB-7'!AV41+'[3]CB-8'!AV41+'[3]CB-9'!AV41+'[3]CB-10'!AV41+'[3]CB-11'!AV41+'[3]CB-12'!AV41+'[3]CB-13'!AV41+'[3]CB-14'!AV41+'[3]CB-15'!AV41+'[3]CB-16'!AV41+'[3]CB-17'!AV41+'[3]CB-18'!AV41+'[3]CB-19'!AV41+'[3]CB-20'!AV41+'[3]CB-21'!AV41+'[3]CB-22'!AV41+'[3]CB-23'!AV41+'[3]CB-24'!AV41+'[4]LCT-1'!AV41+'[4]LCT-2'!AV41+'[4]LCT-3'!AV41+'[4]LCT-4'!AV41+'[4]LCT-5'!AV41+'[4]LCT-6'!AV41+'[4]LCT-7'!AV41+'[4]LCT-8'!AV41+'[5]TB-1'!AV41+'[5]TB-2'!AV41+'[5]TB-3'!AV41+'[5]TB-4'!AV41+'[5]TB-5'!AV41+'[5]TB-6'!AV41+'[5]TB-7'!AV41+'[5]TB-8'!AV41+'[5]TB-9'!AV41+'[5]TB-10'!AV41+'[6]DSV-1'!AV41+'[6]DSV-2'!AV41+'[6]DSV-3'!AV41+'[7]TUB-1'!AV41+'[7]TUB-2'!AV41+'[8]Barge-1'!AV41+'[8]Barge-2'!AV41+'[8]Barge-3'!AV41+'[8]Barge-4'!AV41</f>
        <v>0</v>
      </c>
      <c r="D41" s="177">
        <f>'[2]AHTS-1'!BR41+'[2]AHTS-2'!BR41+'[2]AHTS-3'!BR41+'[2]AHTS-4'!BR41+'[2]AHTS-5'!BR41+'[2]AHTS-6'!BR41+'[2]AHTS-7'!BR41+'[2]AHTS-8'!BR41+'[3]CB-1'!BR41+'[3]CB-2'!BR41+'[3]CB-3'!BR41+'[3]CB-4'!BR41+'[3]CB-5'!BR41+'[3]CB-6'!BR41+'[3]CB-7'!BR41+'[3]CB-8'!BR41+'[3]CB-9'!BR41+'[3]CB-10'!BR41+'[3]CB-11'!BR41+'[3]CB-12'!BR41+'[3]CB-13'!BR41+'[3]CB-14'!BR41+'[3]CB-15'!BR41+'[3]CB-16'!BR41+'[3]CB-17'!BR41+'[3]CB-18'!BR41+'[3]CB-19'!BR41+'[3]CB-20'!BR41+'[3]CB-21'!BR41+'[3]CB-22'!BR41+'[3]CB-23'!BR41+'[3]CB-24'!BR41+'[4]LCT-1'!BR41+'[4]LCT-2'!BR41+'[4]LCT-3'!BR41+'[4]LCT-4'!BR41+'[4]LCT-5'!BR41+'[4]LCT-6'!BR41+'[4]LCT-7'!BR41+'[4]LCT-8'!BR41+'[5]TB-1'!BR41+'[5]TB-2'!BR41+'[5]TB-3'!BR41+'[5]TB-4'!BR41+'[5]TB-5'!BR41+'[5]TB-6'!BR41+'[5]TB-7'!BR41+'[5]TB-8'!BR41+'[5]TB-9'!BR41+'[5]TB-10'!BR41+'[6]DSV-1'!BR41+'[6]DSV-2'!BR41+'[6]DSV-3'!BR41+'[7]TUB-1'!BR41+'[7]TUB-2'!BR41+'[8]Barge-1'!BR41+'[8]Barge-2'!BR41+'[8]Barge-3'!BR41+'[8]Barge-4'!BR41</f>
        <v>0</v>
      </c>
      <c r="E41" s="178">
        <f>'[2]AHTS-1'!CN41+'[2]AHTS-2'!CN41+'[2]AHTS-3'!CN41+'[2]AHTS-4'!CN41+'[2]AHTS-5'!CN41+'[2]AHTS-6'!CN41+'[2]AHTS-7'!CN41+'[2]AHTS-8'!CN41+'[3]CB-1'!CN41+'[3]CB-2'!CN41+'[3]CB-3'!CN41+'[3]CB-4'!CN41+'[3]CB-5'!CN41+'[3]CB-6'!CN41+'[3]CB-7'!CN41+'[3]CB-8'!CN41+'[3]CB-9'!CN41+'[3]CB-10'!CN41+'[3]CB-11'!CN41+'[3]CB-12'!CN41+'[3]CB-13'!CN41+'[3]CB-14'!CN41+'[3]CB-15'!CN41+'[3]CB-16'!CN41+'[3]CB-17'!CN41+'[3]CB-18'!CN41+'[3]CB-19'!CN41+'[3]CB-20'!CN41+'[3]CB-21'!CN41+'[3]CB-22'!CN41+'[3]CB-23'!CN41+'[3]CB-24'!CN41+'[4]LCT-1'!CN41+'[4]LCT-2'!CN41+'[4]LCT-3'!CN41+'[4]LCT-4'!CN41+'[4]LCT-5'!CN41+'[4]LCT-6'!CN41+'[4]LCT-7'!CN41+'[4]LCT-8'!CN41+'[5]TB-1'!CN41+'[5]TB-2'!CN41+'[5]TB-3'!CN41+'[5]TB-4'!CN41+'[5]TB-5'!CN41+'[5]TB-6'!CN41+'[5]TB-7'!CN41+'[5]TB-8'!CN41+'[5]TB-9'!CN41+'[5]TB-10'!CN41+'[6]DSV-1'!CN41+'[6]DSV-2'!CN41+'[6]DSV-3'!CN41+'[7]TUB-1'!CN41+'[7]TUB-2'!CN41+'[8]Barge-1'!CN41+'[8]Barge-2'!CN41+'[8]Barge-3'!CN41+'[8]Barge-4'!CN41</f>
        <v>0</v>
      </c>
      <c r="F41" s="179">
        <f>'[2]AHTS-1'!AW41+'[2]AHTS-2'!AW41+'[2]AHTS-3'!AW41+'[2]AHTS-4'!AW41+'[2]AHTS-5'!AW41+'[2]AHTS-6'!AW41+'[2]AHTS-7'!AW41+'[2]AHTS-8'!AW41+'[3]CB-1'!AW41+'[3]CB-2'!AW41+'[3]CB-3'!AW41+'[3]CB-4'!AW41+'[3]CB-5'!AW41+'[3]CB-6'!AW41+'[3]CB-7'!AW41+'[3]CB-8'!AW41+'[3]CB-9'!AW41+'[3]CB-10'!AW41+'[3]CB-11'!AW41+'[3]CB-12'!AW41+'[3]CB-13'!AW41+'[3]CB-14'!AW41+'[3]CB-15'!AW41+'[3]CB-16'!AW41+'[3]CB-17'!AW41+'[3]CB-18'!AW41+'[3]CB-19'!AW41+'[3]CB-20'!AW41+'[3]CB-21'!AW41+'[3]CB-22'!AW41+'[3]CB-23'!AW41+'[3]CB-24'!AW41+'[4]LCT-1'!AW41+'[4]LCT-2'!AW41+'[4]LCT-3'!AW41+'[4]LCT-4'!AW41+'[4]LCT-5'!AW41+'[4]LCT-6'!AW41+'[4]LCT-7'!AW41+'[4]LCT-8'!AW41+'[5]TB-1'!AW41+'[5]TB-2'!AW41+'[5]TB-3'!AW41+'[5]TB-4'!AW41+'[5]TB-5'!AW41+'[5]TB-6'!AW41+'[5]TB-7'!AW41+'[5]TB-8'!AW41+'[5]TB-9'!AW41+'[5]TB-10'!AW41+'[6]DSV-1'!AW41+'[6]DSV-2'!AW41+'[6]DSV-3'!AW41+'[7]TUB-1'!AW41+'[7]TUB-2'!AW41+'[8]Barge-1'!AW41+'[8]Barge-2'!AW41+'[8]Barge-3'!AW41+'[8]Barge-4'!AW41</f>
        <v>0</v>
      </c>
      <c r="G41" s="180">
        <f>'[2]AHTS-1'!BS41+'[2]AHTS-2'!BS41+'[2]AHTS-3'!BS41+'[2]AHTS-4'!BS41+'[2]AHTS-5'!BS41+'[2]AHTS-6'!BS41+'[2]AHTS-7'!BS41+'[2]AHTS-8'!BS41+'[3]CB-1'!BS41+'[3]CB-2'!BS41+'[3]CB-3'!BS41+'[3]CB-4'!BS41+'[3]CB-5'!BS41+'[3]CB-6'!BS41+'[3]CB-7'!BS41+'[3]CB-8'!BS41+'[3]CB-9'!BS41+'[3]CB-10'!BS41+'[3]CB-11'!BS41+'[3]CB-12'!BS41+'[3]CB-13'!BS41+'[3]CB-14'!BS41+'[3]CB-15'!BS41+'[3]CB-16'!BS41+'[3]CB-17'!BS41+'[3]CB-18'!BS41+'[3]CB-19'!BS41+'[3]CB-20'!BS41+'[3]CB-21'!BS41+'[3]CB-22'!BS41+'[3]CB-23'!BS41+'[3]CB-24'!BS41+'[4]LCT-1'!BS41+'[4]LCT-2'!BS41+'[4]LCT-3'!BS41+'[4]LCT-4'!BS41+'[4]LCT-5'!BS41+'[4]LCT-6'!BS41+'[4]LCT-7'!BS41+'[4]LCT-8'!BS41+'[5]TB-1'!BS41+'[5]TB-2'!BS41+'[5]TB-3'!BS41+'[5]TB-4'!BS41+'[5]TB-5'!BS41+'[5]TB-6'!BS41+'[5]TB-7'!BS41+'[5]TB-8'!BS41+'[5]TB-9'!BS41+'[5]TB-10'!BS41+'[6]DSV-1'!BS41+'[6]DSV-2'!BS41+'[6]DSV-3'!BS41+'[7]TUB-1'!BS41+'[7]TUB-2'!BS41+'[8]Barge-1'!BS41+'[8]Barge-2'!BS41+'[8]Barge-3'!BS41+'[8]Barge-4'!BS41</f>
        <v>0</v>
      </c>
      <c r="H41" s="180">
        <f>'[2]AHTS-1'!CO41+'[2]AHTS-2'!CO41+'[2]AHTS-3'!CO41+'[2]AHTS-4'!CO41+'[2]AHTS-5'!CO41+'[2]AHTS-6'!CO41+'[2]AHTS-7'!CO41+'[2]AHTS-8'!CO41+'[3]CB-1'!CO41+'[3]CB-2'!CO41+'[3]CB-3'!CO41+'[3]CB-4'!CO41+'[3]CB-5'!CO41+'[3]CB-6'!CO41+'[3]CB-7'!CO41+'[3]CB-8'!CO41+'[3]CB-9'!CO41+'[3]CB-10'!CO41+'[3]CB-11'!CO41+'[3]CB-12'!CO41+'[3]CB-13'!CO41+'[3]CB-14'!CO41+'[3]CB-15'!CO41+'[3]CB-16'!CO41+'[3]CB-17'!CO41+'[3]CB-18'!CO41+'[3]CB-19'!CO41+'[3]CB-20'!CO41+'[3]CB-21'!CO41+'[3]CB-22'!CO41+'[3]CB-23'!CO41+'[3]CB-24'!CO41+'[4]LCT-1'!CO41+'[4]LCT-2'!CO41+'[4]LCT-3'!CO41+'[4]LCT-4'!CO41+'[4]LCT-5'!CO41+'[4]LCT-6'!CO41+'[4]LCT-7'!CO41+'[4]LCT-8'!CO41+'[5]TB-1'!CO41+'[5]TB-2'!CO41+'[5]TB-3'!CO41+'[5]TB-4'!CO41+'[5]TB-5'!CO41+'[5]TB-6'!CO41+'[5]TB-7'!CO41+'[5]TB-8'!CO41+'[5]TB-9'!CO41+'[5]TB-10'!CO41+'[6]DSV-1'!CO41+'[6]DSV-2'!CO41+'[6]DSV-3'!CO41+'[7]TUB-1'!CO41+'[7]TUB-2'!CO41+'[8]Barge-1'!CO41+'[8]Barge-2'!CO41+'[8]Barge-3'!CO41+'[8]Barge-4'!CO41</f>
        <v>0</v>
      </c>
      <c r="I41" s="179">
        <f>'[2]AHTS-1'!AX41+'[2]AHTS-2'!AX41+'[2]AHTS-3'!AX41+'[2]AHTS-4'!AX41+'[2]AHTS-5'!AX41+'[2]AHTS-6'!AX41+'[2]AHTS-7'!AX41+'[2]AHTS-8'!AX41+'[3]CB-1'!AX41+'[3]CB-2'!AX41+'[3]CB-3'!AX41+'[3]CB-4'!AX41+'[3]CB-5'!AX41+'[3]CB-6'!AX41+'[3]CB-7'!AX41+'[3]CB-8'!AX41+'[3]CB-9'!AX41+'[3]CB-10'!AX41+'[3]CB-11'!AX41+'[3]CB-12'!AX41+'[3]CB-13'!AX41+'[3]CB-14'!AX41+'[3]CB-15'!AX41+'[3]CB-16'!AX41+'[3]CB-17'!AX41+'[3]CB-18'!AX41+'[3]CB-19'!AX41+'[3]CB-20'!AX41+'[3]CB-21'!AX41+'[3]CB-22'!AX41+'[3]CB-23'!AX41+'[3]CB-24'!AX41+'[4]LCT-1'!AX41+'[4]LCT-2'!AX41+'[4]LCT-3'!AX41+'[4]LCT-4'!AX41+'[4]LCT-5'!AX41+'[4]LCT-6'!AX41+'[4]LCT-7'!AX41+'[4]LCT-8'!AX41+'[5]TB-1'!AX41+'[5]TB-2'!AX41+'[5]TB-3'!AX41+'[5]TB-4'!AX41+'[5]TB-5'!AX41+'[5]TB-6'!AX41+'[5]TB-7'!AX41+'[5]TB-8'!AX41+'[5]TB-9'!AX41+'[5]TB-10'!AX41+'[6]DSV-1'!AX41+'[6]DSV-2'!AX41+'[6]DSV-3'!AX41+'[7]TUB-1'!AX41+'[7]TUB-2'!AX41+'[8]Barge-1'!AX41+'[8]Barge-2'!AX41+'[8]Barge-3'!AX41+'[8]Barge-4'!AX41</f>
        <v>0</v>
      </c>
      <c r="J41" s="180">
        <f>'[2]AHTS-1'!BT41+'[2]AHTS-2'!BT41+'[2]AHTS-3'!BT41+'[2]AHTS-4'!BT41+'[2]AHTS-5'!BT41+'[2]AHTS-6'!BT41+'[2]AHTS-7'!BT41+'[2]AHTS-8'!BT41+'[3]CB-1'!BT41+'[3]CB-2'!BT41+'[3]CB-3'!BT41+'[3]CB-4'!BT41+'[3]CB-5'!BT41+'[3]CB-6'!BT41+'[3]CB-7'!BT41+'[3]CB-8'!BT41+'[3]CB-9'!BT41+'[3]CB-10'!BT41+'[3]CB-11'!BT41+'[3]CB-12'!BT41+'[3]CB-13'!BT41+'[3]CB-14'!BT41+'[3]CB-15'!BT41+'[3]CB-16'!BT41+'[3]CB-17'!BT41+'[3]CB-18'!BT41+'[3]CB-19'!BT41+'[3]CB-20'!BT41+'[3]CB-21'!BT41+'[3]CB-22'!BT41+'[3]CB-23'!BT41+'[3]CB-24'!BT41+'[4]LCT-1'!BT41+'[4]LCT-2'!BT41+'[4]LCT-3'!BT41+'[4]LCT-4'!BT41+'[4]LCT-5'!BT41+'[4]LCT-6'!BT41+'[4]LCT-7'!BT41+'[4]LCT-8'!BT41+'[5]TB-1'!BT41+'[5]TB-2'!BT41+'[5]TB-3'!BT41+'[5]TB-4'!BT41+'[5]TB-5'!BT41+'[5]TB-6'!BT41+'[5]TB-7'!BT41+'[5]TB-8'!BT41+'[5]TB-9'!BT41+'[5]TB-10'!BT41+'[6]DSV-1'!BT41+'[6]DSV-2'!BT41+'[6]DSV-3'!BT41+'[7]TUB-1'!BT41+'[7]TUB-2'!BT41+'[8]Barge-1'!BT41+'[8]Barge-2'!BT41+'[8]Barge-3'!BT41+'[8]Barge-4'!BT41</f>
        <v>0</v>
      </c>
      <c r="K41" s="180">
        <f>'[2]AHTS-1'!CP41+'[2]AHTS-2'!CP41+'[2]AHTS-3'!CP41+'[2]AHTS-4'!CP41+'[2]AHTS-5'!CP41+'[2]AHTS-6'!CP41+'[2]AHTS-7'!CP41+'[2]AHTS-8'!CP41+'[3]CB-1'!CP41+'[3]CB-2'!CP41+'[3]CB-3'!CP41+'[3]CB-4'!CP41+'[3]CB-5'!CP41+'[3]CB-6'!CP41+'[3]CB-7'!CP41+'[3]CB-8'!CP41+'[3]CB-9'!CP41+'[3]CB-10'!CP41+'[3]CB-11'!CP41+'[3]CB-12'!CP41+'[3]CB-13'!CP41+'[3]CB-14'!CP41+'[3]CB-15'!CP41+'[3]CB-16'!CP41+'[3]CB-17'!CP41+'[3]CB-18'!CP41+'[3]CB-19'!CP41+'[3]CB-20'!CP41+'[3]CB-21'!CP41+'[3]CB-22'!CP41+'[3]CB-23'!CP41+'[3]CB-24'!CP41+'[4]LCT-1'!CP41+'[4]LCT-2'!CP41+'[4]LCT-3'!CP41+'[4]LCT-4'!CP41+'[4]LCT-5'!CP41+'[4]LCT-6'!CP41+'[4]LCT-7'!CP41+'[4]LCT-8'!CP41+'[5]TB-1'!CP41+'[5]TB-2'!CP41+'[5]TB-3'!CP41+'[5]TB-4'!CP41+'[5]TB-5'!CP41+'[5]TB-6'!CP41+'[5]TB-7'!CP41+'[5]TB-8'!CP41+'[5]TB-9'!CP41+'[5]TB-10'!CP41+'[6]DSV-1'!CP41+'[6]DSV-2'!CP41+'[6]DSV-3'!CP41+'[7]TUB-1'!CP41+'[7]TUB-2'!CP41+'[8]Barge-1'!CP41+'[8]Barge-2'!CP41+'[8]Barge-3'!CP41+'[8]Barge-4'!CP41</f>
        <v>0</v>
      </c>
      <c r="L41" s="181">
        <f>'[2]AHTS-1'!AY41+'[2]AHTS-2'!AY41+'[2]AHTS-3'!AY41+'[2]AHTS-4'!AY41+'[2]AHTS-5'!AY41+'[2]AHTS-6'!AY41+'[2]AHTS-7'!AY41+'[2]AHTS-8'!AY41+'[3]CB-1'!AY41+'[3]CB-2'!AY41+'[3]CB-3'!AY41+'[3]CB-4'!AY41+'[3]CB-5'!AY41+'[3]CB-6'!AY41+'[3]CB-7'!AY41+'[3]CB-8'!AY41+'[3]CB-9'!AY41+'[3]CB-10'!AY41+'[3]CB-11'!AY41+'[3]CB-12'!AY41+'[3]CB-13'!AY41+'[3]CB-14'!AY41+'[3]CB-15'!AY41+'[3]CB-16'!AY41+'[3]CB-17'!AY41+'[3]CB-18'!AY41+'[3]CB-19'!AY41+'[3]CB-20'!AY41+'[3]CB-21'!AY41+'[3]CB-22'!AY41+'[3]CB-23'!AY41+'[3]CB-24'!AY41+'[4]LCT-1'!AY41+'[4]LCT-2'!AY41+'[4]LCT-3'!AY41+'[4]LCT-4'!AY41+'[4]LCT-5'!AY41+'[4]LCT-6'!AY41+'[4]LCT-7'!AY41+'[4]LCT-8'!AY41+'[5]TB-1'!AY41+'[5]TB-2'!AY41+'[5]TB-3'!AY41+'[5]TB-4'!AY41+'[5]TB-5'!AY41+'[5]TB-6'!AY41+'[5]TB-7'!AY41+'[5]TB-8'!AY41+'[5]TB-9'!AY41+'[5]TB-10'!AY41+'[6]DSV-1'!AY41+'[6]DSV-2'!AY41+'[6]DSV-3'!AY41+'[7]TUB-1'!AY41+'[7]TUB-2'!AY41+'[8]Barge-1'!AY41+'[8]Barge-2'!AY41+'[8]Barge-3'!AY41+'[8]Barge-4'!AY41</f>
        <v>0</v>
      </c>
      <c r="M41" s="182">
        <f>'[2]AHTS-1'!BU41+'[2]AHTS-2'!BU41+'[2]AHTS-3'!BU41+'[2]AHTS-4'!BU41+'[2]AHTS-5'!BU41+'[2]AHTS-6'!BU41+'[2]AHTS-7'!BU41+'[2]AHTS-8'!BU41+'[3]CB-1'!BU41+'[3]CB-2'!BU41+'[3]CB-3'!BU41+'[3]CB-4'!BU41+'[3]CB-5'!BU41+'[3]CB-6'!BU41+'[3]CB-7'!BU41+'[3]CB-8'!BU41+'[3]CB-9'!BU41+'[3]CB-10'!BU41+'[3]CB-11'!BU41+'[3]CB-12'!BU41+'[3]CB-13'!BU41+'[3]CB-14'!BU41+'[3]CB-15'!BU41+'[3]CB-16'!BU41+'[3]CB-17'!BU41+'[3]CB-18'!BU41+'[3]CB-19'!BU41+'[3]CB-20'!BU41+'[3]CB-21'!BU41+'[3]CB-22'!BU41+'[3]CB-23'!BU41+'[3]CB-24'!BU41+'[4]LCT-1'!BU41+'[4]LCT-2'!BU41+'[4]LCT-3'!BU41+'[4]LCT-4'!BU41+'[4]LCT-5'!BU41+'[4]LCT-6'!BU41+'[4]LCT-7'!BU41+'[4]LCT-8'!BU41+'[5]TB-1'!BU41+'[5]TB-2'!BU41+'[5]TB-3'!BU41+'[5]TB-4'!BU41+'[5]TB-5'!BU41+'[5]TB-6'!BU41+'[5]TB-7'!BU41+'[5]TB-8'!BU41+'[5]TB-9'!BU41+'[5]TB-10'!BU41+'[6]DSV-1'!BU41+'[6]DSV-2'!BU41+'[6]DSV-3'!BU41+'[7]TUB-1'!BU41+'[7]TUB-2'!BU41+'[8]Barge-1'!BU41+'[8]Barge-2'!BU41+'[8]Barge-3'!BU41+'[8]Barge-4'!BU41</f>
        <v>0</v>
      </c>
      <c r="N41" s="182">
        <f>'[2]AHTS-1'!CQ41+'[2]AHTS-2'!CQ41+'[2]AHTS-3'!CQ41+'[2]AHTS-4'!CQ41+'[2]AHTS-5'!CQ41+'[2]AHTS-6'!CQ41+'[2]AHTS-7'!CQ41+'[2]AHTS-8'!CQ41+'[3]CB-1'!CQ41+'[3]CB-2'!CQ41+'[3]CB-3'!CQ41+'[3]CB-4'!CQ41+'[3]CB-5'!CQ41+'[3]CB-6'!CQ41+'[3]CB-7'!CQ41+'[3]CB-8'!CQ41+'[3]CB-9'!CQ41+'[3]CB-10'!CQ41+'[3]CB-11'!CQ41+'[3]CB-12'!CQ41+'[3]CB-13'!CQ41+'[3]CB-14'!CQ41+'[3]CB-15'!CQ41+'[3]CB-16'!CQ41+'[3]CB-17'!CQ41+'[3]CB-18'!CQ41+'[3]CB-19'!CQ41+'[3]CB-20'!CQ41+'[3]CB-21'!CQ41+'[3]CB-22'!CQ41+'[3]CB-23'!CQ41+'[3]CB-24'!CQ41+'[4]LCT-1'!CQ41+'[4]LCT-2'!CQ41+'[4]LCT-3'!CQ41+'[4]LCT-4'!CQ41+'[4]LCT-5'!CQ41+'[4]LCT-6'!CQ41+'[4]LCT-7'!CQ41+'[4]LCT-8'!CQ41+'[5]TB-1'!CQ41+'[5]TB-2'!CQ41+'[5]TB-3'!CQ41+'[5]TB-4'!CQ41+'[5]TB-5'!CQ41+'[5]TB-6'!CQ41+'[5]TB-7'!CQ41+'[5]TB-8'!CQ41+'[5]TB-9'!CQ41+'[5]TB-10'!CQ41+'[6]DSV-1'!CQ41+'[6]DSV-2'!CQ41+'[6]DSV-3'!CQ41+'[7]TUB-1'!CQ41+'[7]TUB-2'!CQ41+'[8]Barge-1'!CQ41+'[8]Barge-2'!CQ41+'[8]Barge-3'!CQ41+'[8]Barge-4'!CQ41</f>
        <v>0</v>
      </c>
      <c r="O41" s="179">
        <f>'[2]AHTS-1'!AZ41+'[2]AHTS-2'!AZ41+'[2]AHTS-3'!AZ41+'[2]AHTS-4'!AZ41+'[2]AHTS-5'!AZ41+'[2]AHTS-6'!AZ41+'[2]AHTS-7'!AZ41+'[2]AHTS-8'!AZ41+'[3]CB-1'!AZ41+'[3]CB-2'!AZ41+'[3]CB-3'!AZ41+'[3]CB-4'!AZ41+'[3]CB-5'!AZ41+'[3]CB-6'!AZ41+'[3]CB-7'!AZ41+'[3]CB-8'!AZ41+'[3]CB-9'!AZ41+'[3]CB-10'!AZ41+'[3]CB-11'!AZ41+'[3]CB-12'!AZ41+'[3]CB-13'!AZ41+'[3]CB-14'!AZ41+'[3]CB-15'!AZ41+'[3]CB-16'!AZ41+'[3]CB-17'!AZ41+'[3]CB-18'!AZ41+'[3]CB-19'!AZ41+'[3]CB-20'!AZ41+'[3]CB-21'!AZ41+'[3]CB-22'!AZ41+'[3]CB-23'!AZ41+'[3]CB-24'!AZ41+'[4]LCT-1'!AZ41+'[4]LCT-2'!AZ41+'[4]LCT-3'!AZ41+'[4]LCT-4'!AZ41+'[4]LCT-5'!AZ41+'[4]LCT-6'!AZ41+'[4]LCT-7'!AZ41+'[4]LCT-8'!AZ41+'[5]TB-1'!AZ41+'[5]TB-2'!AZ41+'[5]TB-3'!AZ41+'[5]TB-4'!AZ41+'[5]TB-5'!AZ41+'[5]TB-6'!AZ41+'[5]TB-7'!AZ41+'[5]TB-8'!AZ41+'[5]TB-9'!AZ41+'[5]TB-10'!AZ41+'[6]DSV-1'!AZ41+'[6]DSV-2'!AZ41+'[6]DSV-3'!AZ41+'[7]TUB-1'!AZ41+'[7]TUB-2'!AZ41+'[8]Barge-1'!AZ41+'[8]Barge-2'!AZ41+'[8]Barge-3'!AZ41+'[8]Barge-4'!AZ41</f>
        <v>0</v>
      </c>
      <c r="P41" s="180">
        <f>'[2]AHTS-1'!BV41+'[2]AHTS-2'!BV41+'[2]AHTS-3'!BV41+'[2]AHTS-4'!BV41+'[2]AHTS-5'!BV41+'[2]AHTS-6'!BV41+'[2]AHTS-7'!BV41+'[2]AHTS-8'!BV41+'[3]CB-1'!BV41+'[3]CB-2'!BV41+'[3]CB-3'!BV41+'[3]CB-4'!BV41+'[3]CB-5'!BV41+'[3]CB-6'!BV41+'[3]CB-7'!BV41+'[3]CB-8'!BV41+'[3]CB-9'!BV41+'[3]CB-10'!BV41+'[3]CB-11'!BV41+'[3]CB-12'!BV41+'[3]CB-13'!BV41+'[3]CB-14'!BV41+'[3]CB-15'!BV41+'[3]CB-16'!BV41+'[3]CB-17'!BV41+'[3]CB-18'!BV41+'[3]CB-19'!BV41+'[3]CB-20'!BV41+'[3]CB-21'!BV41+'[3]CB-22'!BV41+'[3]CB-23'!BV41+'[3]CB-24'!BV41+'[4]LCT-1'!BV41+'[4]LCT-2'!BV41+'[4]LCT-3'!BV41+'[4]LCT-4'!BV41+'[4]LCT-5'!BV41+'[4]LCT-6'!BV41+'[4]LCT-7'!BV41+'[4]LCT-8'!BV41+'[5]TB-1'!BV41+'[5]TB-2'!BV41+'[5]TB-3'!BV41+'[5]TB-4'!BV41+'[5]TB-5'!BV41+'[5]TB-6'!BV41+'[5]TB-7'!BV41+'[5]TB-8'!BV41+'[5]TB-9'!BV41+'[5]TB-10'!BV41+'[6]DSV-1'!BV41+'[6]DSV-2'!BV41+'[6]DSV-3'!BV41+'[7]TUB-1'!BV41+'[7]TUB-2'!BV41+'[8]Barge-1'!BV41+'[8]Barge-2'!BV41+'[8]Barge-3'!BV41+'[8]Barge-4'!BV41</f>
        <v>0</v>
      </c>
      <c r="Q41" s="180">
        <f>'[2]AHTS-1'!CR41+'[2]AHTS-2'!CR41+'[2]AHTS-3'!CR41+'[2]AHTS-4'!CR41+'[2]AHTS-5'!CR41+'[2]AHTS-6'!CR41+'[2]AHTS-7'!CR41+'[2]AHTS-8'!CR41+'[3]CB-1'!CR41+'[3]CB-2'!CR41+'[3]CB-3'!CR41+'[3]CB-4'!CR41+'[3]CB-5'!CR41+'[3]CB-6'!CR41+'[3]CB-7'!CR41+'[3]CB-8'!CR41+'[3]CB-9'!CR41+'[3]CB-10'!CR41+'[3]CB-11'!CR41+'[3]CB-12'!CR41+'[3]CB-13'!CR41+'[3]CB-14'!CR41+'[3]CB-15'!CR41+'[3]CB-16'!CR41+'[3]CB-17'!CR41+'[3]CB-18'!CR41+'[3]CB-19'!CR41+'[3]CB-20'!CR41+'[3]CB-21'!CR41+'[3]CB-22'!CR41+'[3]CB-23'!CR41+'[3]CB-24'!CR41+'[4]LCT-1'!CR41+'[4]LCT-2'!CR41+'[4]LCT-3'!CR41+'[4]LCT-4'!CR41+'[4]LCT-5'!CR41+'[4]LCT-6'!CR41+'[4]LCT-7'!CR41+'[4]LCT-8'!CR41+'[5]TB-1'!CR41+'[5]TB-2'!CR41+'[5]TB-3'!CR41+'[5]TB-4'!CR41+'[5]TB-5'!CR41+'[5]TB-6'!CR41+'[5]TB-7'!CR41+'[5]TB-8'!CR41+'[5]TB-9'!CR41+'[5]TB-10'!CR41+'[6]DSV-1'!CR41+'[6]DSV-2'!CR41+'[6]DSV-3'!CR41+'[7]TUB-1'!CR41+'[7]TUB-2'!CR41+'[8]Barge-1'!CR41+'[8]Barge-2'!CR41+'[8]Barge-3'!CR41+'[8]Barge-4'!CR41</f>
        <v>0</v>
      </c>
      <c r="R41" s="183">
        <f>'[2]AHTS-1'!BA41+'[2]AHTS-2'!BA41+'[2]AHTS-3'!BA41+'[2]AHTS-4'!BA41+'[2]AHTS-5'!BA41+'[2]AHTS-6'!BA41+'[2]AHTS-7'!BA41+'[2]AHTS-8'!BA41+'[3]CB-1'!BA41+'[3]CB-2'!BA41+'[3]CB-3'!BA41+'[3]CB-4'!BA41+'[3]CB-5'!BA41+'[3]CB-6'!BA41+'[3]CB-7'!BA41+'[3]CB-8'!BA41+'[3]CB-9'!BA41+'[3]CB-10'!BA41+'[3]CB-11'!BA41+'[3]CB-12'!BA41+'[3]CB-13'!BA41+'[3]CB-14'!BA41+'[3]CB-15'!BA41+'[3]CB-16'!BA41+'[3]CB-17'!BA41+'[3]CB-18'!BA41+'[3]CB-19'!BA41+'[3]CB-20'!BA41+'[3]CB-21'!BA41+'[3]CB-22'!BA41+'[3]CB-23'!BA41+'[3]CB-24'!BA41+'[4]LCT-1'!BA41+'[4]LCT-2'!BA41+'[4]LCT-3'!BA41+'[4]LCT-4'!BA41+'[4]LCT-5'!BA41+'[4]LCT-6'!BA41+'[4]LCT-7'!BA41+'[4]LCT-8'!BA41+'[5]TB-1'!BA41+'[5]TB-2'!BA41+'[5]TB-3'!BA41+'[5]TB-4'!BA41+'[5]TB-5'!BA41+'[5]TB-6'!BA41+'[5]TB-7'!BA41+'[5]TB-8'!BA41+'[5]TB-9'!BA41+'[5]TB-10'!BA41+'[6]DSV-1'!BA41+'[6]DSV-2'!BA41+'[6]DSV-3'!BA41+'[7]TUB-1'!BA41+'[7]TUB-2'!BA41+'[8]Barge-1'!BA41+'[8]Barge-2'!BA41+'[8]Barge-3'!BA41+'[8]Barge-4'!BA41</f>
        <v>0</v>
      </c>
      <c r="S41" s="180">
        <f>'[2]AHTS-1'!BW41+'[2]AHTS-2'!BW41+'[2]AHTS-3'!BW41+'[2]AHTS-4'!BW41+'[2]AHTS-5'!BW41+'[2]AHTS-6'!BW41+'[2]AHTS-7'!BW41+'[2]AHTS-8'!BW41+'[3]CB-1'!BW41+'[3]CB-2'!BW41+'[3]CB-3'!BW41+'[3]CB-4'!BW41+'[3]CB-5'!BW41+'[3]CB-6'!BW41+'[3]CB-7'!BW41+'[3]CB-8'!BW41+'[3]CB-9'!BW41+'[3]CB-10'!BW41+'[3]CB-11'!BW41+'[3]CB-12'!BW41+'[3]CB-13'!BW41+'[3]CB-14'!BW41+'[3]CB-15'!BW41+'[3]CB-16'!BW41+'[3]CB-17'!BW41+'[3]CB-18'!BW41+'[3]CB-19'!BW41+'[3]CB-20'!BW41+'[3]CB-21'!BW41+'[3]CB-22'!BW41+'[3]CB-23'!BW41+'[3]CB-24'!BW41+'[4]LCT-1'!BW41+'[4]LCT-2'!BW41+'[4]LCT-3'!BW41+'[4]LCT-4'!BW41+'[4]LCT-5'!BW41+'[4]LCT-6'!BW41+'[4]LCT-7'!BW41+'[4]LCT-8'!BW41+'[5]TB-1'!BW41+'[5]TB-2'!BW41+'[5]TB-3'!BW41+'[5]TB-4'!BW41+'[5]TB-5'!BW41+'[5]TB-6'!BW41+'[5]TB-7'!BW41+'[5]TB-8'!BW41+'[5]TB-9'!BW41+'[5]TB-10'!BW41+'[6]DSV-1'!BW41+'[6]DSV-2'!BW41+'[6]DSV-3'!BW41+'[7]TUB-1'!BW41+'[7]TUB-2'!BW41+'[8]Barge-1'!BW41+'[8]Barge-2'!BW41+'[8]Barge-3'!BW41+'[8]Barge-4'!BW41</f>
        <v>0</v>
      </c>
      <c r="T41" s="184">
        <f>'[2]AHTS-1'!CS41+'[2]AHTS-2'!CS41+'[2]AHTS-3'!CS41+'[2]AHTS-4'!CS41+'[2]AHTS-5'!CS41+'[2]AHTS-6'!CS41+'[2]AHTS-7'!CS41+'[2]AHTS-8'!CS41+'[3]CB-1'!CS41+'[3]CB-2'!CS41+'[3]CB-3'!CS41+'[3]CB-4'!CS41+'[3]CB-5'!CS41+'[3]CB-6'!CS41+'[3]CB-7'!CS41+'[3]CB-8'!CS41+'[3]CB-9'!CS41+'[3]CB-10'!CS41+'[3]CB-11'!CS41+'[3]CB-12'!CS41+'[3]CB-13'!CS41+'[3]CB-14'!CS41+'[3]CB-15'!CS41+'[3]CB-16'!CS41+'[3]CB-17'!CS41+'[3]CB-18'!CS41+'[3]CB-19'!CS41+'[3]CB-20'!CS41+'[3]CB-21'!CS41+'[3]CB-22'!CS41+'[3]CB-23'!CS41+'[3]CB-24'!CS41+'[4]LCT-1'!CS41+'[4]LCT-2'!CS41+'[4]LCT-3'!CS41+'[4]LCT-4'!CS41+'[4]LCT-5'!CS41+'[4]LCT-6'!CS41+'[4]LCT-7'!CS41+'[4]LCT-8'!CS41+'[5]TB-1'!CS41+'[5]TB-2'!CS41+'[5]TB-3'!CS41+'[5]TB-4'!CS41+'[5]TB-5'!CS41+'[5]TB-6'!CS41+'[5]TB-7'!CS41+'[5]TB-8'!CS41+'[5]TB-9'!CS41+'[5]TB-10'!CS41+'[6]DSV-1'!CS41+'[6]DSV-2'!CS41+'[6]DSV-3'!CS41+'[7]TUB-1'!CS41+'[7]TUB-2'!CS41+'[8]Barge-1'!CS41+'[8]Barge-2'!CS41+'[8]Barge-3'!CS41+'[8]Barge-4'!CS41</f>
        <v>0</v>
      </c>
      <c r="U41" s="183">
        <f>'[2]AHTS-1'!BB41+'[2]AHTS-2'!BB41+'[2]AHTS-3'!BB41+'[2]AHTS-4'!BB41+'[2]AHTS-5'!BB41+'[2]AHTS-6'!BB41+'[2]AHTS-7'!BB41+'[2]AHTS-8'!BB41+'[3]CB-1'!BB41+'[3]CB-2'!BB41+'[3]CB-3'!BB41+'[3]CB-4'!BB41+'[3]CB-5'!BB41+'[3]CB-6'!BB41+'[3]CB-7'!BB41+'[3]CB-8'!BB41+'[3]CB-9'!BB41+'[3]CB-10'!BB41+'[3]CB-11'!BB41+'[3]CB-12'!BB41+'[3]CB-13'!BB41+'[3]CB-14'!BB41+'[3]CB-15'!BB41+'[3]CB-16'!BB41+'[3]CB-17'!BB41+'[3]CB-18'!BB41+'[3]CB-19'!BB41+'[3]CB-20'!BB41+'[3]CB-21'!BB41+'[3]CB-22'!BB41+'[3]CB-23'!BB41+'[3]CB-24'!BB41+'[4]LCT-1'!BB41+'[4]LCT-2'!BB41+'[4]LCT-3'!BB41+'[4]LCT-4'!BB41+'[4]LCT-5'!BB41+'[4]LCT-6'!BB41+'[4]LCT-7'!BB41+'[4]LCT-8'!BB41+'[5]TB-1'!BB41+'[5]TB-2'!BB41+'[5]TB-3'!BB41+'[5]TB-4'!BB41+'[5]TB-5'!BB41+'[5]TB-6'!BB41+'[5]TB-7'!BB41+'[5]TB-8'!BB41+'[5]TB-9'!BB41+'[5]TB-10'!BB41+'[6]DSV-1'!BB41+'[6]DSV-2'!BB41+'[6]DSV-3'!BB41+'[7]TUB-1'!BB41+'[7]TUB-2'!BB41+'[8]Barge-1'!BB41+'[8]Barge-2'!BB41+'[8]Barge-3'!BB41+'[8]Barge-4'!BB41</f>
        <v>0</v>
      </c>
      <c r="V41" s="180">
        <f>'[2]AHTS-1'!BX41+'[2]AHTS-2'!BX41+'[2]AHTS-3'!BX41+'[2]AHTS-4'!BX41+'[2]AHTS-5'!BX41+'[2]AHTS-6'!BX41+'[2]AHTS-7'!BX41+'[2]AHTS-8'!BX41+'[3]CB-1'!BX41+'[3]CB-2'!BX41+'[3]CB-3'!BX41+'[3]CB-4'!BX41+'[3]CB-5'!BX41+'[3]CB-6'!BX41+'[3]CB-7'!BX41+'[3]CB-8'!BX41+'[3]CB-9'!BX41+'[3]CB-10'!BX41+'[3]CB-11'!BX41+'[3]CB-12'!BX41+'[3]CB-13'!BX41+'[3]CB-14'!BX41+'[3]CB-15'!BX41+'[3]CB-16'!BX41+'[3]CB-17'!BX41+'[3]CB-18'!BX41+'[3]CB-19'!BX41+'[3]CB-20'!BX41+'[3]CB-21'!BX41+'[3]CB-22'!BX41+'[3]CB-23'!BX41+'[3]CB-24'!BX41+'[4]LCT-1'!BX41+'[4]LCT-2'!BX41+'[4]LCT-3'!BX41+'[4]LCT-4'!BX41+'[4]LCT-5'!BX41+'[4]LCT-6'!BX41+'[4]LCT-7'!BX41+'[4]LCT-8'!BX41+'[5]TB-1'!BX41+'[5]TB-2'!BX41+'[5]TB-3'!BX41+'[5]TB-4'!BX41+'[5]TB-5'!BX41+'[5]TB-6'!BX41+'[5]TB-7'!BX41+'[5]TB-8'!BX41+'[5]TB-9'!BX41+'[5]TB-10'!BX41+'[6]DSV-1'!BX41+'[6]DSV-2'!BX41+'[6]DSV-3'!BX41+'[7]TUB-1'!BX41+'[7]TUB-2'!BX41+'[8]Barge-1'!BX41+'[8]Barge-2'!BX41+'[8]Barge-3'!BX41+'[8]Barge-4'!BX41</f>
        <v>0</v>
      </c>
      <c r="W41" s="184">
        <f>'[2]AHTS-1'!CT41+'[2]AHTS-2'!CT41+'[2]AHTS-3'!CT41+'[2]AHTS-4'!CT41+'[2]AHTS-5'!CT41+'[2]AHTS-6'!CT41+'[2]AHTS-7'!CT41+'[2]AHTS-8'!CT41+'[3]CB-1'!CT41+'[3]CB-2'!CT41+'[3]CB-3'!CT41+'[3]CB-4'!CT41+'[3]CB-5'!CT41+'[3]CB-6'!CT41+'[3]CB-7'!CT41+'[3]CB-8'!CT41+'[3]CB-9'!CT41+'[3]CB-10'!CT41+'[3]CB-11'!CT41+'[3]CB-12'!CT41+'[3]CB-13'!CT41+'[3]CB-14'!CT41+'[3]CB-15'!CT41+'[3]CB-16'!CT41+'[3]CB-17'!CT41+'[3]CB-18'!CT41+'[3]CB-19'!CT41+'[3]CB-20'!CT41+'[3]CB-21'!CT41+'[3]CB-22'!CT41+'[3]CB-23'!CT41+'[3]CB-24'!CT41+'[4]LCT-1'!CT41+'[4]LCT-2'!CT41+'[4]LCT-3'!CT41+'[4]LCT-4'!CT41+'[4]LCT-5'!CT41+'[4]LCT-6'!CT41+'[4]LCT-7'!CT41+'[4]LCT-8'!CT41+'[5]TB-1'!CT41+'[5]TB-2'!CT41+'[5]TB-3'!CT41+'[5]TB-4'!CT41+'[5]TB-5'!CT41+'[5]TB-6'!CT41+'[5]TB-7'!CT41+'[5]TB-8'!CT41+'[5]TB-9'!CT41+'[5]TB-10'!CT41+'[6]DSV-1'!CT41+'[6]DSV-2'!CT41+'[6]DSV-3'!CT41+'[7]TUB-1'!CT41+'[7]TUB-2'!CT41+'[8]Barge-1'!CT41+'[8]Barge-2'!CT41+'[8]Barge-3'!CT41+'[8]Barge-4'!CT41</f>
        <v>0</v>
      </c>
      <c r="X41" s="67"/>
      <c r="Y41" s="67"/>
      <c r="Z41" s="68"/>
      <c r="AA41" s="112" t="str">
        <f>[1]Control!AZ41</f>
        <v>-</v>
      </c>
      <c r="AB41" s="66"/>
      <c r="AC41" s="132">
        <f>'[2]AHTS-1'!IC79+'[2]AHTS-2'!IC79+'[2]AHTS-3'!IC79+'[2]AHTS-4'!IC79+'[2]AHTS-5'!IC79+'[2]AHTS-6'!IC79+'[2]AHTS-7'!IC79+'[2]AHTS-8'!IC79+'[3]CB-1'!IC79+'[3]CB-2'!IC79+'[3]CB-3'!IC79+'[3]CB-4'!IC79+'[3]CB-5'!IC79+'[3]CB-6'!IC79+'[3]CB-7'!IC79+'[3]CB-8'!IC79+'[3]CB-9'!IC79+'[3]CB-10'!IC79+'[3]CB-11'!IC79+'[3]CB-12'!IC79+'[3]CB-13'!IC79+'[3]CB-14'!IC79+'[3]CB-15'!IC79+'[3]CB-16'!IC79+'[3]CB-17'!IC79+'[3]CB-18'!IC79+'[3]CB-19'!IC79+'[3]CB-20'!IC79+'[3]CB-21'!IC79+'[3]CB-22'!IC79+'[3]CB-23'!IC79+'[3]CB-24'!IC79+'[4]LCT-1'!IC79+'[4]LCT-2'!IC79+'[4]LCT-3'!IC79+'[4]LCT-4'!IC79+'[4]LCT-5'!IC79+'[4]LCT-6'!IC79+'[4]LCT-7'!IC79+'[4]LCT-8'!IC79+'[5]TB-1'!IC79+'[5]TB-2'!IC79+'[5]TB-3'!IC79+'[5]TB-4'!IC79+'[5]TB-5'!IC79+'[5]TB-6'!IC79+'[5]TB-7'!IC79+'[5]TB-8'!IC79+'[5]TB-9'!IC79+'[5]TB-10'!IC79+'[6]DSV-1'!IC79+'[6]DSV-2'!IC79+'[6]DSV-3'!IC79+'[7]TUB-1'!IC79+'[7]TUB-2'!IC79+'[8]Barge-1'!IC79+'[8]Barge-2'!IC79+'[8]Barge-3'!IC79+'[8]Barge-4'!IC79</f>
        <v>0</v>
      </c>
      <c r="AD41" s="133">
        <f>'[2]AHTS-1'!IC41+'[2]AHTS-2'!IC41+'[2]AHTS-3'!IC41+'[2]AHTS-4'!IC41+'[2]AHTS-5'!IC41+'[2]AHTS-6'!IC41+'[2]AHTS-7'!IC41+'[2]AHTS-8'!IC41+'[3]CB-1'!IC41+'[3]CB-2'!IC41+'[3]CB-3'!IC41+'[3]CB-4'!IC41+'[3]CB-5'!IC41+'[3]CB-6'!IC41+'[3]CB-7'!IC41+'[3]CB-8'!IC41+'[3]CB-9'!IC41+'[3]CB-10'!IC41+'[3]CB-11'!IC41+'[3]CB-12'!IC41+'[3]CB-13'!IC41+'[3]CB-14'!IC41+'[3]CB-15'!IC41+'[3]CB-16'!IC41+'[3]CB-17'!IC41+'[3]CB-18'!IC41+'[3]CB-19'!IC41+'[3]CB-20'!IC41+'[3]CB-21'!IC41+'[3]CB-22'!IC41+'[3]CB-23'!IC41+'[3]CB-24'!IC41+'[4]LCT-1'!IC41+'[4]LCT-2'!IC41+'[4]LCT-3'!IC41+'[4]LCT-4'!IC41+'[4]LCT-5'!IC41+'[4]LCT-6'!IC41+'[4]LCT-7'!IC41+'[4]LCT-8'!IC41+'[5]TB-1'!IC41+'[5]TB-2'!IC41+'[5]TB-3'!IC41+'[5]TB-4'!IC41+'[5]TB-5'!IC41+'[5]TB-6'!IC41+'[5]TB-7'!IC41+'[5]TB-8'!IC41+'[5]TB-9'!IC41+'[5]TB-10'!IC41+'[6]DSV-1'!IC41+'[6]DSV-2'!IC41+'[6]DSV-3'!IC41+'[7]TUB-1'!IC41+'[7]TUB-2'!IC41+'[8]Barge-1'!IC41+'[8]Barge-2'!IC41+'[8]Barge-3'!IC41+'[8]Barge-4'!IC41</f>
        <v>0</v>
      </c>
      <c r="AE41" s="134">
        <f>'[2]AHTS-1'!IC112+'[2]AHTS-2'!IC112+'[2]AHTS-3'!IC112+'[2]AHTS-4'!IC112+'[2]AHTS-5'!IC112+'[2]AHTS-6'!IC112+'[2]AHTS-7'!IC112+'[2]AHTS-8'!IC112+'[3]CB-1'!IC112+'[3]CB-2'!IC112+'[3]CB-3'!IC112+'[3]CB-4'!IC112+'[3]CB-5'!IC112+'[3]CB-6'!IC112+'[3]CB-7'!IC112+'[3]CB-8'!IC112+'[3]CB-9'!IC112+'[3]CB-10'!IC112+'[3]CB-11'!IC112+'[3]CB-12'!IC112+'[3]CB-13'!IC112+'[3]CB-14'!IC112+'[3]CB-15'!IC112+'[3]CB-16'!IC112+'[3]CB-17'!IC112+'[3]CB-18'!IC112+'[3]CB-19'!IC112+'[3]CB-20'!IC112+'[3]CB-21'!IC112+'[3]CB-22'!IC112+'[3]CB-23'!IC112+'[3]CB-24'!IC112+'[4]LCT-1'!IC112+'[4]LCT-2'!IC112+'[4]LCT-3'!IC112+'[4]LCT-4'!IC112+'[4]LCT-5'!IC112+'[4]LCT-6'!IC112+'[4]LCT-7'!IC112+'[4]LCT-8'!IC112+'[5]TB-1'!IC112+'[5]TB-2'!IC112+'[5]TB-3'!IC112+'[5]TB-4'!IC112+'[5]TB-5'!IC112+'[5]TB-6'!IC112+'[5]TB-7'!IC112+'[5]TB-8'!IC112+'[5]TB-9'!IC112+'[5]TB-10'!IC112+'[6]DSV-1'!IC112+'[6]DSV-2'!IC112+'[6]DSV-3'!IC112+'[7]TUB-1'!IC112+'[7]TUB-2'!IC112+'[8]Barge-1'!IC112+'[8]Barge-2'!IC112+'[8]Barge-3'!IC112+'[8]Barge-4'!IC112</f>
        <v>0</v>
      </c>
      <c r="AF41" s="135">
        <f>'[2]AHTS-1'!ID79+'[2]AHTS-2'!ID79+'[2]AHTS-3'!ID79+'[2]AHTS-4'!ID79+'[2]AHTS-5'!ID79+'[2]AHTS-6'!ID79+'[2]AHTS-7'!ID79+'[2]AHTS-8'!ID79+'[3]CB-1'!ID79+'[3]CB-2'!ID79+'[3]CB-3'!ID79+'[3]CB-4'!ID79+'[3]CB-5'!ID79+'[3]CB-6'!ID79+'[3]CB-7'!ID79+'[3]CB-8'!ID79+'[3]CB-9'!ID79+'[3]CB-10'!ID79+'[3]CB-11'!ID79+'[3]CB-12'!ID79+'[3]CB-13'!ID79+'[3]CB-14'!ID79+'[3]CB-15'!ID79+'[3]CB-16'!ID79+'[3]CB-17'!ID79+'[3]CB-18'!ID79+'[3]CB-19'!ID79+'[3]CB-20'!ID79+'[3]CB-21'!ID79+'[3]CB-22'!ID79+'[3]CB-23'!ID79+'[3]CB-24'!ID79+'[4]LCT-1'!ID79+'[4]LCT-2'!ID79+'[4]LCT-3'!ID79+'[4]LCT-4'!ID79+'[4]LCT-5'!ID79+'[4]LCT-6'!ID79+'[4]LCT-7'!ID79+'[4]LCT-8'!ID79+'[5]TB-1'!ID79+'[5]TB-2'!ID79+'[5]TB-3'!ID79+'[5]TB-4'!ID79+'[5]TB-5'!ID79+'[5]TB-6'!ID79+'[5]TB-7'!ID79+'[5]TB-8'!ID79+'[5]TB-9'!ID79+'[5]TB-10'!ID79+'[6]DSV-1'!ID79+'[6]DSV-2'!ID79+'[6]DSV-3'!ID79+'[7]TUB-1'!ID79+'[7]TUB-2'!ID79+'[8]Barge-1'!ID79+'[8]Barge-2'!ID79+'[8]Barge-3'!ID79+'[8]Barge-4'!ID79</f>
        <v>0</v>
      </c>
      <c r="AG41" s="136">
        <f>'[2]AHTS-1'!ID41+'[2]AHTS-2'!ID41+'[2]AHTS-3'!ID41+'[2]AHTS-4'!ID41+'[2]AHTS-5'!ID41+'[2]AHTS-6'!ID41+'[2]AHTS-7'!ID41+'[2]AHTS-8'!ID41+'[3]CB-1'!ID41+'[3]CB-2'!ID41+'[3]CB-3'!ID41+'[3]CB-4'!ID41+'[3]CB-5'!ID41+'[3]CB-6'!ID41+'[3]CB-7'!ID41+'[3]CB-8'!ID41+'[3]CB-9'!ID41+'[3]CB-10'!ID41+'[3]CB-11'!ID41+'[3]CB-12'!ID41+'[3]CB-13'!ID41+'[3]CB-14'!ID41+'[3]CB-15'!ID41+'[3]CB-16'!ID41+'[3]CB-17'!ID41+'[3]CB-18'!ID41+'[3]CB-19'!ID41+'[3]CB-20'!ID41+'[3]CB-21'!ID41+'[3]CB-22'!ID41+'[3]CB-23'!ID41+'[3]CB-24'!ID41+'[4]LCT-1'!ID41+'[4]LCT-2'!ID41+'[4]LCT-3'!ID41+'[4]LCT-4'!ID41+'[4]LCT-5'!ID41+'[4]LCT-6'!ID41+'[4]LCT-7'!ID41+'[4]LCT-8'!ID41+'[5]TB-1'!ID41+'[5]TB-2'!ID41+'[5]TB-3'!ID41+'[5]TB-4'!ID41+'[5]TB-5'!ID41+'[5]TB-6'!ID41+'[5]TB-7'!ID41+'[5]TB-8'!ID41+'[5]TB-9'!ID41+'[5]TB-10'!ID41+'[6]DSV-1'!ID41+'[6]DSV-2'!ID41+'[6]DSV-3'!ID41+'[7]TUB-1'!ID41+'[7]TUB-2'!ID41+'[8]Barge-1'!ID41+'[8]Barge-2'!ID41+'[8]Barge-3'!ID41+'[8]Barge-4'!ID41</f>
        <v>0</v>
      </c>
      <c r="AH41" s="136">
        <f>'[2]AHTS-1'!ID112+'[2]AHTS-2'!ID112+'[2]AHTS-3'!ID112+'[2]AHTS-4'!ID112+'[2]AHTS-5'!ID112+'[2]AHTS-6'!ID112+'[2]AHTS-7'!ID112+'[2]AHTS-8'!ID112+'[3]CB-1'!ID112+'[3]CB-2'!ID112+'[3]CB-3'!ID112+'[3]CB-4'!ID112+'[3]CB-5'!ID112+'[3]CB-6'!ID112+'[3]CB-7'!ID112+'[3]CB-8'!ID112+'[3]CB-9'!ID112+'[3]CB-10'!ID112+'[3]CB-11'!ID112+'[3]CB-12'!ID112+'[3]CB-13'!ID112+'[3]CB-14'!ID112+'[3]CB-15'!ID112+'[3]CB-16'!ID112+'[3]CB-17'!ID112+'[3]CB-18'!ID112+'[3]CB-19'!ID112+'[3]CB-20'!ID112+'[3]CB-21'!ID112+'[3]CB-22'!ID112+'[3]CB-23'!ID112+'[3]CB-24'!ID112+'[4]LCT-1'!ID112+'[4]LCT-2'!ID112+'[4]LCT-3'!ID112+'[4]LCT-4'!ID112+'[4]LCT-5'!ID112+'[4]LCT-6'!ID112+'[4]LCT-7'!ID112+'[4]LCT-8'!ID112+'[5]TB-1'!ID112+'[5]TB-2'!ID112+'[5]TB-3'!ID112+'[5]TB-4'!ID112+'[5]TB-5'!ID112+'[5]TB-6'!ID112+'[5]TB-7'!ID112+'[5]TB-8'!ID112+'[5]TB-9'!ID112+'[5]TB-10'!ID112+'[6]DSV-1'!ID112+'[6]DSV-2'!ID112+'[6]DSV-3'!ID112+'[7]TUB-1'!ID112+'[7]TUB-2'!ID112+'[8]Barge-1'!ID112+'[8]Barge-2'!ID112+'[8]Barge-3'!ID112+'[8]Barge-4'!ID112</f>
        <v>0</v>
      </c>
      <c r="AI41" s="135">
        <f>'[2]AHTS-1'!IE79+'[2]AHTS-2'!IE79+'[2]AHTS-3'!IE79+'[2]AHTS-4'!IE79+'[2]AHTS-5'!IE79+'[2]AHTS-6'!IE79+'[2]AHTS-7'!IE79+'[2]AHTS-8'!IE79+'[3]CB-1'!IE79+'[3]CB-2'!IE79+'[3]CB-3'!IE79+'[3]CB-4'!IE79+'[3]CB-5'!IE79+'[3]CB-6'!IE79+'[3]CB-7'!IE79+'[3]CB-8'!IE79+'[3]CB-9'!IE79+'[3]CB-10'!IE79+'[3]CB-11'!IE79+'[3]CB-12'!IE79+'[3]CB-13'!IE79+'[3]CB-14'!IE79+'[3]CB-15'!IE79+'[3]CB-16'!IE79+'[3]CB-17'!IE79+'[3]CB-18'!IE79+'[3]CB-19'!IE79+'[3]CB-20'!IE79+'[3]CB-21'!IE79+'[3]CB-22'!IE79+'[3]CB-23'!IE79+'[3]CB-24'!IE79+'[4]LCT-1'!IE79+'[4]LCT-2'!IE79+'[4]LCT-3'!IE79+'[4]LCT-4'!IE79+'[4]LCT-5'!IE79+'[4]LCT-6'!IE79+'[4]LCT-7'!IE79+'[4]LCT-8'!IE79+'[5]TB-1'!IE79+'[5]TB-2'!IE79+'[5]TB-3'!IE79+'[5]TB-4'!IE79+'[5]TB-5'!IE79+'[5]TB-6'!IE79+'[5]TB-7'!IE79+'[5]TB-8'!IE79+'[5]TB-9'!IE79+'[5]TB-10'!IE79+'[6]DSV-1'!IE79+'[6]DSV-2'!IE79+'[6]DSV-3'!IE79+'[7]TUB-1'!IE79+'[7]TUB-2'!IE79+'[8]Barge-1'!IE79+'[8]Barge-2'!IE79+'[8]Barge-3'!IE79+'[8]Barge-4'!IE79</f>
        <v>0</v>
      </c>
      <c r="AJ41" s="136">
        <f>'[2]AHTS-1'!IE41+'[2]AHTS-2'!IE41+'[2]AHTS-3'!IE41+'[2]AHTS-4'!IE41+'[2]AHTS-5'!IE41+'[2]AHTS-6'!IE41+'[2]AHTS-7'!IE41+'[2]AHTS-8'!IE41+'[3]CB-1'!IE41+'[3]CB-2'!IE41+'[3]CB-3'!IE41+'[3]CB-4'!IE41+'[3]CB-5'!IE41+'[3]CB-6'!IE41+'[3]CB-7'!IE41+'[3]CB-8'!IE41+'[3]CB-9'!IE41+'[3]CB-10'!IE41+'[3]CB-11'!IE41+'[3]CB-12'!IE41+'[3]CB-13'!IE41+'[3]CB-14'!IE41+'[3]CB-15'!IE41+'[3]CB-16'!IE41+'[3]CB-17'!IE41+'[3]CB-18'!IE41+'[3]CB-19'!IE41+'[3]CB-20'!IE41+'[3]CB-21'!IE41+'[3]CB-22'!IE41+'[3]CB-23'!IE41+'[3]CB-24'!IE41+'[4]LCT-1'!IE41+'[4]LCT-2'!IE41+'[4]LCT-3'!IE41+'[4]LCT-4'!IE41+'[4]LCT-5'!IE41+'[4]LCT-6'!IE41+'[4]LCT-7'!IE41+'[4]LCT-8'!IE41+'[5]TB-1'!IE41+'[5]TB-2'!IE41+'[5]TB-3'!IE41+'[5]TB-4'!IE41+'[5]TB-5'!IE41+'[5]TB-6'!IE41+'[5]TB-7'!IE41+'[5]TB-8'!IE41+'[5]TB-9'!IE41+'[5]TB-10'!IE41+'[6]DSV-1'!IE41+'[6]DSV-2'!IE41+'[6]DSV-3'!IE41+'[7]TUB-1'!IE41+'[7]TUB-2'!IE41+'[8]Barge-1'!IE41+'[8]Barge-2'!IE41+'[8]Barge-3'!IE41+'[8]Barge-4'!IE41</f>
        <v>0</v>
      </c>
      <c r="AK41" s="136">
        <f>'[2]AHTS-1'!IE112+'[2]AHTS-2'!IE112+'[2]AHTS-3'!IE112+'[2]AHTS-4'!IE112+'[2]AHTS-5'!IE112+'[2]AHTS-6'!IE112+'[2]AHTS-7'!IE112+'[2]AHTS-8'!IE112+'[3]CB-1'!IE112+'[3]CB-2'!IE112+'[3]CB-3'!IE112+'[3]CB-4'!IE112+'[3]CB-5'!IE112+'[3]CB-6'!IE112+'[3]CB-7'!IE112+'[3]CB-8'!IE112+'[3]CB-9'!IE112+'[3]CB-10'!IE112+'[3]CB-11'!IE112+'[3]CB-12'!IE112+'[3]CB-13'!IE112+'[3]CB-14'!IE112+'[3]CB-15'!IE112+'[3]CB-16'!IE112+'[3]CB-17'!IE112+'[3]CB-18'!IE112+'[3]CB-19'!IE112+'[3]CB-20'!IE112+'[3]CB-21'!IE112+'[3]CB-22'!IE112+'[3]CB-23'!IE112+'[3]CB-24'!IE112+'[4]LCT-1'!IE112+'[4]LCT-2'!IE112+'[4]LCT-3'!IE112+'[4]LCT-4'!IE112+'[4]LCT-5'!IE112+'[4]LCT-6'!IE112+'[4]LCT-7'!IE112+'[4]LCT-8'!IE112+'[5]TB-1'!IE112+'[5]TB-2'!IE112+'[5]TB-3'!IE112+'[5]TB-4'!IE112+'[5]TB-5'!IE112+'[5]TB-6'!IE112+'[5]TB-7'!IE112+'[5]TB-8'!IE112+'[5]TB-9'!IE112+'[5]TB-10'!IE112+'[6]DSV-1'!IE112+'[6]DSV-2'!IE112+'[6]DSV-3'!IE112+'[7]TUB-1'!IE112+'[7]TUB-2'!IE112+'[8]Barge-1'!IE112+'[8]Barge-2'!IE112+'[8]Barge-3'!IE112+'[8]Barge-4'!IE112</f>
        <v>0</v>
      </c>
      <c r="AL41" s="137">
        <f>'[2]AHTS-1'!IF79+'[2]AHTS-2'!IF79+'[2]AHTS-3'!IF79+'[2]AHTS-4'!IF79+'[2]AHTS-5'!IF79+'[2]AHTS-6'!IF79+'[2]AHTS-7'!IF79+'[2]AHTS-8'!IF79+'[3]CB-1'!IF79+'[3]CB-2'!IF79+'[3]CB-3'!IF79+'[3]CB-4'!IF79+'[3]CB-5'!IF79+'[3]CB-6'!IF79+'[3]CB-7'!IF79+'[3]CB-8'!IF79+'[3]CB-9'!IF79+'[3]CB-10'!IF79+'[3]CB-11'!IF79+'[3]CB-12'!IF79+'[3]CB-13'!IF79+'[3]CB-14'!IF79+'[3]CB-15'!IF79+'[3]CB-16'!IF79+'[3]CB-17'!IF79+'[3]CB-18'!IF79+'[3]CB-19'!IF79+'[3]CB-20'!IF79+'[3]CB-21'!IF79+'[3]CB-22'!IF79+'[3]CB-23'!IF79+'[3]CB-24'!IF79+'[4]LCT-1'!IF79+'[4]LCT-2'!IF79+'[4]LCT-3'!IF79+'[4]LCT-4'!IF79+'[4]LCT-5'!IF79+'[4]LCT-6'!IF79+'[4]LCT-7'!IF79+'[4]LCT-8'!IF79+'[5]TB-1'!IF79+'[5]TB-2'!IF79+'[5]TB-3'!IF79+'[5]TB-4'!IF79+'[5]TB-5'!IF79+'[5]TB-6'!IF79+'[5]TB-7'!IF79+'[5]TB-8'!IF79+'[5]TB-9'!IF79+'[5]TB-10'!IF79+'[6]DSV-1'!IF79+'[6]DSV-2'!IF79+'[6]DSV-3'!IF79+'[7]TUB-1'!IF79+'[7]TUB-2'!IF79+'[8]Barge-1'!IF79+'[8]Barge-2'!IF79+'[8]Barge-3'!IF79+'[8]Barge-4'!IF79</f>
        <v>0</v>
      </c>
      <c r="AM41" s="138">
        <f>'[2]AHTS-1'!IF41+'[2]AHTS-2'!IF41+'[2]AHTS-3'!IF41+'[2]AHTS-4'!IF41+'[2]AHTS-5'!IF41+'[2]AHTS-6'!IF41+'[2]AHTS-7'!IF41+'[2]AHTS-8'!IF41+'[3]CB-1'!IF41+'[3]CB-2'!IF41+'[3]CB-3'!IF41+'[3]CB-4'!IF41+'[3]CB-5'!IF41+'[3]CB-6'!IF41+'[3]CB-7'!IF41+'[3]CB-8'!IF41+'[3]CB-9'!IF41+'[3]CB-10'!IF41+'[3]CB-11'!IF41+'[3]CB-12'!IF41+'[3]CB-13'!IF41+'[3]CB-14'!IF41+'[3]CB-15'!IF41+'[3]CB-16'!IF41+'[3]CB-17'!IF41+'[3]CB-18'!IF41+'[3]CB-19'!IF41+'[3]CB-20'!IF41+'[3]CB-21'!IF41+'[3]CB-22'!IF41+'[3]CB-23'!IF41+'[3]CB-24'!IF41+'[4]LCT-1'!IF41+'[4]LCT-2'!IF41+'[4]LCT-3'!IF41+'[4]LCT-4'!IF41+'[4]LCT-5'!IF41+'[4]LCT-6'!IF41+'[4]LCT-7'!IF41+'[4]LCT-8'!IF41+'[5]TB-1'!IF41+'[5]TB-2'!IF41+'[5]TB-3'!IF41+'[5]TB-4'!IF41+'[5]TB-5'!IF41+'[5]TB-6'!IF41+'[5]TB-7'!IF41+'[5]TB-8'!IF41+'[5]TB-9'!IF41+'[5]TB-10'!IF41+'[6]DSV-1'!IF41+'[6]DSV-2'!IF41+'[6]DSV-3'!IF41+'[7]TUB-1'!IF41+'[7]TUB-2'!IF41+'[8]Barge-1'!IF41+'[8]Barge-2'!IF41+'[8]Barge-3'!IF41+'[8]Barge-4'!IF41</f>
        <v>0</v>
      </c>
      <c r="AN41" s="138">
        <f>'[2]AHTS-1'!IF112+'[2]AHTS-2'!IF112+'[2]AHTS-3'!IF112+'[2]AHTS-4'!IF112+'[2]AHTS-5'!IF112+'[2]AHTS-6'!IF112+'[2]AHTS-7'!IF112+'[2]AHTS-8'!IF112+'[3]CB-1'!IF112+'[3]CB-2'!IF112+'[3]CB-3'!IF112+'[3]CB-4'!IF112+'[3]CB-5'!IF112+'[3]CB-6'!IF112+'[3]CB-7'!IF112+'[3]CB-8'!IF112+'[3]CB-9'!IF112+'[3]CB-10'!IF112+'[3]CB-11'!IF112+'[3]CB-12'!IF112+'[3]CB-13'!IF112+'[3]CB-14'!IF112+'[3]CB-15'!IF112+'[3]CB-16'!IF112+'[3]CB-17'!IF112+'[3]CB-18'!IF112+'[3]CB-19'!IF112+'[3]CB-20'!IF112+'[3]CB-21'!IF112+'[3]CB-22'!IF112+'[3]CB-23'!IF112+'[3]CB-24'!IF112+'[4]LCT-1'!IF112+'[4]LCT-2'!IF112+'[4]LCT-3'!IF112+'[4]LCT-4'!IF112+'[4]LCT-5'!IF112+'[4]LCT-6'!IF112+'[4]LCT-7'!IF112+'[4]LCT-8'!IF112+'[5]TB-1'!IF112+'[5]TB-2'!IF112+'[5]TB-3'!IF112+'[5]TB-4'!IF112+'[5]TB-5'!IF112+'[5]TB-6'!IF112+'[5]TB-7'!IF112+'[5]TB-8'!IF112+'[5]TB-9'!IF112+'[5]TB-10'!IF112+'[6]DSV-1'!IF112+'[6]DSV-2'!IF112+'[6]DSV-3'!IF112+'[7]TUB-1'!IF112+'[7]TUB-2'!IF112+'[8]Barge-1'!IF112+'[8]Barge-2'!IF112+'[8]Barge-3'!IF112+'[8]Barge-4'!IF112</f>
        <v>0</v>
      </c>
      <c r="AO41" s="135">
        <f>'[2]AHTS-1'!IG79+'[2]AHTS-2'!IG79+'[2]AHTS-3'!IG79+'[2]AHTS-4'!IG79+'[2]AHTS-5'!IG79+'[2]AHTS-6'!IG79+'[2]AHTS-7'!IG79+'[2]AHTS-8'!IG79+'[3]CB-1'!IG79+'[3]CB-2'!IG79+'[3]CB-3'!IG79+'[3]CB-4'!IG79+'[3]CB-5'!IG79+'[3]CB-6'!IG79+'[3]CB-7'!IG79+'[3]CB-8'!IG79+'[3]CB-9'!IG79+'[3]CB-10'!IG79+'[3]CB-11'!IG79+'[3]CB-12'!IG79+'[3]CB-13'!IG79+'[3]CB-14'!IG79+'[3]CB-15'!IG79+'[3]CB-16'!IG79+'[3]CB-17'!IG79+'[3]CB-18'!IG79+'[3]CB-19'!IG79+'[3]CB-20'!IG79+'[3]CB-21'!IG79+'[3]CB-22'!IG79+'[3]CB-23'!IG79+'[3]CB-24'!IG79+'[4]LCT-1'!IG79+'[4]LCT-2'!IG79+'[4]LCT-3'!IG79+'[4]LCT-4'!IG79+'[4]LCT-5'!IG79+'[4]LCT-6'!IG79+'[4]LCT-7'!IG79+'[4]LCT-8'!IG79+'[5]TB-1'!IG79+'[5]TB-2'!IG79+'[5]TB-3'!IG79+'[5]TB-4'!IG79+'[5]TB-5'!IG79+'[5]TB-6'!IG79+'[5]TB-7'!IG79+'[5]TB-8'!IG79+'[5]TB-9'!IG79+'[5]TB-10'!IG79+'[6]DSV-1'!IG79+'[6]DSV-2'!IG79+'[6]DSV-3'!IG79+'[7]TUB-1'!IG79+'[7]TUB-2'!IG79+'[8]Barge-1'!IG79+'[8]Barge-2'!IG79+'[8]Barge-3'!IG79+'[8]Barge-4'!IG79</f>
        <v>0</v>
      </c>
      <c r="AP41" s="136">
        <f>'[2]AHTS-1'!IG41+'[2]AHTS-2'!IG41+'[2]AHTS-3'!IG41+'[2]AHTS-4'!IG41+'[2]AHTS-5'!IG41+'[2]AHTS-6'!IG41+'[2]AHTS-7'!IG41+'[2]AHTS-8'!IG41+'[3]CB-1'!IG41+'[3]CB-2'!IG41+'[3]CB-3'!IG41+'[3]CB-4'!IG41+'[3]CB-5'!IG41+'[3]CB-6'!IG41+'[3]CB-7'!IG41+'[3]CB-8'!IG41+'[3]CB-9'!IG41+'[3]CB-10'!IG41+'[3]CB-11'!IG41+'[3]CB-12'!IG41+'[3]CB-13'!IG41+'[3]CB-14'!IG41+'[3]CB-15'!IG41+'[3]CB-16'!IG41+'[3]CB-17'!IG41+'[3]CB-18'!IG41+'[3]CB-19'!IG41+'[3]CB-20'!IG41+'[3]CB-21'!IG41+'[3]CB-22'!IG41+'[3]CB-23'!IG41+'[3]CB-24'!IG41+'[4]LCT-1'!IG41+'[4]LCT-2'!IG41+'[4]LCT-3'!IG41+'[4]LCT-4'!IG41+'[4]LCT-5'!IG41+'[4]LCT-6'!IG41+'[4]LCT-7'!IG41+'[4]LCT-8'!IG41+'[5]TB-1'!IG41+'[5]TB-2'!IG41+'[5]TB-3'!IG41+'[5]TB-4'!IG41+'[5]TB-5'!IG41+'[5]TB-6'!IG41+'[5]TB-7'!IG41+'[5]TB-8'!IG41+'[5]TB-9'!IG41+'[5]TB-10'!IG41+'[6]DSV-1'!IG41+'[6]DSV-2'!IG41+'[6]DSV-3'!IG41+'[7]TUB-1'!IG41+'[7]TUB-2'!IG41+'[8]Barge-1'!IG41+'[8]Barge-2'!IG41+'[8]Barge-3'!IG41+'[8]Barge-4'!IG41</f>
        <v>0</v>
      </c>
      <c r="AQ41" s="136">
        <f>'[2]AHTS-1'!IG112+'[2]AHTS-2'!IG112+'[2]AHTS-3'!IG112+'[2]AHTS-4'!IG112+'[2]AHTS-5'!IG112+'[2]AHTS-6'!IG112+'[2]AHTS-7'!IG112+'[2]AHTS-8'!IG112+'[3]CB-1'!IG112+'[3]CB-2'!IG112+'[3]CB-3'!IG112+'[3]CB-4'!IG112+'[3]CB-5'!IG112+'[3]CB-6'!IG112+'[3]CB-7'!IG112+'[3]CB-8'!IG112+'[3]CB-9'!IG112+'[3]CB-10'!IG112+'[3]CB-11'!IG112+'[3]CB-12'!IG112+'[3]CB-13'!IG112+'[3]CB-14'!IG112+'[3]CB-15'!IG112+'[3]CB-16'!IG112+'[3]CB-17'!IG112+'[3]CB-18'!IG112+'[3]CB-19'!IG112+'[3]CB-20'!IG112+'[3]CB-21'!IG112+'[3]CB-22'!IG112+'[3]CB-23'!IG112+'[3]CB-24'!IG112+'[4]LCT-1'!IG112+'[4]LCT-2'!IG112+'[4]LCT-3'!IG112+'[4]LCT-4'!IG112+'[4]LCT-5'!IG112+'[4]LCT-6'!IG112+'[4]LCT-7'!IG112+'[4]LCT-8'!IG112+'[5]TB-1'!IG112+'[5]TB-2'!IG112+'[5]TB-3'!IG112+'[5]TB-4'!IG112+'[5]TB-5'!IG112+'[5]TB-6'!IG112+'[5]TB-7'!IG112+'[5]TB-8'!IG112+'[5]TB-9'!IG112+'[5]TB-10'!IG112+'[6]DSV-1'!IG112+'[6]DSV-2'!IG112+'[6]DSV-3'!IG112+'[7]TUB-1'!IG112+'[7]TUB-2'!IG112+'[8]Barge-1'!IG112+'[8]Barge-2'!IG112+'[8]Barge-3'!IG112+'[8]Barge-4'!IG112</f>
        <v>0</v>
      </c>
      <c r="AR41" s="139">
        <f>'[2]AHTS-1'!IH79+'[2]AHTS-2'!IH79+'[2]AHTS-3'!IH79+'[2]AHTS-4'!IH79+'[2]AHTS-5'!IH79+'[2]AHTS-6'!IH79+'[2]AHTS-7'!IH79+'[2]AHTS-8'!IH79+'[3]CB-1'!IH79+'[3]CB-2'!IH79+'[3]CB-3'!IH79+'[3]CB-4'!IH79+'[3]CB-5'!IH79+'[3]CB-6'!IH79+'[3]CB-7'!IH79+'[3]CB-8'!IH79+'[3]CB-9'!IH79+'[3]CB-10'!IH79+'[3]CB-11'!IH79+'[3]CB-12'!IH79+'[3]CB-13'!IH79+'[3]CB-14'!IH79+'[3]CB-15'!IH79+'[3]CB-16'!IH79+'[3]CB-17'!IH79+'[3]CB-18'!IH79+'[3]CB-19'!IH79+'[3]CB-20'!IH79+'[3]CB-21'!IH79+'[3]CB-22'!IH79+'[3]CB-23'!IH79+'[3]CB-24'!IH79+'[4]LCT-1'!IH79+'[4]LCT-2'!IH79+'[4]LCT-3'!IH79+'[4]LCT-4'!IH79+'[4]LCT-5'!IH79+'[4]LCT-6'!IH79+'[4]LCT-7'!IH79+'[4]LCT-8'!IH79+'[5]TB-1'!IH79+'[5]TB-2'!IH79+'[5]TB-3'!IH79+'[5]TB-4'!IH79+'[5]TB-5'!IH79+'[5]TB-6'!IH79+'[5]TB-7'!IH79+'[5]TB-8'!IH79+'[5]TB-9'!IH79+'[5]TB-10'!IH79+'[6]DSV-1'!IH79+'[6]DSV-2'!IH79+'[6]DSV-3'!IH79+'[7]TUB-1'!IH79+'[7]TUB-2'!IH79+'[8]Barge-1'!IH79+'[8]Barge-2'!IH79+'[8]Barge-3'!IH79+'[8]Barge-4'!IH79</f>
        <v>0</v>
      </c>
      <c r="AS41" s="136">
        <f>'[2]AHTS-1'!IH41+'[2]AHTS-2'!IH41+'[2]AHTS-3'!IH41+'[2]AHTS-4'!IH41+'[2]AHTS-5'!IH41+'[2]AHTS-6'!IH41+'[2]AHTS-7'!IH41+'[2]AHTS-8'!IH41+'[3]CB-1'!IH41+'[3]CB-2'!IH41+'[3]CB-3'!IH41+'[3]CB-4'!IH41+'[3]CB-5'!IH41+'[3]CB-6'!IH41+'[3]CB-7'!IH41+'[3]CB-8'!IH41+'[3]CB-9'!IH41+'[3]CB-10'!IH41+'[3]CB-11'!IH41+'[3]CB-12'!IH41+'[3]CB-13'!IH41+'[3]CB-14'!IH41+'[3]CB-15'!IH41+'[3]CB-16'!IH41+'[3]CB-17'!IH41+'[3]CB-18'!IH41+'[3]CB-19'!IH41+'[3]CB-20'!IH41+'[3]CB-21'!IH41+'[3]CB-22'!IH41+'[3]CB-23'!IH41+'[3]CB-24'!IH41+'[4]LCT-1'!IH41+'[4]LCT-2'!IH41+'[4]LCT-3'!IH41+'[4]LCT-4'!IH41+'[4]LCT-5'!IH41+'[4]LCT-6'!IH41+'[4]LCT-7'!IH41+'[4]LCT-8'!IH41+'[5]TB-1'!IH41+'[5]TB-2'!IH41+'[5]TB-3'!IH41+'[5]TB-4'!IH41+'[5]TB-5'!IH41+'[5]TB-6'!IH41+'[5]TB-7'!IH41+'[5]TB-8'!IH41+'[5]TB-9'!IH41+'[5]TB-10'!IH41+'[6]DSV-1'!IH41+'[6]DSV-2'!IH41+'[6]DSV-3'!IH41+'[7]TUB-1'!IH41+'[7]TUB-2'!IH41+'[8]Barge-1'!IH41+'[8]Barge-2'!IH41+'[8]Barge-3'!IH41+'[8]Barge-4'!IH41</f>
        <v>0</v>
      </c>
      <c r="AT41" s="140">
        <f>'[2]AHTS-1'!IH112+'[2]AHTS-2'!IH112+'[2]AHTS-3'!IH112+'[2]AHTS-4'!IH112+'[2]AHTS-5'!IH112+'[2]AHTS-6'!IH112+'[2]AHTS-7'!IH112+'[2]AHTS-8'!IH112+'[3]CB-1'!IH112+'[3]CB-2'!IH112+'[3]CB-3'!IH112+'[3]CB-4'!IH112+'[3]CB-5'!IH112+'[3]CB-6'!IH112+'[3]CB-7'!IH112+'[3]CB-8'!IH112+'[3]CB-9'!IH112+'[3]CB-10'!IH112+'[3]CB-11'!IH112+'[3]CB-12'!IH112+'[3]CB-13'!IH112+'[3]CB-14'!IH112+'[3]CB-15'!IH112+'[3]CB-16'!IH112+'[3]CB-17'!IH112+'[3]CB-18'!IH112+'[3]CB-19'!IH112+'[3]CB-20'!IH112+'[3]CB-21'!IH112+'[3]CB-22'!IH112+'[3]CB-23'!IH112+'[3]CB-24'!IH112+'[4]LCT-1'!IH112+'[4]LCT-2'!IH112+'[4]LCT-3'!IH112+'[4]LCT-4'!IH112+'[4]LCT-5'!IH112+'[4]LCT-6'!IH112+'[4]LCT-7'!IH112+'[4]LCT-8'!IH112+'[5]TB-1'!IH112+'[5]TB-2'!IH112+'[5]TB-3'!IH112+'[5]TB-4'!IH112+'[5]TB-5'!IH112+'[5]TB-6'!IH112+'[5]TB-7'!IH112+'[5]TB-8'!IH112+'[5]TB-9'!IH112+'[5]TB-10'!IH112+'[6]DSV-1'!IH112+'[6]DSV-2'!IH112+'[6]DSV-3'!IH112+'[7]TUB-1'!IH112+'[7]TUB-2'!IH112+'[8]Barge-1'!IH112+'[8]Barge-2'!IH112+'[8]Barge-3'!IH112+'[8]Barge-4'!IH112</f>
        <v>0</v>
      </c>
      <c r="AU41" s="139">
        <f>'[2]AHTS-1'!II79+'[2]AHTS-2'!II79+'[2]AHTS-3'!II79+'[2]AHTS-4'!II79+'[2]AHTS-5'!II79+'[2]AHTS-6'!II79+'[2]AHTS-7'!II79+'[2]AHTS-8'!II79+'[3]CB-1'!II79+'[3]CB-2'!II79+'[3]CB-3'!II79+'[3]CB-4'!II79+'[3]CB-5'!II79+'[3]CB-6'!II79+'[3]CB-7'!II79+'[3]CB-8'!II79+'[3]CB-9'!II79+'[3]CB-10'!II79+'[3]CB-11'!II79+'[3]CB-12'!II79+'[3]CB-13'!II79+'[3]CB-14'!II79+'[3]CB-15'!II79+'[3]CB-16'!II79+'[3]CB-17'!II79+'[3]CB-18'!II79+'[3]CB-19'!II79+'[3]CB-20'!II79+'[3]CB-21'!II79+'[3]CB-22'!II79+'[3]CB-23'!II79+'[3]CB-24'!II79+'[4]LCT-1'!II79+'[4]LCT-2'!II79+'[4]LCT-3'!II79+'[4]LCT-4'!II79+'[4]LCT-5'!II79+'[4]LCT-6'!II79+'[4]LCT-7'!II79+'[4]LCT-8'!II79+'[5]TB-1'!II79+'[5]TB-2'!II79+'[5]TB-3'!II79+'[5]TB-4'!II79+'[5]TB-5'!II79+'[5]TB-6'!II79+'[5]TB-7'!II79+'[5]TB-8'!II79+'[5]TB-9'!II79+'[5]TB-10'!II79+'[6]DSV-1'!II79+'[6]DSV-2'!II79+'[6]DSV-3'!II79+'[7]TUB-1'!II79+'[7]TUB-2'!II79+'[8]Barge-1'!II79+'[8]Barge-2'!II79+'[8]Barge-3'!II79+'[8]Barge-4'!II79</f>
        <v>0</v>
      </c>
      <c r="AV41" s="136">
        <f>'[2]AHTS-1'!II41+'[2]AHTS-2'!II41+'[2]AHTS-3'!II41+'[2]AHTS-4'!II41+'[2]AHTS-5'!II41+'[2]AHTS-6'!II41+'[2]AHTS-7'!II41+'[2]AHTS-8'!II41+'[3]CB-1'!II41+'[3]CB-2'!II41+'[3]CB-3'!II41+'[3]CB-4'!II41+'[3]CB-5'!II41+'[3]CB-6'!II41+'[3]CB-7'!II41+'[3]CB-8'!II41+'[3]CB-9'!II41+'[3]CB-10'!II41+'[3]CB-11'!II41+'[3]CB-12'!II41+'[3]CB-13'!II41+'[3]CB-14'!II41+'[3]CB-15'!II41+'[3]CB-16'!II41+'[3]CB-17'!II41+'[3]CB-18'!II41+'[3]CB-19'!II41+'[3]CB-20'!II41+'[3]CB-21'!II41+'[3]CB-22'!II41+'[3]CB-23'!II41+'[3]CB-24'!II41+'[4]LCT-1'!II41+'[4]LCT-2'!II41+'[4]LCT-3'!II41+'[4]LCT-4'!II41+'[4]LCT-5'!II41+'[4]LCT-6'!II41+'[4]LCT-7'!II41+'[4]LCT-8'!II41+'[5]TB-1'!II41+'[5]TB-2'!II41+'[5]TB-3'!II41+'[5]TB-4'!II41+'[5]TB-5'!II41+'[5]TB-6'!II41+'[5]TB-7'!II41+'[5]TB-8'!II41+'[5]TB-9'!II41+'[5]TB-10'!II41+'[6]DSV-1'!II41+'[6]DSV-2'!II41+'[6]DSV-3'!II41+'[7]TUB-1'!II41+'[7]TUB-2'!II41+'[8]Barge-1'!II41+'[8]Barge-2'!II41+'[8]Barge-3'!II41+'[8]Barge-4'!II41</f>
        <v>0</v>
      </c>
      <c r="AW41" s="140">
        <f>'[2]AHTS-1'!II112+'[2]AHTS-2'!II112+'[2]AHTS-3'!II112+'[2]AHTS-4'!II112+'[2]AHTS-5'!II112+'[2]AHTS-6'!II112+'[2]AHTS-7'!II112+'[2]AHTS-8'!II112+'[3]CB-1'!II112+'[3]CB-2'!II112+'[3]CB-3'!II112+'[3]CB-4'!II112+'[3]CB-5'!II112+'[3]CB-6'!II112+'[3]CB-7'!II112+'[3]CB-8'!II112+'[3]CB-9'!II112+'[3]CB-10'!II112+'[3]CB-11'!II112+'[3]CB-12'!II112+'[3]CB-13'!II112+'[3]CB-14'!II112+'[3]CB-15'!II112+'[3]CB-16'!II112+'[3]CB-17'!II112+'[3]CB-18'!II112+'[3]CB-19'!II112+'[3]CB-20'!II112+'[3]CB-21'!II112+'[3]CB-22'!II112+'[3]CB-23'!II112+'[3]CB-24'!II112+'[4]LCT-1'!II112+'[4]LCT-2'!II112+'[4]LCT-3'!II112+'[4]LCT-4'!II112+'[4]LCT-5'!II112+'[4]LCT-6'!II112+'[4]LCT-7'!II112+'[4]LCT-8'!II112+'[5]TB-1'!II112+'[5]TB-2'!II112+'[5]TB-3'!II112+'[5]TB-4'!II112+'[5]TB-5'!II112+'[5]TB-6'!II112+'[5]TB-7'!II112+'[5]TB-8'!II112+'[5]TB-9'!II112+'[5]TB-10'!II112+'[6]DSV-1'!II112+'[6]DSV-2'!II112+'[6]DSV-3'!II112+'[7]TUB-1'!II112+'[7]TUB-2'!II112+'[8]Barge-1'!II112+'[8]Barge-2'!II112+'[8]Barge-3'!II112+'[8]Barge-4'!II112</f>
        <v>0</v>
      </c>
      <c r="AX41" s="67"/>
      <c r="AY41" s="67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</row>
    <row r="42" spans="1:97" s="74" customFormat="1" ht="28.2" customHeight="1" thickBot="1" x14ac:dyDescent="0.3">
      <c r="A42" s="70" t="s">
        <v>13</v>
      </c>
      <c r="B42" s="71"/>
      <c r="C42" s="185">
        <f>SUM(C11:C41)</f>
        <v>0</v>
      </c>
      <c r="D42" s="185">
        <f>SUM(D11:D41)</f>
        <v>0</v>
      </c>
      <c r="E42" s="185">
        <f t="shared" ref="E42:W42" si="0">SUM(E11:E41)</f>
        <v>0</v>
      </c>
      <c r="F42" s="185">
        <f t="shared" si="0"/>
        <v>48454.071761385763</v>
      </c>
      <c r="G42" s="185">
        <f t="shared" si="0"/>
        <v>51427.768242842205</v>
      </c>
      <c r="H42" s="185">
        <f t="shared" si="0"/>
        <v>0</v>
      </c>
      <c r="I42" s="185">
        <f t="shared" si="0"/>
        <v>98673.624676978157</v>
      </c>
      <c r="J42" s="185">
        <f t="shared" si="0"/>
        <v>79360.341839194589</v>
      </c>
      <c r="K42" s="185">
        <f t="shared" si="0"/>
        <v>0</v>
      </c>
      <c r="L42" s="185">
        <f t="shared" si="0"/>
        <v>112234.89287183221</v>
      </c>
      <c r="M42" s="185">
        <f t="shared" si="0"/>
        <v>118656.28819304913</v>
      </c>
      <c r="N42" s="185">
        <f t="shared" si="0"/>
        <v>0</v>
      </c>
      <c r="O42" s="185">
        <f t="shared" si="0"/>
        <v>1302.6383216629583</v>
      </c>
      <c r="P42" s="185">
        <f t="shared" si="0"/>
        <v>8357.9050401463555</v>
      </c>
      <c r="Q42" s="185">
        <f t="shared" si="0"/>
        <v>0</v>
      </c>
      <c r="R42" s="185">
        <f>SUM(R11:R41)</f>
        <v>141824.89555061545</v>
      </c>
      <c r="S42" s="185">
        <f>SUM(S11:S41)</f>
        <v>168270.27740466641</v>
      </c>
      <c r="T42" s="185">
        <f>SUM(T11:T41)</f>
        <v>0</v>
      </c>
      <c r="U42" s="185">
        <f t="shared" si="0"/>
        <v>0</v>
      </c>
      <c r="V42" s="185">
        <f t="shared" si="0"/>
        <v>0</v>
      </c>
      <c r="W42" s="185">
        <f t="shared" si="0"/>
        <v>0</v>
      </c>
      <c r="X42" s="72"/>
      <c r="Y42" s="72"/>
      <c r="Z42" s="73"/>
      <c r="AA42" s="70" t="s">
        <v>13</v>
      </c>
      <c r="AB42" s="71"/>
      <c r="AC42" s="141">
        <f>SUM(AC11:AC41)</f>
        <v>0</v>
      </c>
      <c r="AD42" s="141">
        <f>SUM(AD11:AD41)</f>
        <v>0</v>
      </c>
      <c r="AE42" s="141">
        <f t="shared" ref="AE42:AW42" si="1">SUM(AE11:AE41)</f>
        <v>0</v>
      </c>
      <c r="AF42" s="141">
        <f t="shared" si="1"/>
        <v>764137317.29166663</v>
      </c>
      <c r="AG42" s="141">
        <f t="shared" si="1"/>
        <v>810961944.44444454</v>
      </c>
      <c r="AH42" s="141">
        <f t="shared" si="1"/>
        <v>0</v>
      </c>
      <c r="AI42" s="141">
        <f t="shared" si="1"/>
        <v>1558200315.416667</v>
      </c>
      <c r="AJ42" s="141">
        <f t="shared" si="1"/>
        <v>1253362361.1111112</v>
      </c>
      <c r="AK42" s="141">
        <f t="shared" si="1"/>
        <v>0</v>
      </c>
      <c r="AL42" s="141">
        <f t="shared" si="1"/>
        <v>1770997066.9444444</v>
      </c>
      <c r="AM42" s="141">
        <f t="shared" si="1"/>
        <v>1872566527.7777781</v>
      </c>
      <c r="AN42" s="141">
        <f t="shared" si="1"/>
        <v>0</v>
      </c>
      <c r="AO42" s="141">
        <f t="shared" si="1"/>
        <v>20541902.777777784</v>
      </c>
      <c r="AP42" s="141">
        <f t="shared" si="1"/>
        <v>131805555.55555555</v>
      </c>
      <c r="AQ42" s="141">
        <f t="shared" si="1"/>
        <v>0</v>
      </c>
      <c r="AR42" s="141">
        <f t="shared" si="1"/>
        <v>2236425083.333333</v>
      </c>
      <c r="AS42" s="141">
        <f t="shared" si="1"/>
        <v>2653700000</v>
      </c>
      <c r="AT42" s="141">
        <f t="shared" si="1"/>
        <v>0</v>
      </c>
      <c r="AU42" s="141">
        <f t="shared" si="1"/>
        <v>0</v>
      </c>
      <c r="AV42" s="141">
        <f t="shared" si="1"/>
        <v>0</v>
      </c>
      <c r="AW42" s="141">
        <f t="shared" si="1"/>
        <v>0</v>
      </c>
      <c r="AX42" s="72"/>
      <c r="AY42" s="72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</row>
    <row r="43" spans="1:97" s="74" customFormat="1" ht="28.2" customHeight="1" thickBot="1" x14ac:dyDescent="0.3">
      <c r="A43" s="75" t="s">
        <v>14</v>
      </c>
      <c r="B43" s="71"/>
      <c r="C43" s="186" t="e">
        <f>C42/(COUNT(C11:C41)-COUNTIF(C11:C41, "0"))</f>
        <v>#DIV/0!</v>
      </c>
      <c r="D43" s="186" t="e">
        <f t="shared" ref="D43:W43" si="2">D42/(COUNT(D11:D41)-COUNTIF(D11:D41, "0"))</f>
        <v>#DIV/0!</v>
      </c>
      <c r="E43" s="186" t="e">
        <f t="shared" si="2"/>
        <v>#DIV/0!</v>
      </c>
      <c r="F43" s="186">
        <f t="shared" si="2"/>
        <v>1615.1357253795254</v>
      </c>
      <c r="G43" s="186">
        <f t="shared" si="2"/>
        <v>1714.2589414280735</v>
      </c>
      <c r="H43" s="186" t="e">
        <f t="shared" si="2"/>
        <v>#DIV/0!</v>
      </c>
      <c r="I43" s="186">
        <f t="shared" si="2"/>
        <v>3289.1208225659384</v>
      </c>
      <c r="J43" s="186">
        <f t="shared" si="2"/>
        <v>2645.3447279731531</v>
      </c>
      <c r="K43" s="186" t="e">
        <f t="shared" si="2"/>
        <v>#DIV/0!</v>
      </c>
      <c r="L43" s="186">
        <f t="shared" si="2"/>
        <v>3741.1630957277403</v>
      </c>
      <c r="M43" s="186">
        <f t="shared" si="2"/>
        <v>3955.2096064349707</v>
      </c>
      <c r="N43" s="186" t="e">
        <f t="shared" si="2"/>
        <v>#DIV/0!</v>
      </c>
      <c r="O43" s="186">
        <f t="shared" si="2"/>
        <v>43.421277388765276</v>
      </c>
      <c r="P43" s="186">
        <f t="shared" si="2"/>
        <v>278.5968346715452</v>
      </c>
      <c r="Q43" s="186" t="e">
        <f t="shared" si="2"/>
        <v>#DIV/0!</v>
      </c>
      <c r="R43" s="186">
        <f>R42/(COUNT(R11:R41)-COUNTIF(R11:R41, "0"))</f>
        <v>4727.4965183538479</v>
      </c>
      <c r="S43" s="186">
        <f>S42/(COUNT(S11:S41)-COUNTIF(S11:S41, "0"))</f>
        <v>5609.0092468222138</v>
      </c>
      <c r="T43" s="186" t="e">
        <f>T42/(COUNT(T11:T41)-COUNTIF(T11:T41, "0"))</f>
        <v>#DIV/0!</v>
      </c>
      <c r="U43" s="186" t="e">
        <f t="shared" si="2"/>
        <v>#DIV/0!</v>
      </c>
      <c r="V43" s="186" t="e">
        <f t="shared" si="2"/>
        <v>#DIV/0!</v>
      </c>
      <c r="W43" s="186" t="e">
        <f t="shared" si="2"/>
        <v>#DIV/0!</v>
      </c>
      <c r="X43" s="72"/>
      <c r="Y43" s="72"/>
      <c r="Z43" s="73"/>
      <c r="AA43" s="75" t="s">
        <v>14</v>
      </c>
      <c r="AB43" s="71"/>
      <c r="AC43" s="142" t="e">
        <f>AC42/(COUNT(AC11:AC41)-COUNTIF(AC11:AC41, "0"))</f>
        <v>#DIV/0!</v>
      </c>
      <c r="AD43" s="142" t="e">
        <f t="shared" ref="AD43:AW43" si="3">AD42/(COUNT(AD11:AD41)-COUNTIF(AD11:AD41, "0"))</f>
        <v>#DIV/0!</v>
      </c>
      <c r="AE43" s="142" t="e">
        <f t="shared" si="3"/>
        <v>#DIV/0!</v>
      </c>
      <c r="AF43" s="142">
        <f t="shared" si="3"/>
        <v>25471243.90972222</v>
      </c>
      <c r="AG43" s="142">
        <f t="shared" si="3"/>
        <v>27032064.814814817</v>
      </c>
      <c r="AH43" s="142" t="e">
        <f t="shared" si="3"/>
        <v>#DIV/0!</v>
      </c>
      <c r="AI43" s="142">
        <f t="shared" si="3"/>
        <v>51940010.513888903</v>
      </c>
      <c r="AJ43" s="142">
        <f>AJ42/(COUNT(AJ11:AJ41)-COUNTIF(AJ11:AJ41, "0"))</f>
        <v>41778745.370370373</v>
      </c>
      <c r="AK43" s="190" t="e">
        <f>AK42/(COUNT(AK11:AK41)-COUNTIF(AK11:AK41, "0"))</f>
        <v>#DIV/0!</v>
      </c>
      <c r="AL43" s="142">
        <f t="shared" si="3"/>
        <v>59033235.564814813</v>
      </c>
      <c r="AM43" s="142">
        <f t="shared" si="3"/>
        <v>62418884.259259269</v>
      </c>
      <c r="AN43" s="142" t="e">
        <f t="shared" si="3"/>
        <v>#DIV/0!</v>
      </c>
      <c r="AO43" s="142">
        <f t="shared" si="3"/>
        <v>684730.09259259282</v>
      </c>
      <c r="AP43" s="142">
        <f t="shared" si="3"/>
        <v>4393518.5185185187</v>
      </c>
      <c r="AQ43" s="142" t="e">
        <f t="shared" si="3"/>
        <v>#DIV/0!</v>
      </c>
      <c r="AR43" s="142">
        <f t="shared" si="3"/>
        <v>74547502.777777761</v>
      </c>
      <c r="AS43" s="142">
        <f t="shared" si="3"/>
        <v>88456666.666666672</v>
      </c>
      <c r="AT43" s="142" t="e">
        <f t="shared" si="3"/>
        <v>#DIV/0!</v>
      </c>
      <c r="AU43" s="142" t="e">
        <f t="shared" si="3"/>
        <v>#DIV/0!</v>
      </c>
      <c r="AV43" s="142" t="e">
        <f t="shared" si="3"/>
        <v>#DIV/0!</v>
      </c>
      <c r="AW43" s="142" t="e">
        <f t="shared" si="3"/>
        <v>#DIV/0!</v>
      </c>
      <c r="AX43" s="72"/>
      <c r="AY43" s="72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</row>
    <row r="44" spans="1:97" s="5" customFormat="1" ht="17.850000000000001" customHeight="1" x14ac:dyDescent="0.25">
      <c r="A44" s="76"/>
      <c r="B44" s="3"/>
      <c r="C44" s="3"/>
      <c r="D44" s="11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57"/>
      <c r="Y44" s="57"/>
      <c r="Z44" s="58"/>
      <c r="AA44" s="76"/>
      <c r="AB44" s="3"/>
      <c r="AC44" s="3"/>
      <c r="AD44" s="114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57"/>
      <c r="AY44" s="57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</row>
    <row r="45" spans="1:97" s="83" customFormat="1" ht="17.850000000000001" customHeight="1" x14ac:dyDescent="0.25">
      <c r="A45" s="77"/>
      <c r="B45" s="78"/>
      <c r="C45" s="78"/>
      <c r="D45" s="80"/>
      <c r="E45" s="78"/>
      <c r="F45" s="79"/>
      <c r="G45" s="80"/>
      <c r="H45" s="80"/>
      <c r="I45" s="21"/>
      <c r="J45" s="79"/>
      <c r="K45" s="80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81"/>
      <c r="Y45" s="81"/>
      <c r="Z45" s="82"/>
      <c r="AA45" s="77"/>
      <c r="AB45" s="78"/>
      <c r="AC45" s="78"/>
      <c r="AD45" s="80"/>
      <c r="AE45" s="78"/>
      <c r="AF45" s="79"/>
      <c r="AG45" s="80"/>
      <c r="AH45" s="80"/>
      <c r="AI45" s="21"/>
      <c r="AJ45" s="79"/>
      <c r="AK45" s="80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81"/>
      <c r="AY45" s="81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82"/>
      <c r="CN45" s="82"/>
      <c r="CO45" s="82"/>
      <c r="CP45" s="82"/>
      <c r="CQ45" s="82"/>
      <c r="CR45" s="82"/>
      <c r="CS45" s="82"/>
    </row>
    <row r="46" spans="1:97" s="5" customFormat="1" ht="17.850000000000001" customHeight="1" x14ac:dyDescent="0.25">
      <c r="A46" s="8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57"/>
      <c r="Y46" s="57"/>
      <c r="Z46" s="58"/>
      <c r="AA46" s="8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57"/>
      <c r="AY46" s="57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8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</row>
    <row r="47" spans="1:97" s="5" customFormat="1" ht="17.850000000000001" customHeight="1" x14ac:dyDescent="0.25">
      <c r="A47" s="85"/>
      <c r="B47" s="56"/>
      <c r="C47" s="86"/>
      <c r="D47" s="86"/>
      <c r="E47" s="86"/>
      <c r="F47" s="87"/>
      <c r="G47" s="87"/>
      <c r="H47" s="87"/>
      <c r="I47" s="86"/>
      <c r="J47" s="86"/>
      <c r="K47" s="86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57"/>
      <c r="Y47" s="57"/>
      <c r="Z47" s="58"/>
      <c r="AA47" s="85"/>
      <c r="AB47" s="56"/>
      <c r="AC47" s="86"/>
      <c r="AD47" s="86"/>
      <c r="AE47" s="86"/>
      <c r="AF47" s="87"/>
      <c r="AG47" s="87"/>
      <c r="AH47" s="87"/>
      <c r="AI47" s="86"/>
      <c r="AJ47" s="86"/>
      <c r="AK47" s="86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57"/>
      <c r="AY47" s="57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</row>
    <row r="48" spans="1:97" s="5" customFormat="1" ht="17.850000000000001" customHeight="1" thickBot="1" x14ac:dyDescent="0.3">
      <c r="A48" s="88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57"/>
      <c r="Y48" s="57"/>
      <c r="Z48" s="58"/>
      <c r="AA48" s="88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89"/>
      <c r="AX48" s="57"/>
      <c r="AY48" s="57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</row>
    <row r="49" spans="1:97" s="82" customFormat="1" ht="17.850000000000001" customHeight="1" x14ac:dyDescent="0.25">
      <c r="X49" s="122"/>
      <c r="Y49" s="122"/>
    </row>
    <row r="50" spans="1:97" s="82" customFormat="1" ht="15" customHeight="1" x14ac:dyDescent="0.25">
      <c r="A50" s="125" t="s">
        <v>16</v>
      </c>
      <c r="B50" s="126"/>
      <c r="C50" s="193" t="str">
        <f>C9</f>
        <v>-</v>
      </c>
      <c r="D50" s="193"/>
      <c r="E50" s="193"/>
      <c r="F50" s="193" t="str">
        <f>F9</f>
        <v xml:space="preserve"> P_NORTH
ATTAKA</v>
      </c>
      <c r="G50" s="193"/>
      <c r="H50" s="193"/>
      <c r="I50" s="193" t="str">
        <f>I9</f>
        <v>P_NORTH
NIB</v>
      </c>
      <c r="J50" s="193"/>
      <c r="K50" s="193"/>
      <c r="L50" s="193" t="str">
        <f>L9</f>
        <v>P_NORTH
SANTAN
TERMINAL</v>
      </c>
      <c r="M50" s="193"/>
      <c r="N50" s="193"/>
      <c r="O50" s="193" t="str">
        <f>O9</f>
        <v>P_NORTH
SECURITY PATROL</v>
      </c>
      <c r="P50" s="193"/>
      <c r="Q50" s="193"/>
      <c r="R50" s="193" t="str">
        <f>R9</f>
        <v>P_SOUTH</v>
      </c>
      <c r="S50" s="193"/>
      <c r="T50" s="193"/>
      <c r="U50" s="193" t="str">
        <f>U9</f>
        <v>P_SOUTH SECURITY PATROL</v>
      </c>
      <c r="V50" s="193"/>
      <c r="W50" s="193"/>
      <c r="X50" s="122"/>
      <c r="Y50" s="122"/>
    </row>
    <row r="51" spans="1:97" s="82" customFormat="1" ht="15" customHeight="1" x14ac:dyDescent="0.25">
      <c r="A51" s="117">
        <f>A11</f>
        <v>45986</v>
      </c>
      <c r="B51" s="118"/>
      <c r="C51" s="194">
        <f>'[2]AHTS-1'!AV49+'[2]AHTS-2'!AV49+'[2]AHTS-3'!AV49+'[2]AHTS-4'!AV49+'[2]AHTS-5'!AV49+'[2]AHTS-6'!AV49+'[2]AHTS-7'!AV49+'[2]AHTS-8'!AV49+'[3]CB-1'!AV49+'[3]CB-2'!AV49+'[3]CB-3'!AV49+'[3]CB-4'!AV49+'[3]CB-5'!AV49+'[3]CB-6'!AV49+'[3]CB-7'!AV49+'[3]CB-8'!AV49+'[3]CB-9'!AV49+'[3]CB-10'!AV49+'[3]CB-11'!AV49+'[3]CB-12'!AV49+'[3]CB-13'!AV49+'[3]CB-14'!AV49+'[3]CB-15'!AV49+'[3]CB-16'!AV49+'[3]CB-17'!AV49+'[3]CB-18'!AV49+'[3]CB-19'!AV49+'[3]CB-20'!AV49+'[3]CB-21'!AV49+'[3]CB-22'!AV49+'[3]CB-23'!AV49+'[3]CB-24'!AV49+'[4]LCT-1'!AV49+'[4]LCT-2'!AV49+'[4]LCT-3'!AV49+'[4]LCT-4'!AV49+'[4]LCT-5'!AV49+'[4]LCT-6'!AV49+'[4]LCT-7'!AV49+'[4]LCT-8'!AV49+'[5]TB-1'!AV49+'[5]TB-2'!AV49+'[5]TB-3'!AV49+'[5]TB-4'!AV49+'[5]TB-5'!AV49+'[5]TB-6'!AV49+'[5]TB-7'!AV49+'[5]TB-8'!AV49+'[5]TB-9'!AV49+'[5]TB-10'!AV49+'[6]DSV-1'!AV49+'[6]DSV-2'!AV49+'[6]DSV-3'!AV49+'[7]TUB-1'!AV49+'[7]TUB-2'!AV49+'[8]Barge-1'!AV49+'[8]Barge-2'!AV49+'[8]Barge-3'!AV49+'[8]Barge-4'!AV49</f>
        <v>0</v>
      </c>
      <c r="D51" s="194"/>
      <c r="E51" s="194"/>
      <c r="F51" s="194">
        <f>'[2]AHTS-1'!AW49+'[2]AHTS-2'!AW49+'[2]AHTS-3'!AW49+'[2]AHTS-4'!AW49+'[2]AHTS-5'!AW49+'[2]AHTS-6'!AW49+'[2]AHTS-7'!AW49+'[2]AHTS-8'!AW49+'[3]CB-1'!AW49+'[3]CB-2'!AW49+'[3]CB-3'!AW49+'[3]CB-4'!AW49+'[3]CB-5'!AW49+'[3]CB-6'!AW49+'[3]CB-7'!AW49+'[3]CB-8'!AW49+'[3]CB-9'!AW49+'[3]CB-10'!AW49+'[3]CB-11'!AW49+'[3]CB-12'!AW49+'[3]CB-13'!AW49+'[3]CB-14'!AW49+'[3]CB-15'!AW49+'[3]CB-16'!AW49+'[3]CB-17'!AW49+'[3]CB-18'!AW49+'[3]CB-19'!AW49+'[3]CB-20'!AW49+'[3]CB-21'!AW49+'[3]CB-22'!AW49+'[3]CB-23'!AW49+'[3]CB-24'!AW49+'[4]LCT-1'!AW49+'[4]LCT-2'!AW49+'[4]LCT-3'!AW49+'[4]LCT-4'!AW49+'[4]LCT-5'!AW49+'[4]LCT-6'!AW49+'[4]LCT-7'!AW49+'[4]LCT-8'!AW49+'[5]TB-1'!AW49+'[5]TB-2'!AW49+'[5]TB-3'!AW49+'[5]TB-4'!AW49+'[5]TB-5'!AW49+'[5]TB-6'!AW49+'[5]TB-7'!AW49+'[5]TB-8'!AW49+'[5]TB-9'!AW49+'[5]TB-10'!AW49+'[6]DSV-1'!AW49+'[6]DSV-2'!AW49+'[6]DSV-3'!AW49+'[7]TUB-1'!AW49+'[7]TUB-2'!AW49+'[8]Barge-1'!AW49+'[8]Barge-2'!AW49+'[8]Barge-3'!AW49+'[8]Barge-4'!AW49</f>
        <v>1527.75</v>
      </c>
      <c r="G51" s="194"/>
      <c r="H51" s="194"/>
      <c r="I51" s="194">
        <f>'[2]AHTS-1'!AX49+'[2]AHTS-2'!AX49+'[2]AHTS-3'!AX49+'[2]AHTS-4'!AX49+'[2]AHTS-5'!AX49+'[2]AHTS-6'!AX49+'[2]AHTS-7'!AX49+'[2]AHTS-8'!AX49+'[3]CB-1'!AX49+'[3]CB-2'!AX49+'[3]CB-3'!AX49+'[3]CB-4'!AX49+'[3]CB-5'!AX49+'[3]CB-6'!AX49+'[3]CB-7'!AX49+'[3]CB-8'!AX49+'[3]CB-9'!AX49+'[3]CB-10'!AX49+'[3]CB-11'!AX49+'[3]CB-12'!AX49+'[3]CB-13'!AX49+'[3]CB-14'!AX49+'[3]CB-15'!AX49+'[3]CB-16'!AX49+'[3]CB-17'!AX49+'[3]CB-18'!AX49+'[3]CB-19'!AX49+'[3]CB-20'!AX49+'[3]CB-21'!AX49+'[3]CB-22'!AX49+'[3]CB-23'!AX49+'[3]CB-24'!AX49+'[4]LCT-1'!AX49+'[4]LCT-2'!AX49+'[4]LCT-3'!AX49+'[4]LCT-4'!AX49+'[4]LCT-5'!AX49+'[4]LCT-6'!AX49+'[4]LCT-7'!AX49+'[4]LCT-8'!AX49+'[5]TB-1'!AX49+'[5]TB-2'!AX49+'[5]TB-3'!AX49+'[5]TB-4'!AX49+'[5]TB-5'!AX49+'[5]TB-6'!AX49+'[5]TB-7'!AX49+'[5]TB-8'!AX49+'[5]TB-9'!AX49+'[5]TB-10'!AX49+'[6]DSV-1'!AX49+'[6]DSV-2'!AX49+'[6]DSV-3'!AX49+'[7]TUB-1'!AX49+'[7]TUB-2'!AX49+'[8]Barge-1'!AX49+'[8]Barge-2'!AX49+'[8]Barge-3'!AX49+'[8]Barge-4'!AX49</f>
        <v>2060.1666666666665</v>
      </c>
      <c r="J51" s="194"/>
      <c r="K51" s="194"/>
      <c r="L51" s="194">
        <f>'[2]AHTS-1'!AY49+'[2]AHTS-2'!AY49+'[2]AHTS-3'!AY49+'[2]AHTS-4'!AY49+'[2]AHTS-5'!AY49+'[2]AHTS-6'!AY49+'[2]AHTS-7'!AY49+'[2]AHTS-8'!AY49+'[3]CB-1'!AY49+'[3]CB-2'!AY49+'[3]CB-3'!AY49+'[3]CB-4'!AY49+'[3]CB-5'!AY49+'[3]CB-6'!AY49+'[3]CB-7'!AY49+'[3]CB-8'!AY49+'[3]CB-9'!AY49+'[3]CB-10'!AY49+'[3]CB-11'!AY49+'[3]CB-12'!AY49+'[3]CB-13'!AY49+'[3]CB-14'!AY49+'[3]CB-15'!AY49+'[3]CB-16'!AY49+'[3]CB-17'!AY49+'[3]CB-18'!AY49+'[3]CB-19'!AY49+'[3]CB-20'!AY49+'[3]CB-21'!AY49+'[3]CB-22'!AY49+'[3]CB-23'!AY49+'[3]CB-24'!AY49+'[4]LCT-1'!AY49+'[4]LCT-2'!AY49+'[4]LCT-3'!AY49+'[4]LCT-4'!AY49+'[4]LCT-5'!AY49+'[4]LCT-6'!AY49+'[4]LCT-7'!AY49+'[4]LCT-8'!AY49+'[5]TB-1'!AY49+'[5]TB-2'!AY49+'[5]TB-3'!AY49+'[5]TB-4'!AY49+'[5]TB-5'!AY49+'[5]TB-6'!AY49+'[5]TB-7'!AY49+'[5]TB-8'!AY49+'[5]TB-9'!AY49+'[5]TB-10'!AY49+'[6]DSV-1'!AY49+'[6]DSV-2'!AY49+'[6]DSV-3'!AY49+'[7]TUB-1'!AY49+'[7]TUB-2'!AY49+'[8]Barge-1'!AY49+'[8]Barge-2'!AY49+'[8]Barge-3'!AY49+'[8]Barge-4'!AY49</f>
        <v>100</v>
      </c>
      <c r="M51" s="194"/>
      <c r="N51" s="194"/>
      <c r="O51" s="194">
        <f>'[2]AHTS-1'!AZ49+'[2]AHTS-2'!AZ49+'[2]AHTS-3'!AZ49+'[2]AHTS-4'!AZ49+'[2]AHTS-5'!AZ49+'[2]AHTS-6'!AZ49+'[2]AHTS-7'!AZ49+'[2]AHTS-8'!AZ49+'[3]CB-1'!AZ49+'[3]CB-2'!AZ49+'[3]CB-3'!AZ49+'[3]CB-4'!AZ49+'[3]CB-5'!AZ49+'[3]CB-6'!AZ49+'[3]CB-7'!AZ49+'[3]CB-8'!AZ49+'[3]CB-9'!AZ49+'[3]CB-10'!AZ49+'[3]CB-11'!AZ49+'[3]CB-12'!AZ49+'[3]CB-13'!AZ49+'[3]CB-14'!AZ49+'[3]CB-15'!AZ49+'[3]CB-16'!AZ49+'[3]CB-17'!AZ49+'[3]CB-18'!AZ49+'[3]CB-19'!AZ49+'[3]CB-20'!AZ49+'[3]CB-21'!AZ49+'[3]CB-22'!AZ49+'[3]CB-23'!AZ49+'[3]CB-24'!AZ49+'[4]LCT-1'!AZ49+'[4]LCT-2'!AZ49+'[4]LCT-3'!AZ49+'[4]LCT-4'!AZ49+'[4]LCT-5'!AZ49+'[4]LCT-6'!AZ49+'[4]LCT-7'!AZ49+'[4]LCT-8'!AZ49+'[5]TB-1'!AZ49+'[5]TB-2'!AZ49+'[5]TB-3'!AZ49+'[5]TB-4'!AZ49+'[5]TB-5'!AZ49+'[5]TB-6'!AZ49+'[5]TB-7'!AZ49+'[5]TB-8'!AZ49+'[5]TB-9'!AZ49+'[5]TB-10'!AZ49+'[6]DSV-1'!AZ49+'[6]DSV-2'!AZ49+'[6]DSV-3'!AZ49+'[7]TUB-1'!AZ49+'[7]TUB-2'!AZ49+'[8]Barge-1'!AZ49+'[8]Barge-2'!AZ49+'[8]Barge-3'!AZ49+'[8]Barge-4'!AZ49</f>
        <v>34</v>
      </c>
      <c r="P51" s="194"/>
      <c r="Q51" s="194"/>
      <c r="R51" s="194">
        <f>'[2]AHTS-1'!BA49+'[2]AHTS-2'!BA49+'[2]AHTS-3'!BA49+'[2]AHTS-4'!BA49+'[2]AHTS-5'!BA49+'[2]AHTS-6'!BA49+'[2]AHTS-7'!BA49+'[2]AHTS-8'!BA49+'[3]CB-1'!BA49+'[3]CB-2'!BA49+'[3]CB-3'!BA49+'[3]CB-4'!BA49+'[3]CB-5'!BA49+'[3]CB-6'!BA49+'[3]CB-7'!BA49+'[3]CB-8'!BA49+'[3]CB-9'!BA49+'[3]CB-10'!BA49+'[3]CB-11'!BA49+'[3]CB-12'!BA49+'[3]CB-13'!BA49+'[3]CB-14'!BA49+'[3]CB-15'!BA49+'[3]CB-16'!BA49+'[3]CB-17'!BA49+'[3]CB-18'!BA49+'[3]CB-19'!BA49+'[3]CB-20'!BA49+'[3]CB-21'!BA49+'[3]CB-22'!BA49+'[3]CB-23'!BA49+'[3]CB-24'!BA49+'[4]LCT-1'!BA49+'[4]LCT-2'!BA49+'[4]LCT-3'!BA49+'[4]LCT-4'!BA49+'[4]LCT-5'!BA49+'[4]LCT-6'!BA49+'[4]LCT-7'!BA49+'[4]LCT-8'!BA49+'[5]TB-1'!BA49+'[5]TB-2'!BA49+'[5]TB-3'!BA49+'[5]TB-4'!BA49+'[5]TB-5'!BA49+'[5]TB-6'!BA49+'[5]TB-7'!BA49+'[5]TB-8'!BA49+'[5]TB-9'!BA49+'[5]TB-10'!BA49+'[6]DSV-1'!BA49+'[6]DSV-2'!BA49+'[6]DSV-3'!BA49+'[7]TUB-1'!BA49+'[7]TUB-2'!BA49+'[8]Barge-1'!BA49+'[8]Barge-2'!BA49+'[8]Barge-3'!BA49+'[8]Barge-4'!BA49</f>
        <v>4805</v>
      </c>
      <c r="S51" s="194"/>
      <c r="T51" s="194"/>
      <c r="U51" s="194">
        <f>'[2]AHTS-1'!BB49+'[2]AHTS-2'!BB49+'[2]AHTS-3'!BB49+'[2]AHTS-4'!BB49+'[2]AHTS-5'!BB49+'[2]AHTS-6'!BB49+'[2]AHTS-7'!BB49+'[2]AHTS-8'!BB49+'[3]CB-1'!BB49+'[3]CB-2'!BB49+'[3]CB-3'!BB49+'[3]CB-4'!BB49+'[3]CB-5'!BB49+'[3]CB-6'!BB49+'[3]CB-7'!BB49+'[3]CB-8'!BB49+'[3]CB-9'!BB49+'[3]CB-10'!BB49+'[3]CB-11'!BB49+'[3]CB-12'!BB49+'[3]CB-13'!BB49+'[3]CB-14'!BB49+'[3]CB-15'!BB49+'[3]CB-16'!BB49+'[3]CB-17'!BB49+'[3]CB-18'!BB49+'[3]CB-19'!BB49+'[3]CB-20'!BB49+'[3]CB-21'!BB49+'[3]CB-22'!BB49+'[3]CB-23'!BB49+'[3]CB-24'!BB49+'[4]LCT-1'!BB49+'[4]LCT-2'!BB49+'[4]LCT-3'!BB49+'[4]LCT-4'!BB49+'[4]LCT-5'!BB49+'[4]LCT-6'!BB49+'[4]LCT-7'!BB49+'[4]LCT-8'!BB49+'[5]TB-1'!BB49+'[5]TB-2'!BB49+'[5]TB-3'!BB49+'[5]TB-4'!BB49+'[5]TB-5'!BB49+'[5]TB-6'!BB49+'[5]TB-7'!BB49+'[5]TB-8'!BB49+'[5]TB-9'!BB49+'[5]TB-10'!BB49+'[6]DSV-1'!BB49+'[6]DSV-2'!BB49+'[6]DSV-3'!BB49+'[7]TUB-1'!BB49+'[7]TUB-2'!BB49+'[8]Barge-1'!BB49+'[8]Barge-2'!BB49+'[8]Barge-3'!BB49+'[8]Barge-4'!BB49</f>
        <v>0</v>
      </c>
      <c r="V51" s="194"/>
      <c r="W51" s="194"/>
      <c r="X51" s="122"/>
      <c r="Y51" s="122"/>
    </row>
    <row r="52" spans="1:97" s="58" customFormat="1" ht="15" customHeight="1" x14ac:dyDescent="0.25">
      <c r="A52" s="117">
        <f t="shared" ref="A52:A82" si="4">A12</f>
        <v>45987</v>
      </c>
      <c r="B52" s="159"/>
      <c r="C52" s="194">
        <f>'[2]AHTS-1'!AV50+'[2]AHTS-2'!AV50+'[2]AHTS-3'!AV50+'[2]AHTS-4'!AV50+'[2]AHTS-5'!AV50+'[2]AHTS-6'!AV50+'[2]AHTS-7'!AV50+'[2]AHTS-8'!AV50+'[3]CB-1'!AV50+'[3]CB-2'!AV50+'[3]CB-3'!AV50+'[3]CB-4'!AV50+'[3]CB-5'!AV50+'[3]CB-6'!AV50+'[3]CB-7'!AV50+'[3]CB-8'!AV50+'[3]CB-9'!AV50+'[3]CB-10'!AV50+'[3]CB-11'!AV50+'[3]CB-12'!AV50+'[3]CB-13'!AV50+'[3]CB-14'!AV50+'[3]CB-15'!AV50+'[3]CB-16'!AV50+'[3]CB-17'!AV50+'[3]CB-18'!AV50+'[3]CB-19'!AV50+'[3]CB-20'!AV50+'[3]CB-21'!AV50+'[3]CB-22'!AV50+'[3]CB-23'!AV50+'[3]CB-24'!AV50+'[4]LCT-1'!AV50+'[4]LCT-2'!AV50+'[4]LCT-3'!AV50+'[4]LCT-4'!AV50+'[4]LCT-5'!AV50+'[4]LCT-6'!AV50+'[4]LCT-7'!AV50+'[4]LCT-8'!AV50+'[5]TB-1'!AV50+'[5]TB-2'!AV50+'[5]TB-3'!AV50+'[5]TB-4'!AV50+'[5]TB-5'!AV50+'[5]TB-6'!AV50+'[5]TB-7'!AV50+'[5]TB-8'!AV50+'[5]TB-9'!AV50+'[5]TB-10'!AV50+'[6]DSV-1'!AV50+'[6]DSV-2'!AV50+'[6]DSV-3'!AV50+'[7]TUB-1'!AV50+'[7]TUB-2'!AV50+'[8]Barge-1'!AV50+'[8]Barge-2'!AV50+'[8]Barge-3'!AV50+'[8]Barge-4'!AV50</f>
        <v>0</v>
      </c>
      <c r="D52" s="194"/>
      <c r="E52" s="194"/>
      <c r="F52" s="194">
        <f>'[2]AHTS-1'!AW50+'[2]AHTS-2'!AW50+'[2]AHTS-3'!AW50+'[2]AHTS-4'!AW50+'[2]AHTS-5'!AW50+'[2]AHTS-6'!AW50+'[2]AHTS-7'!AW50+'[2]AHTS-8'!AW50+'[3]CB-1'!AW50+'[3]CB-2'!AW50+'[3]CB-3'!AW50+'[3]CB-4'!AW50+'[3]CB-5'!AW50+'[3]CB-6'!AW50+'[3]CB-7'!AW50+'[3]CB-8'!AW50+'[3]CB-9'!AW50+'[3]CB-10'!AW50+'[3]CB-11'!AW50+'[3]CB-12'!AW50+'[3]CB-13'!AW50+'[3]CB-14'!AW50+'[3]CB-15'!AW50+'[3]CB-16'!AW50+'[3]CB-17'!AW50+'[3]CB-18'!AW50+'[3]CB-19'!AW50+'[3]CB-20'!AW50+'[3]CB-21'!AW50+'[3]CB-22'!AW50+'[3]CB-23'!AW50+'[3]CB-24'!AW50+'[4]LCT-1'!AW50+'[4]LCT-2'!AW50+'[4]LCT-3'!AW50+'[4]LCT-4'!AW50+'[4]LCT-5'!AW50+'[4]LCT-6'!AW50+'[4]LCT-7'!AW50+'[4]LCT-8'!AW50+'[5]TB-1'!AW50+'[5]TB-2'!AW50+'[5]TB-3'!AW50+'[5]TB-4'!AW50+'[5]TB-5'!AW50+'[5]TB-6'!AW50+'[5]TB-7'!AW50+'[5]TB-8'!AW50+'[5]TB-9'!AW50+'[5]TB-10'!AW50+'[6]DSV-1'!AW50+'[6]DSV-2'!AW50+'[6]DSV-3'!AW50+'[7]TUB-1'!AW50+'[7]TUB-2'!AW50+'[8]Barge-1'!AW50+'[8]Barge-2'!AW50+'[8]Barge-3'!AW50+'[8]Barge-4'!AW50</f>
        <v>1302.9083333333335</v>
      </c>
      <c r="G52" s="194"/>
      <c r="H52" s="194"/>
      <c r="I52" s="194">
        <f>'[2]AHTS-1'!AX50+'[2]AHTS-2'!AX50+'[2]AHTS-3'!AX50+'[2]AHTS-4'!AX50+'[2]AHTS-5'!AX50+'[2]AHTS-6'!AX50+'[2]AHTS-7'!AX50+'[2]AHTS-8'!AX50+'[3]CB-1'!AX50+'[3]CB-2'!AX50+'[3]CB-3'!AX50+'[3]CB-4'!AX50+'[3]CB-5'!AX50+'[3]CB-6'!AX50+'[3]CB-7'!AX50+'[3]CB-8'!AX50+'[3]CB-9'!AX50+'[3]CB-10'!AX50+'[3]CB-11'!AX50+'[3]CB-12'!AX50+'[3]CB-13'!AX50+'[3]CB-14'!AX50+'[3]CB-15'!AX50+'[3]CB-16'!AX50+'[3]CB-17'!AX50+'[3]CB-18'!AX50+'[3]CB-19'!AX50+'[3]CB-20'!AX50+'[3]CB-21'!AX50+'[3]CB-22'!AX50+'[3]CB-23'!AX50+'[3]CB-24'!AX50+'[4]LCT-1'!AX50+'[4]LCT-2'!AX50+'[4]LCT-3'!AX50+'[4]LCT-4'!AX50+'[4]LCT-5'!AX50+'[4]LCT-6'!AX50+'[4]LCT-7'!AX50+'[4]LCT-8'!AX50+'[5]TB-1'!AX50+'[5]TB-2'!AX50+'[5]TB-3'!AX50+'[5]TB-4'!AX50+'[5]TB-5'!AX50+'[5]TB-6'!AX50+'[5]TB-7'!AX50+'[5]TB-8'!AX50+'[5]TB-9'!AX50+'[5]TB-10'!AX50+'[6]DSV-1'!AX50+'[6]DSV-2'!AX50+'[6]DSV-3'!AX50+'[7]TUB-1'!AX50+'[7]TUB-2'!AX50+'[8]Barge-1'!AX50+'[8]Barge-2'!AX50+'[8]Barge-3'!AX50+'[8]Barge-4'!AX50</f>
        <v>3821.7416666666663</v>
      </c>
      <c r="J52" s="194"/>
      <c r="K52" s="194"/>
      <c r="L52" s="194">
        <f>'[2]AHTS-1'!AY50+'[2]AHTS-2'!AY50+'[2]AHTS-3'!AY50+'[2]AHTS-4'!AY50+'[2]AHTS-5'!AY50+'[2]AHTS-6'!AY50+'[2]AHTS-7'!AY50+'[2]AHTS-8'!AY50+'[3]CB-1'!AY50+'[3]CB-2'!AY50+'[3]CB-3'!AY50+'[3]CB-4'!AY50+'[3]CB-5'!AY50+'[3]CB-6'!AY50+'[3]CB-7'!AY50+'[3]CB-8'!AY50+'[3]CB-9'!AY50+'[3]CB-10'!AY50+'[3]CB-11'!AY50+'[3]CB-12'!AY50+'[3]CB-13'!AY50+'[3]CB-14'!AY50+'[3]CB-15'!AY50+'[3]CB-16'!AY50+'[3]CB-17'!AY50+'[3]CB-18'!AY50+'[3]CB-19'!AY50+'[3]CB-20'!AY50+'[3]CB-21'!AY50+'[3]CB-22'!AY50+'[3]CB-23'!AY50+'[3]CB-24'!AY50+'[4]LCT-1'!AY50+'[4]LCT-2'!AY50+'[4]LCT-3'!AY50+'[4]LCT-4'!AY50+'[4]LCT-5'!AY50+'[4]LCT-6'!AY50+'[4]LCT-7'!AY50+'[4]LCT-8'!AY50+'[5]TB-1'!AY50+'[5]TB-2'!AY50+'[5]TB-3'!AY50+'[5]TB-4'!AY50+'[5]TB-5'!AY50+'[5]TB-6'!AY50+'[5]TB-7'!AY50+'[5]TB-8'!AY50+'[5]TB-9'!AY50+'[5]TB-10'!AY50+'[6]DSV-1'!AY50+'[6]DSV-2'!AY50+'[6]DSV-3'!AY50+'[7]TUB-1'!AY50+'[7]TUB-2'!AY50+'[8]Barge-1'!AY50+'[8]Barge-2'!AY50+'[8]Barge-3'!AY50+'[8]Barge-4'!AY50</f>
        <v>100</v>
      </c>
      <c r="M52" s="194"/>
      <c r="N52" s="194"/>
      <c r="O52" s="194">
        <f>'[2]AHTS-1'!AZ50+'[2]AHTS-2'!AZ50+'[2]AHTS-3'!AZ50+'[2]AHTS-4'!AZ50+'[2]AHTS-5'!AZ50+'[2]AHTS-6'!AZ50+'[2]AHTS-7'!AZ50+'[2]AHTS-8'!AZ50+'[3]CB-1'!AZ50+'[3]CB-2'!AZ50+'[3]CB-3'!AZ50+'[3]CB-4'!AZ50+'[3]CB-5'!AZ50+'[3]CB-6'!AZ50+'[3]CB-7'!AZ50+'[3]CB-8'!AZ50+'[3]CB-9'!AZ50+'[3]CB-10'!AZ50+'[3]CB-11'!AZ50+'[3]CB-12'!AZ50+'[3]CB-13'!AZ50+'[3]CB-14'!AZ50+'[3]CB-15'!AZ50+'[3]CB-16'!AZ50+'[3]CB-17'!AZ50+'[3]CB-18'!AZ50+'[3]CB-19'!AZ50+'[3]CB-20'!AZ50+'[3]CB-21'!AZ50+'[3]CB-22'!AZ50+'[3]CB-23'!AZ50+'[3]CB-24'!AZ50+'[4]LCT-1'!AZ50+'[4]LCT-2'!AZ50+'[4]LCT-3'!AZ50+'[4]LCT-4'!AZ50+'[4]LCT-5'!AZ50+'[4]LCT-6'!AZ50+'[4]LCT-7'!AZ50+'[4]LCT-8'!AZ50+'[5]TB-1'!AZ50+'[5]TB-2'!AZ50+'[5]TB-3'!AZ50+'[5]TB-4'!AZ50+'[5]TB-5'!AZ50+'[5]TB-6'!AZ50+'[5]TB-7'!AZ50+'[5]TB-8'!AZ50+'[5]TB-9'!AZ50+'[5]TB-10'!AZ50+'[6]DSV-1'!AZ50+'[6]DSV-2'!AZ50+'[6]DSV-3'!AZ50+'[7]TUB-1'!AZ50+'[7]TUB-2'!AZ50+'[8]Barge-1'!AZ50+'[8]Barge-2'!AZ50+'[8]Barge-3'!AZ50+'[8]Barge-4'!AZ50</f>
        <v>22.666666666666668</v>
      </c>
      <c r="P52" s="194"/>
      <c r="Q52" s="194"/>
      <c r="R52" s="194">
        <f>'[2]AHTS-1'!BA50+'[2]AHTS-2'!BA50+'[2]AHTS-3'!BA50+'[2]AHTS-4'!BA50+'[2]AHTS-5'!BA50+'[2]AHTS-6'!BA50+'[2]AHTS-7'!BA50+'[2]AHTS-8'!BA50+'[3]CB-1'!BA50+'[3]CB-2'!BA50+'[3]CB-3'!BA50+'[3]CB-4'!BA50+'[3]CB-5'!BA50+'[3]CB-6'!BA50+'[3]CB-7'!BA50+'[3]CB-8'!BA50+'[3]CB-9'!BA50+'[3]CB-10'!BA50+'[3]CB-11'!BA50+'[3]CB-12'!BA50+'[3]CB-13'!BA50+'[3]CB-14'!BA50+'[3]CB-15'!BA50+'[3]CB-16'!BA50+'[3]CB-17'!BA50+'[3]CB-18'!BA50+'[3]CB-19'!BA50+'[3]CB-20'!BA50+'[3]CB-21'!BA50+'[3]CB-22'!BA50+'[3]CB-23'!BA50+'[3]CB-24'!BA50+'[4]LCT-1'!BA50+'[4]LCT-2'!BA50+'[4]LCT-3'!BA50+'[4]LCT-4'!BA50+'[4]LCT-5'!BA50+'[4]LCT-6'!BA50+'[4]LCT-7'!BA50+'[4]LCT-8'!BA50+'[5]TB-1'!BA50+'[5]TB-2'!BA50+'[5]TB-3'!BA50+'[5]TB-4'!BA50+'[5]TB-5'!BA50+'[5]TB-6'!BA50+'[5]TB-7'!BA50+'[5]TB-8'!BA50+'[5]TB-9'!BA50+'[5]TB-10'!BA50+'[6]DSV-1'!BA50+'[6]DSV-2'!BA50+'[6]DSV-3'!BA50+'[7]TUB-1'!BA50+'[7]TUB-2'!BA50+'[8]Barge-1'!BA50+'[8]Barge-2'!BA50+'[8]Barge-3'!BA50+'[8]Barge-4'!BA50</f>
        <v>4630.666666666667</v>
      </c>
      <c r="S52" s="194"/>
      <c r="T52" s="194"/>
      <c r="U52" s="194">
        <f>'[2]AHTS-1'!BB50+'[2]AHTS-2'!BB50+'[2]AHTS-3'!BB50+'[2]AHTS-4'!BB50+'[2]AHTS-5'!BB50+'[2]AHTS-6'!BB50+'[2]AHTS-7'!BB50+'[2]AHTS-8'!BB50+'[3]CB-1'!BB50+'[3]CB-2'!BB50+'[3]CB-3'!BB50+'[3]CB-4'!BB50+'[3]CB-5'!BB50+'[3]CB-6'!BB50+'[3]CB-7'!BB50+'[3]CB-8'!BB50+'[3]CB-9'!BB50+'[3]CB-10'!BB50+'[3]CB-11'!BB50+'[3]CB-12'!BB50+'[3]CB-13'!BB50+'[3]CB-14'!BB50+'[3]CB-15'!BB50+'[3]CB-16'!BB50+'[3]CB-17'!BB50+'[3]CB-18'!BB50+'[3]CB-19'!BB50+'[3]CB-20'!BB50+'[3]CB-21'!BB50+'[3]CB-22'!BB50+'[3]CB-23'!BB50+'[3]CB-24'!BB50+'[4]LCT-1'!BB50+'[4]LCT-2'!BB50+'[4]LCT-3'!BB50+'[4]LCT-4'!BB50+'[4]LCT-5'!BB50+'[4]LCT-6'!BB50+'[4]LCT-7'!BB50+'[4]LCT-8'!BB50+'[5]TB-1'!BB50+'[5]TB-2'!BB50+'[5]TB-3'!BB50+'[5]TB-4'!BB50+'[5]TB-5'!BB50+'[5]TB-6'!BB50+'[5]TB-7'!BB50+'[5]TB-8'!BB50+'[5]TB-9'!BB50+'[5]TB-10'!BB50+'[6]DSV-1'!BB50+'[6]DSV-2'!BB50+'[6]DSV-3'!BB50+'[7]TUB-1'!BB50+'[7]TUB-2'!BB50+'[8]Barge-1'!BB50+'[8]Barge-2'!BB50+'[8]Barge-3'!BB50+'[8]Barge-4'!BB50</f>
        <v>0</v>
      </c>
      <c r="V52" s="194"/>
      <c r="W52" s="194"/>
      <c r="X52" s="160"/>
      <c r="Y52" s="160"/>
    </row>
    <row r="53" spans="1:97" s="82" customFormat="1" ht="15" customHeight="1" x14ac:dyDescent="0.25">
      <c r="A53" s="117">
        <f t="shared" si="4"/>
        <v>45988</v>
      </c>
      <c r="B53" s="118"/>
      <c r="C53" s="194">
        <f>'[2]AHTS-1'!AV51+'[2]AHTS-2'!AV51+'[2]AHTS-3'!AV51+'[2]AHTS-4'!AV51+'[2]AHTS-5'!AV51+'[2]AHTS-6'!AV51+'[2]AHTS-7'!AV51+'[2]AHTS-8'!AV51+'[3]CB-1'!AV51+'[3]CB-2'!AV51+'[3]CB-3'!AV51+'[3]CB-4'!AV51+'[3]CB-5'!AV51+'[3]CB-6'!AV51+'[3]CB-7'!AV51+'[3]CB-8'!AV51+'[3]CB-9'!AV51+'[3]CB-10'!AV51+'[3]CB-11'!AV51+'[3]CB-12'!AV51+'[3]CB-13'!AV51+'[3]CB-14'!AV51+'[3]CB-15'!AV51+'[3]CB-16'!AV51+'[3]CB-17'!AV51+'[3]CB-18'!AV51+'[3]CB-19'!AV51+'[3]CB-20'!AV51+'[3]CB-21'!AV51+'[3]CB-22'!AV51+'[3]CB-23'!AV51+'[3]CB-24'!AV51+'[4]LCT-1'!AV51+'[4]LCT-2'!AV51+'[4]LCT-3'!AV51+'[4]LCT-4'!AV51+'[4]LCT-5'!AV51+'[4]LCT-6'!AV51+'[4]LCT-7'!AV51+'[4]LCT-8'!AV51+'[5]TB-1'!AV51+'[5]TB-2'!AV51+'[5]TB-3'!AV51+'[5]TB-4'!AV51+'[5]TB-5'!AV51+'[5]TB-6'!AV51+'[5]TB-7'!AV51+'[5]TB-8'!AV51+'[5]TB-9'!AV51+'[5]TB-10'!AV51+'[6]DSV-1'!AV51+'[6]DSV-2'!AV51+'[6]DSV-3'!AV51+'[7]TUB-1'!AV51+'[7]TUB-2'!AV51+'[8]Barge-1'!AV51+'[8]Barge-2'!AV51+'[8]Barge-3'!AV51+'[8]Barge-4'!AV51</f>
        <v>0</v>
      </c>
      <c r="D53" s="194"/>
      <c r="E53" s="194"/>
      <c r="F53" s="194">
        <f>'[2]AHTS-1'!AW51+'[2]AHTS-2'!AW51+'[2]AHTS-3'!AW51+'[2]AHTS-4'!AW51+'[2]AHTS-5'!AW51+'[2]AHTS-6'!AW51+'[2]AHTS-7'!AW51+'[2]AHTS-8'!AW51+'[3]CB-1'!AW51+'[3]CB-2'!AW51+'[3]CB-3'!AW51+'[3]CB-4'!AW51+'[3]CB-5'!AW51+'[3]CB-6'!AW51+'[3]CB-7'!AW51+'[3]CB-8'!AW51+'[3]CB-9'!AW51+'[3]CB-10'!AW51+'[3]CB-11'!AW51+'[3]CB-12'!AW51+'[3]CB-13'!AW51+'[3]CB-14'!AW51+'[3]CB-15'!AW51+'[3]CB-16'!AW51+'[3]CB-17'!AW51+'[3]CB-18'!AW51+'[3]CB-19'!AW51+'[3]CB-20'!AW51+'[3]CB-21'!AW51+'[3]CB-22'!AW51+'[3]CB-23'!AW51+'[3]CB-24'!AW51+'[4]LCT-1'!AW51+'[4]LCT-2'!AW51+'[4]LCT-3'!AW51+'[4]LCT-4'!AW51+'[4]LCT-5'!AW51+'[4]LCT-6'!AW51+'[4]LCT-7'!AW51+'[4]LCT-8'!AW51+'[5]TB-1'!AW51+'[5]TB-2'!AW51+'[5]TB-3'!AW51+'[5]TB-4'!AW51+'[5]TB-5'!AW51+'[5]TB-6'!AW51+'[5]TB-7'!AW51+'[5]TB-8'!AW51+'[5]TB-9'!AW51+'[5]TB-10'!AW51+'[6]DSV-1'!AW51+'[6]DSV-2'!AW51+'[6]DSV-3'!AW51+'[7]TUB-1'!AW51+'[7]TUB-2'!AW51+'[8]Barge-1'!AW51+'[8]Barge-2'!AW51+'[8]Barge-3'!AW51+'[8]Barge-4'!AW51</f>
        <v>1122.7611111111109</v>
      </c>
      <c r="G53" s="194"/>
      <c r="H53" s="194"/>
      <c r="I53" s="194">
        <f>'[2]AHTS-1'!AX51+'[2]AHTS-2'!AX51+'[2]AHTS-3'!AX51+'[2]AHTS-4'!AX51+'[2]AHTS-5'!AX51+'[2]AHTS-6'!AX51+'[2]AHTS-7'!AX51+'[2]AHTS-8'!AX51+'[3]CB-1'!AX51+'[3]CB-2'!AX51+'[3]CB-3'!AX51+'[3]CB-4'!AX51+'[3]CB-5'!AX51+'[3]CB-6'!AX51+'[3]CB-7'!AX51+'[3]CB-8'!AX51+'[3]CB-9'!AX51+'[3]CB-10'!AX51+'[3]CB-11'!AX51+'[3]CB-12'!AX51+'[3]CB-13'!AX51+'[3]CB-14'!AX51+'[3]CB-15'!AX51+'[3]CB-16'!AX51+'[3]CB-17'!AX51+'[3]CB-18'!AX51+'[3]CB-19'!AX51+'[3]CB-20'!AX51+'[3]CB-21'!AX51+'[3]CB-22'!AX51+'[3]CB-23'!AX51+'[3]CB-24'!AX51+'[4]LCT-1'!AX51+'[4]LCT-2'!AX51+'[4]LCT-3'!AX51+'[4]LCT-4'!AX51+'[4]LCT-5'!AX51+'[4]LCT-6'!AX51+'[4]LCT-7'!AX51+'[4]LCT-8'!AX51+'[5]TB-1'!AX51+'[5]TB-2'!AX51+'[5]TB-3'!AX51+'[5]TB-4'!AX51+'[5]TB-5'!AX51+'[5]TB-6'!AX51+'[5]TB-7'!AX51+'[5]TB-8'!AX51+'[5]TB-9'!AX51+'[5]TB-10'!AX51+'[6]DSV-1'!AX51+'[6]DSV-2'!AX51+'[6]DSV-3'!AX51+'[7]TUB-1'!AX51+'[7]TUB-2'!AX51+'[8]Barge-1'!AX51+'[8]Barge-2'!AX51+'[8]Barge-3'!AX51+'[8]Barge-4'!AX51</f>
        <v>2435.5277777777774</v>
      </c>
      <c r="J53" s="194"/>
      <c r="K53" s="194"/>
      <c r="L53" s="194">
        <f>'[2]AHTS-1'!AY51+'[2]AHTS-2'!AY51+'[2]AHTS-3'!AY51+'[2]AHTS-4'!AY51+'[2]AHTS-5'!AY51+'[2]AHTS-6'!AY51+'[2]AHTS-7'!AY51+'[2]AHTS-8'!AY51+'[3]CB-1'!AY51+'[3]CB-2'!AY51+'[3]CB-3'!AY51+'[3]CB-4'!AY51+'[3]CB-5'!AY51+'[3]CB-6'!AY51+'[3]CB-7'!AY51+'[3]CB-8'!AY51+'[3]CB-9'!AY51+'[3]CB-10'!AY51+'[3]CB-11'!AY51+'[3]CB-12'!AY51+'[3]CB-13'!AY51+'[3]CB-14'!AY51+'[3]CB-15'!AY51+'[3]CB-16'!AY51+'[3]CB-17'!AY51+'[3]CB-18'!AY51+'[3]CB-19'!AY51+'[3]CB-20'!AY51+'[3]CB-21'!AY51+'[3]CB-22'!AY51+'[3]CB-23'!AY51+'[3]CB-24'!AY51+'[4]LCT-1'!AY51+'[4]LCT-2'!AY51+'[4]LCT-3'!AY51+'[4]LCT-4'!AY51+'[4]LCT-5'!AY51+'[4]LCT-6'!AY51+'[4]LCT-7'!AY51+'[4]LCT-8'!AY51+'[5]TB-1'!AY51+'[5]TB-2'!AY51+'[5]TB-3'!AY51+'[5]TB-4'!AY51+'[5]TB-5'!AY51+'[5]TB-6'!AY51+'[5]TB-7'!AY51+'[5]TB-8'!AY51+'[5]TB-9'!AY51+'[5]TB-10'!AY51+'[6]DSV-1'!AY51+'[6]DSV-2'!AY51+'[6]DSV-3'!AY51+'[7]TUB-1'!AY51+'[7]TUB-2'!AY51+'[8]Barge-1'!AY51+'[8]Barge-2'!AY51+'[8]Barge-3'!AY51+'[8]Barge-4'!AY51</f>
        <v>2748.1</v>
      </c>
      <c r="M53" s="194"/>
      <c r="N53" s="194"/>
      <c r="O53" s="194">
        <f>'[2]AHTS-1'!AZ51+'[2]AHTS-2'!AZ51+'[2]AHTS-3'!AZ51+'[2]AHTS-4'!AZ51+'[2]AHTS-5'!AZ51+'[2]AHTS-6'!AZ51+'[2]AHTS-7'!AZ51+'[2]AHTS-8'!AZ51+'[3]CB-1'!AZ51+'[3]CB-2'!AZ51+'[3]CB-3'!AZ51+'[3]CB-4'!AZ51+'[3]CB-5'!AZ51+'[3]CB-6'!AZ51+'[3]CB-7'!AZ51+'[3]CB-8'!AZ51+'[3]CB-9'!AZ51+'[3]CB-10'!AZ51+'[3]CB-11'!AZ51+'[3]CB-12'!AZ51+'[3]CB-13'!AZ51+'[3]CB-14'!AZ51+'[3]CB-15'!AZ51+'[3]CB-16'!AZ51+'[3]CB-17'!AZ51+'[3]CB-18'!AZ51+'[3]CB-19'!AZ51+'[3]CB-20'!AZ51+'[3]CB-21'!AZ51+'[3]CB-22'!AZ51+'[3]CB-23'!AZ51+'[3]CB-24'!AZ51+'[4]LCT-1'!AZ51+'[4]LCT-2'!AZ51+'[4]LCT-3'!AZ51+'[4]LCT-4'!AZ51+'[4]LCT-5'!AZ51+'[4]LCT-6'!AZ51+'[4]LCT-7'!AZ51+'[4]LCT-8'!AZ51+'[5]TB-1'!AZ51+'[5]TB-2'!AZ51+'[5]TB-3'!AZ51+'[5]TB-4'!AZ51+'[5]TB-5'!AZ51+'[5]TB-6'!AZ51+'[5]TB-7'!AZ51+'[5]TB-8'!AZ51+'[5]TB-9'!AZ51+'[5]TB-10'!AZ51+'[6]DSV-1'!AZ51+'[6]DSV-2'!AZ51+'[6]DSV-3'!AZ51+'[7]TUB-1'!AZ51+'[7]TUB-2'!AZ51+'[8]Barge-1'!AZ51+'[8]Barge-2'!AZ51+'[8]Barge-3'!AZ51+'[8]Barge-4'!AZ51</f>
        <v>11.333333333333334</v>
      </c>
      <c r="P53" s="194"/>
      <c r="Q53" s="194"/>
      <c r="R53" s="194">
        <f>'[2]AHTS-1'!BA51+'[2]AHTS-2'!BA51+'[2]AHTS-3'!BA51+'[2]AHTS-4'!BA51+'[2]AHTS-5'!BA51+'[2]AHTS-6'!BA51+'[2]AHTS-7'!BA51+'[2]AHTS-8'!BA51+'[3]CB-1'!BA51+'[3]CB-2'!BA51+'[3]CB-3'!BA51+'[3]CB-4'!BA51+'[3]CB-5'!BA51+'[3]CB-6'!BA51+'[3]CB-7'!BA51+'[3]CB-8'!BA51+'[3]CB-9'!BA51+'[3]CB-10'!BA51+'[3]CB-11'!BA51+'[3]CB-12'!BA51+'[3]CB-13'!BA51+'[3]CB-14'!BA51+'[3]CB-15'!BA51+'[3]CB-16'!BA51+'[3]CB-17'!BA51+'[3]CB-18'!BA51+'[3]CB-19'!BA51+'[3]CB-20'!BA51+'[3]CB-21'!BA51+'[3]CB-22'!BA51+'[3]CB-23'!BA51+'[3]CB-24'!BA51+'[4]LCT-1'!BA51+'[4]LCT-2'!BA51+'[4]LCT-3'!BA51+'[4]LCT-4'!BA51+'[4]LCT-5'!BA51+'[4]LCT-6'!BA51+'[4]LCT-7'!BA51+'[4]LCT-8'!BA51+'[5]TB-1'!BA51+'[5]TB-2'!BA51+'[5]TB-3'!BA51+'[5]TB-4'!BA51+'[5]TB-5'!BA51+'[5]TB-6'!BA51+'[5]TB-7'!BA51+'[5]TB-8'!BA51+'[5]TB-9'!BA51+'[5]TB-10'!BA51+'[6]DSV-1'!BA51+'[6]DSV-2'!BA51+'[6]DSV-3'!BA51+'[7]TUB-1'!BA51+'[7]TUB-2'!BA51+'[8]Barge-1'!BA51+'[8]Barge-2'!BA51+'[8]Barge-3'!BA51+'[8]Barge-4'!BA51</f>
        <v>4308.666666666667</v>
      </c>
      <c r="S53" s="194"/>
      <c r="T53" s="194"/>
      <c r="U53" s="194">
        <f>'[2]AHTS-1'!BB51+'[2]AHTS-2'!BB51+'[2]AHTS-3'!BB51+'[2]AHTS-4'!BB51+'[2]AHTS-5'!BB51+'[2]AHTS-6'!BB51+'[2]AHTS-7'!BB51+'[2]AHTS-8'!BB51+'[3]CB-1'!BB51+'[3]CB-2'!BB51+'[3]CB-3'!BB51+'[3]CB-4'!BB51+'[3]CB-5'!BB51+'[3]CB-6'!BB51+'[3]CB-7'!BB51+'[3]CB-8'!BB51+'[3]CB-9'!BB51+'[3]CB-10'!BB51+'[3]CB-11'!BB51+'[3]CB-12'!BB51+'[3]CB-13'!BB51+'[3]CB-14'!BB51+'[3]CB-15'!BB51+'[3]CB-16'!BB51+'[3]CB-17'!BB51+'[3]CB-18'!BB51+'[3]CB-19'!BB51+'[3]CB-20'!BB51+'[3]CB-21'!BB51+'[3]CB-22'!BB51+'[3]CB-23'!BB51+'[3]CB-24'!BB51+'[4]LCT-1'!BB51+'[4]LCT-2'!BB51+'[4]LCT-3'!BB51+'[4]LCT-4'!BB51+'[4]LCT-5'!BB51+'[4]LCT-6'!BB51+'[4]LCT-7'!BB51+'[4]LCT-8'!BB51+'[5]TB-1'!BB51+'[5]TB-2'!BB51+'[5]TB-3'!BB51+'[5]TB-4'!BB51+'[5]TB-5'!BB51+'[5]TB-6'!BB51+'[5]TB-7'!BB51+'[5]TB-8'!BB51+'[5]TB-9'!BB51+'[5]TB-10'!BB51+'[6]DSV-1'!BB51+'[6]DSV-2'!BB51+'[6]DSV-3'!BB51+'[7]TUB-1'!BB51+'[7]TUB-2'!BB51+'[8]Barge-1'!BB51+'[8]Barge-2'!BB51+'[8]Barge-3'!BB51+'[8]Barge-4'!BB51</f>
        <v>0</v>
      </c>
      <c r="V53" s="194"/>
      <c r="W53" s="194"/>
      <c r="X53" s="122"/>
      <c r="Y53" s="122"/>
    </row>
    <row r="54" spans="1:97" s="82" customFormat="1" ht="15" customHeight="1" x14ac:dyDescent="0.25">
      <c r="A54" s="117">
        <f t="shared" si="4"/>
        <v>45989</v>
      </c>
      <c r="B54" s="118"/>
      <c r="C54" s="194">
        <f>'[2]AHTS-1'!AV52+'[2]AHTS-2'!AV52+'[2]AHTS-3'!AV52+'[2]AHTS-4'!AV52+'[2]AHTS-5'!AV52+'[2]AHTS-6'!AV52+'[2]AHTS-7'!AV52+'[2]AHTS-8'!AV52+'[3]CB-1'!AV52+'[3]CB-2'!AV52+'[3]CB-3'!AV52+'[3]CB-4'!AV52+'[3]CB-5'!AV52+'[3]CB-6'!AV52+'[3]CB-7'!AV52+'[3]CB-8'!AV52+'[3]CB-9'!AV52+'[3]CB-10'!AV52+'[3]CB-11'!AV52+'[3]CB-12'!AV52+'[3]CB-13'!AV52+'[3]CB-14'!AV52+'[3]CB-15'!AV52+'[3]CB-16'!AV52+'[3]CB-17'!AV52+'[3]CB-18'!AV52+'[3]CB-19'!AV52+'[3]CB-20'!AV52+'[3]CB-21'!AV52+'[3]CB-22'!AV52+'[3]CB-23'!AV52+'[3]CB-24'!AV52+'[4]LCT-1'!AV52+'[4]LCT-2'!AV52+'[4]LCT-3'!AV52+'[4]LCT-4'!AV52+'[4]LCT-5'!AV52+'[4]LCT-6'!AV52+'[4]LCT-7'!AV52+'[4]LCT-8'!AV52+'[5]TB-1'!AV52+'[5]TB-2'!AV52+'[5]TB-3'!AV52+'[5]TB-4'!AV52+'[5]TB-5'!AV52+'[5]TB-6'!AV52+'[5]TB-7'!AV52+'[5]TB-8'!AV52+'[5]TB-9'!AV52+'[5]TB-10'!AV52+'[6]DSV-1'!AV52+'[6]DSV-2'!AV52+'[6]DSV-3'!AV52+'[7]TUB-1'!AV52+'[7]TUB-2'!AV52+'[8]Barge-1'!AV52+'[8]Barge-2'!AV52+'[8]Barge-3'!AV52+'[8]Barge-4'!AV52</f>
        <v>0</v>
      </c>
      <c r="D54" s="194"/>
      <c r="E54" s="194"/>
      <c r="F54" s="194">
        <f>'[2]AHTS-1'!AW52+'[2]AHTS-2'!AW52+'[2]AHTS-3'!AW52+'[2]AHTS-4'!AW52+'[2]AHTS-5'!AW52+'[2]AHTS-6'!AW52+'[2]AHTS-7'!AW52+'[2]AHTS-8'!AW52+'[3]CB-1'!AW52+'[3]CB-2'!AW52+'[3]CB-3'!AW52+'[3]CB-4'!AW52+'[3]CB-5'!AW52+'[3]CB-6'!AW52+'[3]CB-7'!AW52+'[3]CB-8'!AW52+'[3]CB-9'!AW52+'[3]CB-10'!AW52+'[3]CB-11'!AW52+'[3]CB-12'!AW52+'[3]CB-13'!AW52+'[3]CB-14'!AW52+'[3]CB-15'!AW52+'[3]CB-16'!AW52+'[3]CB-17'!AW52+'[3]CB-18'!AW52+'[3]CB-19'!AW52+'[3]CB-20'!AW52+'[3]CB-21'!AW52+'[3]CB-22'!AW52+'[3]CB-23'!AW52+'[3]CB-24'!AW52+'[4]LCT-1'!AW52+'[4]LCT-2'!AW52+'[4]LCT-3'!AW52+'[4]LCT-4'!AW52+'[4]LCT-5'!AW52+'[4]LCT-6'!AW52+'[4]LCT-7'!AW52+'[4]LCT-8'!AW52+'[5]TB-1'!AW52+'[5]TB-2'!AW52+'[5]TB-3'!AW52+'[5]TB-4'!AW52+'[5]TB-5'!AW52+'[5]TB-6'!AW52+'[5]TB-7'!AW52+'[5]TB-8'!AW52+'[5]TB-9'!AW52+'[5]TB-10'!AW52+'[6]DSV-1'!AW52+'[6]DSV-2'!AW52+'[6]DSV-3'!AW52+'[7]TUB-1'!AW52+'[7]TUB-2'!AW52+'[8]Barge-1'!AW52+'[8]Barge-2'!AW52+'[8]Barge-3'!AW52+'[8]Barge-4'!AW52</f>
        <v>665.125</v>
      </c>
      <c r="G54" s="194"/>
      <c r="H54" s="194"/>
      <c r="I54" s="194">
        <f>'[2]AHTS-1'!AX52+'[2]AHTS-2'!AX52+'[2]AHTS-3'!AX52+'[2]AHTS-4'!AX52+'[2]AHTS-5'!AX52+'[2]AHTS-6'!AX52+'[2]AHTS-7'!AX52+'[2]AHTS-8'!AX52+'[3]CB-1'!AX52+'[3]CB-2'!AX52+'[3]CB-3'!AX52+'[3]CB-4'!AX52+'[3]CB-5'!AX52+'[3]CB-6'!AX52+'[3]CB-7'!AX52+'[3]CB-8'!AX52+'[3]CB-9'!AX52+'[3]CB-10'!AX52+'[3]CB-11'!AX52+'[3]CB-12'!AX52+'[3]CB-13'!AX52+'[3]CB-14'!AX52+'[3]CB-15'!AX52+'[3]CB-16'!AX52+'[3]CB-17'!AX52+'[3]CB-18'!AX52+'[3]CB-19'!AX52+'[3]CB-20'!AX52+'[3]CB-21'!AX52+'[3]CB-22'!AX52+'[3]CB-23'!AX52+'[3]CB-24'!AX52+'[4]LCT-1'!AX52+'[4]LCT-2'!AX52+'[4]LCT-3'!AX52+'[4]LCT-4'!AX52+'[4]LCT-5'!AX52+'[4]LCT-6'!AX52+'[4]LCT-7'!AX52+'[4]LCT-8'!AX52+'[5]TB-1'!AX52+'[5]TB-2'!AX52+'[5]TB-3'!AX52+'[5]TB-4'!AX52+'[5]TB-5'!AX52+'[5]TB-6'!AX52+'[5]TB-7'!AX52+'[5]TB-8'!AX52+'[5]TB-9'!AX52+'[5]TB-10'!AX52+'[6]DSV-1'!AX52+'[6]DSV-2'!AX52+'[6]DSV-3'!AX52+'[7]TUB-1'!AX52+'[7]TUB-2'!AX52+'[8]Barge-1'!AX52+'[8]Barge-2'!AX52+'[8]Barge-3'!AX52+'[8]Barge-4'!AX52</f>
        <v>2143.2499999999995</v>
      </c>
      <c r="J54" s="194"/>
      <c r="K54" s="194"/>
      <c r="L54" s="194">
        <f>'[2]AHTS-1'!AY52+'[2]AHTS-2'!AY52+'[2]AHTS-3'!AY52+'[2]AHTS-4'!AY52+'[2]AHTS-5'!AY52+'[2]AHTS-6'!AY52+'[2]AHTS-7'!AY52+'[2]AHTS-8'!AY52+'[3]CB-1'!AY52+'[3]CB-2'!AY52+'[3]CB-3'!AY52+'[3]CB-4'!AY52+'[3]CB-5'!AY52+'[3]CB-6'!AY52+'[3]CB-7'!AY52+'[3]CB-8'!AY52+'[3]CB-9'!AY52+'[3]CB-10'!AY52+'[3]CB-11'!AY52+'[3]CB-12'!AY52+'[3]CB-13'!AY52+'[3]CB-14'!AY52+'[3]CB-15'!AY52+'[3]CB-16'!AY52+'[3]CB-17'!AY52+'[3]CB-18'!AY52+'[3]CB-19'!AY52+'[3]CB-20'!AY52+'[3]CB-21'!AY52+'[3]CB-22'!AY52+'[3]CB-23'!AY52+'[3]CB-24'!AY52+'[4]LCT-1'!AY52+'[4]LCT-2'!AY52+'[4]LCT-3'!AY52+'[4]LCT-4'!AY52+'[4]LCT-5'!AY52+'[4]LCT-6'!AY52+'[4]LCT-7'!AY52+'[4]LCT-8'!AY52+'[5]TB-1'!AY52+'[5]TB-2'!AY52+'[5]TB-3'!AY52+'[5]TB-4'!AY52+'[5]TB-5'!AY52+'[5]TB-6'!AY52+'[5]TB-7'!AY52+'[5]TB-8'!AY52+'[5]TB-9'!AY52+'[5]TB-10'!AY52+'[6]DSV-1'!AY52+'[6]DSV-2'!AY52+'[6]DSV-3'!AY52+'[7]TUB-1'!AY52+'[7]TUB-2'!AY52+'[8]Barge-1'!AY52+'[8]Barge-2'!AY52+'[8]Barge-3'!AY52+'[8]Barge-4'!AY52</f>
        <v>2667.9999999999995</v>
      </c>
      <c r="M54" s="194"/>
      <c r="N54" s="194"/>
      <c r="O54" s="194">
        <f>'[2]AHTS-1'!AZ52+'[2]AHTS-2'!AZ52+'[2]AHTS-3'!AZ52+'[2]AHTS-4'!AZ52+'[2]AHTS-5'!AZ52+'[2]AHTS-6'!AZ52+'[2]AHTS-7'!AZ52+'[2]AHTS-8'!AZ52+'[3]CB-1'!AZ52+'[3]CB-2'!AZ52+'[3]CB-3'!AZ52+'[3]CB-4'!AZ52+'[3]CB-5'!AZ52+'[3]CB-6'!AZ52+'[3]CB-7'!AZ52+'[3]CB-8'!AZ52+'[3]CB-9'!AZ52+'[3]CB-10'!AZ52+'[3]CB-11'!AZ52+'[3]CB-12'!AZ52+'[3]CB-13'!AZ52+'[3]CB-14'!AZ52+'[3]CB-15'!AZ52+'[3]CB-16'!AZ52+'[3]CB-17'!AZ52+'[3]CB-18'!AZ52+'[3]CB-19'!AZ52+'[3]CB-20'!AZ52+'[3]CB-21'!AZ52+'[3]CB-22'!AZ52+'[3]CB-23'!AZ52+'[3]CB-24'!AZ52+'[4]LCT-1'!AZ52+'[4]LCT-2'!AZ52+'[4]LCT-3'!AZ52+'[4]LCT-4'!AZ52+'[4]LCT-5'!AZ52+'[4]LCT-6'!AZ52+'[4]LCT-7'!AZ52+'[4]LCT-8'!AZ52+'[5]TB-1'!AZ52+'[5]TB-2'!AZ52+'[5]TB-3'!AZ52+'[5]TB-4'!AZ52+'[5]TB-5'!AZ52+'[5]TB-6'!AZ52+'[5]TB-7'!AZ52+'[5]TB-8'!AZ52+'[5]TB-9'!AZ52+'[5]TB-10'!AZ52+'[6]DSV-1'!AZ52+'[6]DSV-2'!AZ52+'[6]DSV-3'!AZ52+'[7]TUB-1'!AZ52+'[7]TUB-2'!AZ52+'[8]Barge-1'!AZ52+'[8]Barge-2'!AZ52+'[8]Barge-3'!AZ52+'[8]Barge-4'!AZ52</f>
        <v>101.99999999999999</v>
      </c>
      <c r="P54" s="194"/>
      <c r="Q54" s="194"/>
      <c r="R54" s="194">
        <f>'[2]AHTS-1'!BA52+'[2]AHTS-2'!BA52+'[2]AHTS-3'!BA52+'[2]AHTS-4'!BA52+'[2]AHTS-5'!BA52+'[2]AHTS-6'!BA52+'[2]AHTS-7'!BA52+'[2]AHTS-8'!BA52+'[3]CB-1'!BA52+'[3]CB-2'!BA52+'[3]CB-3'!BA52+'[3]CB-4'!BA52+'[3]CB-5'!BA52+'[3]CB-6'!BA52+'[3]CB-7'!BA52+'[3]CB-8'!BA52+'[3]CB-9'!BA52+'[3]CB-10'!BA52+'[3]CB-11'!BA52+'[3]CB-12'!BA52+'[3]CB-13'!BA52+'[3]CB-14'!BA52+'[3]CB-15'!BA52+'[3]CB-16'!BA52+'[3]CB-17'!BA52+'[3]CB-18'!BA52+'[3]CB-19'!BA52+'[3]CB-20'!BA52+'[3]CB-21'!BA52+'[3]CB-22'!BA52+'[3]CB-23'!BA52+'[3]CB-24'!BA52+'[4]LCT-1'!BA52+'[4]LCT-2'!BA52+'[4]LCT-3'!BA52+'[4]LCT-4'!BA52+'[4]LCT-5'!BA52+'[4]LCT-6'!BA52+'[4]LCT-7'!BA52+'[4]LCT-8'!BA52+'[5]TB-1'!BA52+'[5]TB-2'!BA52+'[5]TB-3'!BA52+'[5]TB-4'!BA52+'[5]TB-5'!BA52+'[5]TB-6'!BA52+'[5]TB-7'!BA52+'[5]TB-8'!BA52+'[5]TB-9'!BA52+'[5]TB-10'!BA52+'[6]DSV-1'!BA52+'[6]DSV-2'!BA52+'[6]DSV-3'!BA52+'[7]TUB-1'!BA52+'[7]TUB-2'!BA52+'[8]Barge-1'!BA52+'[8]Barge-2'!BA52+'[8]Barge-3'!BA52+'[8]Barge-4'!BA52</f>
        <v>4818</v>
      </c>
      <c r="S54" s="194"/>
      <c r="T54" s="194"/>
      <c r="U54" s="194">
        <f>'[2]AHTS-1'!BB52+'[2]AHTS-2'!BB52+'[2]AHTS-3'!BB52+'[2]AHTS-4'!BB52+'[2]AHTS-5'!BB52+'[2]AHTS-6'!BB52+'[2]AHTS-7'!BB52+'[2]AHTS-8'!BB52+'[3]CB-1'!BB52+'[3]CB-2'!BB52+'[3]CB-3'!BB52+'[3]CB-4'!BB52+'[3]CB-5'!BB52+'[3]CB-6'!BB52+'[3]CB-7'!BB52+'[3]CB-8'!BB52+'[3]CB-9'!BB52+'[3]CB-10'!BB52+'[3]CB-11'!BB52+'[3]CB-12'!BB52+'[3]CB-13'!BB52+'[3]CB-14'!BB52+'[3]CB-15'!BB52+'[3]CB-16'!BB52+'[3]CB-17'!BB52+'[3]CB-18'!BB52+'[3]CB-19'!BB52+'[3]CB-20'!BB52+'[3]CB-21'!BB52+'[3]CB-22'!BB52+'[3]CB-23'!BB52+'[3]CB-24'!BB52+'[4]LCT-1'!BB52+'[4]LCT-2'!BB52+'[4]LCT-3'!BB52+'[4]LCT-4'!BB52+'[4]LCT-5'!BB52+'[4]LCT-6'!BB52+'[4]LCT-7'!BB52+'[4]LCT-8'!BB52+'[5]TB-1'!BB52+'[5]TB-2'!BB52+'[5]TB-3'!BB52+'[5]TB-4'!BB52+'[5]TB-5'!BB52+'[5]TB-6'!BB52+'[5]TB-7'!BB52+'[5]TB-8'!BB52+'[5]TB-9'!BB52+'[5]TB-10'!BB52+'[6]DSV-1'!BB52+'[6]DSV-2'!BB52+'[6]DSV-3'!BB52+'[7]TUB-1'!BB52+'[7]TUB-2'!BB52+'[8]Barge-1'!BB52+'[8]Barge-2'!BB52+'[8]Barge-3'!BB52+'[8]Barge-4'!BB52</f>
        <v>0</v>
      </c>
      <c r="V54" s="194"/>
      <c r="W54" s="194"/>
      <c r="X54" s="122"/>
      <c r="Y54" s="122"/>
    </row>
    <row r="55" spans="1:97" s="82" customFormat="1" ht="15" customHeight="1" x14ac:dyDescent="0.25">
      <c r="A55" s="117">
        <f t="shared" si="4"/>
        <v>45990</v>
      </c>
      <c r="B55" s="118"/>
      <c r="C55" s="194">
        <f>'[2]AHTS-1'!AV53+'[2]AHTS-2'!AV53+'[2]AHTS-3'!AV53+'[2]AHTS-4'!AV53+'[2]AHTS-5'!AV53+'[2]AHTS-6'!AV53+'[2]AHTS-7'!AV53+'[2]AHTS-8'!AV53+'[3]CB-1'!AV53+'[3]CB-2'!AV53+'[3]CB-3'!AV53+'[3]CB-4'!AV53+'[3]CB-5'!AV53+'[3]CB-6'!AV53+'[3]CB-7'!AV53+'[3]CB-8'!AV53+'[3]CB-9'!AV53+'[3]CB-10'!AV53+'[3]CB-11'!AV53+'[3]CB-12'!AV53+'[3]CB-13'!AV53+'[3]CB-14'!AV53+'[3]CB-15'!AV53+'[3]CB-16'!AV53+'[3]CB-17'!AV53+'[3]CB-18'!AV53+'[3]CB-19'!AV53+'[3]CB-20'!AV53+'[3]CB-21'!AV53+'[3]CB-22'!AV53+'[3]CB-23'!AV53+'[3]CB-24'!AV53+'[4]LCT-1'!AV53+'[4]LCT-2'!AV53+'[4]LCT-3'!AV53+'[4]LCT-4'!AV53+'[4]LCT-5'!AV53+'[4]LCT-6'!AV53+'[4]LCT-7'!AV53+'[4]LCT-8'!AV53+'[5]TB-1'!AV53+'[5]TB-2'!AV53+'[5]TB-3'!AV53+'[5]TB-4'!AV53+'[5]TB-5'!AV53+'[5]TB-6'!AV53+'[5]TB-7'!AV53+'[5]TB-8'!AV53+'[5]TB-9'!AV53+'[5]TB-10'!AV53+'[6]DSV-1'!AV53+'[6]DSV-2'!AV53+'[6]DSV-3'!AV53+'[7]TUB-1'!AV53+'[7]TUB-2'!AV53+'[8]Barge-1'!AV53+'[8]Barge-2'!AV53+'[8]Barge-3'!AV53+'[8]Barge-4'!AV53</f>
        <v>0</v>
      </c>
      <c r="D55" s="194"/>
      <c r="E55" s="194"/>
      <c r="F55" s="194">
        <f>'[2]AHTS-1'!AW53+'[2]AHTS-2'!AW53+'[2]AHTS-3'!AW53+'[2]AHTS-4'!AW53+'[2]AHTS-5'!AW53+'[2]AHTS-6'!AW53+'[2]AHTS-7'!AW53+'[2]AHTS-8'!AW53+'[3]CB-1'!AW53+'[3]CB-2'!AW53+'[3]CB-3'!AW53+'[3]CB-4'!AW53+'[3]CB-5'!AW53+'[3]CB-6'!AW53+'[3]CB-7'!AW53+'[3]CB-8'!AW53+'[3]CB-9'!AW53+'[3]CB-10'!AW53+'[3]CB-11'!AW53+'[3]CB-12'!AW53+'[3]CB-13'!AW53+'[3]CB-14'!AW53+'[3]CB-15'!AW53+'[3]CB-16'!AW53+'[3]CB-17'!AW53+'[3]CB-18'!AW53+'[3]CB-19'!AW53+'[3]CB-20'!AW53+'[3]CB-21'!AW53+'[3]CB-22'!AW53+'[3]CB-23'!AW53+'[3]CB-24'!AW53+'[4]LCT-1'!AW53+'[4]LCT-2'!AW53+'[4]LCT-3'!AW53+'[4]LCT-4'!AW53+'[4]LCT-5'!AW53+'[4]LCT-6'!AW53+'[4]LCT-7'!AW53+'[4]LCT-8'!AW53+'[5]TB-1'!AW53+'[5]TB-2'!AW53+'[5]TB-3'!AW53+'[5]TB-4'!AW53+'[5]TB-5'!AW53+'[5]TB-6'!AW53+'[5]TB-7'!AW53+'[5]TB-8'!AW53+'[5]TB-9'!AW53+'[5]TB-10'!AW53+'[6]DSV-1'!AW53+'[6]DSV-2'!AW53+'[6]DSV-3'!AW53+'[7]TUB-1'!AW53+'[7]TUB-2'!AW53+'[8]Barge-1'!AW53+'[8]Barge-2'!AW53+'[8]Barge-3'!AW53+'[8]Barge-4'!AW53</f>
        <v>2801.666666666667</v>
      </c>
      <c r="G55" s="194"/>
      <c r="H55" s="194"/>
      <c r="I55" s="194">
        <f>'[2]AHTS-1'!AX53+'[2]AHTS-2'!AX53+'[2]AHTS-3'!AX53+'[2]AHTS-4'!AX53+'[2]AHTS-5'!AX53+'[2]AHTS-6'!AX53+'[2]AHTS-7'!AX53+'[2]AHTS-8'!AX53+'[3]CB-1'!AX53+'[3]CB-2'!AX53+'[3]CB-3'!AX53+'[3]CB-4'!AX53+'[3]CB-5'!AX53+'[3]CB-6'!AX53+'[3]CB-7'!AX53+'[3]CB-8'!AX53+'[3]CB-9'!AX53+'[3]CB-10'!AX53+'[3]CB-11'!AX53+'[3]CB-12'!AX53+'[3]CB-13'!AX53+'[3]CB-14'!AX53+'[3]CB-15'!AX53+'[3]CB-16'!AX53+'[3]CB-17'!AX53+'[3]CB-18'!AX53+'[3]CB-19'!AX53+'[3]CB-20'!AX53+'[3]CB-21'!AX53+'[3]CB-22'!AX53+'[3]CB-23'!AX53+'[3]CB-24'!AX53+'[4]LCT-1'!AX53+'[4]LCT-2'!AX53+'[4]LCT-3'!AX53+'[4]LCT-4'!AX53+'[4]LCT-5'!AX53+'[4]LCT-6'!AX53+'[4]LCT-7'!AX53+'[4]LCT-8'!AX53+'[5]TB-1'!AX53+'[5]TB-2'!AX53+'[5]TB-3'!AX53+'[5]TB-4'!AX53+'[5]TB-5'!AX53+'[5]TB-6'!AX53+'[5]TB-7'!AX53+'[5]TB-8'!AX53+'[5]TB-9'!AX53+'[5]TB-10'!AX53+'[6]DSV-1'!AX53+'[6]DSV-2'!AX53+'[6]DSV-3'!AX53+'[7]TUB-1'!AX53+'[7]TUB-2'!AX53+'[8]Barge-1'!AX53+'[8]Barge-2'!AX53+'[8]Barge-3'!AX53+'[8]Barge-4'!AX53</f>
        <v>1338.4444444444443</v>
      </c>
      <c r="J55" s="194"/>
      <c r="K55" s="194"/>
      <c r="L55" s="194">
        <f>'[2]AHTS-1'!AY53+'[2]AHTS-2'!AY53+'[2]AHTS-3'!AY53+'[2]AHTS-4'!AY53+'[2]AHTS-5'!AY53+'[2]AHTS-6'!AY53+'[2]AHTS-7'!AY53+'[2]AHTS-8'!AY53+'[3]CB-1'!AY53+'[3]CB-2'!AY53+'[3]CB-3'!AY53+'[3]CB-4'!AY53+'[3]CB-5'!AY53+'[3]CB-6'!AY53+'[3]CB-7'!AY53+'[3]CB-8'!AY53+'[3]CB-9'!AY53+'[3]CB-10'!AY53+'[3]CB-11'!AY53+'[3]CB-12'!AY53+'[3]CB-13'!AY53+'[3]CB-14'!AY53+'[3]CB-15'!AY53+'[3]CB-16'!AY53+'[3]CB-17'!AY53+'[3]CB-18'!AY53+'[3]CB-19'!AY53+'[3]CB-20'!AY53+'[3]CB-21'!AY53+'[3]CB-22'!AY53+'[3]CB-23'!AY53+'[3]CB-24'!AY53+'[4]LCT-1'!AY53+'[4]LCT-2'!AY53+'[4]LCT-3'!AY53+'[4]LCT-4'!AY53+'[4]LCT-5'!AY53+'[4]LCT-6'!AY53+'[4]LCT-7'!AY53+'[4]LCT-8'!AY53+'[5]TB-1'!AY53+'[5]TB-2'!AY53+'[5]TB-3'!AY53+'[5]TB-4'!AY53+'[5]TB-5'!AY53+'[5]TB-6'!AY53+'[5]TB-7'!AY53+'[5]TB-8'!AY53+'[5]TB-9'!AY53+'[5]TB-10'!AY53+'[6]DSV-1'!AY53+'[6]DSV-2'!AY53+'[6]DSV-3'!AY53+'[7]TUB-1'!AY53+'[7]TUB-2'!AY53+'[8]Barge-1'!AY53+'[8]Barge-2'!AY53+'[8]Barge-3'!AY53+'[8]Barge-4'!AY53</f>
        <v>2674.6666666666665</v>
      </c>
      <c r="M55" s="194"/>
      <c r="N55" s="194"/>
      <c r="O55" s="194">
        <f>'[2]AHTS-1'!AZ53+'[2]AHTS-2'!AZ53+'[2]AHTS-3'!AZ53+'[2]AHTS-4'!AZ53+'[2]AHTS-5'!AZ53+'[2]AHTS-6'!AZ53+'[2]AHTS-7'!AZ53+'[2]AHTS-8'!AZ53+'[3]CB-1'!AZ53+'[3]CB-2'!AZ53+'[3]CB-3'!AZ53+'[3]CB-4'!AZ53+'[3]CB-5'!AZ53+'[3]CB-6'!AZ53+'[3]CB-7'!AZ53+'[3]CB-8'!AZ53+'[3]CB-9'!AZ53+'[3]CB-10'!AZ53+'[3]CB-11'!AZ53+'[3]CB-12'!AZ53+'[3]CB-13'!AZ53+'[3]CB-14'!AZ53+'[3]CB-15'!AZ53+'[3]CB-16'!AZ53+'[3]CB-17'!AZ53+'[3]CB-18'!AZ53+'[3]CB-19'!AZ53+'[3]CB-20'!AZ53+'[3]CB-21'!AZ53+'[3]CB-22'!AZ53+'[3]CB-23'!AZ53+'[3]CB-24'!AZ53+'[4]LCT-1'!AZ53+'[4]LCT-2'!AZ53+'[4]LCT-3'!AZ53+'[4]LCT-4'!AZ53+'[4]LCT-5'!AZ53+'[4]LCT-6'!AZ53+'[4]LCT-7'!AZ53+'[4]LCT-8'!AZ53+'[5]TB-1'!AZ53+'[5]TB-2'!AZ53+'[5]TB-3'!AZ53+'[5]TB-4'!AZ53+'[5]TB-5'!AZ53+'[5]TB-6'!AZ53+'[5]TB-7'!AZ53+'[5]TB-8'!AZ53+'[5]TB-9'!AZ53+'[5]TB-10'!AZ53+'[6]DSV-1'!AZ53+'[6]DSV-2'!AZ53+'[6]DSV-3'!AZ53+'[7]TUB-1'!AZ53+'[7]TUB-2'!AZ53+'[8]Barge-1'!AZ53+'[8]Barge-2'!AZ53+'[8]Barge-3'!AZ53+'[8]Barge-4'!AZ53</f>
        <v>39.666666666666664</v>
      </c>
      <c r="P55" s="194"/>
      <c r="Q55" s="194"/>
      <c r="R55" s="194">
        <f>'[2]AHTS-1'!BA53+'[2]AHTS-2'!BA53+'[2]AHTS-3'!BA53+'[2]AHTS-4'!BA53+'[2]AHTS-5'!BA53+'[2]AHTS-6'!BA53+'[2]AHTS-7'!BA53+'[2]AHTS-8'!BA53+'[3]CB-1'!BA53+'[3]CB-2'!BA53+'[3]CB-3'!BA53+'[3]CB-4'!BA53+'[3]CB-5'!BA53+'[3]CB-6'!BA53+'[3]CB-7'!BA53+'[3]CB-8'!BA53+'[3]CB-9'!BA53+'[3]CB-10'!BA53+'[3]CB-11'!BA53+'[3]CB-12'!BA53+'[3]CB-13'!BA53+'[3]CB-14'!BA53+'[3]CB-15'!BA53+'[3]CB-16'!BA53+'[3]CB-17'!BA53+'[3]CB-18'!BA53+'[3]CB-19'!BA53+'[3]CB-20'!BA53+'[3]CB-21'!BA53+'[3]CB-22'!BA53+'[3]CB-23'!BA53+'[3]CB-24'!BA53+'[4]LCT-1'!BA53+'[4]LCT-2'!BA53+'[4]LCT-3'!BA53+'[4]LCT-4'!BA53+'[4]LCT-5'!BA53+'[4]LCT-6'!BA53+'[4]LCT-7'!BA53+'[4]LCT-8'!BA53+'[5]TB-1'!BA53+'[5]TB-2'!BA53+'[5]TB-3'!BA53+'[5]TB-4'!BA53+'[5]TB-5'!BA53+'[5]TB-6'!BA53+'[5]TB-7'!BA53+'[5]TB-8'!BA53+'[5]TB-9'!BA53+'[5]TB-10'!BA53+'[6]DSV-1'!BA53+'[6]DSV-2'!BA53+'[6]DSV-3'!BA53+'[7]TUB-1'!BA53+'[7]TUB-2'!BA53+'[8]Barge-1'!BA53+'[8]Barge-2'!BA53+'[8]Barge-3'!BA53+'[8]Barge-4'!BA53</f>
        <v>3902.333333333333</v>
      </c>
      <c r="S55" s="194"/>
      <c r="T55" s="194"/>
      <c r="U55" s="194">
        <f>'[2]AHTS-1'!BB53+'[2]AHTS-2'!BB53+'[2]AHTS-3'!BB53+'[2]AHTS-4'!BB53+'[2]AHTS-5'!BB53+'[2]AHTS-6'!BB53+'[2]AHTS-7'!BB53+'[2]AHTS-8'!BB53+'[3]CB-1'!BB53+'[3]CB-2'!BB53+'[3]CB-3'!BB53+'[3]CB-4'!BB53+'[3]CB-5'!BB53+'[3]CB-6'!BB53+'[3]CB-7'!BB53+'[3]CB-8'!BB53+'[3]CB-9'!BB53+'[3]CB-10'!BB53+'[3]CB-11'!BB53+'[3]CB-12'!BB53+'[3]CB-13'!BB53+'[3]CB-14'!BB53+'[3]CB-15'!BB53+'[3]CB-16'!BB53+'[3]CB-17'!BB53+'[3]CB-18'!BB53+'[3]CB-19'!BB53+'[3]CB-20'!BB53+'[3]CB-21'!BB53+'[3]CB-22'!BB53+'[3]CB-23'!BB53+'[3]CB-24'!BB53+'[4]LCT-1'!BB53+'[4]LCT-2'!BB53+'[4]LCT-3'!BB53+'[4]LCT-4'!BB53+'[4]LCT-5'!BB53+'[4]LCT-6'!BB53+'[4]LCT-7'!BB53+'[4]LCT-8'!BB53+'[5]TB-1'!BB53+'[5]TB-2'!BB53+'[5]TB-3'!BB53+'[5]TB-4'!BB53+'[5]TB-5'!BB53+'[5]TB-6'!BB53+'[5]TB-7'!BB53+'[5]TB-8'!BB53+'[5]TB-9'!BB53+'[5]TB-10'!BB53+'[6]DSV-1'!BB53+'[6]DSV-2'!BB53+'[6]DSV-3'!BB53+'[7]TUB-1'!BB53+'[7]TUB-2'!BB53+'[8]Barge-1'!BB53+'[8]Barge-2'!BB53+'[8]Barge-3'!BB53+'[8]Barge-4'!BB53</f>
        <v>0</v>
      </c>
      <c r="V55" s="194"/>
      <c r="W55" s="194"/>
      <c r="X55" s="122"/>
      <c r="Y55" s="122"/>
    </row>
    <row r="56" spans="1:97" s="82" customFormat="1" ht="15" customHeight="1" x14ac:dyDescent="0.25">
      <c r="A56" s="117">
        <f t="shared" si="4"/>
        <v>45991</v>
      </c>
      <c r="B56" s="118"/>
      <c r="C56" s="194">
        <f>'[2]AHTS-1'!AV54+'[2]AHTS-2'!AV54+'[2]AHTS-3'!AV54+'[2]AHTS-4'!AV54+'[2]AHTS-5'!AV54+'[2]AHTS-6'!AV54+'[2]AHTS-7'!AV54+'[2]AHTS-8'!AV54+'[3]CB-1'!AV54+'[3]CB-2'!AV54+'[3]CB-3'!AV54+'[3]CB-4'!AV54+'[3]CB-5'!AV54+'[3]CB-6'!AV54+'[3]CB-7'!AV54+'[3]CB-8'!AV54+'[3]CB-9'!AV54+'[3]CB-10'!AV54+'[3]CB-11'!AV54+'[3]CB-12'!AV54+'[3]CB-13'!AV54+'[3]CB-14'!AV54+'[3]CB-15'!AV54+'[3]CB-16'!AV54+'[3]CB-17'!AV54+'[3]CB-18'!AV54+'[3]CB-19'!AV54+'[3]CB-20'!AV54+'[3]CB-21'!AV54+'[3]CB-22'!AV54+'[3]CB-23'!AV54+'[3]CB-24'!AV54+'[4]LCT-1'!AV54+'[4]LCT-2'!AV54+'[4]LCT-3'!AV54+'[4]LCT-4'!AV54+'[4]LCT-5'!AV54+'[4]LCT-6'!AV54+'[4]LCT-7'!AV54+'[4]LCT-8'!AV54+'[5]TB-1'!AV54+'[5]TB-2'!AV54+'[5]TB-3'!AV54+'[5]TB-4'!AV54+'[5]TB-5'!AV54+'[5]TB-6'!AV54+'[5]TB-7'!AV54+'[5]TB-8'!AV54+'[5]TB-9'!AV54+'[5]TB-10'!AV54+'[6]DSV-1'!AV54+'[6]DSV-2'!AV54+'[6]DSV-3'!AV54+'[7]TUB-1'!AV54+'[7]TUB-2'!AV54+'[8]Barge-1'!AV54+'[8]Barge-2'!AV54+'[8]Barge-3'!AV54+'[8]Barge-4'!AV54</f>
        <v>0</v>
      </c>
      <c r="D56" s="194"/>
      <c r="E56" s="194"/>
      <c r="F56" s="194">
        <f>'[2]AHTS-1'!AW54+'[2]AHTS-2'!AW54+'[2]AHTS-3'!AW54+'[2]AHTS-4'!AW54+'[2]AHTS-5'!AW54+'[2]AHTS-6'!AW54+'[2]AHTS-7'!AW54+'[2]AHTS-8'!AW54+'[3]CB-1'!AW54+'[3]CB-2'!AW54+'[3]CB-3'!AW54+'[3]CB-4'!AW54+'[3]CB-5'!AW54+'[3]CB-6'!AW54+'[3]CB-7'!AW54+'[3]CB-8'!AW54+'[3]CB-9'!AW54+'[3]CB-10'!AW54+'[3]CB-11'!AW54+'[3]CB-12'!AW54+'[3]CB-13'!AW54+'[3]CB-14'!AW54+'[3]CB-15'!AW54+'[3]CB-16'!AW54+'[3]CB-17'!AW54+'[3]CB-18'!AW54+'[3]CB-19'!AW54+'[3]CB-20'!AW54+'[3]CB-21'!AW54+'[3]CB-22'!AW54+'[3]CB-23'!AW54+'[3]CB-24'!AW54+'[4]LCT-1'!AW54+'[4]LCT-2'!AW54+'[4]LCT-3'!AW54+'[4]LCT-4'!AW54+'[4]LCT-5'!AW54+'[4]LCT-6'!AW54+'[4]LCT-7'!AW54+'[4]LCT-8'!AW54+'[5]TB-1'!AW54+'[5]TB-2'!AW54+'[5]TB-3'!AW54+'[5]TB-4'!AW54+'[5]TB-5'!AW54+'[5]TB-6'!AW54+'[5]TB-7'!AW54+'[5]TB-8'!AW54+'[5]TB-9'!AW54+'[5]TB-10'!AW54+'[6]DSV-1'!AW54+'[6]DSV-2'!AW54+'[6]DSV-3'!AW54+'[7]TUB-1'!AW54+'[7]TUB-2'!AW54+'[8]Barge-1'!AW54+'[8]Barge-2'!AW54+'[8]Barge-3'!AW54+'[8]Barge-4'!AW54</f>
        <v>1020.0500000000001</v>
      </c>
      <c r="G56" s="194"/>
      <c r="H56" s="194"/>
      <c r="I56" s="194">
        <f>'[2]AHTS-1'!AX54+'[2]AHTS-2'!AX54+'[2]AHTS-3'!AX54+'[2]AHTS-4'!AX54+'[2]AHTS-5'!AX54+'[2]AHTS-6'!AX54+'[2]AHTS-7'!AX54+'[2]AHTS-8'!AX54+'[3]CB-1'!AX54+'[3]CB-2'!AX54+'[3]CB-3'!AX54+'[3]CB-4'!AX54+'[3]CB-5'!AX54+'[3]CB-6'!AX54+'[3]CB-7'!AX54+'[3]CB-8'!AX54+'[3]CB-9'!AX54+'[3]CB-10'!AX54+'[3]CB-11'!AX54+'[3]CB-12'!AX54+'[3]CB-13'!AX54+'[3]CB-14'!AX54+'[3]CB-15'!AX54+'[3]CB-16'!AX54+'[3]CB-17'!AX54+'[3]CB-18'!AX54+'[3]CB-19'!AX54+'[3]CB-20'!AX54+'[3]CB-21'!AX54+'[3]CB-22'!AX54+'[3]CB-23'!AX54+'[3]CB-24'!AX54+'[4]LCT-1'!AX54+'[4]LCT-2'!AX54+'[4]LCT-3'!AX54+'[4]LCT-4'!AX54+'[4]LCT-5'!AX54+'[4]LCT-6'!AX54+'[4]LCT-7'!AX54+'[4]LCT-8'!AX54+'[5]TB-1'!AX54+'[5]TB-2'!AX54+'[5]TB-3'!AX54+'[5]TB-4'!AX54+'[5]TB-5'!AX54+'[5]TB-6'!AX54+'[5]TB-7'!AX54+'[5]TB-8'!AX54+'[5]TB-9'!AX54+'[5]TB-10'!AX54+'[6]DSV-1'!AX54+'[6]DSV-2'!AX54+'[6]DSV-3'!AX54+'[7]TUB-1'!AX54+'[7]TUB-2'!AX54+'[8]Barge-1'!AX54+'[8]Barge-2'!AX54+'[8]Barge-3'!AX54+'[8]Barge-4'!AX54</f>
        <v>1683.0833333333333</v>
      </c>
      <c r="J56" s="194"/>
      <c r="K56" s="194"/>
      <c r="L56" s="194">
        <f>'[2]AHTS-1'!AY54+'[2]AHTS-2'!AY54+'[2]AHTS-3'!AY54+'[2]AHTS-4'!AY54+'[2]AHTS-5'!AY54+'[2]AHTS-6'!AY54+'[2]AHTS-7'!AY54+'[2]AHTS-8'!AY54+'[3]CB-1'!AY54+'[3]CB-2'!AY54+'[3]CB-3'!AY54+'[3]CB-4'!AY54+'[3]CB-5'!AY54+'[3]CB-6'!AY54+'[3]CB-7'!AY54+'[3]CB-8'!AY54+'[3]CB-9'!AY54+'[3]CB-10'!AY54+'[3]CB-11'!AY54+'[3]CB-12'!AY54+'[3]CB-13'!AY54+'[3]CB-14'!AY54+'[3]CB-15'!AY54+'[3]CB-16'!AY54+'[3]CB-17'!AY54+'[3]CB-18'!AY54+'[3]CB-19'!AY54+'[3]CB-20'!AY54+'[3]CB-21'!AY54+'[3]CB-22'!AY54+'[3]CB-23'!AY54+'[3]CB-24'!AY54+'[4]LCT-1'!AY54+'[4]LCT-2'!AY54+'[4]LCT-3'!AY54+'[4]LCT-4'!AY54+'[4]LCT-5'!AY54+'[4]LCT-6'!AY54+'[4]LCT-7'!AY54+'[4]LCT-8'!AY54+'[5]TB-1'!AY54+'[5]TB-2'!AY54+'[5]TB-3'!AY54+'[5]TB-4'!AY54+'[5]TB-5'!AY54+'[5]TB-6'!AY54+'[5]TB-7'!AY54+'[5]TB-8'!AY54+'[5]TB-9'!AY54+'[5]TB-10'!AY54+'[6]DSV-1'!AY54+'[6]DSV-2'!AY54+'[6]DSV-3'!AY54+'[7]TUB-1'!AY54+'[7]TUB-2'!AY54+'[8]Barge-1'!AY54+'[8]Barge-2'!AY54+'[8]Barge-3'!AY54+'[8]Barge-4'!AY54</f>
        <v>8512.2999999999993</v>
      </c>
      <c r="M56" s="194"/>
      <c r="N56" s="194"/>
      <c r="O56" s="194">
        <f>'[2]AHTS-1'!AZ54+'[2]AHTS-2'!AZ54+'[2]AHTS-3'!AZ54+'[2]AHTS-4'!AZ54+'[2]AHTS-5'!AZ54+'[2]AHTS-6'!AZ54+'[2]AHTS-7'!AZ54+'[2]AHTS-8'!AZ54+'[3]CB-1'!AZ54+'[3]CB-2'!AZ54+'[3]CB-3'!AZ54+'[3]CB-4'!AZ54+'[3]CB-5'!AZ54+'[3]CB-6'!AZ54+'[3]CB-7'!AZ54+'[3]CB-8'!AZ54+'[3]CB-9'!AZ54+'[3]CB-10'!AZ54+'[3]CB-11'!AZ54+'[3]CB-12'!AZ54+'[3]CB-13'!AZ54+'[3]CB-14'!AZ54+'[3]CB-15'!AZ54+'[3]CB-16'!AZ54+'[3]CB-17'!AZ54+'[3]CB-18'!AZ54+'[3]CB-19'!AZ54+'[3]CB-20'!AZ54+'[3]CB-21'!AZ54+'[3]CB-22'!AZ54+'[3]CB-23'!AZ54+'[3]CB-24'!AZ54+'[4]LCT-1'!AZ54+'[4]LCT-2'!AZ54+'[4]LCT-3'!AZ54+'[4]LCT-4'!AZ54+'[4]LCT-5'!AZ54+'[4]LCT-6'!AZ54+'[4]LCT-7'!AZ54+'[4]LCT-8'!AZ54+'[5]TB-1'!AZ54+'[5]TB-2'!AZ54+'[5]TB-3'!AZ54+'[5]TB-4'!AZ54+'[5]TB-5'!AZ54+'[5]TB-6'!AZ54+'[5]TB-7'!AZ54+'[5]TB-8'!AZ54+'[5]TB-9'!AZ54+'[5]TB-10'!AZ54+'[6]DSV-1'!AZ54+'[6]DSV-2'!AZ54+'[6]DSV-3'!AZ54+'[7]TUB-1'!AZ54+'[7]TUB-2'!AZ54+'[8]Barge-1'!AZ54+'[8]Barge-2'!AZ54+'[8]Barge-3'!AZ54+'[8]Barge-4'!AZ54</f>
        <v>51</v>
      </c>
      <c r="P56" s="194"/>
      <c r="Q56" s="194"/>
      <c r="R56" s="194">
        <f>'[2]AHTS-1'!BA54+'[2]AHTS-2'!BA54+'[2]AHTS-3'!BA54+'[2]AHTS-4'!BA54+'[2]AHTS-5'!BA54+'[2]AHTS-6'!BA54+'[2]AHTS-7'!BA54+'[2]AHTS-8'!BA54+'[3]CB-1'!BA54+'[3]CB-2'!BA54+'[3]CB-3'!BA54+'[3]CB-4'!BA54+'[3]CB-5'!BA54+'[3]CB-6'!BA54+'[3]CB-7'!BA54+'[3]CB-8'!BA54+'[3]CB-9'!BA54+'[3]CB-10'!BA54+'[3]CB-11'!BA54+'[3]CB-12'!BA54+'[3]CB-13'!BA54+'[3]CB-14'!BA54+'[3]CB-15'!BA54+'[3]CB-16'!BA54+'[3]CB-17'!BA54+'[3]CB-18'!BA54+'[3]CB-19'!BA54+'[3]CB-20'!BA54+'[3]CB-21'!BA54+'[3]CB-22'!BA54+'[3]CB-23'!BA54+'[3]CB-24'!BA54+'[4]LCT-1'!BA54+'[4]LCT-2'!BA54+'[4]LCT-3'!BA54+'[4]LCT-4'!BA54+'[4]LCT-5'!BA54+'[4]LCT-6'!BA54+'[4]LCT-7'!BA54+'[4]LCT-8'!BA54+'[5]TB-1'!BA54+'[5]TB-2'!BA54+'[5]TB-3'!BA54+'[5]TB-4'!BA54+'[5]TB-5'!BA54+'[5]TB-6'!BA54+'[5]TB-7'!BA54+'[5]TB-8'!BA54+'[5]TB-9'!BA54+'[5]TB-10'!BA54+'[6]DSV-1'!BA54+'[6]DSV-2'!BA54+'[6]DSV-3'!BA54+'[7]TUB-1'!BA54+'[7]TUB-2'!BA54+'[8]Barge-1'!BA54+'[8]Barge-2'!BA54+'[8]Barge-3'!BA54+'[8]Barge-4'!BA54</f>
        <v>4627</v>
      </c>
      <c r="S56" s="194"/>
      <c r="T56" s="194"/>
      <c r="U56" s="194">
        <f>'[2]AHTS-1'!BB54+'[2]AHTS-2'!BB54+'[2]AHTS-3'!BB54+'[2]AHTS-4'!BB54+'[2]AHTS-5'!BB54+'[2]AHTS-6'!BB54+'[2]AHTS-7'!BB54+'[2]AHTS-8'!BB54+'[3]CB-1'!BB54+'[3]CB-2'!BB54+'[3]CB-3'!BB54+'[3]CB-4'!BB54+'[3]CB-5'!BB54+'[3]CB-6'!BB54+'[3]CB-7'!BB54+'[3]CB-8'!BB54+'[3]CB-9'!BB54+'[3]CB-10'!BB54+'[3]CB-11'!BB54+'[3]CB-12'!BB54+'[3]CB-13'!BB54+'[3]CB-14'!BB54+'[3]CB-15'!BB54+'[3]CB-16'!BB54+'[3]CB-17'!BB54+'[3]CB-18'!BB54+'[3]CB-19'!BB54+'[3]CB-20'!BB54+'[3]CB-21'!BB54+'[3]CB-22'!BB54+'[3]CB-23'!BB54+'[3]CB-24'!BB54+'[4]LCT-1'!BB54+'[4]LCT-2'!BB54+'[4]LCT-3'!BB54+'[4]LCT-4'!BB54+'[4]LCT-5'!BB54+'[4]LCT-6'!BB54+'[4]LCT-7'!BB54+'[4]LCT-8'!BB54+'[5]TB-1'!BB54+'[5]TB-2'!BB54+'[5]TB-3'!BB54+'[5]TB-4'!BB54+'[5]TB-5'!BB54+'[5]TB-6'!BB54+'[5]TB-7'!BB54+'[5]TB-8'!BB54+'[5]TB-9'!BB54+'[5]TB-10'!BB54+'[6]DSV-1'!BB54+'[6]DSV-2'!BB54+'[6]DSV-3'!BB54+'[7]TUB-1'!BB54+'[7]TUB-2'!BB54+'[8]Barge-1'!BB54+'[8]Barge-2'!BB54+'[8]Barge-3'!BB54+'[8]Barge-4'!BB54</f>
        <v>0</v>
      </c>
      <c r="V56" s="194"/>
      <c r="W56" s="194"/>
      <c r="X56" s="122"/>
      <c r="Y56" s="122"/>
    </row>
    <row r="57" spans="1:97" s="82" customFormat="1" ht="15" customHeight="1" x14ac:dyDescent="0.25">
      <c r="A57" s="117">
        <f t="shared" si="4"/>
        <v>45992</v>
      </c>
      <c r="B57" s="118"/>
      <c r="C57" s="194">
        <f>'[2]AHTS-1'!AV55+'[2]AHTS-2'!AV55+'[2]AHTS-3'!AV55+'[2]AHTS-4'!AV55+'[2]AHTS-5'!AV55+'[2]AHTS-6'!AV55+'[2]AHTS-7'!AV55+'[2]AHTS-8'!AV55+'[3]CB-1'!AV55+'[3]CB-2'!AV55+'[3]CB-3'!AV55+'[3]CB-4'!AV55+'[3]CB-5'!AV55+'[3]CB-6'!AV55+'[3]CB-7'!AV55+'[3]CB-8'!AV55+'[3]CB-9'!AV55+'[3]CB-10'!AV55+'[3]CB-11'!AV55+'[3]CB-12'!AV55+'[3]CB-13'!AV55+'[3]CB-14'!AV55+'[3]CB-15'!AV55+'[3]CB-16'!AV55+'[3]CB-17'!AV55+'[3]CB-18'!AV55+'[3]CB-19'!AV55+'[3]CB-20'!AV55+'[3]CB-21'!AV55+'[3]CB-22'!AV55+'[3]CB-23'!AV55+'[3]CB-24'!AV55+'[4]LCT-1'!AV55+'[4]LCT-2'!AV55+'[4]LCT-3'!AV55+'[4]LCT-4'!AV55+'[4]LCT-5'!AV55+'[4]LCT-6'!AV55+'[4]LCT-7'!AV55+'[4]LCT-8'!AV55+'[5]TB-1'!AV55+'[5]TB-2'!AV55+'[5]TB-3'!AV55+'[5]TB-4'!AV55+'[5]TB-5'!AV55+'[5]TB-6'!AV55+'[5]TB-7'!AV55+'[5]TB-8'!AV55+'[5]TB-9'!AV55+'[5]TB-10'!AV55+'[6]DSV-1'!AV55+'[6]DSV-2'!AV55+'[6]DSV-3'!AV55+'[7]TUB-1'!AV55+'[7]TUB-2'!AV55+'[8]Barge-1'!AV55+'[8]Barge-2'!AV55+'[8]Barge-3'!AV55+'[8]Barge-4'!AV55</f>
        <v>0</v>
      </c>
      <c r="D57" s="194"/>
      <c r="E57" s="194"/>
      <c r="F57" s="194">
        <f>'[2]AHTS-1'!AW55+'[2]AHTS-2'!AW55+'[2]AHTS-3'!AW55+'[2]AHTS-4'!AW55+'[2]AHTS-5'!AW55+'[2]AHTS-6'!AW55+'[2]AHTS-7'!AW55+'[2]AHTS-8'!AW55+'[3]CB-1'!AW55+'[3]CB-2'!AW55+'[3]CB-3'!AW55+'[3]CB-4'!AW55+'[3]CB-5'!AW55+'[3]CB-6'!AW55+'[3]CB-7'!AW55+'[3]CB-8'!AW55+'[3]CB-9'!AW55+'[3]CB-10'!AW55+'[3]CB-11'!AW55+'[3]CB-12'!AW55+'[3]CB-13'!AW55+'[3]CB-14'!AW55+'[3]CB-15'!AW55+'[3]CB-16'!AW55+'[3]CB-17'!AW55+'[3]CB-18'!AW55+'[3]CB-19'!AW55+'[3]CB-20'!AW55+'[3]CB-21'!AW55+'[3]CB-22'!AW55+'[3]CB-23'!AW55+'[3]CB-24'!AW55+'[4]LCT-1'!AW55+'[4]LCT-2'!AW55+'[4]LCT-3'!AW55+'[4]LCT-4'!AW55+'[4]LCT-5'!AW55+'[4]LCT-6'!AW55+'[4]LCT-7'!AW55+'[4]LCT-8'!AW55+'[5]TB-1'!AW55+'[5]TB-2'!AW55+'[5]TB-3'!AW55+'[5]TB-4'!AW55+'[5]TB-5'!AW55+'[5]TB-6'!AW55+'[5]TB-7'!AW55+'[5]TB-8'!AW55+'[5]TB-9'!AW55+'[5]TB-10'!AW55+'[6]DSV-1'!AW55+'[6]DSV-2'!AW55+'[6]DSV-3'!AW55+'[7]TUB-1'!AW55+'[7]TUB-2'!AW55+'[8]Barge-1'!AW55+'[8]Barge-2'!AW55+'[8]Barge-3'!AW55+'[8]Barge-4'!AW55</f>
        <v>262.02083333333331</v>
      </c>
      <c r="G57" s="194"/>
      <c r="H57" s="194"/>
      <c r="I57" s="194">
        <f>'[2]AHTS-1'!AX55+'[2]AHTS-2'!AX55+'[2]AHTS-3'!AX55+'[2]AHTS-4'!AX55+'[2]AHTS-5'!AX55+'[2]AHTS-6'!AX55+'[2]AHTS-7'!AX55+'[2]AHTS-8'!AX55+'[3]CB-1'!AX55+'[3]CB-2'!AX55+'[3]CB-3'!AX55+'[3]CB-4'!AX55+'[3]CB-5'!AX55+'[3]CB-6'!AX55+'[3]CB-7'!AX55+'[3]CB-8'!AX55+'[3]CB-9'!AX55+'[3]CB-10'!AX55+'[3]CB-11'!AX55+'[3]CB-12'!AX55+'[3]CB-13'!AX55+'[3]CB-14'!AX55+'[3]CB-15'!AX55+'[3]CB-16'!AX55+'[3]CB-17'!AX55+'[3]CB-18'!AX55+'[3]CB-19'!AX55+'[3]CB-20'!AX55+'[3]CB-21'!AX55+'[3]CB-22'!AX55+'[3]CB-23'!AX55+'[3]CB-24'!AX55+'[4]LCT-1'!AX55+'[4]LCT-2'!AX55+'[4]LCT-3'!AX55+'[4]LCT-4'!AX55+'[4]LCT-5'!AX55+'[4]LCT-6'!AX55+'[4]LCT-7'!AX55+'[4]LCT-8'!AX55+'[5]TB-1'!AX55+'[5]TB-2'!AX55+'[5]TB-3'!AX55+'[5]TB-4'!AX55+'[5]TB-5'!AX55+'[5]TB-6'!AX55+'[5]TB-7'!AX55+'[5]TB-8'!AX55+'[5]TB-9'!AX55+'[5]TB-10'!AX55+'[6]DSV-1'!AX55+'[6]DSV-2'!AX55+'[6]DSV-3'!AX55+'[7]TUB-1'!AX55+'[7]TUB-2'!AX55+'[8]Barge-1'!AX55+'[8]Barge-2'!AX55+'[8]Barge-3'!AX55+'[8]Barge-4'!AX55</f>
        <v>2361.1666666666665</v>
      </c>
      <c r="J57" s="194"/>
      <c r="K57" s="194"/>
      <c r="L57" s="194">
        <f>'[2]AHTS-1'!AY55+'[2]AHTS-2'!AY55+'[2]AHTS-3'!AY55+'[2]AHTS-4'!AY55+'[2]AHTS-5'!AY55+'[2]AHTS-6'!AY55+'[2]AHTS-7'!AY55+'[2]AHTS-8'!AY55+'[3]CB-1'!AY55+'[3]CB-2'!AY55+'[3]CB-3'!AY55+'[3]CB-4'!AY55+'[3]CB-5'!AY55+'[3]CB-6'!AY55+'[3]CB-7'!AY55+'[3]CB-8'!AY55+'[3]CB-9'!AY55+'[3]CB-10'!AY55+'[3]CB-11'!AY55+'[3]CB-12'!AY55+'[3]CB-13'!AY55+'[3]CB-14'!AY55+'[3]CB-15'!AY55+'[3]CB-16'!AY55+'[3]CB-17'!AY55+'[3]CB-18'!AY55+'[3]CB-19'!AY55+'[3]CB-20'!AY55+'[3]CB-21'!AY55+'[3]CB-22'!AY55+'[3]CB-23'!AY55+'[3]CB-24'!AY55+'[4]LCT-1'!AY55+'[4]LCT-2'!AY55+'[4]LCT-3'!AY55+'[4]LCT-4'!AY55+'[4]LCT-5'!AY55+'[4]LCT-6'!AY55+'[4]LCT-7'!AY55+'[4]LCT-8'!AY55+'[5]TB-1'!AY55+'[5]TB-2'!AY55+'[5]TB-3'!AY55+'[5]TB-4'!AY55+'[5]TB-5'!AY55+'[5]TB-6'!AY55+'[5]TB-7'!AY55+'[5]TB-8'!AY55+'[5]TB-9'!AY55+'[5]TB-10'!AY55+'[6]DSV-1'!AY55+'[6]DSV-2'!AY55+'[6]DSV-3'!AY55+'[7]TUB-1'!AY55+'[7]TUB-2'!AY55+'[8]Barge-1'!AY55+'[8]Barge-2'!AY55+'[8]Barge-3'!AY55+'[8]Barge-4'!AY55</f>
        <v>9442</v>
      </c>
      <c r="M57" s="194"/>
      <c r="N57" s="194"/>
      <c r="O57" s="194">
        <f>'[2]AHTS-1'!AZ55+'[2]AHTS-2'!AZ55+'[2]AHTS-3'!AZ55+'[2]AHTS-4'!AZ55+'[2]AHTS-5'!AZ55+'[2]AHTS-6'!AZ55+'[2]AHTS-7'!AZ55+'[2]AHTS-8'!AZ55+'[3]CB-1'!AZ55+'[3]CB-2'!AZ55+'[3]CB-3'!AZ55+'[3]CB-4'!AZ55+'[3]CB-5'!AZ55+'[3]CB-6'!AZ55+'[3]CB-7'!AZ55+'[3]CB-8'!AZ55+'[3]CB-9'!AZ55+'[3]CB-10'!AZ55+'[3]CB-11'!AZ55+'[3]CB-12'!AZ55+'[3]CB-13'!AZ55+'[3]CB-14'!AZ55+'[3]CB-15'!AZ55+'[3]CB-16'!AZ55+'[3]CB-17'!AZ55+'[3]CB-18'!AZ55+'[3]CB-19'!AZ55+'[3]CB-20'!AZ55+'[3]CB-21'!AZ55+'[3]CB-22'!AZ55+'[3]CB-23'!AZ55+'[3]CB-24'!AZ55+'[4]LCT-1'!AZ55+'[4]LCT-2'!AZ55+'[4]LCT-3'!AZ55+'[4]LCT-4'!AZ55+'[4]LCT-5'!AZ55+'[4]LCT-6'!AZ55+'[4]LCT-7'!AZ55+'[4]LCT-8'!AZ55+'[5]TB-1'!AZ55+'[5]TB-2'!AZ55+'[5]TB-3'!AZ55+'[5]TB-4'!AZ55+'[5]TB-5'!AZ55+'[5]TB-6'!AZ55+'[5]TB-7'!AZ55+'[5]TB-8'!AZ55+'[5]TB-9'!AZ55+'[5]TB-10'!AZ55+'[6]DSV-1'!AZ55+'[6]DSV-2'!AZ55+'[6]DSV-3'!AZ55+'[7]TUB-1'!AZ55+'[7]TUB-2'!AZ55+'[8]Barge-1'!AZ55+'[8]Barge-2'!AZ55+'[8]Barge-3'!AZ55+'[8]Barge-4'!AZ55</f>
        <v>68</v>
      </c>
      <c r="P57" s="194"/>
      <c r="Q57" s="194"/>
      <c r="R57" s="194">
        <f>'[2]AHTS-1'!BA55+'[2]AHTS-2'!BA55+'[2]AHTS-3'!BA55+'[2]AHTS-4'!BA55+'[2]AHTS-5'!BA55+'[2]AHTS-6'!BA55+'[2]AHTS-7'!BA55+'[2]AHTS-8'!BA55+'[3]CB-1'!BA55+'[3]CB-2'!BA55+'[3]CB-3'!BA55+'[3]CB-4'!BA55+'[3]CB-5'!BA55+'[3]CB-6'!BA55+'[3]CB-7'!BA55+'[3]CB-8'!BA55+'[3]CB-9'!BA55+'[3]CB-10'!BA55+'[3]CB-11'!BA55+'[3]CB-12'!BA55+'[3]CB-13'!BA55+'[3]CB-14'!BA55+'[3]CB-15'!BA55+'[3]CB-16'!BA55+'[3]CB-17'!BA55+'[3]CB-18'!BA55+'[3]CB-19'!BA55+'[3]CB-20'!BA55+'[3]CB-21'!BA55+'[3]CB-22'!BA55+'[3]CB-23'!BA55+'[3]CB-24'!BA55+'[4]LCT-1'!BA55+'[4]LCT-2'!BA55+'[4]LCT-3'!BA55+'[4]LCT-4'!BA55+'[4]LCT-5'!BA55+'[4]LCT-6'!BA55+'[4]LCT-7'!BA55+'[4]LCT-8'!BA55+'[5]TB-1'!BA55+'[5]TB-2'!BA55+'[5]TB-3'!BA55+'[5]TB-4'!BA55+'[5]TB-5'!BA55+'[5]TB-6'!BA55+'[5]TB-7'!BA55+'[5]TB-8'!BA55+'[5]TB-9'!BA55+'[5]TB-10'!BA55+'[6]DSV-1'!BA55+'[6]DSV-2'!BA55+'[6]DSV-3'!BA55+'[7]TUB-1'!BA55+'[7]TUB-2'!BA55+'[8]Barge-1'!BA55+'[8]Barge-2'!BA55+'[8]Barge-3'!BA55+'[8]Barge-4'!BA55</f>
        <v>4561.6666666666661</v>
      </c>
      <c r="S57" s="194"/>
      <c r="T57" s="194"/>
      <c r="U57" s="194">
        <f>'[2]AHTS-1'!BB55+'[2]AHTS-2'!BB55+'[2]AHTS-3'!BB55+'[2]AHTS-4'!BB55+'[2]AHTS-5'!BB55+'[2]AHTS-6'!BB55+'[2]AHTS-7'!BB55+'[2]AHTS-8'!BB55+'[3]CB-1'!BB55+'[3]CB-2'!BB55+'[3]CB-3'!BB55+'[3]CB-4'!BB55+'[3]CB-5'!BB55+'[3]CB-6'!BB55+'[3]CB-7'!BB55+'[3]CB-8'!BB55+'[3]CB-9'!BB55+'[3]CB-10'!BB55+'[3]CB-11'!BB55+'[3]CB-12'!BB55+'[3]CB-13'!BB55+'[3]CB-14'!BB55+'[3]CB-15'!BB55+'[3]CB-16'!BB55+'[3]CB-17'!BB55+'[3]CB-18'!BB55+'[3]CB-19'!BB55+'[3]CB-20'!BB55+'[3]CB-21'!BB55+'[3]CB-22'!BB55+'[3]CB-23'!BB55+'[3]CB-24'!BB55+'[4]LCT-1'!BB55+'[4]LCT-2'!BB55+'[4]LCT-3'!BB55+'[4]LCT-4'!BB55+'[4]LCT-5'!BB55+'[4]LCT-6'!BB55+'[4]LCT-7'!BB55+'[4]LCT-8'!BB55+'[5]TB-1'!BB55+'[5]TB-2'!BB55+'[5]TB-3'!BB55+'[5]TB-4'!BB55+'[5]TB-5'!BB55+'[5]TB-6'!BB55+'[5]TB-7'!BB55+'[5]TB-8'!BB55+'[5]TB-9'!BB55+'[5]TB-10'!BB55+'[6]DSV-1'!BB55+'[6]DSV-2'!BB55+'[6]DSV-3'!BB55+'[7]TUB-1'!BB55+'[7]TUB-2'!BB55+'[8]Barge-1'!BB55+'[8]Barge-2'!BB55+'[8]Barge-3'!BB55+'[8]Barge-4'!BB55</f>
        <v>0</v>
      </c>
      <c r="V57" s="194"/>
      <c r="W57" s="194"/>
      <c r="X57" s="122"/>
      <c r="Y57" s="122"/>
    </row>
    <row r="58" spans="1:97" s="82" customFormat="1" ht="15" customHeight="1" x14ac:dyDescent="0.25">
      <c r="A58" s="117">
        <f t="shared" si="4"/>
        <v>45993</v>
      </c>
      <c r="B58" s="118"/>
      <c r="C58" s="194">
        <f>'[2]AHTS-1'!AV56+'[2]AHTS-2'!AV56+'[2]AHTS-3'!AV56+'[2]AHTS-4'!AV56+'[2]AHTS-5'!AV56+'[2]AHTS-6'!AV56+'[2]AHTS-7'!AV56+'[2]AHTS-8'!AV56+'[3]CB-1'!AV56+'[3]CB-2'!AV56+'[3]CB-3'!AV56+'[3]CB-4'!AV56+'[3]CB-5'!AV56+'[3]CB-6'!AV56+'[3]CB-7'!AV56+'[3]CB-8'!AV56+'[3]CB-9'!AV56+'[3]CB-10'!AV56+'[3]CB-11'!AV56+'[3]CB-12'!AV56+'[3]CB-13'!AV56+'[3]CB-14'!AV56+'[3]CB-15'!AV56+'[3]CB-16'!AV56+'[3]CB-17'!AV56+'[3]CB-18'!AV56+'[3]CB-19'!AV56+'[3]CB-20'!AV56+'[3]CB-21'!AV56+'[3]CB-22'!AV56+'[3]CB-23'!AV56+'[3]CB-24'!AV56+'[4]LCT-1'!AV56+'[4]LCT-2'!AV56+'[4]LCT-3'!AV56+'[4]LCT-4'!AV56+'[4]LCT-5'!AV56+'[4]LCT-6'!AV56+'[4]LCT-7'!AV56+'[4]LCT-8'!AV56+'[5]TB-1'!AV56+'[5]TB-2'!AV56+'[5]TB-3'!AV56+'[5]TB-4'!AV56+'[5]TB-5'!AV56+'[5]TB-6'!AV56+'[5]TB-7'!AV56+'[5]TB-8'!AV56+'[5]TB-9'!AV56+'[5]TB-10'!AV56+'[6]DSV-1'!AV56+'[6]DSV-2'!AV56+'[6]DSV-3'!AV56+'[7]TUB-1'!AV56+'[7]TUB-2'!AV56+'[8]Barge-1'!AV56+'[8]Barge-2'!AV56+'[8]Barge-3'!AV56+'[8]Barge-4'!AV56</f>
        <v>0</v>
      </c>
      <c r="D58" s="194"/>
      <c r="E58" s="194"/>
      <c r="F58" s="194">
        <f>'[2]AHTS-1'!AW56+'[2]AHTS-2'!AW56+'[2]AHTS-3'!AW56+'[2]AHTS-4'!AW56+'[2]AHTS-5'!AW56+'[2]AHTS-6'!AW56+'[2]AHTS-7'!AW56+'[2]AHTS-8'!AW56+'[3]CB-1'!AW56+'[3]CB-2'!AW56+'[3]CB-3'!AW56+'[3]CB-4'!AW56+'[3]CB-5'!AW56+'[3]CB-6'!AW56+'[3]CB-7'!AW56+'[3]CB-8'!AW56+'[3]CB-9'!AW56+'[3]CB-10'!AW56+'[3]CB-11'!AW56+'[3]CB-12'!AW56+'[3]CB-13'!AW56+'[3]CB-14'!AW56+'[3]CB-15'!AW56+'[3]CB-16'!AW56+'[3]CB-17'!AW56+'[3]CB-18'!AW56+'[3]CB-19'!AW56+'[3]CB-20'!AW56+'[3]CB-21'!AW56+'[3]CB-22'!AW56+'[3]CB-23'!AW56+'[3]CB-24'!AW56+'[4]LCT-1'!AW56+'[4]LCT-2'!AW56+'[4]LCT-3'!AW56+'[4]LCT-4'!AW56+'[4]LCT-5'!AW56+'[4]LCT-6'!AW56+'[4]LCT-7'!AW56+'[4]LCT-8'!AW56+'[5]TB-1'!AW56+'[5]TB-2'!AW56+'[5]TB-3'!AW56+'[5]TB-4'!AW56+'[5]TB-5'!AW56+'[5]TB-6'!AW56+'[5]TB-7'!AW56+'[5]TB-8'!AW56+'[5]TB-9'!AW56+'[5]TB-10'!AW56+'[6]DSV-1'!AW56+'[6]DSV-2'!AW56+'[6]DSV-3'!AW56+'[7]TUB-1'!AW56+'[7]TUB-2'!AW56+'[8]Barge-1'!AW56+'[8]Barge-2'!AW56+'[8]Barge-3'!AW56+'[8]Barge-4'!AW56</f>
        <v>2504.166666666667</v>
      </c>
      <c r="G58" s="194"/>
      <c r="H58" s="194"/>
      <c r="I58" s="194">
        <f>'[2]AHTS-1'!AX56+'[2]AHTS-2'!AX56+'[2]AHTS-3'!AX56+'[2]AHTS-4'!AX56+'[2]AHTS-5'!AX56+'[2]AHTS-6'!AX56+'[2]AHTS-7'!AX56+'[2]AHTS-8'!AX56+'[3]CB-1'!AX56+'[3]CB-2'!AX56+'[3]CB-3'!AX56+'[3]CB-4'!AX56+'[3]CB-5'!AX56+'[3]CB-6'!AX56+'[3]CB-7'!AX56+'[3]CB-8'!AX56+'[3]CB-9'!AX56+'[3]CB-10'!AX56+'[3]CB-11'!AX56+'[3]CB-12'!AX56+'[3]CB-13'!AX56+'[3]CB-14'!AX56+'[3]CB-15'!AX56+'[3]CB-16'!AX56+'[3]CB-17'!AX56+'[3]CB-18'!AX56+'[3]CB-19'!AX56+'[3]CB-20'!AX56+'[3]CB-21'!AX56+'[3]CB-22'!AX56+'[3]CB-23'!AX56+'[3]CB-24'!AX56+'[4]LCT-1'!AX56+'[4]LCT-2'!AX56+'[4]LCT-3'!AX56+'[4]LCT-4'!AX56+'[4]LCT-5'!AX56+'[4]LCT-6'!AX56+'[4]LCT-7'!AX56+'[4]LCT-8'!AX56+'[5]TB-1'!AX56+'[5]TB-2'!AX56+'[5]TB-3'!AX56+'[5]TB-4'!AX56+'[5]TB-5'!AX56+'[5]TB-6'!AX56+'[5]TB-7'!AX56+'[5]TB-8'!AX56+'[5]TB-9'!AX56+'[5]TB-10'!AX56+'[6]DSV-1'!AX56+'[6]DSV-2'!AX56+'[6]DSV-3'!AX56+'[7]TUB-1'!AX56+'[7]TUB-2'!AX56+'[8]Barge-1'!AX56+'[8]Barge-2'!AX56+'[8]Barge-3'!AX56+'[8]Barge-4'!AX56</f>
        <v>1698.5</v>
      </c>
      <c r="J58" s="194"/>
      <c r="K58" s="194"/>
      <c r="L58" s="194">
        <f>'[2]AHTS-1'!AY56+'[2]AHTS-2'!AY56+'[2]AHTS-3'!AY56+'[2]AHTS-4'!AY56+'[2]AHTS-5'!AY56+'[2]AHTS-6'!AY56+'[2]AHTS-7'!AY56+'[2]AHTS-8'!AY56+'[3]CB-1'!AY56+'[3]CB-2'!AY56+'[3]CB-3'!AY56+'[3]CB-4'!AY56+'[3]CB-5'!AY56+'[3]CB-6'!AY56+'[3]CB-7'!AY56+'[3]CB-8'!AY56+'[3]CB-9'!AY56+'[3]CB-10'!AY56+'[3]CB-11'!AY56+'[3]CB-12'!AY56+'[3]CB-13'!AY56+'[3]CB-14'!AY56+'[3]CB-15'!AY56+'[3]CB-16'!AY56+'[3]CB-17'!AY56+'[3]CB-18'!AY56+'[3]CB-19'!AY56+'[3]CB-20'!AY56+'[3]CB-21'!AY56+'[3]CB-22'!AY56+'[3]CB-23'!AY56+'[3]CB-24'!AY56+'[4]LCT-1'!AY56+'[4]LCT-2'!AY56+'[4]LCT-3'!AY56+'[4]LCT-4'!AY56+'[4]LCT-5'!AY56+'[4]LCT-6'!AY56+'[4]LCT-7'!AY56+'[4]LCT-8'!AY56+'[5]TB-1'!AY56+'[5]TB-2'!AY56+'[5]TB-3'!AY56+'[5]TB-4'!AY56+'[5]TB-5'!AY56+'[5]TB-6'!AY56+'[5]TB-7'!AY56+'[5]TB-8'!AY56+'[5]TB-9'!AY56+'[5]TB-10'!AY56+'[6]DSV-1'!AY56+'[6]DSV-2'!AY56+'[6]DSV-3'!AY56+'[7]TUB-1'!AY56+'[7]TUB-2'!AY56+'[8]Barge-1'!AY56+'[8]Barge-2'!AY56+'[8]Barge-3'!AY56+'[8]Barge-4'!AY56</f>
        <v>2656.3333333333339</v>
      </c>
      <c r="M58" s="194"/>
      <c r="N58" s="194"/>
      <c r="O58" s="194">
        <f>'[2]AHTS-1'!AZ56+'[2]AHTS-2'!AZ56+'[2]AHTS-3'!AZ56+'[2]AHTS-4'!AZ56+'[2]AHTS-5'!AZ56+'[2]AHTS-6'!AZ56+'[2]AHTS-7'!AZ56+'[2]AHTS-8'!AZ56+'[3]CB-1'!AZ56+'[3]CB-2'!AZ56+'[3]CB-3'!AZ56+'[3]CB-4'!AZ56+'[3]CB-5'!AZ56+'[3]CB-6'!AZ56+'[3]CB-7'!AZ56+'[3]CB-8'!AZ56+'[3]CB-9'!AZ56+'[3]CB-10'!AZ56+'[3]CB-11'!AZ56+'[3]CB-12'!AZ56+'[3]CB-13'!AZ56+'[3]CB-14'!AZ56+'[3]CB-15'!AZ56+'[3]CB-16'!AZ56+'[3]CB-17'!AZ56+'[3]CB-18'!AZ56+'[3]CB-19'!AZ56+'[3]CB-20'!AZ56+'[3]CB-21'!AZ56+'[3]CB-22'!AZ56+'[3]CB-23'!AZ56+'[3]CB-24'!AZ56+'[4]LCT-1'!AZ56+'[4]LCT-2'!AZ56+'[4]LCT-3'!AZ56+'[4]LCT-4'!AZ56+'[4]LCT-5'!AZ56+'[4]LCT-6'!AZ56+'[4]LCT-7'!AZ56+'[4]LCT-8'!AZ56+'[5]TB-1'!AZ56+'[5]TB-2'!AZ56+'[5]TB-3'!AZ56+'[5]TB-4'!AZ56+'[5]TB-5'!AZ56+'[5]TB-6'!AZ56+'[5]TB-7'!AZ56+'[5]TB-8'!AZ56+'[5]TB-9'!AZ56+'[5]TB-10'!AZ56+'[6]DSV-1'!AZ56+'[6]DSV-2'!AZ56+'[6]DSV-3'!AZ56+'[7]TUB-1'!AZ56+'[7]TUB-2'!AZ56+'[8]Barge-1'!AZ56+'[8]Barge-2'!AZ56+'[8]Barge-3'!AZ56+'[8]Barge-4'!AZ56</f>
        <v>45.333333333333336</v>
      </c>
      <c r="P58" s="194"/>
      <c r="Q58" s="194"/>
      <c r="R58" s="194">
        <f>'[2]AHTS-1'!BA56+'[2]AHTS-2'!BA56+'[2]AHTS-3'!BA56+'[2]AHTS-4'!BA56+'[2]AHTS-5'!BA56+'[2]AHTS-6'!BA56+'[2]AHTS-7'!BA56+'[2]AHTS-8'!BA56+'[3]CB-1'!BA56+'[3]CB-2'!BA56+'[3]CB-3'!BA56+'[3]CB-4'!BA56+'[3]CB-5'!BA56+'[3]CB-6'!BA56+'[3]CB-7'!BA56+'[3]CB-8'!BA56+'[3]CB-9'!BA56+'[3]CB-10'!BA56+'[3]CB-11'!BA56+'[3]CB-12'!BA56+'[3]CB-13'!BA56+'[3]CB-14'!BA56+'[3]CB-15'!BA56+'[3]CB-16'!BA56+'[3]CB-17'!BA56+'[3]CB-18'!BA56+'[3]CB-19'!BA56+'[3]CB-20'!BA56+'[3]CB-21'!BA56+'[3]CB-22'!BA56+'[3]CB-23'!BA56+'[3]CB-24'!BA56+'[4]LCT-1'!BA56+'[4]LCT-2'!BA56+'[4]LCT-3'!BA56+'[4]LCT-4'!BA56+'[4]LCT-5'!BA56+'[4]LCT-6'!BA56+'[4]LCT-7'!BA56+'[4]LCT-8'!BA56+'[5]TB-1'!BA56+'[5]TB-2'!BA56+'[5]TB-3'!BA56+'[5]TB-4'!BA56+'[5]TB-5'!BA56+'[5]TB-6'!BA56+'[5]TB-7'!BA56+'[5]TB-8'!BA56+'[5]TB-9'!BA56+'[5]TB-10'!BA56+'[6]DSV-1'!BA56+'[6]DSV-2'!BA56+'[6]DSV-3'!BA56+'[7]TUB-1'!BA56+'[7]TUB-2'!BA56+'[8]Barge-1'!BA56+'[8]Barge-2'!BA56+'[8]Barge-3'!BA56+'[8]Barge-4'!BA56</f>
        <v>5168.0000000000009</v>
      </c>
      <c r="S58" s="194"/>
      <c r="T58" s="194"/>
      <c r="U58" s="194">
        <f>'[2]AHTS-1'!BB56+'[2]AHTS-2'!BB56+'[2]AHTS-3'!BB56+'[2]AHTS-4'!BB56+'[2]AHTS-5'!BB56+'[2]AHTS-6'!BB56+'[2]AHTS-7'!BB56+'[2]AHTS-8'!BB56+'[3]CB-1'!BB56+'[3]CB-2'!BB56+'[3]CB-3'!BB56+'[3]CB-4'!BB56+'[3]CB-5'!BB56+'[3]CB-6'!BB56+'[3]CB-7'!BB56+'[3]CB-8'!BB56+'[3]CB-9'!BB56+'[3]CB-10'!BB56+'[3]CB-11'!BB56+'[3]CB-12'!BB56+'[3]CB-13'!BB56+'[3]CB-14'!BB56+'[3]CB-15'!BB56+'[3]CB-16'!BB56+'[3]CB-17'!BB56+'[3]CB-18'!BB56+'[3]CB-19'!BB56+'[3]CB-20'!BB56+'[3]CB-21'!BB56+'[3]CB-22'!BB56+'[3]CB-23'!BB56+'[3]CB-24'!BB56+'[4]LCT-1'!BB56+'[4]LCT-2'!BB56+'[4]LCT-3'!BB56+'[4]LCT-4'!BB56+'[4]LCT-5'!BB56+'[4]LCT-6'!BB56+'[4]LCT-7'!BB56+'[4]LCT-8'!BB56+'[5]TB-1'!BB56+'[5]TB-2'!BB56+'[5]TB-3'!BB56+'[5]TB-4'!BB56+'[5]TB-5'!BB56+'[5]TB-6'!BB56+'[5]TB-7'!BB56+'[5]TB-8'!BB56+'[5]TB-9'!BB56+'[5]TB-10'!BB56+'[6]DSV-1'!BB56+'[6]DSV-2'!BB56+'[6]DSV-3'!BB56+'[7]TUB-1'!BB56+'[7]TUB-2'!BB56+'[8]Barge-1'!BB56+'[8]Barge-2'!BB56+'[8]Barge-3'!BB56+'[8]Barge-4'!BB56</f>
        <v>0</v>
      </c>
      <c r="V58" s="194"/>
      <c r="W58" s="194"/>
      <c r="X58" s="122"/>
      <c r="Y58" s="122"/>
    </row>
    <row r="59" spans="1:97" s="58" customFormat="1" ht="15" customHeight="1" x14ac:dyDescent="0.25">
      <c r="A59" s="117">
        <f t="shared" si="4"/>
        <v>45994</v>
      </c>
      <c r="B59" s="159"/>
      <c r="C59" s="194">
        <f>'[2]AHTS-1'!AV57+'[2]AHTS-2'!AV57+'[2]AHTS-3'!AV57+'[2]AHTS-4'!AV57+'[2]AHTS-5'!AV57+'[2]AHTS-6'!AV57+'[2]AHTS-7'!AV57+'[2]AHTS-8'!AV57+'[3]CB-1'!AV57+'[3]CB-2'!AV57+'[3]CB-3'!AV57+'[3]CB-4'!AV57+'[3]CB-5'!AV57+'[3]CB-6'!AV57+'[3]CB-7'!AV57+'[3]CB-8'!AV57+'[3]CB-9'!AV57+'[3]CB-10'!AV57+'[3]CB-11'!AV57+'[3]CB-12'!AV57+'[3]CB-13'!AV57+'[3]CB-14'!AV57+'[3]CB-15'!AV57+'[3]CB-16'!AV57+'[3]CB-17'!AV57+'[3]CB-18'!AV57+'[3]CB-19'!AV57+'[3]CB-20'!AV57+'[3]CB-21'!AV57+'[3]CB-22'!AV57+'[3]CB-23'!AV57+'[3]CB-24'!AV57+'[4]LCT-1'!AV57+'[4]LCT-2'!AV57+'[4]LCT-3'!AV57+'[4]LCT-4'!AV57+'[4]LCT-5'!AV57+'[4]LCT-6'!AV57+'[4]LCT-7'!AV57+'[4]LCT-8'!AV57+'[5]TB-1'!AV57+'[5]TB-2'!AV57+'[5]TB-3'!AV57+'[5]TB-4'!AV57+'[5]TB-5'!AV57+'[5]TB-6'!AV57+'[5]TB-7'!AV57+'[5]TB-8'!AV57+'[5]TB-9'!AV57+'[5]TB-10'!AV57+'[6]DSV-1'!AV57+'[6]DSV-2'!AV57+'[6]DSV-3'!AV57+'[7]TUB-1'!AV57+'[7]TUB-2'!AV57+'[8]Barge-1'!AV57+'[8]Barge-2'!AV57+'[8]Barge-3'!AV57+'[8]Barge-4'!AV57</f>
        <v>0</v>
      </c>
      <c r="D59" s="194"/>
      <c r="E59" s="194"/>
      <c r="F59" s="194">
        <f>'[2]AHTS-1'!AW57+'[2]AHTS-2'!AW57+'[2]AHTS-3'!AW57+'[2]AHTS-4'!AW57+'[2]AHTS-5'!AW57+'[2]AHTS-6'!AW57+'[2]AHTS-7'!AW57+'[2]AHTS-8'!AW57+'[3]CB-1'!AW57+'[3]CB-2'!AW57+'[3]CB-3'!AW57+'[3]CB-4'!AW57+'[3]CB-5'!AW57+'[3]CB-6'!AW57+'[3]CB-7'!AW57+'[3]CB-8'!AW57+'[3]CB-9'!AW57+'[3]CB-10'!AW57+'[3]CB-11'!AW57+'[3]CB-12'!AW57+'[3]CB-13'!AW57+'[3]CB-14'!AW57+'[3]CB-15'!AW57+'[3]CB-16'!AW57+'[3]CB-17'!AW57+'[3]CB-18'!AW57+'[3]CB-19'!AW57+'[3]CB-20'!AW57+'[3]CB-21'!AW57+'[3]CB-22'!AW57+'[3]CB-23'!AW57+'[3]CB-24'!AW57+'[4]LCT-1'!AW57+'[4]LCT-2'!AW57+'[4]LCT-3'!AW57+'[4]LCT-4'!AW57+'[4]LCT-5'!AW57+'[4]LCT-6'!AW57+'[4]LCT-7'!AW57+'[4]LCT-8'!AW57+'[5]TB-1'!AW57+'[5]TB-2'!AW57+'[5]TB-3'!AW57+'[5]TB-4'!AW57+'[5]TB-5'!AW57+'[5]TB-6'!AW57+'[5]TB-7'!AW57+'[5]TB-8'!AW57+'[5]TB-9'!AW57+'[5]TB-10'!AW57+'[6]DSV-1'!AW57+'[6]DSV-2'!AW57+'[6]DSV-3'!AW57+'[7]TUB-1'!AW57+'[7]TUB-2'!AW57+'[8]Barge-1'!AW57+'[8]Barge-2'!AW57+'[8]Barge-3'!AW57+'[8]Barge-4'!AW57</f>
        <v>1817.8333333333333</v>
      </c>
      <c r="G59" s="194"/>
      <c r="H59" s="194"/>
      <c r="I59" s="194">
        <f>'[2]AHTS-1'!AX57+'[2]AHTS-2'!AX57+'[2]AHTS-3'!AX57+'[2]AHTS-4'!AX57+'[2]AHTS-5'!AX57+'[2]AHTS-6'!AX57+'[2]AHTS-7'!AX57+'[2]AHTS-8'!AX57+'[3]CB-1'!AX57+'[3]CB-2'!AX57+'[3]CB-3'!AX57+'[3]CB-4'!AX57+'[3]CB-5'!AX57+'[3]CB-6'!AX57+'[3]CB-7'!AX57+'[3]CB-8'!AX57+'[3]CB-9'!AX57+'[3]CB-10'!AX57+'[3]CB-11'!AX57+'[3]CB-12'!AX57+'[3]CB-13'!AX57+'[3]CB-14'!AX57+'[3]CB-15'!AX57+'[3]CB-16'!AX57+'[3]CB-17'!AX57+'[3]CB-18'!AX57+'[3]CB-19'!AX57+'[3]CB-20'!AX57+'[3]CB-21'!AX57+'[3]CB-22'!AX57+'[3]CB-23'!AX57+'[3]CB-24'!AX57+'[4]LCT-1'!AX57+'[4]LCT-2'!AX57+'[4]LCT-3'!AX57+'[4]LCT-4'!AX57+'[4]LCT-5'!AX57+'[4]LCT-6'!AX57+'[4]LCT-7'!AX57+'[4]LCT-8'!AX57+'[5]TB-1'!AX57+'[5]TB-2'!AX57+'[5]TB-3'!AX57+'[5]TB-4'!AX57+'[5]TB-5'!AX57+'[5]TB-6'!AX57+'[5]TB-7'!AX57+'[5]TB-8'!AX57+'[5]TB-9'!AX57+'[5]TB-10'!AX57+'[6]DSV-1'!AX57+'[6]DSV-2'!AX57+'[6]DSV-3'!AX57+'[7]TUB-1'!AX57+'[7]TUB-2'!AX57+'[8]Barge-1'!AX57+'[8]Barge-2'!AX57+'[8]Barge-3'!AX57+'[8]Barge-4'!AX57</f>
        <v>2153.1666666666665</v>
      </c>
      <c r="J59" s="194"/>
      <c r="K59" s="194"/>
      <c r="L59" s="194">
        <f>'[2]AHTS-1'!AY57+'[2]AHTS-2'!AY57+'[2]AHTS-3'!AY57+'[2]AHTS-4'!AY57+'[2]AHTS-5'!AY57+'[2]AHTS-6'!AY57+'[2]AHTS-7'!AY57+'[2]AHTS-8'!AY57+'[3]CB-1'!AY57+'[3]CB-2'!AY57+'[3]CB-3'!AY57+'[3]CB-4'!AY57+'[3]CB-5'!AY57+'[3]CB-6'!AY57+'[3]CB-7'!AY57+'[3]CB-8'!AY57+'[3]CB-9'!AY57+'[3]CB-10'!AY57+'[3]CB-11'!AY57+'[3]CB-12'!AY57+'[3]CB-13'!AY57+'[3]CB-14'!AY57+'[3]CB-15'!AY57+'[3]CB-16'!AY57+'[3]CB-17'!AY57+'[3]CB-18'!AY57+'[3]CB-19'!AY57+'[3]CB-20'!AY57+'[3]CB-21'!AY57+'[3]CB-22'!AY57+'[3]CB-23'!AY57+'[3]CB-24'!AY57+'[4]LCT-1'!AY57+'[4]LCT-2'!AY57+'[4]LCT-3'!AY57+'[4]LCT-4'!AY57+'[4]LCT-5'!AY57+'[4]LCT-6'!AY57+'[4]LCT-7'!AY57+'[4]LCT-8'!AY57+'[5]TB-1'!AY57+'[5]TB-2'!AY57+'[5]TB-3'!AY57+'[5]TB-4'!AY57+'[5]TB-5'!AY57+'[5]TB-6'!AY57+'[5]TB-7'!AY57+'[5]TB-8'!AY57+'[5]TB-9'!AY57+'[5]TB-10'!AY57+'[6]DSV-1'!AY57+'[6]DSV-2'!AY57+'[6]DSV-3'!AY57+'[7]TUB-1'!AY57+'[7]TUB-2'!AY57+'[8]Barge-1'!AY57+'[8]Barge-2'!AY57+'[8]Barge-3'!AY57+'[8]Barge-4'!AY57</f>
        <v>2649</v>
      </c>
      <c r="M59" s="194"/>
      <c r="N59" s="194"/>
      <c r="O59" s="194">
        <f>'[2]AHTS-1'!AZ57+'[2]AHTS-2'!AZ57+'[2]AHTS-3'!AZ57+'[2]AHTS-4'!AZ57+'[2]AHTS-5'!AZ57+'[2]AHTS-6'!AZ57+'[2]AHTS-7'!AZ57+'[2]AHTS-8'!AZ57+'[3]CB-1'!AZ57+'[3]CB-2'!AZ57+'[3]CB-3'!AZ57+'[3]CB-4'!AZ57+'[3]CB-5'!AZ57+'[3]CB-6'!AZ57+'[3]CB-7'!AZ57+'[3]CB-8'!AZ57+'[3]CB-9'!AZ57+'[3]CB-10'!AZ57+'[3]CB-11'!AZ57+'[3]CB-12'!AZ57+'[3]CB-13'!AZ57+'[3]CB-14'!AZ57+'[3]CB-15'!AZ57+'[3]CB-16'!AZ57+'[3]CB-17'!AZ57+'[3]CB-18'!AZ57+'[3]CB-19'!AZ57+'[3]CB-20'!AZ57+'[3]CB-21'!AZ57+'[3]CB-22'!AZ57+'[3]CB-23'!AZ57+'[3]CB-24'!AZ57+'[4]LCT-1'!AZ57+'[4]LCT-2'!AZ57+'[4]LCT-3'!AZ57+'[4]LCT-4'!AZ57+'[4]LCT-5'!AZ57+'[4]LCT-6'!AZ57+'[4]LCT-7'!AZ57+'[4]LCT-8'!AZ57+'[5]TB-1'!AZ57+'[5]TB-2'!AZ57+'[5]TB-3'!AZ57+'[5]TB-4'!AZ57+'[5]TB-5'!AZ57+'[5]TB-6'!AZ57+'[5]TB-7'!AZ57+'[5]TB-8'!AZ57+'[5]TB-9'!AZ57+'[5]TB-10'!AZ57+'[6]DSV-1'!AZ57+'[6]DSV-2'!AZ57+'[6]DSV-3'!AZ57+'[7]TUB-1'!AZ57+'[7]TUB-2'!AZ57+'[8]Barge-1'!AZ57+'[8]Barge-2'!AZ57+'[8]Barge-3'!AZ57+'[8]Barge-4'!AZ57</f>
        <v>17</v>
      </c>
      <c r="P59" s="194"/>
      <c r="Q59" s="194"/>
      <c r="R59" s="194">
        <f>'[2]AHTS-1'!BA57+'[2]AHTS-2'!BA57+'[2]AHTS-3'!BA57+'[2]AHTS-4'!BA57+'[2]AHTS-5'!BA57+'[2]AHTS-6'!BA57+'[2]AHTS-7'!BA57+'[2]AHTS-8'!BA57+'[3]CB-1'!BA57+'[3]CB-2'!BA57+'[3]CB-3'!BA57+'[3]CB-4'!BA57+'[3]CB-5'!BA57+'[3]CB-6'!BA57+'[3]CB-7'!BA57+'[3]CB-8'!BA57+'[3]CB-9'!BA57+'[3]CB-10'!BA57+'[3]CB-11'!BA57+'[3]CB-12'!BA57+'[3]CB-13'!BA57+'[3]CB-14'!BA57+'[3]CB-15'!BA57+'[3]CB-16'!BA57+'[3]CB-17'!BA57+'[3]CB-18'!BA57+'[3]CB-19'!BA57+'[3]CB-20'!BA57+'[3]CB-21'!BA57+'[3]CB-22'!BA57+'[3]CB-23'!BA57+'[3]CB-24'!BA57+'[4]LCT-1'!BA57+'[4]LCT-2'!BA57+'[4]LCT-3'!BA57+'[4]LCT-4'!BA57+'[4]LCT-5'!BA57+'[4]LCT-6'!BA57+'[4]LCT-7'!BA57+'[4]LCT-8'!BA57+'[5]TB-1'!BA57+'[5]TB-2'!BA57+'[5]TB-3'!BA57+'[5]TB-4'!BA57+'[5]TB-5'!BA57+'[5]TB-6'!BA57+'[5]TB-7'!BA57+'[5]TB-8'!BA57+'[5]TB-9'!BA57+'[5]TB-10'!BA57+'[6]DSV-1'!BA57+'[6]DSV-2'!BA57+'[6]DSV-3'!BA57+'[7]TUB-1'!BA57+'[7]TUB-2'!BA57+'[8]Barge-1'!BA57+'[8]Barge-2'!BA57+'[8]Barge-3'!BA57+'[8]Barge-4'!BA57</f>
        <v>4670.666666666667</v>
      </c>
      <c r="S59" s="194"/>
      <c r="T59" s="194"/>
      <c r="U59" s="194">
        <f>'[2]AHTS-1'!BB57+'[2]AHTS-2'!BB57+'[2]AHTS-3'!BB57+'[2]AHTS-4'!BB57+'[2]AHTS-5'!BB57+'[2]AHTS-6'!BB57+'[2]AHTS-7'!BB57+'[2]AHTS-8'!BB57+'[3]CB-1'!BB57+'[3]CB-2'!BB57+'[3]CB-3'!BB57+'[3]CB-4'!BB57+'[3]CB-5'!BB57+'[3]CB-6'!BB57+'[3]CB-7'!BB57+'[3]CB-8'!BB57+'[3]CB-9'!BB57+'[3]CB-10'!BB57+'[3]CB-11'!BB57+'[3]CB-12'!BB57+'[3]CB-13'!BB57+'[3]CB-14'!BB57+'[3]CB-15'!BB57+'[3]CB-16'!BB57+'[3]CB-17'!BB57+'[3]CB-18'!BB57+'[3]CB-19'!BB57+'[3]CB-20'!BB57+'[3]CB-21'!BB57+'[3]CB-22'!BB57+'[3]CB-23'!BB57+'[3]CB-24'!BB57+'[4]LCT-1'!BB57+'[4]LCT-2'!BB57+'[4]LCT-3'!BB57+'[4]LCT-4'!BB57+'[4]LCT-5'!BB57+'[4]LCT-6'!BB57+'[4]LCT-7'!BB57+'[4]LCT-8'!BB57+'[5]TB-1'!BB57+'[5]TB-2'!BB57+'[5]TB-3'!BB57+'[5]TB-4'!BB57+'[5]TB-5'!BB57+'[5]TB-6'!BB57+'[5]TB-7'!BB57+'[5]TB-8'!BB57+'[5]TB-9'!BB57+'[5]TB-10'!BB57+'[6]DSV-1'!BB57+'[6]DSV-2'!BB57+'[6]DSV-3'!BB57+'[7]TUB-1'!BB57+'[7]TUB-2'!BB57+'[8]Barge-1'!BB57+'[8]Barge-2'!BB57+'[8]Barge-3'!BB57+'[8]Barge-4'!BB57</f>
        <v>0</v>
      </c>
      <c r="V59" s="194"/>
      <c r="W59" s="194"/>
      <c r="X59" s="160"/>
      <c r="Y59" s="160"/>
    </row>
    <row r="60" spans="1:97" s="82" customFormat="1" ht="15" customHeight="1" x14ac:dyDescent="0.25">
      <c r="A60" s="117">
        <f t="shared" si="4"/>
        <v>45995</v>
      </c>
      <c r="B60" s="118"/>
      <c r="C60" s="194">
        <f>'[2]AHTS-1'!AV58+'[2]AHTS-2'!AV58+'[2]AHTS-3'!AV58+'[2]AHTS-4'!AV58+'[2]AHTS-5'!AV58+'[2]AHTS-6'!AV58+'[2]AHTS-7'!AV58+'[2]AHTS-8'!AV58+'[3]CB-1'!AV58+'[3]CB-2'!AV58+'[3]CB-3'!AV58+'[3]CB-4'!AV58+'[3]CB-5'!AV58+'[3]CB-6'!AV58+'[3]CB-7'!AV58+'[3]CB-8'!AV58+'[3]CB-9'!AV58+'[3]CB-10'!AV58+'[3]CB-11'!AV58+'[3]CB-12'!AV58+'[3]CB-13'!AV58+'[3]CB-14'!AV58+'[3]CB-15'!AV58+'[3]CB-16'!AV58+'[3]CB-17'!AV58+'[3]CB-18'!AV58+'[3]CB-19'!AV58+'[3]CB-20'!AV58+'[3]CB-21'!AV58+'[3]CB-22'!AV58+'[3]CB-23'!AV58+'[3]CB-24'!AV58+'[4]LCT-1'!AV58+'[4]LCT-2'!AV58+'[4]LCT-3'!AV58+'[4]LCT-4'!AV58+'[4]LCT-5'!AV58+'[4]LCT-6'!AV58+'[4]LCT-7'!AV58+'[4]LCT-8'!AV58+'[5]TB-1'!AV58+'[5]TB-2'!AV58+'[5]TB-3'!AV58+'[5]TB-4'!AV58+'[5]TB-5'!AV58+'[5]TB-6'!AV58+'[5]TB-7'!AV58+'[5]TB-8'!AV58+'[5]TB-9'!AV58+'[5]TB-10'!AV58+'[6]DSV-1'!AV58+'[6]DSV-2'!AV58+'[6]DSV-3'!AV58+'[7]TUB-1'!AV58+'[7]TUB-2'!AV58+'[8]Barge-1'!AV58+'[8]Barge-2'!AV58+'[8]Barge-3'!AV58+'[8]Barge-4'!AV58</f>
        <v>0</v>
      </c>
      <c r="D60" s="194"/>
      <c r="E60" s="194"/>
      <c r="F60" s="194">
        <f>'[2]AHTS-1'!AW58+'[2]AHTS-2'!AW58+'[2]AHTS-3'!AW58+'[2]AHTS-4'!AW58+'[2]AHTS-5'!AW58+'[2]AHTS-6'!AW58+'[2]AHTS-7'!AW58+'[2]AHTS-8'!AW58+'[3]CB-1'!AW58+'[3]CB-2'!AW58+'[3]CB-3'!AW58+'[3]CB-4'!AW58+'[3]CB-5'!AW58+'[3]CB-6'!AW58+'[3]CB-7'!AW58+'[3]CB-8'!AW58+'[3]CB-9'!AW58+'[3]CB-10'!AW58+'[3]CB-11'!AW58+'[3]CB-12'!AW58+'[3]CB-13'!AW58+'[3]CB-14'!AW58+'[3]CB-15'!AW58+'[3]CB-16'!AW58+'[3]CB-17'!AW58+'[3]CB-18'!AW58+'[3]CB-19'!AW58+'[3]CB-20'!AW58+'[3]CB-21'!AW58+'[3]CB-22'!AW58+'[3]CB-23'!AW58+'[3]CB-24'!AW58+'[4]LCT-1'!AW58+'[4]LCT-2'!AW58+'[4]LCT-3'!AW58+'[4]LCT-4'!AW58+'[4]LCT-5'!AW58+'[4]LCT-6'!AW58+'[4]LCT-7'!AW58+'[4]LCT-8'!AW58+'[5]TB-1'!AW58+'[5]TB-2'!AW58+'[5]TB-3'!AW58+'[5]TB-4'!AW58+'[5]TB-5'!AW58+'[5]TB-6'!AW58+'[5]TB-7'!AW58+'[5]TB-8'!AW58+'[5]TB-9'!AW58+'[5]TB-10'!AW58+'[6]DSV-1'!AW58+'[6]DSV-2'!AW58+'[6]DSV-3'!AW58+'[7]TUB-1'!AW58+'[7]TUB-2'!AW58+'[8]Barge-1'!AW58+'[8]Barge-2'!AW58+'[8]Barge-3'!AW58+'[8]Barge-4'!AW58</f>
        <v>1862.1111111111111</v>
      </c>
      <c r="G60" s="194"/>
      <c r="H60" s="194"/>
      <c r="I60" s="194">
        <f>'[2]AHTS-1'!AX58+'[2]AHTS-2'!AX58+'[2]AHTS-3'!AX58+'[2]AHTS-4'!AX58+'[2]AHTS-5'!AX58+'[2]AHTS-6'!AX58+'[2]AHTS-7'!AX58+'[2]AHTS-8'!AX58+'[3]CB-1'!AX58+'[3]CB-2'!AX58+'[3]CB-3'!AX58+'[3]CB-4'!AX58+'[3]CB-5'!AX58+'[3]CB-6'!AX58+'[3]CB-7'!AX58+'[3]CB-8'!AX58+'[3]CB-9'!AX58+'[3]CB-10'!AX58+'[3]CB-11'!AX58+'[3]CB-12'!AX58+'[3]CB-13'!AX58+'[3]CB-14'!AX58+'[3]CB-15'!AX58+'[3]CB-16'!AX58+'[3]CB-17'!AX58+'[3]CB-18'!AX58+'[3]CB-19'!AX58+'[3]CB-20'!AX58+'[3]CB-21'!AX58+'[3]CB-22'!AX58+'[3]CB-23'!AX58+'[3]CB-24'!AX58+'[4]LCT-1'!AX58+'[4]LCT-2'!AX58+'[4]LCT-3'!AX58+'[4]LCT-4'!AX58+'[4]LCT-5'!AX58+'[4]LCT-6'!AX58+'[4]LCT-7'!AX58+'[4]LCT-8'!AX58+'[5]TB-1'!AX58+'[5]TB-2'!AX58+'[5]TB-3'!AX58+'[5]TB-4'!AX58+'[5]TB-5'!AX58+'[5]TB-6'!AX58+'[5]TB-7'!AX58+'[5]TB-8'!AX58+'[5]TB-9'!AX58+'[5]TB-10'!AX58+'[6]DSV-1'!AX58+'[6]DSV-2'!AX58+'[6]DSV-3'!AX58+'[7]TUB-1'!AX58+'[7]TUB-2'!AX58+'[8]Barge-1'!AX58+'[8]Barge-2'!AX58+'[8]Barge-3'!AX58+'[8]Barge-4'!AX58</f>
        <v>3900.0277777777778</v>
      </c>
      <c r="J60" s="194"/>
      <c r="K60" s="194"/>
      <c r="L60" s="194">
        <f>'[2]AHTS-1'!AY58+'[2]AHTS-2'!AY58+'[2]AHTS-3'!AY58+'[2]AHTS-4'!AY58+'[2]AHTS-5'!AY58+'[2]AHTS-6'!AY58+'[2]AHTS-7'!AY58+'[2]AHTS-8'!AY58+'[3]CB-1'!AY58+'[3]CB-2'!AY58+'[3]CB-3'!AY58+'[3]CB-4'!AY58+'[3]CB-5'!AY58+'[3]CB-6'!AY58+'[3]CB-7'!AY58+'[3]CB-8'!AY58+'[3]CB-9'!AY58+'[3]CB-10'!AY58+'[3]CB-11'!AY58+'[3]CB-12'!AY58+'[3]CB-13'!AY58+'[3]CB-14'!AY58+'[3]CB-15'!AY58+'[3]CB-16'!AY58+'[3]CB-17'!AY58+'[3]CB-18'!AY58+'[3]CB-19'!AY58+'[3]CB-20'!AY58+'[3]CB-21'!AY58+'[3]CB-22'!AY58+'[3]CB-23'!AY58+'[3]CB-24'!AY58+'[4]LCT-1'!AY58+'[4]LCT-2'!AY58+'[4]LCT-3'!AY58+'[4]LCT-4'!AY58+'[4]LCT-5'!AY58+'[4]LCT-6'!AY58+'[4]LCT-7'!AY58+'[4]LCT-8'!AY58+'[5]TB-1'!AY58+'[5]TB-2'!AY58+'[5]TB-3'!AY58+'[5]TB-4'!AY58+'[5]TB-5'!AY58+'[5]TB-6'!AY58+'[5]TB-7'!AY58+'[5]TB-8'!AY58+'[5]TB-9'!AY58+'[5]TB-10'!AY58+'[6]DSV-1'!AY58+'[6]DSV-2'!AY58+'[6]DSV-3'!AY58+'[7]TUB-1'!AY58+'[7]TUB-2'!AY58+'[8]Barge-1'!AY58+'[8]Barge-2'!AY58+'[8]Barge-3'!AY58+'[8]Barge-4'!AY58</f>
        <v>2620</v>
      </c>
      <c r="M60" s="194"/>
      <c r="N60" s="194"/>
      <c r="O60" s="194">
        <f>'[2]AHTS-1'!AZ58+'[2]AHTS-2'!AZ58+'[2]AHTS-3'!AZ58+'[2]AHTS-4'!AZ58+'[2]AHTS-5'!AZ58+'[2]AHTS-6'!AZ58+'[2]AHTS-7'!AZ58+'[2]AHTS-8'!AZ58+'[3]CB-1'!AZ58+'[3]CB-2'!AZ58+'[3]CB-3'!AZ58+'[3]CB-4'!AZ58+'[3]CB-5'!AZ58+'[3]CB-6'!AZ58+'[3]CB-7'!AZ58+'[3]CB-8'!AZ58+'[3]CB-9'!AZ58+'[3]CB-10'!AZ58+'[3]CB-11'!AZ58+'[3]CB-12'!AZ58+'[3]CB-13'!AZ58+'[3]CB-14'!AZ58+'[3]CB-15'!AZ58+'[3]CB-16'!AZ58+'[3]CB-17'!AZ58+'[3]CB-18'!AZ58+'[3]CB-19'!AZ58+'[3]CB-20'!AZ58+'[3]CB-21'!AZ58+'[3]CB-22'!AZ58+'[3]CB-23'!AZ58+'[3]CB-24'!AZ58+'[4]LCT-1'!AZ58+'[4]LCT-2'!AZ58+'[4]LCT-3'!AZ58+'[4]LCT-4'!AZ58+'[4]LCT-5'!AZ58+'[4]LCT-6'!AZ58+'[4]LCT-7'!AZ58+'[4]LCT-8'!AZ58+'[5]TB-1'!AZ58+'[5]TB-2'!AZ58+'[5]TB-3'!AZ58+'[5]TB-4'!AZ58+'[5]TB-5'!AZ58+'[5]TB-6'!AZ58+'[5]TB-7'!AZ58+'[5]TB-8'!AZ58+'[5]TB-9'!AZ58+'[5]TB-10'!AZ58+'[6]DSV-1'!AZ58+'[6]DSV-2'!AZ58+'[6]DSV-3'!AZ58+'[7]TUB-1'!AZ58+'[7]TUB-2'!AZ58+'[8]Barge-1'!AZ58+'[8]Barge-2'!AZ58+'[8]Barge-3'!AZ58+'[8]Barge-4'!AZ58</f>
        <v>25.500000000000004</v>
      </c>
      <c r="P60" s="194"/>
      <c r="Q60" s="194"/>
      <c r="R60" s="194">
        <f>'[2]AHTS-1'!BA58+'[2]AHTS-2'!BA58+'[2]AHTS-3'!BA58+'[2]AHTS-4'!BA58+'[2]AHTS-5'!BA58+'[2]AHTS-6'!BA58+'[2]AHTS-7'!BA58+'[2]AHTS-8'!BA58+'[3]CB-1'!BA58+'[3]CB-2'!BA58+'[3]CB-3'!BA58+'[3]CB-4'!BA58+'[3]CB-5'!BA58+'[3]CB-6'!BA58+'[3]CB-7'!BA58+'[3]CB-8'!BA58+'[3]CB-9'!BA58+'[3]CB-10'!BA58+'[3]CB-11'!BA58+'[3]CB-12'!BA58+'[3]CB-13'!BA58+'[3]CB-14'!BA58+'[3]CB-15'!BA58+'[3]CB-16'!BA58+'[3]CB-17'!BA58+'[3]CB-18'!BA58+'[3]CB-19'!BA58+'[3]CB-20'!BA58+'[3]CB-21'!BA58+'[3]CB-22'!BA58+'[3]CB-23'!BA58+'[3]CB-24'!BA58+'[4]LCT-1'!BA58+'[4]LCT-2'!BA58+'[4]LCT-3'!BA58+'[4]LCT-4'!BA58+'[4]LCT-5'!BA58+'[4]LCT-6'!BA58+'[4]LCT-7'!BA58+'[4]LCT-8'!BA58+'[5]TB-1'!BA58+'[5]TB-2'!BA58+'[5]TB-3'!BA58+'[5]TB-4'!BA58+'[5]TB-5'!BA58+'[5]TB-6'!BA58+'[5]TB-7'!BA58+'[5]TB-8'!BA58+'[5]TB-9'!BA58+'[5]TB-10'!BA58+'[6]DSV-1'!BA58+'[6]DSV-2'!BA58+'[6]DSV-3'!BA58+'[7]TUB-1'!BA58+'[7]TUB-2'!BA58+'[8]Barge-1'!BA58+'[8]Barge-2'!BA58+'[8]Barge-3'!BA58+'[8]Barge-4'!BA58</f>
        <v>4965</v>
      </c>
      <c r="S60" s="194"/>
      <c r="T60" s="194"/>
      <c r="U60" s="194">
        <f>'[2]AHTS-1'!BB58+'[2]AHTS-2'!BB58+'[2]AHTS-3'!BB58+'[2]AHTS-4'!BB58+'[2]AHTS-5'!BB58+'[2]AHTS-6'!BB58+'[2]AHTS-7'!BB58+'[2]AHTS-8'!BB58+'[3]CB-1'!BB58+'[3]CB-2'!BB58+'[3]CB-3'!BB58+'[3]CB-4'!BB58+'[3]CB-5'!BB58+'[3]CB-6'!BB58+'[3]CB-7'!BB58+'[3]CB-8'!BB58+'[3]CB-9'!BB58+'[3]CB-10'!BB58+'[3]CB-11'!BB58+'[3]CB-12'!BB58+'[3]CB-13'!BB58+'[3]CB-14'!BB58+'[3]CB-15'!BB58+'[3]CB-16'!BB58+'[3]CB-17'!BB58+'[3]CB-18'!BB58+'[3]CB-19'!BB58+'[3]CB-20'!BB58+'[3]CB-21'!BB58+'[3]CB-22'!BB58+'[3]CB-23'!BB58+'[3]CB-24'!BB58+'[4]LCT-1'!BB58+'[4]LCT-2'!BB58+'[4]LCT-3'!BB58+'[4]LCT-4'!BB58+'[4]LCT-5'!BB58+'[4]LCT-6'!BB58+'[4]LCT-7'!BB58+'[4]LCT-8'!BB58+'[5]TB-1'!BB58+'[5]TB-2'!BB58+'[5]TB-3'!BB58+'[5]TB-4'!BB58+'[5]TB-5'!BB58+'[5]TB-6'!BB58+'[5]TB-7'!BB58+'[5]TB-8'!BB58+'[5]TB-9'!BB58+'[5]TB-10'!BB58+'[6]DSV-1'!BB58+'[6]DSV-2'!BB58+'[6]DSV-3'!BB58+'[7]TUB-1'!BB58+'[7]TUB-2'!BB58+'[8]Barge-1'!BB58+'[8]Barge-2'!BB58+'[8]Barge-3'!BB58+'[8]Barge-4'!BB58</f>
        <v>0</v>
      </c>
      <c r="V60" s="194"/>
      <c r="W60" s="194"/>
      <c r="X60" s="122"/>
      <c r="Y60" s="122"/>
    </row>
    <row r="61" spans="1:97" s="82" customFormat="1" ht="15" customHeight="1" x14ac:dyDescent="0.25">
      <c r="A61" s="117">
        <f t="shared" si="4"/>
        <v>45996</v>
      </c>
      <c r="B61" s="118"/>
      <c r="C61" s="194">
        <f>'[2]AHTS-1'!AV59+'[2]AHTS-2'!AV59+'[2]AHTS-3'!AV59+'[2]AHTS-4'!AV59+'[2]AHTS-5'!AV59+'[2]AHTS-6'!AV59+'[2]AHTS-7'!AV59+'[2]AHTS-8'!AV59+'[3]CB-1'!AV59+'[3]CB-2'!AV59+'[3]CB-3'!AV59+'[3]CB-4'!AV59+'[3]CB-5'!AV59+'[3]CB-6'!AV59+'[3]CB-7'!AV59+'[3]CB-8'!AV59+'[3]CB-9'!AV59+'[3]CB-10'!AV59+'[3]CB-11'!AV59+'[3]CB-12'!AV59+'[3]CB-13'!AV59+'[3]CB-14'!AV59+'[3]CB-15'!AV59+'[3]CB-16'!AV59+'[3]CB-17'!AV59+'[3]CB-18'!AV59+'[3]CB-19'!AV59+'[3]CB-20'!AV59+'[3]CB-21'!AV59+'[3]CB-22'!AV59+'[3]CB-23'!AV59+'[3]CB-24'!AV59+'[4]LCT-1'!AV59+'[4]LCT-2'!AV59+'[4]LCT-3'!AV59+'[4]LCT-4'!AV59+'[4]LCT-5'!AV59+'[4]LCT-6'!AV59+'[4]LCT-7'!AV59+'[4]LCT-8'!AV59+'[5]TB-1'!AV59+'[5]TB-2'!AV59+'[5]TB-3'!AV59+'[5]TB-4'!AV59+'[5]TB-5'!AV59+'[5]TB-6'!AV59+'[5]TB-7'!AV59+'[5]TB-8'!AV59+'[5]TB-9'!AV59+'[5]TB-10'!AV59+'[6]DSV-1'!AV59+'[6]DSV-2'!AV59+'[6]DSV-3'!AV59+'[7]TUB-1'!AV59+'[7]TUB-2'!AV59+'[8]Barge-1'!AV59+'[8]Barge-2'!AV59+'[8]Barge-3'!AV59+'[8]Barge-4'!AV59</f>
        <v>0</v>
      </c>
      <c r="D61" s="194"/>
      <c r="E61" s="194"/>
      <c r="F61" s="194">
        <f>'[2]AHTS-1'!AW59+'[2]AHTS-2'!AW59+'[2]AHTS-3'!AW59+'[2]AHTS-4'!AW59+'[2]AHTS-5'!AW59+'[2]AHTS-6'!AW59+'[2]AHTS-7'!AW59+'[2]AHTS-8'!AW59+'[3]CB-1'!AW59+'[3]CB-2'!AW59+'[3]CB-3'!AW59+'[3]CB-4'!AW59+'[3]CB-5'!AW59+'[3]CB-6'!AW59+'[3]CB-7'!AW59+'[3]CB-8'!AW59+'[3]CB-9'!AW59+'[3]CB-10'!AW59+'[3]CB-11'!AW59+'[3]CB-12'!AW59+'[3]CB-13'!AW59+'[3]CB-14'!AW59+'[3]CB-15'!AW59+'[3]CB-16'!AW59+'[3]CB-17'!AW59+'[3]CB-18'!AW59+'[3]CB-19'!AW59+'[3]CB-20'!AW59+'[3]CB-21'!AW59+'[3]CB-22'!AW59+'[3]CB-23'!AW59+'[3]CB-24'!AW59+'[4]LCT-1'!AW59+'[4]LCT-2'!AW59+'[4]LCT-3'!AW59+'[4]LCT-4'!AW59+'[4]LCT-5'!AW59+'[4]LCT-6'!AW59+'[4]LCT-7'!AW59+'[4]LCT-8'!AW59+'[5]TB-1'!AW59+'[5]TB-2'!AW59+'[5]TB-3'!AW59+'[5]TB-4'!AW59+'[5]TB-5'!AW59+'[5]TB-6'!AW59+'[5]TB-7'!AW59+'[5]TB-8'!AW59+'[5]TB-9'!AW59+'[5]TB-10'!AW59+'[6]DSV-1'!AW59+'[6]DSV-2'!AW59+'[6]DSV-3'!AW59+'[7]TUB-1'!AW59+'[7]TUB-2'!AW59+'[8]Barge-1'!AW59+'[8]Barge-2'!AW59+'[8]Barge-3'!AW59+'[8]Barge-4'!AW59</f>
        <v>2566.666666666667</v>
      </c>
      <c r="G61" s="194"/>
      <c r="H61" s="194"/>
      <c r="I61" s="194">
        <f>'[2]AHTS-1'!AX59+'[2]AHTS-2'!AX59+'[2]AHTS-3'!AX59+'[2]AHTS-4'!AX59+'[2]AHTS-5'!AX59+'[2]AHTS-6'!AX59+'[2]AHTS-7'!AX59+'[2]AHTS-8'!AX59+'[3]CB-1'!AX59+'[3]CB-2'!AX59+'[3]CB-3'!AX59+'[3]CB-4'!AX59+'[3]CB-5'!AX59+'[3]CB-6'!AX59+'[3]CB-7'!AX59+'[3]CB-8'!AX59+'[3]CB-9'!AX59+'[3]CB-10'!AX59+'[3]CB-11'!AX59+'[3]CB-12'!AX59+'[3]CB-13'!AX59+'[3]CB-14'!AX59+'[3]CB-15'!AX59+'[3]CB-16'!AX59+'[3]CB-17'!AX59+'[3]CB-18'!AX59+'[3]CB-19'!AX59+'[3]CB-20'!AX59+'[3]CB-21'!AX59+'[3]CB-22'!AX59+'[3]CB-23'!AX59+'[3]CB-24'!AX59+'[4]LCT-1'!AX59+'[4]LCT-2'!AX59+'[4]LCT-3'!AX59+'[4]LCT-4'!AX59+'[4]LCT-5'!AX59+'[4]LCT-6'!AX59+'[4]LCT-7'!AX59+'[4]LCT-8'!AX59+'[5]TB-1'!AX59+'[5]TB-2'!AX59+'[5]TB-3'!AX59+'[5]TB-4'!AX59+'[5]TB-5'!AX59+'[5]TB-6'!AX59+'[5]TB-7'!AX59+'[5]TB-8'!AX59+'[5]TB-9'!AX59+'[5]TB-10'!AX59+'[6]DSV-1'!AX59+'[6]DSV-2'!AX59+'[6]DSV-3'!AX59+'[7]TUB-1'!AX59+'[7]TUB-2'!AX59+'[8]Barge-1'!AX59+'[8]Barge-2'!AX59+'[8]Barge-3'!AX59+'[8]Barge-4'!AX59</f>
        <v>2246.6666666666665</v>
      </c>
      <c r="J61" s="194"/>
      <c r="K61" s="194"/>
      <c r="L61" s="194">
        <f>'[2]AHTS-1'!AY59+'[2]AHTS-2'!AY59+'[2]AHTS-3'!AY59+'[2]AHTS-4'!AY59+'[2]AHTS-5'!AY59+'[2]AHTS-6'!AY59+'[2]AHTS-7'!AY59+'[2]AHTS-8'!AY59+'[3]CB-1'!AY59+'[3]CB-2'!AY59+'[3]CB-3'!AY59+'[3]CB-4'!AY59+'[3]CB-5'!AY59+'[3]CB-6'!AY59+'[3]CB-7'!AY59+'[3]CB-8'!AY59+'[3]CB-9'!AY59+'[3]CB-10'!AY59+'[3]CB-11'!AY59+'[3]CB-12'!AY59+'[3]CB-13'!AY59+'[3]CB-14'!AY59+'[3]CB-15'!AY59+'[3]CB-16'!AY59+'[3]CB-17'!AY59+'[3]CB-18'!AY59+'[3]CB-19'!AY59+'[3]CB-20'!AY59+'[3]CB-21'!AY59+'[3]CB-22'!AY59+'[3]CB-23'!AY59+'[3]CB-24'!AY59+'[4]LCT-1'!AY59+'[4]LCT-2'!AY59+'[4]LCT-3'!AY59+'[4]LCT-4'!AY59+'[4]LCT-5'!AY59+'[4]LCT-6'!AY59+'[4]LCT-7'!AY59+'[4]LCT-8'!AY59+'[5]TB-1'!AY59+'[5]TB-2'!AY59+'[5]TB-3'!AY59+'[5]TB-4'!AY59+'[5]TB-5'!AY59+'[5]TB-6'!AY59+'[5]TB-7'!AY59+'[5]TB-8'!AY59+'[5]TB-9'!AY59+'[5]TB-10'!AY59+'[6]DSV-1'!AY59+'[6]DSV-2'!AY59+'[6]DSV-3'!AY59+'[7]TUB-1'!AY59+'[7]TUB-2'!AY59+'[8]Barge-1'!AY59+'[8]Barge-2'!AY59+'[8]Barge-3'!AY59+'[8]Barge-4'!AY59</f>
        <v>2732</v>
      </c>
      <c r="M61" s="194"/>
      <c r="N61" s="194"/>
      <c r="O61" s="194">
        <f>'[2]AHTS-1'!AZ59+'[2]AHTS-2'!AZ59+'[2]AHTS-3'!AZ59+'[2]AHTS-4'!AZ59+'[2]AHTS-5'!AZ59+'[2]AHTS-6'!AZ59+'[2]AHTS-7'!AZ59+'[2]AHTS-8'!AZ59+'[3]CB-1'!AZ59+'[3]CB-2'!AZ59+'[3]CB-3'!AZ59+'[3]CB-4'!AZ59+'[3]CB-5'!AZ59+'[3]CB-6'!AZ59+'[3]CB-7'!AZ59+'[3]CB-8'!AZ59+'[3]CB-9'!AZ59+'[3]CB-10'!AZ59+'[3]CB-11'!AZ59+'[3]CB-12'!AZ59+'[3]CB-13'!AZ59+'[3]CB-14'!AZ59+'[3]CB-15'!AZ59+'[3]CB-16'!AZ59+'[3]CB-17'!AZ59+'[3]CB-18'!AZ59+'[3]CB-19'!AZ59+'[3]CB-20'!AZ59+'[3]CB-21'!AZ59+'[3]CB-22'!AZ59+'[3]CB-23'!AZ59+'[3]CB-24'!AZ59+'[4]LCT-1'!AZ59+'[4]LCT-2'!AZ59+'[4]LCT-3'!AZ59+'[4]LCT-4'!AZ59+'[4]LCT-5'!AZ59+'[4]LCT-6'!AZ59+'[4]LCT-7'!AZ59+'[4]LCT-8'!AZ59+'[5]TB-1'!AZ59+'[5]TB-2'!AZ59+'[5]TB-3'!AZ59+'[5]TB-4'!AZ59+'[5]TB-5'!AZ59+'[5]TB-6'!AZ59+'[5]TB-7'!AZ59+'[5]TB-8'!AZ59+'[5]TB-9'!AZ59+'[5]TB-10'!AZ59+'[6]DSV-1'!AZ59+'[6]DSV-2'!AZ59+'[6]DSV-3'!AZ59+'[7]TUB-1'!AZ59+'[7]TUB-2'!AZ59+'[8]Barge-1'!AZ59+'[8]Barge-2'!AZ59+'[8]Barge-3'!AZ59+'[8]Barge-4'!AZ59</f>
        <v>14.000000000000002</v>
      </c>
      <c r="P61" s="194"/>
      <c r="Q61" s="194"/>
      <c r="R61" s="194">
        <f>'[2]AHTS-1'!BA59+'[2]AHTS-2'!BA59+'[2]AHTS-3'!BA59+'[2]AHTS-4'!BA59+'[2]AHTS-5'!BA59+'[2]AHTS-6'!BA59+'[2]AHTS-7'!BA59+'[2]AHTS-8'!BA59+'[3]CB-1'!BA59+'[3]CB-2'!BA59+'[3]CB-3'!BA59+'[3]CB-4'!BA59+'[3]CB-5'!BA59+'[3]CB-6'!BA59+'[3]CB-7'!BA59+'[3]CB-8'!BA59+'[3]CB-9'!BA59+'[3]CB-10'!BA59+'[3]CB-11'!BA59+'[3]CB-12'!BA59+'[3]CB-13'!BA59+'[3]CB-14'!BA59+'[3]CB-15'!BA59+'[3]CB-16'!BA59+'[3]CB-17'!BA59+'[3]CB-18'!BA59+'[3]CB-19'!BA59+'[3]CB-20'!BA59+'[3]CB-21'!BA59+'[3]CB-22'!BA59+'[3]CB-23'!BA59+'[3]CB-24'!BA59+'[4]LCT-1'!BA59+'[4]LCT-2'!BA59+'[4]LCT-3'!BA59+'[4]LCT-4'!BA59+'[4]LCT-5'!BA59+'[4]LCT-6'!BA59+'[4]LCT-7'!BA59+'[4]LCT-8'!BA59+'[5]TB-1'!BA59+'[5]TB-2'!BA59+'[5]TB-3'!BA59+'[5]TB-4'!BA59+'[5]TB-5'!BA59+'[5]TB-6'!BA59+'[5]TB-7'!BA59+'[5]TB-8'!BA59+'[5]TB-9'!BA59+'[5]TB-10'!BA59+'[6]DSV-1'!BA59+'[6]DSV-2'!BA59+'[6]DSV-3'!BA59+'[7]TUB-1'!BA59+'[7]TUB-2'!BA59+'[8]Barge-1'!BA59+'[8]Barge-2'!BA59+'[8]Barge-3'!BA59+'[8]Barge-4'!BA59</f>
        <v>4827.666666666667</v>
      </c>
      <c r="S61" s="194"/>
      <c r="T61" s="194"/>
      <c r="U61" s="194">
        <f>'[2]AHTS-1'!BB59+'[2]AHTS-2'!BB59+'[2]AHTS-3'!BB59+'[2]AHTS-4'!BB59+'[2]AHTS-5'!BB59+'[2]AHTS-6'!BB59+'[2]AHTS-7'!BB59+'[2]AHTS-8'!BB59+'[3]CB-1'!BB59+'[3]CB-2'!BB59+'[3]CB-3'!BB59+'[3]CB-4'!BB59+'[3]CB-5'!BB59+'[3]CB-6'!BB59+'[3]CB-7'!BB59+'[3]CB-8'!BB59+'[3]CB-9'!BB59+'[3]CB-10'!BB59+'[3]CB-11'!BB59+'[3]CB-12'!BB59+'[3]CB-13'!BB59+'[3]CB-14'!BB59+'[3]CB-15'!BB59+'[3]CB-16'!BB59+'[3]CB-17'!BB59+'[3]CB-18'!BB59+'[3]CB-19'!BB59+'[3]CB-20'!BB59+'[3]CB-21'!BB59+'[3]CB-22'!BB59+'[3]CB-23'!BB59+'[3]CB-24'!BB59+'[4]LCT-1'!BB59+'[4]LCT-2'!BB59+'[4]LCT-3'!BB59+'[4]LCT-4'!BB59+'[4]LCT-5'!BB59+'[4]LCT-6'!BB59+'[4]LCT-7'!BB59+'[4]LCT-8'!BB59+'[5]TB-1'!BB59+'[5]TB-2'!BB59+'[5]TB-3'!BB59+'[5]TB-4'!BB59+'[5]TB-5'!BB59+'[5]TB-6'!BB59+'[5]TB-7'!BB59+'[5]TB-8'!BB59+'[5]TB-9'!BB59+'[5]TB-10'!BB59+'[6]DSV-1'!BB59+'[6]DSV-2'!BB59+'[6]DSV-3'!BB59+'[7]TUB-1'!BB59+'[7]TUB-2'!BB59+'[8]Barge-1'!BB59+'[8]Barge-2'!BB59+'[8]Barge-3'!BB59+'[8]Barge-4'!BB59</f>
        <v>0</v>
      </c>
      <c r="V61" s="194"/>
      <c r="W61" s="194"/>
      <c r="X61" s="122"/>
      <c r="Y61" s="122"/>
    </row>
    <row r="62" spans="1:97" s="82" customFormat="1" ht="15" customHeight="1" x14ac:dyDescent="0.25">
      <c r="A62" s="117">
        <f t="shared" si="4"/>
        <v>45997</v>
      </c>
      <c r="B62" s="118"/>
      <c r="C62" s="194">
        <f>'[2]AHTS-1'!AV60+'[2]AHTS-2'!AV60+'[2]AHTS-3'!AV60+'[2]AHTS-4'!AV60+'[2]AHTS-5'!AV60+'[2]AHTS-6'!AV60+'[2]AHTS-7'!AV60+'[2]AHTS-8'!AV60+'[3]CB-1'!AV60+'[3]CB-2'!AV60+'[3]CB-3'!AV60+'[3]CB-4'!AV60+'[3]CB-5'!AV60+'[3]CB-6'!AV60+'[3]CB-7'!AV60+'[3]CB-8'!AV60+'[3]CB-9'!AV60+'[3]CB-10'!AV60+'[3]CB-11'!AV60+'[3]CB-12'!AV60+'[3]CB-13'!AV60+'[3]CB-14'!AV60+'[3]CB-15'!AV60+'[3]CB-16'!AV60+'[3]CB-17'!AV60+'[3]CB-18'!AV60+'[3]CB-19'!AV60+'[3]CB-20'!AV60+'[3]CB-21'!AV60+'[3]CB-22'!AV60+'[3]CB-23'!AV60+'[3]CB-24'!AV60+'[4]LCT-1'!AV60+'[4]LCT-2'!AV60+'[4]LCT-3'!AV60+'[4]LCT-4'!AV60+'[4]LCT-5'!AV60+'[4]LCT-6'!AV60+'[4]LCT-7'!AV60+'[4]LCT-8'!AV60+'[5]TB-1'!AV60+'[5]TB-2'!AV60+'[5]TB-3'!AV60+'[5]TB-4'!AV60+'[5]TB-5'!AV60+'[5]TB-6'!AV60+'[5]TB-7'!AV60+'[5]TB-8'!AV60+'[5]TB-9'!AV60+'[5]TB-10'!AV60+'[6]DSV-1'!AV60+'[6]DSV-2'!AV60+'[6]DSV-3'!AV60+'[7]TUB-1'!AV60+'[7]TUB-2'!AV60+'[8]Barge-1'!AV60+'[8]Barge-2'!AV60+'[8]Barge-3'!AV60+'[8]Barge-4'!AV60</f>
        <v>0</v>
      </c>
      <c r="D62" s="194"/>
      <c r="E62" s="194"/>
      <c r="F62" s="194">
        <f>'[2]AHTS-1'!AW60+'[2]AHTS-2'!AW60+'[2]AHTS-3'!AW60+'[2]AHTS-4'!AW60+'[2]AHTS-5'!AW60+'[2]AHTS-6'!AW60+'[2]AHTS-7'!AW60+'[2]AHTS-8'!AW60+'[3]CB-1'!AW60+'[3]CB-2'!AW60+'[3]CB-3'!AW60+'[3]CB-4'!AW60+'[3]CB-5'!AW60+'[3]CB-6'!AW60+'[3]CB-7'!AW60+'[3]CB-8'!AW60+'[3]CB-9'!AW60+'[3]CB-10'!AW60+'[3]CB-11'!AW60+'[3]CB-12'!AW60+'[3]CB-13'!AW60+'[3]CB-14'!AW60+'[3]CB-15'!AW60+'[3]CB-16'!AW60+'[3]CB-17'!AW60+'[3]CB-18'!AW60+'[3]CB-19'!AW60+'[3]CB-20'!AW60+'[3]CB-21'!AW60+'[3]CB-22'!AW60+'[3]CB-23'!AW60+'[3]CB-24'!AW60+'[4]LCT-1'!AW60+'[4]LCT-2'!AW60+'[4]LCT-3'!AW60+'[4]LCT-4'!AW60+'[4]LCT-5'!AW60+'[4]LCT-6'!AW60+'[4]LCT-7'!AW60+'[4]LCT-8'!AW60+'[5]TB-1'!AW60+'[5]TB-2'!AW60+'[5]TB-3'!AW60+'[5]TB-4'!AW60+'[5]TB-5'!AW60+'[5]TB-6'!AW60+'[5]TB-7'!AW60+'[5]TB-8'!AW60+'[5]TB-9'!AW60+'[5]TB-10'!AW60+'[6]DSV-1'!AW60+'[6]DSV-2'!AW60+'[6]DSV-3'!AW60+'[7]TUB-1'!AW60+'[7]TUB-2'!AW60+'[8]Barge-1'!AW60+'[8]Barge-2'!AW60+'[8]Barge-3'!AW60+'[8]Barge-4'!AW60</f>
        <v>2075</v>
      </c>
      <c r="G62" s="194"/>
      <c r="H62" s="194"/>
      <c r="I62" s="194">
        <f>'[2]AHTS-1'!AX60+'[2]AHTS-2'!AX60+'[2]AHTS-3'!AX60+'[2]AHTS-4'!AX60+'[2]AHTS-5'!AX60+'[2]AHTS-6'!AX60+'[2]AHTS-7'!AX60+'[2]AHTS-8'!AX60+'[3]CB-1'!AX60+'[3]CB-2'!AX60+'[3]CB-3'!AX60+'[3]CB-4'!AX60+'[3]CB-5'!AX60+'[3]CB-6'!AX60+'[3]CB-7'!AX60+'[3]CB-8'!AX60+'[3]CB-9'!AX60+'[3]CB-10'!AX60+'[3]CB-11'!AX60+'[3]CB-12'!AX60+'[3]CB-13'!AX60+'[3]CB-14'!AX60+'[3]CB-15'!AX60+'[3]CB-16'!AX60+'[3]CB-17'!AX60+'[3]CB-18'!AX60+'[3]CB-19'!AX60+'[3]CB-20'!AX60+'[3]CB-21'!AX60+'[3]CB-22'!AX60+'[3]CB-23'!AX60+'[3]CB-24'!AX60+'[4]LCT-1'!AX60+'[4]LCT-2'!AX60+'[4]LCT-3'!AX60+'[4]LCT-4'!AX60+'[4]LCT-5'!AX60+'[4]LCT-6'!AX60+'[4]LCT-7'!AX60+'[4]LCT-8'!AX60+'[5]TB-1'!AX60+'[5]TB-2'!AX60+'[5]TB-3'!AX60+'[5]TB-4'!AX60+'[5]TB-5'!AX60+'[5]TB-6'!AX60+'[5]TB-7'!AX60+'[5]TB-8'!AX60+'[5]TB-9'!AX60+'[5]TB-10'!AX60+'[6]DSV-1'!AX60+'[6]DSV-2'!AX60+'[6]DSV-3'!AX60+'[7]TUB-1'!AX60+'[7]TUB-2'!AX60+'[8]Barge-1'!AX60+'[8]Barge-2'!AX60+'[8]Barge-3'!AX60+'[8]Barge-4'!AX60</f>
        <v>2694.4999999999995</v>
      </c>
      <c r="J62" s="194"/>
      <c r="K62" s="194"/>
      <c r="L62" s="194">
        <f>'[2]AHTS-1'!AY60+'[2]AHTS-2'!AY60+'[2]AHTS-3'!AY60+'[2]AHTS-4'!AY60+'[2]AHTS-5'!AY60+'[2]AHTS-6'!AY60+'[2]AHTS-7'!AY60+'[2]AHTS-8'!AY60+'[3]CB-1'!AY60+'[3]CB-2'!AY60+'[3]CB-3'!AY60+'[3]CB-4'!AY60+'[3]CB-5'!AY60+'[3]CB-6'!AY60+'[3]CB-7'!AY60+'[3]CB-8'!AY60+'[3]CB-9'!AY60+'[3]CB-10'!AY60+'[3]CB-11'!AY60+'[3]CB-12'!AY60+'[3]CB-13'!AY60+'[3]CB-14'!AY60+'[3]CB-15'!AY60+'[3]CB-16'!AY60+'[3]CB-17'!AY60+'[3]CB-18'!AY60+'[3]CB-19'!AY60+'[3]CB-20'!AY60+'[3]CB-21'!AY60+'[3]CB-22'!AY60+'[3]CB-23'!AY60+'[3]CB-24'!AY60+'[4]LCT-1'!AY60+'[4]LCT-2'!AY60+'[4]LCT-3'!AY60+'[4]LCT-4'!AY60+'[4]LCT-5'!AY60+'[4]LCT-6'!AY60+'[4]LCT-7'!AY60+'[4]LCT-8'!AY60+'[5]TB-1'!AY60+'[5]TB-2'!AY60+'[5]TB-3'!AY60+'[5]TB-4'!AY60+'[5]TB-5'!AY60+'[5]TB-6'!AY60+'[5]TB-7'!AY60+'[5]TB-8'!AY60+'[5]TB-9'!AY60+'[5]TB-10'!AY60+'[6]DSV-1'!AY60+'[6]DSV-2'!AY60+'[6]DSV-3'!AY60+'[7]TUB-1'!AY60+'[7]TUB-2'!AY60+'[8]Barge-1'!AY60+'[8]Barge-2'!AY60+'[8]Barge-3'!AY60+'[8]Barge-4'!AY60</f>
        <v>2660</v>
      </c>
      <c r="M62" s="194"/>
      <c r="N62" s="194"/>
      <c r="O62" s="194">
        <f>'[2]AHTS-1'!AZ60+'[2]AHTS-2'!AZ60+'[2]AHTS-3'!AZ60+'[2]AHTS-4'!AZ60+'[2]AHTS-5'!AZ60+'[2]AHTS-6'!AZ60+'[2]AHTS-7'!AZ60+'[2]AHTS-8'!AZ60+'[3]CB-1'!AZ60+'[3]CB-2'!AZ60+'[3]CB-3'!AZ60+'[3]CB-4'!AZ60+'[3]CB-5'!AZ60+'[3]CB-6'!AZ60+'[3]CB-7'!AZ60+'[3]CB-8'!AZ60+'[3]CB-9'!AZ60+'[3]CB-10'!AZ60+'[3]CB-11'!AZ60+'[3]CB-12'!AZ60+'[3]CB-13'!AZ60+'[3]CB-14'!AZ60+'[3]CB-15'!AZ60+'[3]CB-16'!AZ60+'[3]CB-17'!AZ60+'[3]CB-18'!AZ60+'[3]CB-19'!AZ60+'[3]CB-20'!AZ60+'[3]CB-21'!AZ60+'[3]CB-22'!AZ60+'[3]CB-23'!AZ60+'[3]CB-24'!AZ60+'[4]LCT-1'!AZ60+'[4]LCT-2'!AZ60+'[4]LCT-3'!AZ60+'[4]LCT-4'!AZ60+'[4]LCT-5'!AZ60+'[4]LCT-6'!AZ60+'[4]LCT-7'!AZ60+'[4]LCT-8'!AZ60+'[5]TB-1'!AZ60+'[5]TB-2'!AZ60+'[5]TB-3'!AZ60+'[5]TB-4'!AZ60+'[5]TB-5'!AZ60+'[5]TB-6'!AZ60+'[5]TB-7'!AZ60+'[5]TB-8'!AZ60+'[5]TB-9'!AZ60+'[5]TB-10'!AZ60+'[6]DSV-1'!AZ60+'[6]DSV-2'!AZ60+'[6]DSV-3'!AZ60+'[7]TUB-1'!AZ60+'[7]TUB-2'!AZ60+'[8]Barge-1'!AZ60+'[8]Barge-2'!AZ60+'[8]Barge-3'!AZ60+'[8]Barge-4'!AZ60</f>
        <v>26.333333333333332</v>
      </c>
      <c r="P62" s="194"/>
      <c r="Q62" s="194"/>
      <c r="R62" s="194">
        <f>'[2]AHTS-1'!BA60+'[2]AHTS-2'!BA60+'[2]AHTS-3'!BA60+'[2]AHTS-4'!BA60+'[2]AHTS-5'!BA60+'[2]AHTS-6'!BA60+'[2]AHTS-7'!BA60+'[2]AHTS-8'!BA60+'[3]CB-1'!BA60+'[3]CB-2'!BA60+'[3]CB-3'!BA60+'[3]CB-4'!BA60+'[3]CB-5'!BA60+'[3]CB-6'!BA60+'[3]CB-7'!BA60+'[3]CB-8'!BA60+'[3]CB-9'!BA60+'[3]CB-10'!BA60+'[3]CB-11'!BA60+'[3]CB-12'!BA60+'[3]CB-13'!BA60+'[3]CB-14'!BA60+'[3]CB-15'!BA60+'[3]CB-16'!BA60+'[3]CB-17'!BA60+'[3]CB-18'!BA60+'[3]CB-19'!BA60+'[3]CB-20'!BA60+'[3]CB-21'!BA60+'[3]CB-22'!BA60+'[3]CB-23'!BA60+'[3]CB-24'!BA60+'[4]LCT-1'!BA60+'[4]LCT-2'!BA60+'[4]LCT-3'!BA60+'[4]LCT-4'!BA60+'[4]LCT-5'!BA60+'[4]LCT-6'!BA60+'[4]LCT-7'!BA60+'[4]LCT-8'!BA60+'[5]TB-1'!BA60+'[5]TB-2'!BA60+'[5]TB-3'!BA60+'[5]TB-4'!BA60+'[5]TB-5'!BA60+'[5]TB-6'!BA60+'[5]TB-7'!BA60+'[5]TB-8'!BA60+'[5]TB-9'!BA60+'[5]TB-10'!BA60+'[6]DSV-1'!BA60+'[6]DSV-2'!BA60+'[6]DSV-3'!BA60+'[7]TUB-1'!BA60+'[7]TUB-2'!BA60+'[8]Barge-1'!BA60+'[8]Barge-2'!BA60+'[8]Barge-3'!BA60+'[8]Barge-4'!BA60</f>
        <v>4733.333333333333</v>
      </c>
      <c r="S62" s="194"/>
      <c r="T62" s="194"/>
      <c r="U62" s="194">
        <f>'[2]AHTS-1'!BB60+'[2]AHTS-2'!BB60+'[2]AHTS-3'!BB60+'[2]AHTS-4'!BB60+'[2]AHTS-5'!BB60+'[2]AHTS-6'!BB60+'[2]AHTS-7'!BB60+'[2]AHTS-8'!BB60+'[3]CB-1'!BB60+'[3]CB-2'!BB60+'[3]CB-3'!BB60+'[3]CB-4'!BB60+'[3]CB-5'!BB60+'[3]CB-6'!BB60+'[3]CB-7'!BB60+'[3]CB-8'!BB60+'[3]CB-9'!BB60+'[3]CB-10'!BB60+'[3]CB-11'!BB60+'[3]CB-12'!BB60+'[3]CB-13'!BB60+'[3]CB-14'!BB60+'[3]CB-15'!BB60+'[3]CB-16'!BB60+'[3]CB-17'!BB60+'[3]CB-18'!BB60+'[3]CB-19'!BB60+'[3]CB-20'!BB60+'[3]CB-21'!BB60+'[3]CB-22'!BB60+'[3]CB-23'!BB60+'[3]CB-24'!BB60+'[4]LCT-1'!BB60+'[4]LCT-2'!BB60+'[4]LCT-3'!BB60+'[4]LCT-4'!BB60+'[4]LCT-5'!BB60+'[4]LCT-6'!BB60+'[4]LCT-7'!BB60+'[4]LCT-8'!BB60+'[5]TB-1'!BB60+'[5]TB-2'!BB60+'[5]TB-3'!BB60+'[5]TB-4'!BB60+'[5]TB-5'!BB60+'[5]TB-6'!BB60+'[5]TB-7'!BB60+'[5]TB-8'!BB60+'[5]TB-9'!BB60+'[5]TB-10'!BB60+'[6]DSV-1'!BB60+'[6]DSV-2'!BB60+'[6]DSV-3'!BB60+'[7]TUB-1'!BB60+'[7]TUB-2'!BB60+'[8]Barge-1'!BB60+'[8]Barge-2'!BB60+'[8]Barge-3'!BB60+'[8]Barge-4'!BB60</f>
        <v>0</v>
      </c>
      <c r="V62" s="194"/>
      <c r="W62" s="194"/>
      <c r="X62" s="122"/>
      <c r="Y62" s="122"/>
    </row>
    <row r="63" spans="1:97" s="90" customFormat="1" ht="15" customHeight="1" x14ac:dyDescent="0.25">
      <c r="A63" s="117">
        <f t="shared" si="4"/>
        <v>45998</v>
      </c>
      <c r="B63" s="119"/>
      <c r="C63" s="194">
        <f>'[2]AHTS-1'!AV61+'[2]AHTS-2'!AV61+'[2]AHTS-3'!AV61+'[2]AHTS-4'!AV61+'[2]AHTS-5'!AV61+'[2]AHTS-6'!AV61+'[2]AHTS-7'!AV61+'[2]AHTS-8'!AV61+'[3]CB-1'!AV61+'[3]CB-2'!AV61+'[3]CB-3'!AV61+'[3]CB-4'!AV61+'[3]CB-5'!AV61+'[3]CB-6'!AV61+'[3]CB-7'!AV61+'[3]CB-8'!AV61+'[3]CB-9'!AV61+'[3]CB-10'!AV61+'[3]CB-11'!AV61+'[3]CB-12'!AV61+'[3]CB-13'!AV61+'[3]CB-14'!AV61+'[3]CB-15'!AV61+'[3]CB-16'!AV61+'[3]CB-17'!AV61+'[3]CB-18'!AV61+'[3]CB-19'!AV61+'[3]CB-20'!AV61+'[3]CB-21'!AV61+'[3]CB-22'!AV61+'[3]CB-23'!AV61+'[3]CB-24'!AV61+'[4]LCT-1'!AV61+'[4]LCT-2'!AV61+'[4]LCT-3'!AV61+'[4]LCT-4'!AV61+'[4]LCT-5'!AV61+'[4]LCT-6'!AV61+'[4]LCT-7'!AV61+'[4]LCT-8'!AV61+'[5]TB-1'!AV61+'[5]TB-2'!AV61+'[5]TB-3'!AV61+'[5]TB-4'!AV61+'[5]TB-5'!AV61+'[5]TB-6'!AV61+'[5]TB-7'!AV61+'[5]TB-8'!AV61+'[5]TB-9'!AV61+'[5]TB-10'!AV61+'[6]DSV-1'!AV61+'[6]DSV-2'!AV61+'[6]DSV-3'!AV61+'[7]TUB-1'!AV61+'[7]TUB-2'!AV61+'[8]Barge-1'!AV61+'[8]Barge-2'!AV61+'[8]Barge-3'!AV61+'[8]Barge-4'!AV61</f>
        <v>0</v>
      </c>
      <c r="D63" s="194"/>
      <c r="E63" s="194"/>
      <c r="F63" s="194">
        <f>'[2]AHTS-1'!AW61+'[2]AHTS-2'!AW61+'[2]AHTS-3'!AW61+'[2]AHTS-4'!AW61+'[2]AHTS-5'!AW61+'[2]AHTS-6'!AW61+'[2]AHTS-7'!AW61+'[2]AHTS-8'!AW61+'[3]CB-1'!AW61+'[3]CB-2'!AW61+'[3]CB-3'!AW61+'[3]CB-4'!AW61+'[3]CB-5'!AW61+'[3]CB-6'!AW61+'[3]CB-7'!AW61+'[3]CB-8'!AW61+'[3]CB-9'!AW61+'[3]CB-10'!AW61+'[3]CB-11'!AW61+'[3]CB-12'!AW61+'[3]CB-13'!AW61+'[3]CB-14'!AW61+'[3]CB-15'!AW61+'[3]CB-16'!AW61+'[3]CB-17'!AW61+'[3]CB-18'!AW61+'[3]CB-19'!AW61+'[3]CB-20'!AW61+'[3]CB-21'!AW61+'[3]CB-22'!AW61+'[3]CB-23'!AW61+'[3]CB-24'!AW61+'[4]LCT-1'!AW61+'[4]LCT-2'!AW61+'[4]LCT-3'!AW61+'[4]LCT-4'!AW61+'[4]LCT-5'!AW61+'[4]LCT-6'!AW61+'[4]LCT-7'!AW61+'[4]LCT-8'!AW61+'[5]TB-1'!AW61+'[5]TB-2'!AW61+'[5]TB-3'!AW61+'[5]TB-4'!AW61+'[5]TB-5'!AW61+'[5]TB-6'!AW61+'[5]TB-7'!AW61+'[5]TB-8'!AW61+'[5]TB-9'!AW61+'[5]TB-10'!AW61+'[6]DSV-1'!AW61+'[6]DSV-2'!AW61+'[6]DSV-3'!AW61+'[7]TUB-1'!AW61+'[7]TUB-2'!AW61+'[8]Barge-1'!AW61+'[8]Barge-2'!AW61+'[8]Barge-3'!AW61+'[8]Barge-4'!AW61</f>
        <v>2444.9999999999995</v>
      </c>
      <c r="G63" s="194"/>
      <c r="H63" s="194"/>
      <c r="I63" s="194">
        <f>'[2]AHTS-1'!AX61+'[2]AHTS-2'!AX61+'[2]AHTS-3'!AX61+'[2]AHTS-4'!AX61+'[2]AHTS-5'!AX61+'[2]AHTS-6'!AX61+'[2]AHTS-7'!AX61+'[2]AHTS-8'!AX61+'[3]CB-1'!AX61+'[3]CB-2'!AX61+'[3]CB-3'!AX61+'[3]CB-4'!AX61+'[3]CB-5'!AX61+'[3]CB-6'!AX61+'[3]CB-7'!AX61+'[3]CB-8'!AX61+'[3]CB-9'!AX61+'[3]CB-10'!AX61+'[3]CB-11'!AX61+'[3]CB-12'!AX61+'[3]CB-13'!AX61+'[3]CB-14'!AX61+'[3]CB-15'!AX61+'[3]CB-16'!AX61+'[3]CB-17'!AX61+'[3]CB-18'!AX61+'[3]CB-19'!AX61+'[3]CB-20'!AX61+'[3]CB-21'!AX61+'[3]CB-22'!AX61+'[3]CB-23'!AX61+'[3]CB-24'!AX61+'[4]LCT-1'!AX61+'[4]LCT-2'!AX61+'[4]LCT-3'!AX61+'[4]LCT-4'!AX61+'[4]LCT-5'!AX61+'[4]LCT-6'!AX61+'[4]LCT-7'!AX61+'[4]LCT-8'!AX61+'[5]TB-1'!AX61+'[5]TB-2'!AX61+'[5]TB-3'!AX61+'[5]TB-4'!AX61+'[5]TB-5'!AX61+'[5]TB-6'!AX61+'[5]TB-7'!AX61+'[5]TB-8'!AX61+'[5]TB-9'!AX61+'[5]TB-10'!AX61+'[6]DSV-1'!AX61+'[6]DSV-2'!AX61+'[6]DSV-3'!AX61+'[7]TUB-1'!AX61+'[7]TUB-2'!AX61+'[8]Barge-1'!AX61+'[8]Barge-2'!AX61+'[8]Barge-3'!AX61+'[8]Barge-4'!AX61</f>
        <v>2402</v>
      </c>
      <c r="J63" s="194"/>
      <c r="K63" s="194"/>
      <c r="L63" s="194">
        <f>'[2]AHTS-1'!AY61+'[2]AHTS-2'!AY61+'[2]AHTS-3'!AY61+'[2]AHTS-4'!AY61+'[2]AHTS-5'!AY61+'[2]AHTS-6'!AY61+'[2]AHTS-7'!AY61+'[2]AHTS-8'!AY61+'[3]CB-1'!AY61+'[3]CB-2'!AY61+'[3]CB-3'!AY61+'[3]CB-4'!AY61+'[3]CB-5'!AY61+'[3]CB-6'!AY61+'[3]CB-7'!AY61+'[3]CB-8'!AY61+'[3]CB-9'!AY61+'[3]CB-10'!AY61+'[3]CB-11'!AY61+'[3]CB-12'!AY61+'[3]CB-13'!AY61+'[3]CB-14'!AY61+'[3]CB-15'!AY61+'[3]CB-16'!AY61+'[3]CB-17'!AY61+'[3]CB-18'!AY61+'[3]CB-19'!AY61+'[3]CB-20'!AY61+'[3]CB-21'!AY61+'[3]CB-22'!AY61+'[3]CB-23'!AY61+'[3]CB-24'!AY61+'[4]LCT-1'!AY61+'[4]LCT-2'!AY61+'[4]LCT-3'!AY61+'[4]LCT-4'!AY61+'[4]LCT-5'!AY61+'[4]LCT-6'!AY61+'[4]LCT-7'!AY61+'[4]LCT-8'!AY61+'[5]TB-1'!AY61+'[5]TB-2'!AY61+'[5]TB-3'!AY61+'[5]TB-4'!AY61+'[5]TB-5'!AY61+'[5]TB-6'!AY61+'[5]TB-7'!AY61+'[5]TB-8'!AY61+'[5]TB-9'!AY61+'[5]TB-10'!AY61+'[6]DSV-1'!AY61+'[6]DSV-2'!AY61+'[6]DSV-3'!AY61+'[7]TUB-1'!AY61+'[7]TUB-2'!AY61+'[8]Barge-1'!AY61+'[8]Barge-2'!AY61+'[8]Barge-3'!AY61+'[8]Barge-4'!AY61</f>
        <v>2719</v>
      </c>
      <c r="M63" s="194"/>
      <c r="N63" s="194"/>
      <c r="O63" s="194">
        <f>'[2]AHTS-1'!AZ61+'[2]AHTS-2'!AZ61+'[2]AHTS-3'!AZ61+'[2]AHTS-4'!AZ61+'[2]AHTS-5'!AZ61+'[2]AHTS-6'!AZ61+'[2]AHTS-7'!AZ61+'[2]AHTS-8'!AZ61+'[3]CB-1'!AZ61+'[3]CB-2'!AZ61+'[3]CB-3'!AZ61+'[3]CB-4'!AZ61+'[3]CB-5'!AZ61+'[3]CB-6'!AZ61+'[3]CB-7'!AZ61+'[3]CB-8'!AZ61+'[3]CB-9'!AZ61+'[3]CB-10'!AZ61+'[3]CB-11'!AZ61+'[3]CB-12'!AZ61+'[3]CB-13'!AZ61+'[3]CB-14'!AZ61+'[3]CB-15'!AZ61+'[3]CB-16'!AZ61+'[3]CB-17'!AZ61+'[3]CB-18'!AZ61+'[3]CB-19'!AZ61+'[3]CB-20'!AZ61+'[3]CB-21'!AZ61+'[3]CB-22'!AZ61+'[3]CB-23'!AZ61+'[3]CB-24'!AZ61+'[4]LCT-1'!AZ61+'[4]LCT-2'!AZ61+'[4]LCT-3'!AZ61+'[4]LCT-4'!AZ61+'[4]LCT-5'!AZ61+'[4]LCT-6'!AZ61+'[4]LCT-7'!AZ61+'[4]LCT-8'!AZ61+'[5]TB-1'!AZ61+'[5]TB-2'!AZ61+'[5]TB-3'!AZ61+'[5]TB-4'!AZ61+'[5]TB-5'!AZ61+'[5]TB-6'!AZ61+'[5]TB-7'!AZ61+'[5]TB-8'!AZ61+'[5]TB-9'!AZ61+'[5]TB-10'!AZ61+'[6]DSV-1'!AZ61+'[6]DSV-2'!AZ61+'[6]DSV-3'!AZ61+'[7]TUB-1'!AZ61+'[7]TUB-2'!AZ61+'[8]Barge-1'!AZ61+'[8]Barge-2'!AZ61+'[8]Barge-3'!AZ61+'[8]Barge-4'!AZ61</f>
        <v>101.99999999999999</v>
      </c>
      <c r="P63" s="194"/>
      <c r="Q63" s="194"/>
      <c r="R63" s="194">
        <f>'[2]AHTS-1'!BA61+'[2]AHTS-2'!BA61+'[2]AHTS-3'!BA61+'[2]AHTS-4'!BA61+'[2]AHTS-5'!BA61+'[2]AHTS-6'!BA61+'[2]AHTS-7'!BA61+'[2]AHTS-8'!BA61+'[3]CB-1'!BA61+'[3]CB-2'!BA61+'[3]CB-3'!BA61+'[3]CB-4'!BA61+'[3]CB-5'!BA61+'[3]CB-6'!BA61+'[3]CB-7'!BA61+'[3]CB-8'!BA61+'[3]CB-9'!BA61+'[3]CB-10'!BA61+'[3]CB-11'!BA61+'[3]CB-12'!BA61+'[3]CB-13'!BA61+'[3]CB-14'!BA61+'[3]CB-15'!BA61+'[3]CB-16'!BA61+'[3]CB-17'!BA61+'[3]CB-18'!BA61+'[3]CB-19'!BA61+'[3]CB-20'!BA61+'[3]CB-21'!BA61+'[3]CB-22'!BA61+'[3]CB-23'!BA61+'[3]CB-24'!BA61+'[4]LCT-1'!BA61+'[4]LCT-2'!BA61+'[4]LCT-3'!BA61+'[4]LCT-4'!BA61+'[4]LCT-5'!BA61+'[4]LCT-6'!BA61+'[4]LCT-7'!BA61+'[4]LCT-8'!BA61+'[5]TB-1'!BA61+'[5]TB-2'!BA61+'[5]TB-3'!BA61+'[5]TB-4'!BA61+'[5]TB-5'!BA61+'[5]TB-6'!BA61+'[5]TB-7'!BA61+'[5]TB-8'!BA61+'[5]TB-9'!BA61+'[5]TB-10'!BA61+'[6]DSV-1'!BA61+'[6]DSV-2'!BA61+'[6]DSV-3'!BA61+'[7]TUB-1'!BA61+'[7]TUB-2'!BA61+'[8]Barge-1'!BA61+'[8]Barge-2'!BA61+'[8]Barge-3'!BA61+'[8]Barge-4'!BA61</f>
        <v>3680</v>
      </c>
      <c r="S63" s="194"/>
      <c r="T63" s="194"/>
      <c r="U63" s="194">
        <f>'[2]AHTS-1'!BB61+'[2]AHTS-2'!BB61+'[2]AHTS-3'!BB61+'[2]AHTS-4'!BB61+'[2]AHTS-5'!BB61+'[2]AHTS-6'!BB61+'[2]AHTS-7'!BB61+'[2]AHTS-8'!BB61+'[3]CB-1'!BB61+'[3]CB-2'!BB61+'[3]CB-3'!BB61+'[3]CB-4'!BB61+'[3]CB-5'!BB61+'[3]CB-6'!BB61+'[3]CB-7'!BB61+'[3]CB-8'!BB61+'[3]CB-9'!BB61+'[3]CB-10'!BB61+'[3]CB-11'!BB61+'[3]CB-12'!BB61+'[3]CB-13'!BB61+'[3]CB-14'!BB61+'[3]CB-15'!BB61+'[3]CB-16'!BB61+'[3]CB-17'!BB61+'[3]CB-18'!BB61+'[3]CB-19'!BB61+'[3]CB-20'!BB61+'[3]CB-21'!BB61+'[3]CB-22'!BB61+'[3]CB-23'!BB61+'[3]CB-24'!BB61+'[4]LCT-1'!BB61+'[4]LCT-2'!BB61+'[4]LCT-3'!BB61+'[4]LCT-4'!BB61+'[4]LCT-5'!BB61+'[4]LCT-6'!BB61+'[4]LCT-7'!BB61+'[4]LCT-8'!BB61+'[5]TB-1'!BB61+'[5]TB-2'!BB61+'[5]TB-3'!BB61+'[5]TB-4'!BB61+'[5]TB-5'!BB61+'[5]TB-6'!BB61+'[5]TB-7'!BB61+'[5]TB-8'!BB61+'[5]TB-9'!BB61+'[5]TB-10'!BB61+'[6]DSV-1'!BB61+'[6]DSV-2'!BB61+'[6]DSV-3'!BB61+'[7]TUB-1'!BB61+'[7]TUB-2'!BB61+'[8]Barge-1'!BB61+'[8]Barge-2'!BB61+'[8]Barge-3'!BB61+'[8]Barge-4'!BB61</f>
        <v>0</v>
      </c>
      <c r="V63" s="194"/>
      <c r="W63" s="194"/>
      <c r="X63" s="122"/>
      <c r="Y63" s="12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</row>
    <row r="64" spans="1:97" s="90" customFormat="1" ht="15" customHeight="1" x14ac:dyDescent="0.25">
      <c r="A64" s="117">
        <f t="shared" si="4"/>
        <v>45999</v>
      </c>
      <c r="B64" s="119"/>
      <c r="C64" s="194">
        <f>'[2]AHTS-1'!AV62+'[2]AHTS-2'!AV62+'[2]AHTS-3'!AV62+'[2]AHTS-4'!AV62+'[2]AHTS-5'!AV62+'[2]AHTS-6'!AV62+'[2]AHTS-7'!AV62+'[2]AHTS-8'!AV62+'[3]CB-1'!AV62+'[3]CB-2'!AV62+'[3]CB-3'!AV62+'[3]CB-4'!AV62+'[3]CB-5'!AV62+'[3]CB-6'!AV62+'[3]CB-7'!AV62+'[3]CB-8'!AV62+'[3]CB-9'!AV62+'[3]CB-10'!AV62+'[3]CB-11'!AV62+'[3]CB-12'!AV62+'[3]CB-13'!AV62+'[3]CB-14'!AV62+'[3]CB-15'!AV62+'[3]CB-16'!AV62+'[3]CB-17'!AV62+'[3]CB-18'!AV62+'[3]CB-19'!AV62+'[3]CB-20'!AV62+'[3]CB-21'!AV62+'[3]CB-22'!AV62+'[3]CB-23'!AV62+'[3]CB-24'!AV62+'[4]LCT-1'!AV62+'[4]LCT-2'!AV62+'[4]LCT-3'!AV62+'[4]LCT-4'!AV62+'[4]LCT-5'!AV62+'[4]LCT-6'!AV62+'[4]LCT-7'!AV62+'[4]LCT-8'!AV62+'[5]TB-1'!AV62+'[5]TB-2'!AV62+'[5]TB-3'!AV62+'[5]TB-4'!AV62+'[5]TB-5'!AV62+'[5]TB-6'!AV62+'[5]TB-7'!AV62+'[5]TB-8'!AV62+'[5]TB-9'!AV62+'[5]TB-10'!AV62+'[6]DSV-1'!AV62+'[6]DSV-2'!AV62+'[6]DSV-3'!AV62+'[7]TUB-1'!AV62+'[7]TUB-2'!AV62+'[8]Barge-1'!AV62+'[8]Barge-2'!AV62+'[8]Barge-3'!AV62+'[8]Barge-4'!AV62</f>
        <v>0</v>
      </c>
      <c r="D64" s="194"/>
      <c r="E64" s="194"/>
      <c r="F64" s="194">
        <f>'[2]AHTS-1'!AW62+'[2]AHTS-2'!AW62+'[2]AHTS-3'!AW62+'[2]AHTS-4'!AW62+'[2]AHTS-5'!AW62+'[2]AHTS-6'!AW62+'[2]AHTS-7'!AW62+'[2]AHTS-8'!AW62+'[3]CB-1'!AW62+'[3]CB-2'!AW62+'[3]CB-3'!AW62+'[3]CB-4'!AW62+'[3]CB-5'!AW62+'[3]CB-6'!AW62+'[3]CB-7'!AW62+'[3]CB-8'!AW62+'[3]CB-9'!AW62+'[3]CB-10'!AW62+'[3]CB-11'!AW62+'[3]CB-12'!AW62+'[3]CB-13'!AW62+'[3]CB-14'!AW62+'[3]CB-15'!AW62+'[3]CB-16'!AW62+'[3]CB-17'!AW62+'[3]CB-18'!AW62+'[3]CB-19'!AW62+'[3]CB-20'!AW62+'[3]CB-21'!AW62+'[3]CB-22'!AW62+'[3]CB-23'!AW62+'[3]CB-24'!AW62+'[4]LCT-1'!AW62+'[4]LCT-2'!AW62+'[4]LCT-3'!AW62+'[4]LCT-4'!AW62+'[4]LCT-5'!AW62+'[4]LCT-6'!AW62+'[4]LCT-7'!AW62+'[4]LCT-8'!AW62+'[5]TB-1'!AW62+'[5]TB-2'!AW62+'[5]TB-3'!AW62+'[5]TB-4'!AW62+'[5]TB-5'!AW62+'[5]TB-6'!AW62+'[5]TB-7'!AW62+'[5]TB-8'!AW62+'[5]TB-9'!AW62+'[5]TB-10'!AW62+'[6]DSV-1'!AW62+'[6]DSV-2'!AW62+'[6]DSV-3'!AW62+'[7]TUB-1'!AW62+'[7]TUB-2'!AW62+'[8]Barge-1'!AW62+'[8]Barge-2'!AW62+'[8]Barge-3'!AW62+'[8]Barge-4'!AW62</f>
        <v>1606.75</v>
      </c>
      <c r="G64" s="194"/>
      <c r="H64" s="194"/>
      <c r="I64" s="194">
        <f>'[2]AHTS-1'!AX62+'[2]AHTS-2'!AX62+'[2]AHTS-3'!AX62+'[2]AHTS-4'!AX62+'[2]AHTS-5'!AX62+'[2]AHTS-6'!AX62+'[2]AHTS-7'!AX62+'[2]AHTS-8'!AX62+'[3]CB-1'!AX62+'[3]CB-2'!AX62+'[3]CB-3'!AX62+'[3]CB-4'!AX62+'[3]CB-5'!AX62+'[3]CB-6'!AX62+'[3]CB-7'!AX62+'[3]CB-8'!AX62+'[3]CB-9'!AX62+'[3]CB-10'!AX62+'[3]CB-11'!AX62+'[3]CB-12'!AX62+'[3]CB-13'!AX62+'[3]CB-14'!AX62+'[3]CB-15'!AX62+'[3]CB-16'!AX62+'[3]CB-17'!AX62+'[3]CB-18'!AX62+'[3]CB-19'!AX62+'[3]CB-20'!AX62+'[3]CB-21'!AX62+'[3]CB-22'!AX62+'[3]CB-23'!AX62+'[3]CB-24'!AX62+'[4]LCT-1'!AX62+'[4]LCT-2'!AX62+'[4]LCT-3'!AX62+'[4]LCT-4'!AX62+'[4]LCT-5'!AX62+'[4]LCT-6'!AX62+'[4]LCT-7'!AX62+'[4]LCT-8'!AX62+'[5]TB-1'!AX62+'[5]TB-2'!AX62+'[5]TB-3'!AX62+'[5]TB-4'!AX62+'[5]TB-5'!AX62+'[5]TB-6'!AX62+'[5]TB-7'!AX62+'[5]TB-8'!AX62+'[5]TB-9'!AX62+'[5]TB-10'!AX62+'[6]DSV-1'!AX62+'[6]DSV-2'!AX62+'[6]DSV-3'!AX62+'[7]TUB-1'!AX62+'[7]TUB-2'!AX62+'[8]Barge-1'!AX62+'[8]Barge-2'!AX62+'[8]Barge-3'!AX62+'[8]Barge-4'!AX62</f>
        <v>2542</v>
      </c>
      <c r="J64" s="194"/>
      <c r="K64" s="194"/>
      <c r="L64" s="194">
        <f>'[2]AHTS-1'!AY62+'[2]AHTS-2'!AY62+'[2]AHTS-3'!AY62+'[2]AHTS-4'!AY62+'[2]AHTS-5'!AY62+'[2]AHTS-6'!AY62+'[2]AHTS-7'!AY62+'[2]AHTS-8'!AY62+'[3]CB-1'!AY62+'[3]CB-2'!AY62+'[3]CB-3'!AY62+'[3]CB-4'!AY62+'[3]CB-5'!AY62+'[3]CB-6'!AY62+'[3]CB-7'!AY62+'[3]CB-8'!AY62+'[3]CB-9'!AY62+'[3]CB-10'!AY62+'[3]CB-11'!AY62+'[3]CB-12'!AY62+'[3]CB-13'!AY62+'[3]CB-14'!AY62+'[3]CB-15'!AY62+'[3]CB-16'!AY62+'[3]CB-17'!AY62+'[3]CB-18'!AY62+'[3]CB-19'!AY62+'[3]CB-20'!AY62+'[3]CB-21'!AY62+'[3]CB-22'!AY62+'[3]CB-23'!AY62+'[3]CB-24'!AY62+'[4]LCT-1'!AY62+'[4]LCT-2'!AY62+'[4]LCT-3'!AY62+'[4]LCT-4'!AY62+'[4]LCT-5'!AY62+'[4]LCT-6'!AY62+'[4]LCT-7'!AY62+'[4]LCT-8'!AY62+'[5]TB-1'!AY62+'[5]TB-2'!AY62+'[5]TB-3'!AY62+'[5]TB-4'!AY62+'[5]TB-5'!AY62+'[5]TB-6'!AY62+'[5]TB-7'!AY62+'[5]TB-8'!AY62+'[5]TB-9'!AY62+'[5]TB-10'!AY62+'[6]DSV-1'!AY62+'[6]DSV-2'!AY62+'[6]DSV-3'!AY62+'[7]TUB-1'!AY62+'[7]TUB-2'!AY62+'[8]Barge-1'!AY62+'[8]Barge-2'!AY62+'[8]Barge-3'!AY62+'[8]Barge-4'!AY62</f>
        <v>2770</v>
      </c>
      <c r="M64" s="194"/>
      <c r="N64" s="194"/>
      <c r="O64" s="194">
        <f>'[2]AHTS-1'!AZ62+'[2]AHTS-2'!AZ62+'[2]AHTS-3'!AZ62+'[2]AHTS-4'!AZ62+'[2]AHTS-5'!AZ62+'[2]AHTS-6'!AZ62+'[2]AHTS-7'!AZ62+'[2]AHTS-8'!AZ62+'[3]CB-1'!AZ62+'[3]CB-2'!AZ62+'[3]CB-3'!AZ62+'[3]CB-4'!AZ62+'[3]CB-5'!AZ62+'[3]CB-6'!AZ62+'[3]CB-7'!AZ62+'[3]CB-8'!AZ62+'[3]CB-9'!AZ62+'[3]CB-10'!AZ62+'[3]CB-11'!AZ62+'[3]CB-12'!AZ62+'[3]CB-13'!AZ62+'[3]CB-14'!AZ62+'[3]CB-15'!AZ62+'[3]CB-16'!AZ62+'[3]CB-17'!AZ62+'[3]CB-18'!AZ62+'[3]CB-19'!AZ62+'[3]CB-20'!AZ62+'[3]CB-21'!AZ62+'[3]CB-22'!AZ62+'[3]CB-23'!AZ62+'[3]CB-24'!AZ62+'[4]LCT-1'!AZ62+'[4]LCT-2'!AZ62+'[4]LCT-3'!AZ62+'[4]LCT-4'!AZ62+'[4]LCT-5'!AZ62+'[4]LCT-6'!AZ62+'[4]LCT-7'!AZ62+'[4]LCT-8'!AZ62+'[5]TB-1'!AZ62+'[5]TB-2'!AZ62+'[5]TB-3'!AZ62+'[5]TB-4'!AZ62+'[5]TB-5'!AZ62+'[5]TB-6'!AZ62+'[5]TB-7'!AZ62+'[5]TB-8'!AZ62+'[5]TB-9'!AZ62+'[5]TB-10'!AZ62+'[6]DSV-1'!AZ62+'[6]DSV-2'!AZ62+'[6]DSV-3'!AZ62+'[7]TUB-1'!AZ62+'[7]TUB-2'!AZ62+'[8]Barge-1'!AZ62+'[8]Barge-2'!AZ62+'[8]Barge-3'!AZ62+'[8]Barge-4'!AZ62</f>
        <v>85</v>
      </c>
      <c r="P64" s="194"/>
      <c r="Q64" s="194"/>
      <c r="R64" s="194">
        <f>'[2]AHTS-1'!BA62+'[2]AHTS-2'!BA62+'[2]AHTS-3'!BA62+'[2]AHTS-4'!BA62+'[2]AHTS-5'!BA62+'[2]AHTS-6'!BA62+'[2]AHTS-7'!BA62+'[2]AHTS-8'!BA62+'[3]CB-1'!BA62+'[3]CB-2'!BA62+'[3]CB-3'!BA62+'[3]CB-4'!BA62+'[3]CB-5'!BA62+'[3]CB-6'!BA62+'[3]CB-7'!BA62+'[3]CB-8'!BA62+'[3]CB-9'!BA62+'[3]CB-10'!BA62+'[3]CB-11'!BA62+'[3]CB-12'!BA62+'[3]CB-13'!BA62+'[3]CB-14'!BA62+'[3]CB-15'!BA62+'[3]CB-16'!BA62+'[3]CB-17'!BA62+'[3]CB-18'!BA62+'[3]CB-19'!BA62+'[3]CB-20'!BA62+'[3]CB-21'!BA62+'[3]CB-22'!BA62+'[3]CB-23'!BA62+'[3]CB-24'!BA62+'[4]LCT-1'!BA62+'[4]LCT-2'!BA62+'[4]LCT-3'!BA62+'[4]LCT-4'!BA62+'[4]LCT-5'!BA62+'[4]LCT-6'!BA62+'[4]LCT-7'!BA62+'[4]LCT-8'!BA62+'[5]TB-1'!BA62+'[5]TB-2'!BA62+'[5]TB-3'!BA62+'[5]TB-4'!BA62+'[5]TB-5'!BA62+'[5]TB-6'!BA62+'[5]TB-7'!BA62+'[5]TB-8'!BA62+'[5]TB-9'!BA62+'[5]TB-10'!BA62+'[6]DSV-1'!BA62+'[6]DSV-2'!BA62+'[6]DSV-3'!BA62+'[7]TUB-1'!BA62+'[7]TUB-2'!BA62+'[8]Barge-1'!BA62+'[8]Barge-2'!BA62+'[8]Barge-3'!BA62+'[8]Barge-4'!BA62</f>
        <v>4760.666666666667</v>
      </c>
      <c r="S64" s="194"/>
      <c r="T64" s="194"/>
      <c r="U64" s="194">
        <f>'[2]AHTS-1'!BB62+'[2]AHTS-2'!BB62+'[2]AHTS-3'!BB62+'[2]AHTS-4'!BB62+'[2]AHTS-5'!BB62+'[2]AHTS-6'!BB62+'[2]AHTS-7'!BB62+'[2]AHTS-8'!BB62+'[3]CB-1'!BB62+'[3]CB-2'!BB62+'[3]CB-3'!BB62+'[3]CB-4'!BB62+'[3]CB-5'!BB62+'[3]CB-6'!BB62+'[3]CB-7'!BB62+'[3]CB-8'!BB62+'[3]CB-9'!BB62+'[3]CB-10'!BB62+'[3]CB-11'!BB62+'[3]CB-12'!BB62+'[3]CB-13'!BB62+'[3]CB-14'!BB62+'[3]CB-15'!BB62+'[3]CB-16'!BB62+'[3]CB-17'!BB62+'[3]CB-18'!BB62+'[3]CB-19'!BB62+'[3]CB-20'!BB62+'[3]CB-21'!BB62+'[3]CB-22'!BB62+'[3]CB-23'!BB62+'[3]CB-24'!BB62+'[4]LCT-1'!BB62+'[4]LCT-2'!BB62+'[4]LCT-3'!BB62+'[4]LCT-4'!BB62+'[4]LCT-5'!BB62+'[4]LCT-6'!BB62+'[4]LCT-7'!BB62+'[4]LCT-8'!BB62+'[5]TB-1'!BB62+'[5]TB-2'!BB62+'[5]TB-3'!BB62+'[5]TB-4'!BB62+'[5]TB-5'!BB62+'[5]TB-6'!BB62+'[5]TB-7'!BB62+'[5]TB-8'!BB62+'[5]TB-9'!BB62+'[5]TB-10'!BB62+'[6]DSV-1'!BB62+'[6]DSV-2'!BB62+'[6]DSV-3'!BB62+'[7]TUB-1'!BB62+'[7]TUB-2'!BB62+'[8]Barge-1'!BB62+'[8]Barge-2'!BB62+'[8]Barge-3'!BB62+'[8]Barge-4'!BB62</f>
        <v>0</v>
      </c>
      <c r="V64" s="194"/>
      <c r="W64" s="194"/>
      <c r="X64" s="122"/>
      <c r="Y64" s="12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  <c r="BN64" s="82"/>
      <c r="BO64" s="82"/>
      <c r="BP64" s="82"/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2"/>
      <c r="CB64" s="82"/>
      <c r="CC64" s="82"/>
      <c r="CD64" s="82"/>
      <c r="CE64" s="82"/>
      <c r="CF64" s="82"/>
      <c r="CG64" s="82"/>
      <c r="CH64" s="82"/>
      <c r="CI64" s="82"/>
      <c r="CJ64" s="82"/>
      <c r="CK64" s="82"/>
      <c r="CL64" s="82"/>
      <c r="CM64" s="82"/>
      <c r="CN64" s="82"/>
      <c r="CO64" s="82"/>
      <c r="CP64" s="82"/>
      <c r="CQ64" s="82"/>
      <c r="CR64" s="82"/>
      <c r="CS64" s="82"/>
    </row>
    <row r="65" spans="1:97" s="90" customFormat="1" ht="15" customHeight="1" x14ac:dyDescent="0.25">
      <c r="A65" s="117">
        <f t="shared" si="4"/>
        <v>46000</v>
      </c>
      <c r="B65" s="120"/>
      <c r="C65" s="194">
        <f>'[2]AHTS-1'!AV63+'[2]AHTS-2'!AV63+'[2]AHTS-3'!AV63+'[2]AHTS-4'!AV63+'[2]AHTS-5'!AV63+'[2]AHTS-6'!AV63+'[2]AHTS-7'!AV63+'[2]AHTS-8'!AV63+'[3]CB-1'!AV63+'[3]CB-2'!AV63+'[3]CB-3'!AV63+'[3]CB-4'!AV63+'[3]CB-5'!AV63+'[3]CB-6'!AV63+'[3]CB-7'!AV63+'[3]CB-8'!AV63+'[3]CB-9'!AV63+'[3]CB-10'!AV63+'[3]CB-11'!AV63+'[3]CB-12'!AV63+'[3]CB-13'!AV63+'[3]CB-14'!AV63+'[3]CB-15'!AV63+'[3]CB-16'!AV63+'[3]CB-17'!AV63+'[3]CB-18'!AV63+'[3]CB-19'!AV63+'[3]CB-20'!AV63+'[3]CB-21'!AV63+'[3]CB-22'!AV63+'[3]CB-23'!AV63+'[3]CB-24'!AV63+'[4]LCT-1'!AV63+'[4]LCT-2'!AV63+'[4]LCT-3'!AV63+'[4]LCT-4'!AV63+'[4]LCT-5'!AV63+'[4]LCT-6'!AV63+'[4]LCT-7'!AV63+'[4]LCT-8'!AV63+'[5]TB-1'!AV63+'[5]TB-2'!AV63+'[5]TB-3'!AV63+'[5]TB-4'!AV63+'[5]TB-5'!AV63+'[5]TB-6'!AV63+'[5]TB-7'!AV63+'[5]TB-8'!AV63+'[5]TB-9'!AV63+'[5]TB-10'!AV63+'[6]DSV-1'!AV63+'[6]DSV-2'!AV63+'[6]DSV-3'!AV63+'[7]TUB-1'!AV63+'[7]TUB-2'!AV63+'[8]Barge-1'!AV63+'[8]Barge-2'!AV63+'[8]Barge-3'!AV63+'[8]Barge-4'!AV63</f>
        <v>0</v>
      </c>
      <c r="D65" s="194"/>
      <c r="E65" s="194"/>
      <c r="F65" s="194">
        <f>'[2]AHTS-1'!AW63+'[2]AHTS-2'!AW63+'[2]AHTS-3'!AW63+'[2]AHTS-4'!AW63+'[2]AHTS-5'!AW63+'[2]AHTS-6'!AW63+'[2]AHTS-7'!AW63+'[2]AHTS-8'!AW63+'[3]CB-1'!AW63+'[3]CB-2'!AW63+'[3]CB-3'!AW63+'[3]CB-4'!AW63+'[3]CB-5'!AW63+'[3]CB-6'!AW63+'[3]CB-7'!AW63+'[3]CB-8'!AW63+'[3]CB-9'!AW63+'[3]CB-10'!AW63+'[3]CB-11'!AW63+'[3]CB-12'!AW63+'[3]CB-13'!AW63+'[3]CB-14'!AW63+'[3]CB-15'!AW63+'[3]CB-16'!AW63+'[3]CB-17'!AW63+'[3]CB-18'!AW63+'[3]CB-19'!AW63+'[3]CB-20'!AW63+'[3]CB-21'!AW63+'[3]CB-22'!AW63+'[3]CB-23'!AW63+'[3]CB-24'!AW63+'[4]LCT-1'!AW63+'[4]LCT-2'!AW63+'[4]LCT-3'!AW63+'[4]LCT-4'!AW63+'[4]LCT-5'!AW63+'[4]LCT-6'!AW63+'[4]LCT-7'!AW63+'[4]LCT-8'!AW63+'[5]TB-1'!AW63+'[5]TB-2'!AW63+'[5]TB-3'!AW63+'[5]TB-4'!AW63+'[5]TB-5'!AW63+'[5]TB-6'!AW63+'[5]TB-7'!AW63+'[5]TB-8'!AW63+'[5]TB-9'!AW63+'[5]TB-10'!AW63+'[6]DSV-1'!AW63+'[6]DSV-2'!AW63+'[6]DSV-3'!AW63+'[7]TUB-1'!AW63+'[7]TUB-2'!AW63+'[8]Barge-1'!AW63+'[8]Barge-2'!AW63+'[8]Barge-3'!AW63+'[8]Barge-4'!AW63</f>
        <v>2797.6666666666665</v>
      </c>
      <c r="G65" s="194"/>
      <c r="H65" s="194"/>
      <c r="I65" s="194">
        <f>'[2]AHTS-1'!AX63+'[2]AHTS-2'!AX63+'[2]AHTS-3'!AX63+'[2]AHTS-4'!AX63+'[2]AHTS-5'!AX63+'[2]AHTS-6'!AX63+'[2]AHTS-7'!AX63+'[2]AHTS-8'!AX63+'[3]CB-1'!AX63+'[3]CB-2'!AX63+'[3]CB-3'!AX63+'[3]CB-4'!AX63+'[3]CB-5'!AX63+'[3]CB-6'!AX63+'[3]CB-7'!AX63+'[3]CB-8'!AX63+'[3]CB-9'!AX63+'[3]CB-10'!AX63+'[3]CB-11'!AX63+'[3]CB-12'!AX63+'[3]CB-13'!AX63+'[3]CB-14'!AX63+'[3]CB-15'!AX63+'[3]CB-16'!AX63+'[3]CB-17'!AX63+'[3]CB-18'!AX63+'[3]CB-19'!AX63+'[3]CB-20'!AX63+'[3]CB-21'!AX63+'[3]CB-22'!AX63+'[3]CB-23'!AX63+'[3]CB-24'!AX63+'[4]LCT-1'!AX63+'[4]LCT-2'!AX63+'[4]LCT-3'!AX63+'[4]LCT-4'!AX63+'[4]LCT-5'!AX63+'[4]LCT-6'!AX63+'[4]LCT-7'!AX63+'[4]LCT-8'!AX63+'[5]TB-1'!AX63+'[5]TB-2'!AX63+'[5]TB-3'!AX63+'[5]TB-4'!AX63+'[5]TB-5'!AX63+'[5]TB-6'!AX63+'[5]TB-7'!AX63+'[5]TB-8'!AX63+'[5]TB-9'!AX63+'[5]TB-10'!AX63+'[6]DSV-1'!AX63+'[6]DSV-2'!AX63+'[6]DSV-3'!AX63+'[7]TUB-1'!AX63+'[7]TUB-2'!AX63+'[8]Barge-1'!AX63+'[8]Barge-2'!AX63+'[8]Barge-3'!AX63+'[8]Barge-4'!AX63</f>
        <v>2116.5</v>
      </c>
      <c r="J65" s="194"/>
      <c r="K65" s="194"/>
      <c r="L65" s="194">
        <f>'[2]AHTS-1'!AY63+'[2]AHTS-2'!AY63+'[2]AHTS-3'!AY63+'[2]AHTS-4'!AY63+'[2]AHTS-5'!AY63+'[2]AHTS-6'!AY63+'[2]AHTS-7'!AY63+'[2]AHTS-8'!AY63+'[3]CB-1'!AY63+'[3]CB-2'!AY63+'[3]CB-3'!AY63+'[3]CB-4'!AY63+'[3]CB-5'!AY63+'[3]CB-6'!AY63+'[3]CB-7'!AY63+'[3]CB-8'!AY63+'[3]CB-9'!AY63+'[3]CB-10'!AY63+'[3]CB-11'!AY63+'[3]CB-12'!AY63+'[3]CB-13'!AY63+'[3]CB-14'!AY63+'[3]CB-15'!AY63+'[3]CB-16'!AY63+'[3]CB-17'!AY63+'[3]CB-18'!AY63+'[3]CB-19'!AY63+'[3]CB-20'!AY63+'[3]CB-21'!AY63+'[3]CB-22'!AY63+'[3]CB-23'!AY63+'[3]CB-24'!AY63+'[4]LCT-1'!AY63+'[4]LCT-2'!AY63+'[4]LCT-3'!AY63+'[4]LCT-4'!AY63+'[4]LCT-5'!AY63+'[4]LCT-6'!AY63+'[4]LCT-7'!AY63+'[4]LCT-8'!AY63+'[5]TB-1'!AY63+'[5]TB-2'!AY63+'[5]TB-3'!AY63+'[5]TB-4'!AY63+'[5]TB-5'!AY63+'[5]TB-6'!AY63+'[5]TB-7'!AY63+'[5]TB-8'!AY63+'[5]TB-9'!AY63+'[5]TB-10'!AY63+'[6]DSV-1'!AY63+'[6]DSV-2'!AY63+'[6]DSV-3'!AY63+'[7]TUB-1'!AY63+'[7]TUB-2'!AY63+'[8]Barge-1'!AY63+'[8]Barge-2'!AY63+'[8]Barge-3'!AY63+'[8]Barge-4'!AY63</f>
        <v>2619.3333333333335</v>
      </c>
      <c r="M65" s="194"/>
      <c r="N65" s="194"/>
      <c r="O65" s="194">
        <f>'[2]AHTS-1'!AZ63+'[2]AHTS-2'!AZ63+'[2]AHTS-3'!AZ63+'[2]AHTS-4'!AZ63+'[2]AHTS-5'!AZ63+'[2]AHTS-6'!AZ63+'[2]AHTS-7'!AZ63+'[2]AHTS-8'!AZ63+'[3]CB-1'!AZ63+'[3]CB-2'!AZ63+'[3]CB-3'!AZ63+'[3]CB-4'!AZ63+'[3]CB-5'!AZ63+'[3]CB-6'!AZ63+'[3]CB-7'!AZ63+'[3]CB-8'!AZ63+'[3]CB-9'!AZ63+'[3]CB-10'!AZ63+'[3]CB-11'!AZ63+'[3]CB-12'!AZ63+'[3]CB-13'!AZ63+'[3]CB-14'!AZ63+'[3]CB-15'!AZ63+'[3]CB-16'!AZ63+'[3]CB-17'!AZ63+'[3]CB-18'!AZ63+'[3]CB-19'!AZ63+'[3]CB-20'!AZ63+'[3]CB-21'!AZ63+'[3]CB-22'!AZ63+'[3]CB-23'!AZ63+'[3]CB-24'!AZ63+'[4]LCT-1'!AZ63+'[4]LCT-2'!AZ63+'[4]LCT-3'!AZ63+'[4]LCT-4'!AZ63+'[4]LCT-5'!AZ63+'[4]LCT-6'!AZ63+'[4]LCT-7'!AZ63+'[4]LCT-8'!AZ63+'[5]TB-1'!AZ63+'[5]TB-2'!AZ63+'[5]TB-3'!AZ63+'[5]TB-4'!AZ63+'[5]TB-5'!AZ63+'[5]TB-6'!AZ63+'[5]TB-7'!AZ63+'[5]TB-8'!AZ63+'[5]TB-9'!AZ63+'[5]TB-10'!AZ63+'[6]DSV-1'!AZ63+'[6]DSV-2'!AZ63+'[6]DSV-3'!AZ63+'[7]TUB-1'!AZ63+'[7]TUB-2'!AZ63+'[8]Barge-1'!AZ63+'[8]Barge-2'!AZ63+'[8]Barge-3'!AZ63+'[8]Barge-4'!AZ63</f>
        <v>26.333333333333332</v>
      </c>
      <c r="P65" s="194"/>
      <c r="Q65" s="194"/>
      <c r="R65" s="194">
        <f>'[2]AHTS-1'!BA63+'[2]AHTS-2'!BA63+'[2]AHTS-3'!BA63+'[2]AHTS-4'!BA63+'[2]AHTS-5'!BA63+'[2]AHTS-6'!BA63+'[2]AHTS-7'!BA63+'[2]AHTS-8'!BA63+'[3]CB-1'!BA63+'[3]CB-2'!BA63+'[3]CB-3'!BA63+'[3]CB-4'!BA63+'[3]CB-5'!BA63+'[3]CB-6'!BA63+'[3]CB-7'!BA63+'[3]CB-8'!BA63+'[3]CB-9'!BA63+'[3]CB-10'!BA63+'[3]CB-11'!BA63+'[3]CB-12'!BA63+'[3]CB-13'!BA63+'[3]CB-14'!BA63+'[3]CB-15'!BA63+'[3]CB-16'!BA63+'[3]CB-17'!BA63+'[3]CB-18'!BA63+'[3]CB-19'!BA63+'[3]CB-20'!BA63+'[3]CB-21'!BA63+'[3]CB-22'!BA63+'[3]CB-23'!BA63+'[3]CB-24'!BA63+'[4]LCT-1'!BA63+'[4]LCT-2'!BA63+'[4]LCT-3'!BA63+'[4]LCT-4'!BA63+'[4]LCT-5'!BA63+'[4]LCT-6'!BA63+'[4]LCT-7'!BA63+'[4]LCT-8'!BA63+'[5]TB-1'!BA63+'[5]TB-2'!BA63+'[5]TB-3'!BA63+'[5]TB-4'!BA63+'[5]TB-5'!BA63+'[5]TB-6'!BA63+'[5]TB-7'!BA63+'[5]TB-8'!BA63+'[5]TB-9'!BA63+'[5]TB-10'!BA63+'[6]DSV-1'!BA63+'[6]DSV-2'!BA63+'[6]DSV-3'!BA63+'[7]TUB-1'!BA63+'[7]TUB-2'!BA63+'[8]Barge-1'!BA63+'[8]Barge-2'!BA63+'[8]Barge-3'!BA63+'[8]Barge-4'!BA63</f>
        <v>5115</v>
      </c>
      <c r="S65" s="194"/>
      <c r="T65" s="194"/>
      <c r="U65" s="194">
        <f>'[2]AHTS-1'!BB63+'[2]AHTS-2'!BB63+'[2]AHTS-3'!BB63+'[2]AHTS-4'!BB63+'[2]AHTS-5'!BB63+'[2]AHTS-6'!BB63+'[2]AHTS-7'!BB63+'[2]AHTS-8'!BB63+'[3]CB-1'!BB63+'[3]CB-2'!BB63+'[3]CB-3'!BB63+'[3]CB-4'!BB63+'[3]CB-5'!BB63+'[3]CB-6'!BB63+'[3]CB-7'!BB63+'[3]CB-8'!BB63+'[3]CB-9'!BB63+'[3]CB-10'!BB63+'[3]CB-11'!BB63+'[3]CB-12'!BB63+'[3]CB-13'!BB63+'[3]CB-14'!BB63+'[3]CB-15'!BB63+'[3]CB-16'!BB63+'[3]CB-17'!BB63+'[3]CB-18'!BB63+'[3]CB-19'!BB63+'[3]CB-20'!BB63+'[3]CB-21'!BB63+'[3]CB-22'!BB63+'[3]CB-23'!BB63+'[3]CB-24'!BB63+'[4]LCT-1'!BB63+'[4]LCT-2'!BB63+'[4]LCT-3'!BB63+'[4]LCT-4'!BB63+'[4]LCT-5'!BB63+'[4]LCT-6'!BB63+'[4]LCT-7'!BB63+'[4]LCT-8'!BB63+'[5]TB-1'!BB63+'[5]TB-2'!BB63+'[5]TB-3'!BB63+'[5]TB-4'!BB63+'[5]TB-5'!BB63+'[5]TB-6'!BB63+'[5]TB-7'!BB63+'[5]TB-8'!BB63+'[5]TB-9'!BB63+'[5]TB-10'!BB63+'[6]DSV-1'!BB63+'[6]DSV-2'!BB63+'[6]DSV-3'!BB63+'[7]TUB-1'!BB63+'[7]TUB-2'!BB63+'[8]Barge-1'!BB63+'[8]Barge-2'!BB63+'[8]Barge-3'!BB63+'[8]Barge-4'!BB63</f>
        <v>0</v>
      </c>
      <c r="V65" s="194"/>
      <c r="W65" s="194"/>
      <c r="X65" s="122"/>
      <c r="Y65" s="12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82"/>
      <c r="BU65" s="82"/>
      <c r="BV65" s="82"/>
      <c r="BW65" s="82"/>
      <c r="BX65" s="82"/>
      <c r="BY65" s="82"/>
      <c r="BZ65" s="82"/>
      <c r="CA65" s="82"/>
      <c r="CB65" s="82"/>
      <c r="CC65" s="82"/>
      <c r="CD65" s="82"/>
      <c r="CE65" s="82"/>
      <c r="CF65" s="82"/>
      <c r="CG65" s="82"/>
      <c r="CH65" s="82"/>
      <c r="CI65" s="82"/>
      <c r="CJ65" s="82"/>
      <c r="CK65" s="82"/>
      <c r="CL65" s="82"/>
      <c r="CM65" s="82"/>
      <c r="CN65" s="82"/>
      <c r="CO65" s="82"/>
      <c r="CP65" s="82"/>
      <c r="CQ65" s="82"/>
      <c r="CR65" s="82"/>
      <c r="CS65" s="82"/>
    </row>
    <row r="66" spans="1:97" s="90" customFormat="1" ht="15" customHeight="1" x14ac:dyDescent="0.25">
      <c r="A66" s="117">
        <f t="shared" si="4"/>
        <v>46001</v>
      </c>
      <c r="B66" s="120"/>
      <c r="C66" s="194">
        <f>'[2]AHTS-1'!AV64+'[2]AHTS-2'!AV64+'[2]AHTS-3'!AV64+'[2]AHTS-4'!AV64+'[2]AHTS-5'!AV64+'[2]AHTS-6'!AV64+'[2]AHTS-7'!AV64+'[2]AHTS-8'!AV64+'[3]CB-1'!AV64+'[3]CB-2'!AV64+'[3]CB-3'!AV64+'[3]CB-4'!AV64+'[3]CB-5'!AV64+'[3]CB-6'!AV64+'[3]CB-7'!AV64+'[3]CB-8'!AV64+'[3]CB-9'!AV64+'[3]CB-10'!AV64+'[3]CB-11'!AV64+'[3]CB-12'!AV64+'[3]CB-13'!AV64+'[3]CB-14'!AV64+'[3]CB-15'!AV64+'[3]CB-16'!AV64+'[3]CB-17'!AV64+'[3]CB-18'!AV64+'[3]CB-19'!AV64+'[3]CB-20'!AV64+'[3]CB-21'!AV64+'[3]CB-22'!AV64+'[3]CB-23'!AV64+'[3]CB-24'!AV64+'[4]LCT-1'!AV64+'[4]LCT-2'!AV64+'[4]LCT-3'!AV64+'[4]LCT-4'!AV64+'[4]LCT-5'!AV64+'[4]LCT-6'!AV64+'[4]LCT-7'!AV64+'[4]LCT-8'!AV64+'[5]TB-1'!AV64+'[5]TB-2'!AV64+'[5]TB-3'!AV64+'[5]TB-4'!AV64+'[5]TB-5'!AV64+'[5]TB-6'!AV64+'[5]TB-7'!AV64+'[5]TB-8'!AV64+'[5]TB-9'!AV64+'[5]TB-10'!AV64+'[6]DSV-1'!AV64+'[6]DSV-2'!AV64+'[6]DSV-3'!AV64+'[7]TUB-1'!AV64+'[7]TUB-2'!AV64+'[8]Barge-1'!AV64+'[8]Barge-2'!AV64+'[8]Barge-3'!AV64+'[8]Barge-4'!AV64</f>
        <v>0</v>
      </c>
      <c r="D66" s="194"/>
      <c r="E66" s="194"/>
      <c r="F66" s="194">
        <f>'[2]AHTS-1'!AW64+'[2]AHTS-2'!AW64+'[2]AHTS-3'!AW64+'[2]AHTS-4'!AW64+'[2]AHTS-5'!AW64+'[2]AHTS-6'!AW64+'[2]AHTS-7'!AW64+'[2]AHTS-8'!AW64+'[3]CB-1'!AW64+'[3]CB-2'!AW64+'[3]CB-3'!AW64+'[3]CB-4'!AW64+'[3]CB-5'!AW64+'[3]CB-6'!AW64+'[3]CB-7'!AW64+'[3]CB-8'!AW64+'[3]CB-9'!AW64+'[3]CB-10'!AW64+'[3]CB-11'!AW64+'[3]CB-12'!AW64+'[3]CB-13'!AW64+'[3]CB-14'!AW64+'[3]CB-15'!AW64+'[3]CB-16'!AW64+'[3]CB-17'!AW64+'[3]CB-18'!AW64+'[3]CB-19'!AW64+'[3]CB-20'!AW64+'[3]CB-21'!AW64+'[3]CB-22'!AW64+'[3]CB-23'!AW64+'[3]CB-24'!AW64+'[4]LCT-1'!AW64+'[4]LCT-2'!AW64+'[4]LCT-3'!AW64+'[4]LCT-4'!AW64+'[4]LCT-5'!AW64+'[4]LCT-6'!AW64+'[4]LCT-7'!AW64+'[4]LCT-8'!AW64+'[5]TB-1'!AW64+'[5]TB-2'!AW64+'[5]TB-3'!AW64+'[5]TB-4'!AW64+'[5]TB-5'!AW64+'[5]TB-6'!AW64+'[5]TB-7'!AW64+'[5]TB-8'!AW64+'[5]TB-9'!AW64+'[5]TB-10'!AW64+'[6]DSV-1'!AW64+'[6]DSV-2'!AW64+'[6]DSV-3'!AW64+'[7]TUB-1'!AW64+'[7]TUB-2'!AW64+'[8]Barge-1'!AW64+'[8]Barge-2'!AW64+'[8]Barge-3'!AW64+'[8]Barge-4'!AW64</f>
        <v>1457</v>
      </c>
      <c r="G66" s="194"/>
      <c r="H66" s="194"/>
      <c r="I66" s="194">
        <f>'[2]AHTS-1'!AX64+'[2]AHTS-2'!AX64+'[2]AHTS-3'!AX64+'[2]AHTS-4'!AX64+'[2]AHTS-5'!AX64+'[2]AHTS-6'!AX64+'[2]AHTS-7'!AX64+'[2]AHTS-8'!AX64+'[3]CB-1'!AX64+'[3]CB-2'!AX64+'[3]CB-3'!AX64+'[3]CB-4'!AX64+'[3]CB-5'!AX64+'[3]CB-6'!AX64+'[3]CB-7'!AX64+'[3]CB-8'!AX64+'[3]CB-9'!AX64+'[3]CB-10'!AX64+'[3]CB-11'!AX64+'[3]CB-12'!AX64+'[3]CB-13'!AX64+'[3]CB-14'!AX64+'[3]CB-15'!AX64+'[3]CB-16'!AX64+'[3]CB-17'!AX64+'[3]CB-18'!AX64+'[3]CB-19'!AX64+'[3]CB-20'!AX64+'[3]CB-21'!AX64+'[3]CB-22'!AX64+'[3]CB-23'!AX64+'[3]CB-24'!AX64+'[4]LCT-1'!AX64+'[4]LCT-2'!AX64+'[4]LCT-3'!AX64+'[4]LCT-4'!AX64+'[4]LCT-5'!AX64+'[4]LCT-6'!AX64+'[4]LCT-7'!AX64+'[4]LCT-8'!AX64+'[5]TB-1'!AX64+'[5]TB-2'!AX64+'[5]TB-3'!AX64+'[5]TB-4'!AX64+'[5]TB-5'!AX64+'[5]TB-6'!AX64+'[5]TB-7'!AX64+'[5]TB-8'!AX64+'[5]TB-9'!AX64+'[5]TB-10'!AX64+'[6]DSV-1'!AX64+'[6]DSV-2'!AX64+'[6]DSV-3'!AX64+'[7]TUB-1'!AX64+'[7]TUB-2'!AX64+'[8]Barge-1'!AX64+'[8]Barge-2'!AX64+'[8]Barge-3'!AX64+'[8]Barge-4'!AX64</f>
        <v>2429.583333333333</v>
      </c>
      <c r="J66" s="194"/>
      <c r="K66" s="194"/>
      <c r="L66" s="194">
        <f>'[2]AHTS-1'!AY64+'[2]AHTS-2'!AY64+'[2]AHTS-3'!AY64+'[2]AHTS-4'!AY64+'[2]AHTS-5'!AY64+'[2]AHTS-6'!AY64+'[2]AHTS-7'!AY64+'[2]AHTS-8'!AY64+'[3]CB-1'!AY64+'[3]CB-2'!AY64+'[3]CB-3'!AY64+'[3]CB-4'!AY64+'[3]CB-5'!AY64+'[3]CB-6'!AY64+'[3]CB-7'!AY64+'[3]CB-8'!AY64+'[3]CB-9'!AY64+'[3]CB-10'!AY64+'[3]CB-11'!AY64+'[3]CB-12'!AY64+'[3]CB-13'!AY64+'[3]CB-14'!AY64+'[3]CB-15'!AY64+'[3]CB-16'!AY64+'[3]CB-17'!AY64+'[3]CB-18'!AY64+'[3]CB-19'!AY64+'[3]CB-20'!AY64+'[3]CB-21'!AY64+'[3]CB-22'!AY64+'[3]CB-23'!AY64+'[3]CB-24'!AY64+'[4]LCT-1'!AY64+'[4]LCT-2'!AY64+'[4]LCT-3'!AY64+'[4]LCT-4'!AY64+'[4]LCT-5'!AY64+'[4]LCT-6'!AY64+'[4]LCT-7'!AY64+'[4]LCT-8'!AY64+'[5]TB-1'!AY64+'[5]TB-2'!AY64+'[5]TB-3'!AY64+'[5]TB-4'!AY64+'[5]TB-5'!AY64+'[5]TB-6'!AY64+'[5]TB-7'!AY64+'[5]TB-8'!AY64+'[5]TB-9'!AY64+'[5]TB-10'!AY64+'[6]DSV-1'!AY64+'[6]DSV-2'!AY64+'[6]DSV-3'!AY64+'[7]TUB-1'!AY64+'[7]TUB-2'!AY64+'[8]Barge-1'!AY64+'[8]Barge-2'!AY64+'[8]Barge-3'!AY64+'[8]Barge-4'!AY64</f>
        <v>8775.25</v>
      </c>
      <c r="M66" s="194"/>
      <c r="N66" s="194"/>
      <c r="O66" s="194">
        <f>'[2]AHTS-1'!AZ64+'[2]AHTS-2'!AZ64+'[2]AHTS-3'!AZ64+'[2]AHTS-4'!AZ64+'[2]AHTS-5'!AZ64+'[2]AHTS-6'!AZ64+'[2]AHTS-7'!AZ64+'[2]AHTS-8'!AZ64+'[3]CB-1'!AZ64+'[3]CB-2'!AZ64+'[3]CB-3'!AZ64+'[3]CB-4'!AZ64+'[3]CB-5'!AZ64+'[3]CB-6'!AZ64+'[3]CB-7'!AZ64+'[3]CB-8'!AZ64+'[3]CB-9'!AZ64+'[3]CB-10'!AZ64+'[3]CB-11'!AZ64+'[3]CB-12'!AZ64+'[3]CB-13'!AZ64+'[3]CB-14'!AZ64+'[3]CB-15'!AZ64+'[3]CB-16'!AZ64+'[3]CB-17'!AZ64+'[3]CB-18'!AZ64+'[3]CB-19'!AZ64+'[3]CB-20'!AZ64+'[3]CB-21'!AZ64+'[3]CB-22'!AZ64+'[3]CB-23'!AZ64+'[3]CB-24'!AZ64+'[4]LCT-1'!AZ64+'[4]LCT-2'!AZ64+'[4]LCT-3'!AZ64+'[4]LCT-4'!AZ64+'[4]LCT-5'!AZ64+'[4]LCT-6'!AZ64+'[4]LCT-7'!AZ64+'[4]LCT-8'!AZ64+'[5]TB-1'!AZ64+'[5]TB-2'!AZ64+'[5]TB-3'!AZ64+'[5]TB-4'!AZ64+'[5]TB-5'!AZ64+'[5]TB-6'!AZ64+'[5]TB-7'!AZ64+'[5]TB-8'!AZ64+'[5]TB-9'!AZ64+'[5]TB-10'!AZ64+'[6]DSV-1'!AZ64+'[6]DSV-2'!AZ64+'[6]DSV-3'!AZ64+'[7]TUB-1'!AZ64+'[7]TUB-2'!AZ64+'[8]Barge-1'!AZ64+'[8]Barge-2'!AZ64+'[8]Barge-3'!AZ64+'[8]Barge-4'!AZ64</f>
        <v>18.833333333333332</v>
      </c>
      <c r="P66" s="194"/>
      <c r="Q66" s="194"/>
      <c r="R66" s="194">
        <f>'[2]AHTS-1'!BA64+'[2]AHTS-2'!BA64+'[2]AHTS-3'!BA64+'[2]AHTS-4'!BA64+'[2]AHTS-5'!BA64+'[2]AHTS-6'!BA64+'[2]AHTS-7'!BA64+'[2]AHTS-8'!BA64+'[3]CB-1'!BA64+'[3]CB-2'!BA64+'[3]CB-3'!BA64+'[3]CB-4'!BA64+'[3]CB-5'!BA64+'[3]CB-6'!BA64+'[3]CB-7'!BA64+'[3]CB-8'!BA64+'[3]CB-9'!BA64+'[3]CB-10'!BA64+'[3]CB-11'!BA64+'[3]CB-12'!BA64+'[3]CB-13'!BA64+'[3]CB-14'!BA64+'[3]CB-15'!BA64+'[3]CB-16'!BA64+'[3]CB-17'!BA64+'[3]CB-18'!BA64+'[3]CB-19'!BA64+'[3]CB-20'!BA64+'[3]CB-21'!BA64+'[3]CB-22'!BA64+'[3]CB-23'!BA64+'[3]CB-24'!BA64+'[4]LCT-1'!BA64+'[4]LCT-2'!BA64+'[4]LCT-3'!BA64+'[4]LCT-4'!BA64+'[4]LCT-5'!BA64+'[4]LCT-6'!BA64+'[4]LCT-7'!BA64+'[4]LCT-8'!BA64+'[5]TB-1'!BA64+'[5]TB-2'!BA64+'[5]TB-3'!BA64+'[5]TB-4'!BA64+'[5]TB-5'!BA64+'[5]TB-6'!BA64+'[5]TB-7'!BA64+'[5]TB-8'!BA64+'[5]TB-9'!BA64+'[5]TB-10'!BA64+'[6]DSV-1'!BA64+'[6]DSV-2'!BA64+'[6]DSV-3'!BA64+'[7]TUB-1'!BA64+'[7]TUB-2'!BA64+'[8]Barge-1'!BA64+'[8]Barge-2'!BA64+'[8]Barge-3'!BA64+'[8]Barge-4'!BA64</f>
        <v>4449.333333333333</v>
      </c>
      <c r="S66" s="194"/>
      <c r="T66" s="194"/>
      <c r="U66" s="194">
        <f>'[2]AHTS-1'!BB64+'[2]AHTS-2'!BB64+'[2]AHTS-3'!BB64+'[2]AHTS-4'!BB64+'[2]AHTS-5'!BB64+'[2]AHTS-6'!BB64+'[2]AHTS-7'!BB64+'[2]AHTS-8'!BB64+'[3]CB-1'!BB64+'[3]CB-2'!BB64+'[3]CB-3'!BB64+'[3]CB-4'!BB64+'[3]CB-5'!BB64+'[3]CB-6'!BB64+'[3]CB-7'!BB64+'[3]CB-8'!BB64+'[3]CB-9'!BB64+'[3]CB-10'!BB64+'[3]CB-11'!BB64+'[3]CB-12'!BB64+'[3]CB-13'!BB64+'[3]CB-14'!BB64+'[3]CB-15'!BB64+'[3]CB-16'!BB64+'[3]CB-17'!BB64+'[3]CB-18'!BB64+'[3]CB-19'!BB64+'[3]CB-20'!BB64+'[3]CB-21'!BB64+'[3]CB-22'!BB64+'[3]CB-23'!BB64+'[3]CB-24'!BB64+'[4]LCT-1'!BB64+'[4]LCT-2'!BB64+'[4]LCT-3'!BB64+'[4]LCT-4'!BB64+'[4]LCT-5'!BB64+'[4]LCT-6'!BB64+'[4]LCT-7'!BB64+'[4]LCT-8'!BB64+'[5]TB-1'!BB64+'[5]TB-2'!BB64+'[5]TB-3'!BB64+'[5]TB-4'!BB64+'[5]TB-5'!BB64+'[5]TB-6'!BB64+'[5]TB-7'!BB64+'[5]TB-8'!BB64+'[5]TB-9'!BB64+'[5]TB-10'!BB64+'[6]DSV-1'!BB64+'[6]DSV-2'!BB64+'[6]DSV-3'!BB64+'[7]TUB-1'!BB64+'[7]TUB-2'!BB64+'[8]Barge-1'!BB64+'[8]Barge-2'!BB64+'[8]Barge-3'!BB64+'[8]Barge-4'!BB64</f>
        <v>0</v>
      </c>
      <c r="V66" s="194"/>
      <c r="W66" s="194"/>
      <c r="X66" s="122"/>
      <c r="Y66" s="12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  <c r="BN66" s="82"/>
      <c r="BO66" s="82"/>
      <c r="BP66" s="82"/>
      <c r="BQ66" s="82"/>
      <c r="BR66" s="82"/>
      <c r="BS66" s="82"/>
      <c r="BT66" s="82"/>
      <c r="BU66" s="82"/>
      <c r="BV66" s="82"/>
      <c r="BW66" s="82"/>
      <c r="BX66" s="82"/>
      <c r="BY66" s="82"/>
      <c r="BZ66" s="82"/>
      <c r="CA66" s="82"/>
      <c r="CB66" s="82"/>
      <c r="CC66" s="82"/>
      <c r="CD66" s="82"/>
      <c r="CE66" s="82"/>
      <c r="CF66" s="82"/>
      <c r="CG66" s="82"/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</row>
    <row r="67" spans="1:97" s="90" customFormat="1" ht="15" customHeight="1" x14ac:dyDescent="0.25">
      <c r="A67" s="117">
        <f t="shared" si="4"/>
        <v>46002</v>
      </c>
      <c r="B67" s="120"/>
      <c r="C67" s="194">
        <f>'[2]AHTS-1'!AV65+'[2]AHTS-2'!AV65+'[2]AHTS-3'!AV65+'[2]AHTS-4'!AV65+'[2]AHTS-5'!AV65+'[2]AHTS-6'!AV65+'[2]AHTS-7'!AV65+'[2]AHTS-8'!AV65+'[3]CB-1'!AV65+'[3]CB-2'!AV65+'[3]CB-3'!AV65+'[3]CB-4'!AV65+'[3]CB-5'!AV65+'[3]CB-6'!AV65+'[3]CB-7'!AV65+'[3]CB-8'!AV65+'[3]CB-9'!AV65+'[3]CB-10'!AV65+'[3]CB-11'!AV65+'[3]CB-12'!AV65+'[3]CB-13'!AV65+'[3]CB-14'!AV65+'[3]CB-15'!AV65+'[3]CB-16'!AV65+'[3]CB-17'!AV65+'[3]CB-18'!AV65+'[3]CB-19'!AV65+'[3]CB-20'!AV65+'[3]CB-21'!AV65+'[3]CB-22'!AV65+'[3]CB-23'!AV65+'[3]CB-24'!AV65+'[4]LCT-1'!AV65+'[4]LCT-2'!AV65+'[4]LCT-3'!AV65+'[4]LCT-4'!AV65+'[4]LCT-5'!AV65+'[4]LCT-6'!AV65+'[4]LCT-7'!AV65+'[4]LCT-8'!AV65+'[5]TB-1'!AV65+'[5]TB-2'!AV65+'[5]TB-3'!AV65+'[5]TB-4'!AV65+'[5]TB-5'!AV65+'[5]TB-6'!AV65+'[5]TB-7'!AV65+'[5]TB-8'!AV65+'[5]TB-9'!AV65+'[5]TB-10'!AV65+'[6]DSV-1'!AV65+'[6]DSV-2'!AV65+'[6]DSV-3'!AV65+'[7]TUB-1'!AV65+'[7]TUB-2'!AV65+'[8]Barge-1'!AV65+'[8]Barge-2'!AV65+'[8]Barge-3'!AV65+'[8]Barge-4'!AV65</f>
        <v>0</v>
      </c>
      <c r="D67" s="194"/>
      <c r="E67" s="194"/>
      <c r="F67" s="194">
        <f>'[2]AHTS-1'!AW65+'[2]AHTS-2'!AW65+'[2]AHTS-3'!AW65+'[2]AHTS-4'!AW65+'[2]AHTS-5'!AW65+'[2]AHTS-6'!AW65+'[2]AHTS-7'!AW65+'[2]AHTS-8'!AW65+'[3]CB-1'!AW65+'[3]CB-2'!AW65+'[3]CB-3'!AW65+'[3]CB-4'!AW65+'[3]CB-5'!AW65+'[3]CB-6'!AW65+'[3]CB-7'!AW65+'[3]CB-8'!AW65+'[3]CB-9'!AW65+'[3]CB-10'!AW65+'[3]CB-11'!AW65+'[3]CB-12'!AW65+'[3]CB-13'!AW65+'[3]CB-14'!AW65+'[3]CB-15'!AW65+'[3]CB-16'!AW65+'[3]CB-17'!AW65+'[3]CB-18'!AW65+'[3]CB-19'!AW65+'[3]CB-20'!AW65+'[3]CB-21'!AW65+'[3]CB-22'!AW65+'[3]CB-23'!AW65+'[3]CB-24'!AW65+'[4]LCT-1'!AW65+'[4]LCT-2'!AW65+'[4]LCT-3'!AW65+'[4]LCT-4'!AW65+'[4]LCT-5'!AW65+'[4]LCT-6'!AW65+'[4]LCT-7'!AW65+'[4]LCT-8'!AW65+'[5]TB-1'!AW65+'[5]TB-2'!AW65+'[5]TB-3'!AW65+'[5]TB-4'!AW65+'[5]TB-5'!AW65+'[5]TB-6'!AW65+'[5]TB-7'!AW65+'[5]TB-8'!AW65+'[5]TB-9'!AW65+'[5]TB-10'!AW65+'[6]DSV-1'!AW65+'[6]DSV-2'!AW65+'[6]DSV-3'!AW65+'[7]TUB-1'!AW65+'[7]TUB-2'!AW65+'[8]Barge-1'!AW65+'[8]Barge-2'!AW65+'[8]Barge-3'!AW65+'[8]Barge-4'!AW65</f>
        <v>1806.6111111111109</v>
      </c>
      <c r="G67" s="194"/>
      <c r="H67" s="194"/>
      <c r="I67" s="194">
        <f>'[2]AHTS-1'!AX65+'[2]AHTS-2'!AX65+'[2]AHTS-3'!AX65+'[2]AHTS-4'!AX65+'[2]AHTS-5'!AX65+'[2]AHTS-6'!AX65+'[2]AHTS-7'!AX65+'[2]AHTS-8'!AX65+'[3]CB-1'!AX65+'[3]CB-2'!AX65+'[3]CB-3'!AX65+'[3]CB-4'!AX65+'[3]CB-5'!AX65+'[3]CB-6'!AX65+'[3]CB-7'!AX65+'[3]CB-8'!AX65+'[3]CB-9'!AX65+'[3]CB-10'!AX65+'[3]CB-11'!AX65+'[3]CB-12'!AX65+'[3]CB-13'!AX65+'[3]CB-14'!AX65+'[3]CB-15'!AX65+'[3]CB-16'!AX65+'[3]CB-17'!AX65+'[3]CB-18'!AX65+'[3]CB-19'!AX65+'[3]CB-20'!AX65+'[3]CB-21'!AX65+'[3]CB-22'!AX65+'[3]CB-23'!AX65+'[3]CB-24'!AX65+'[4]LCT-1'!AX65+'[4]LCT-2'!AX65+'[4]LCT-3'!AX65+'[4]LCT-4'!AX65+'[4]LCT-5'!AX65+'[4]LCT-6'!AX65+'[4]LCT-7'!AX65+'[4]LCT-8'!AX65+'[5]TB-1'!AX65+'[5]TB-2'!AX65+'[5]TB-3'!AX65+'[5]TB-4'!AX65+'[5]TB-5'!AX65+'[5]TB-6'!AX65+'[5]TB-7'!AX65+'[5]TB-8'!AX65+'[5]TB-9'!AX65+'[5]TB-10'!AX65+'[6]DSV-1'!AX65+'[6]DSV-2'!AX65+'[6]DSV-3'!AX65+'[7]TUB-1'!AX65+'[7]TUB-2'!AX65+'[8]Barge-1'!AX65+'[8]Barge-2'!AX65+'[8]Barge-3'!AX65+'[8]Barge-4'!AX65</f>
        <v>2464.75</v>
      </c>
      <c r="J67" s="194"/>
      <c r="K67" s="194"/>
      <c r="L67" s="194">
        <f>'[2]AHTS-1'!AY65+'[2]AHTS-2'!AY65+'[2]AHTS-3'!AY65+'[2]AHTS-4'!AY65+'[2]AHTS-5'!AY65+'[2]AHTS-6'!AY65+'[2]AHTS-7'!AY65+'[2]AHTS-8'!AY65+'[3]CB-1'!AY65+'[3]CB-2'!AY65+'[3]CB-3'!AY65+'[3]CB-4'!AY65+'[3]CB-5'!AY65+'[3]CB-6'!AY65+'[3]CB-7'!AY65+'[3]CB-8'!AY65+'[3]CB-9'!AY65+'[3]CB-10'!AY65+'[3]CB-11'!AY65+'[3]CB-12'!AY65+'[3]CB-13'!AY65+'[3]CB-14'!AY65+'[3]CB-15'!AY65+'[3]CB-16'!AY65+'[3]CB-17'!AY65+'[3]CB-18'!AY65+'[3]CB-19'!AY65+'[3]CB-20'!AY65+'[3]CB-21'!AY65+'[3]CB-22'!AY65+'[3]CB-23'!AY65+'[3]CB-24'!AY65+'[4]LCT-1'!AY65+'[4]LCT-2'!AY65+'[4]LCT-3'!AY65+'[4]LCT-4'!AY65+'[4]LCT-5'!AY65+'[4]LCT-6'!AY65+'[4]LCT-7'!AY65+'[4]LCT-8'!AY65+'[5]TB-1'!AY65+'[5]TB-2'!AY65+'[5]TB-3'!AY65+'[5]TB-4'!AY65+'[5]TB-5'!AY65+'[5]TB-6'!AY65+'[5]TB-7'!AY65+'[5]TB-8'!AY65+'[5]TB-9'!AY65+'[5]TB-10'!AY65+'[6]DSV-1'!AY65+'[6]DSV-2'!AY65+'[6]DSV-3'!AY65+'[7]TUB-1'!AY65+'[7]TUB-2'!AY65+'[8]Barge-1'!AY65+'[8]Barge-2'!AY65+'[8]Barge-3'!AY65+'[8]Barge-4'!AY65</f>
        <v>5552.4444444444443</v>
      </c>
      <c r="M67" s="194"/>
      <c r="N67" s="194"/>
      <c r="O67" s="194">
        <f>'[2]AHTS-1'!AZ65+'[2]AHTS-2'!AZ65+'[2]AHTS-3'!AZ65+'[2]AHTS-4'!AZ65+'[2]AHTS-5'!AZ65+'[2]AHTS-6'!AZ65+'[2]AHTS-7'!AZ65+'[2]AHTS-8'!AZ65+'[3]CB-1'!AZ65+'[3]CB-2'!AZ65+'[3]CB-3'!AZ65+'[3]CB-4'!AZ65+'[3]CB-5'!AZ65+'[3]CB-6'!AZ65+'[3]CB-7'!AZ65+'[3]CB-8'!AZ65+'[3]CB-9'!AZ65+'[3]CB-10'!AZ65+'[3]CB-11'!AZ65+'[3]CB-12'!AZ65+'[3]CB-13'!AZ65+'[3]CB-14'!AZ65+'[3]CB-15'!AZ65+'[3]CB-16'!AZ65+'[3]CB-17'!AZ65+'[3]CB-18'!AZ65+'[3]CB-19'!AZ65+'[3]CB-20'!AZ65+'[3]CB-21'!AZ65+'[3]CB-22'!AZ65+'[3]CB-23'!AZ65+'[3]CB-24'!AZ65+'[4]LCT-1'!AZ65+'[4]LCT-2'!AZ65+'[4]LCT-3'!AZ65+'[4]LCT-4'!AZ65+'[4]LCT-5'!AZ65+'[4]LCT-6'!AZ65+'[4]LCT-7'!AZ65+'[4]LCT-8'!AZ65+'[5]TB-1'!AZ65+'[5]TB-2'!AZ65+'[5]TB-3'!AZ65+'[5]TB-4'!AZ65+'[5]TB-5'!AZ65+'[5]TB-6'!AZ65+'[5]TB-7'!AZ65+'[5]TB-8'!AZ65+'[5]TB-9'!AZ65+'[5]TB-10'!AZ65+'[6]DSV-1'!AZ65+'[6]DSV-2'!AZ65+'[6]DSV-3'!AZ65+'[7]TUB-1'!AZ65+'[7]TUB-2'!AZ65+'[8]Barge-1'!AZ65+'[8]Barge-2'!AZ65+'[8]Barge-3'!AZ65+'[8]Barge-4'!AZ65</f>
        <v>36.444444444444436</v>
      </c>
      <c r="P67" s="194"/>
      <c r="Q67" s="194"/>
      <c r="R67" s="194">
        <f>'[2]AHTS-1'!BA65+'[2]AHTS-2'!BA65+'[2]AHTS-3'!BA65+'[2]AHTS-4'!BA65+'[2]AHTS-5'!BA65+'[2]AHTS-6'!BA65+'[2]AHTS-7'!BA65+'[2]AHTS-8'!BA65+'[3]CB-1'!BA65+'[3]CB-2'!BA65+'[3]CB-3'!BA65+'[3]CB-4'!BA65+'[3]CB-5'!BA65+'[3]CB-6'!BA65+'[3]CB-7'!BA65+'[3]CB-8'!BA65+'[3]CB-9'!BA65+'[3]CB-10'!BA65+'[3]CB-11'!BA65+'[3]CB-12'!BA65+'[3]CB-13'!BA65+'[3]CB-14'!BA65+'[3]CB-15'!BA65+'[3]CB-16'!BA65+'[3]CB-17'!BA65+'[3]CB-18'!BA65+'[3]CB-19'!BA65+'[3]CB-20'!BA65+'[3]CB-21'!BA65+'[3]CB-22'!BA65+'[3]CB-23'!BA65+'[3]CB-24'!BA65+'[4]LCT-1'!BA65+'[4]LCT-2'!BA65+'[4]LCT-3'!BA65+'[4]LCT-4'!BA65+'[4]LCT-5'!BA65+'[4]LCT-6'!BA65+'[4]LCT-7'!BA65+'[4]LCT-8'!BA65+'[5]TB-1'!BA65+'[5]TB-2'!BA65+'[5]TB-3'!BA65+'[5]TB-4'!BA65+'[5]TB-5'!BA65+'[5]TB-6'!BA65+'[5]TB-7'!BA65+'[5]TB-8'!BA65+'[5]TB-9'!BA65+'[5]TB-10'!BA65+'[6]DSV-1'!BA65+'[6]DSV-2'!BA65+'[6]DSV-3'!BA65+'[7]TUB-1'!BA65+'[7]TUB-2'!BA65+'[8]Barge-1'!BA65+'[8]Barge-2'!BA65+'[8]Barge-3'!BA65+'[8]Barge-4'!BA65</f>
        <v>4572.666666666667</v>
      </c>
      <c r="S67" s="194"/>
      <c r="T67" s="194"/>
      <c r="U67" s="194">
        <f>'[2]AHTS-1'!BB65+'[2]AHTS-2'!BB65+'[2]AHTS-3'!BB65+'[2]AHTS-4'!BB65+'[2]AHTS-5'!BB65+'[2]AHTS-6'!BB65+'[2]AHTS-7'!BB65+'[2]AHTS-8'!BB65+'[3]CB-1'!BB65+'[3]CB-2'!BB65+'[3]CB-3'!BB65+'[3]CB-4'!BB65+'[3]CB-5'!BB65+'[3]CB-6'!BB65+'[3]CB-7'!BB65+'[3]CB-8'!BB65+'[3]CB-9'!BB65+'[3]CB-10'!BB65+'[3]CB-11'!BB65+'[3]CB-12'!BB65+'[3]CB-13'!BB65+'[3]CB-14'!BB65+'[3]CB-15'!BB65+'[3]CB-16'!BB65+'[3]CB-17'!BB65+'[3]CB-18'!BB65+'[3]CB-19'!BB65+'[3]CB-20'!BB65+'[3]CB-21'!BB65+'[3]CB-22'!BB65+'[3]CB-23'!BB65+'[3]CB-24'!BB65+'[4]LCT-1'!BB65+'[4]LCT-2'!BB65+'[4]LCT-3'!BB65+'[4]LCT-4'!BB65+'[4]LCT-5'!BB65+'[4]LCT-6'!BB65+'[4]LCT-7'!BB65+'[4]LCT-8'!BB65+'[5]TB-1'!BB65+'[5]TB-2'!BB65+'[5]TB-3'!BB65+'[5]TB-4'!BB65+'[5]TB-5'!BB65+'[5]TB-6'!BB65+'[5]TB-7'!BB65+'[5]TB-8'!BB65+'[5]TB-9'!BB65+'[5]TB-10'!BB65+'[6]DSV-1'!BB65+'[6]DSV-2'!BB65+'[6]DSV-3'!BB65+'[7]TUB-1'!BB65+'[7]TUB-2'!BB65+'[8]Barge-1'!BB65+'[8]Barge-2'!BB65+'[8]Barge-3'!BB65+'[8]Barge-4'!BB65</f>
        <v>0</v>
      </c>
      <c r="V67" s="194"/>
      <c r="W67" s="194"/>
      <c r="X67" s="122"/>
      <c r="Y67" s="12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  <c r="BN67" s="82"/>
      <c r="BO67" s="82"/>
      <c r="BP67" s="82"/>
      <c r="BQ67" s="82"/>
      <c r="BR67" s="82"/>
      <c r="BS67" s="82"/>
      <c r="BT67" s="82"/>
      <c r="BU67" s="82"/>
      <c r="BV67" s="82"/>
      <c r="BW67" s="82"/>
      <c r="BX67" s="82"/>
      <c r="BY67" s="82"/>
      <c r="BZ67" s="82"/>
      <c r="CA67" s="82"/>
      <c r="CB67" s="82"/>
      <c r="CC67" s="82"/>
      <c r="CD67" s="82"/>
      <c r="CE67" s="82"/>
      <c r="CF67" s="82"/>
      <c r="CG67" s="82"/>
      <c r="CH67" s="82"/>
      <c r="CI67" s="82"/>
      <c r="CJ67" s="82"/>
      <c r="CK67" s="82"/>
      <c r="CL67" s="82"/>
      <c r="CM67" s="82"/>
      <c r="CN67" s="82"/>
      <c r="CO67" s="82"/>
      <c r="CP67" s="82"/>
      <c r="CQ67" s="82"/>
      <c r="CR67" s="82"/>
      <c r="CS67" s="82"/>
    </row>
    <row r="68" spans="1:97" s="90" customFormat="1" ht="15" customHeight="1" x14ac:dyDescent="0.25">
      <c r="A68" s="117">
        <f t="shared" si="4"/>
        <v>46003</v>
      </c>
      <c r="B68" s="120"/>
      <c r="C68" s="194">
        <f>'[2]AHTS-1'!AV66+'[2]AHTS-2'!AV66+'[2]AHTS-3'!AV66+'[2]AHTS-4'!AV66+'[2]AHTS-5'!AV66+'[2]AHTS-6'!AV66+'[2]AHTS-7'!AV66+'[2]AHTS-8'!AV66+'[3]CB-1'!AV66+'[3]CB-2'!AV66+'[3]CB-3'!AV66+'[3]CB-4'!AV66+'[3]CB-5'!AV66+'[3]CB-6'!AV66+'[3]CB-7'!AV66+'[3]CB-8'!AV66+'[3]CB-9'!AV66+'[3]CB-10'!AV66+'[3]CB-11'!AV66+'[3]CB-12'!AV66+'[3]CB-13'!AV66+'[3]CB-14'!AV66+'[3]CB-15'!AV66+'[3]CB-16'!AV66+'[3]CB-17'!AV66+'[3]CB-18'!AV66+'[3]CB-19'!AV66+'[3]CB-20'!AV66+'[3]CB-21'!AV66+'[3]CB-22'!AV66+'[3]CB-23'!AV66+'[3]CB-24'!AV66+'[4]LCT-1'!AV66+'[4]LCT-2'!AV66+'[4]LCT-3'!AV66+'[4]LCT-4'!AV66+'[4]LCT-5'!AV66+'[4]LCT-6'!AV66+'[4]LCT-7'!AV66+'[4]LCT-8'!AV66+'[5]TB-1'!AV66+'[5]TB-2'!AV66+'[5]TB-3'!AV66+'[5]TB-4'!AV66+'[5]TB-5'!AV66+'[5]TB-6'!AV66+'[5]TB-7'!AV66+'[5]TB-8'!AV66+'[5]TB-9'!AV66+'[5]TB-10'!AV66+'[6]DSV-1'!AV66+'[6]DSV-2'!AV66+'[6]DSV-3'!AV66+'[7]TUB-1'!AV66+'[7]TUB-2'!AV66+'[8]Barge-1'!AV66+'[8]Barge-2'!AV66+'[8]Barge-3'!AV66+'[8]Barge-4'!AV66</f>
        <v>0</v>
      </c>
      <c r="D68" s="194"/>
      <c r="E68" s="194"/>
      <c r="F68" s="194">
        <f>'[2]AHTS-1'!AW66+'[2]AHTS-2'!AW66+'[2]AHTS-3'!AW66+'[2]AHTS-4'!AW66+'[2]AHTS-5'!AW66+'[2]AHTS-6'!AW66+'[2]AHTS-7'!AW66+'[2]AHTS-8'!AW66+'[3]CB-1'!AW66+'[3]CB-2'!AW66+'[3]CB-3'!AW66+'[3]CB-4'!AW66+'[3]CB-5'!AW66+'[3]CB-6'!AW66+'[3]CB-7'!AW66+'[3]CB-8'!AW66+'[3]CB-9'!AW66+'[3]CB-10'!AW66+'[3]CB-11'!AW66+'[3]CB-12'!AW66+'[3]CB-13'!AW66+'[3]CB-14'!AW66+'[3]CB-15'!AW66+'[3]CB-16'!AW66+'[3]CB-17'!AW66+'[3]CB-18'!AW66+'[3]CB-19'!AW66+'[3]CB-20'!AW66+'[3]CB-21'!AW66+'[3]CB-22'!AW66+'[3]CB-23'!AW66+'[3]CB-24'!AW66+'[4]LCT-1'!AW66+'[4]LCT-2'!AW66+'[4]LCT-3'!AW66+'[4]LCT-4'!AW66+'[4]LCT-5'!AW66+'[4]LCT-6'!AW66+'[4]LCT-7'!AW66+'[4]LCT-8'!AW66+'[5]TB-1'!AW66+'[5]TB-2'!AW66+'[5]TB-3'!AW66+'[5]TB-4'!AW66+'[5]TB-5'!AW66+'[5]TB-6'!AW66+'[5]TB-7'!AW66+'[5]TB-8'!AW66+'[5]TB-9'!AW66+'[5]TB-10'!AW66+'[6]DSV-1'!AW66+'[6]DSV-2'!AW66+'[6]DSV-3'!AW66+'[7]TUB-1'!AW66+'[7]TUB-2'!AW66+'[8]Barge-1'!AW66+'[8]Barge-2'!AW66+'[8]Barge-3'!AW66+'[8]Barge-4'!AW66</f>
        <v>757.33333333333326</v>
      </c>
      <c r="G68" s="194"/>
      <c r="H68" s="194"/>
      <c r="I68" s="194">
        <f>'[2]AHTS-1'!AX66+'[2]AHTS-2'!AX66+'[2]AHTS-3'!AX66+'[2]AHTS-4'!AX66+'[2]AHTS-5'!AX66+'[2]AHTS-6'!AX66+'[2]AHTS-7'!AX66+'[2]AHTS-8'!AX66+'[3]CB-1'!AX66+'[3]CB-2'!AX66+'[3]CB-3'!AX66+'[3]CB-4'!AX66+'[3]CB-5'!AX66+'[3]CB-6'!AX66+'[3]CB-7'!AX66+'[3]CB-8'!AX66+'[3]CB-9'!AX66+'[3]CB-10'!AX66+'[3]CB-11'!AX66+'[3]CB-12'!AX66+'[3]CB-13'!AX66+'[3]CB-14'!AX66+'[3]CB-15'!AX66+'[3]CB-16'!AX66+'[3]CB-17'!AX66+'[3]CB-18'!AX66+'[3]CB-19'!AX66+'[3]CB-20'!AX66+'[3]CB-21'!AX66+'[3]CB-22'!AX66+'[3]CB-23'!AX66+'[3]CB-24'!AX66+'[4]LCT-1'!AX66+'[4]LCT-2'!AX66+'[4]LCT-3'!AX66+'[4]LCT-4'!AX66+'[4]LCT-5'!AX66+'[4]LCT-6'!AX66+'[4]LCT-7'!AX66+'[4]LCT-8'!AX66+'[5]TB-1'!AX66+'[5]TB-2'!AX66+'[5]TB-3'!AX66+'[5]TB-4'!AX66+'[5]TB-5'!AX66+'[5]TB-6'!AX66+'[5]TB-7'!AX66+'[5]TB-8'!AX66+'[5]TB-9'!AX66+'[5]TB-10'!AX66+'[6]DSV-1'!AX66+'[6]DSV-2'!AX66+'[6]DSV-3'!AX66+'[7]TUB-1'!AX66+'[7]TUB-2'!AX66+'[8]Barge-1'!AX66+'[8]Barge-2'!AX66+'[8]Barge-3'!AX66+'[8]Barge-4'!AX66</f>
        <v>4549.333333333333</v>
      </c>
      <c r="J68" s="194"/>
      <c r="K68" s="194"/>
      <c r="L68" s="194">
        <f>'[2]AHTS-1'!AY66+'[2]AHTS-2'!AY66+'[2]AHTS-3'!AY66+'[2]AHTS-4'!AY66+'[2]AHTS-5'!AY66+'[2]AHTS-6'!AY66+'[2]AHTS-7'!AY66+'[2]AHTS-8'!AY66+'[3]CB-1'!AY66+'[3]CB-2'!AY66+'[3]CB-3'!AY66+'[3]CB-4'!AY66+'[3]CB-5'!AY66+'[3]CB-6'!AY66+'[3]CB-7'!AY66+'[3]CB-8'!AY66+'[3]CB-9'!AY66+'[3]CB-10'!AY66+'[3]CB-11'!AY66+'[3]CB-12'!AY66+'[3]CB-13'!AY66+'[3]CB-14'!AY66+'[3]CB-15'!AY66+'[3]CB-16'!AY66+'[3]CB-17'!AY66+'[3]CB-18'!AY66+'[3]CB-19'!AY66+'[3]CB-20'!AY66+'[3]CB-21'!AY66+'[3]CB-22'!AY66+'[3]CB-23'!AY66+'[3]CB-24'!AY66+'[4]LCT-1'!AY66+'[4]LCT-2'!AY66+'[4]LCT-3'!AY66+'[4]LCT-4'!AY66+'[4]LCT-5'!AY66+'[4]LCT-6'!AY66+'[4]LCT-7'!AY66+'[4]LCT-8'!AY66+'[5]TB-1'!AY66+'[5]TB-2'!AY66+'[5]TB-3'!AY66+'[5]TB-4'!AY66+'[5]TB-5'!AY66+'[5]TB-6'!AY66+'[5]TB-7'!AY66+'[5]TB-8'!AY66+'[5]TB-9'!AY66+'[5]TB-10'!AY66+'[6]DSV-1'!AY66+'[6]DSV-2'!AY66+'[6]DSV-3'!AY66+'[7]TUB-1'!AY66+'[7]TUB-2'!AY66+'[8]Barge-1'!AY66+'[8]Barge-2'!AY66+'[8]Barge-3'!AY66+'[8]Barge-4'!AY66</f>
        <v>2725</v>
      </c>
      <c r="M68" s="194"/>
      <c r="N68" s="194"/>
      <c r="O68" s="194">
        <f>'[2]AHTS-1'!AZ66+'[2]AHTS-2'!AZ66+'[2]AHTS-3'!AZ66+'[2]AHTS-4'!AZ66+'[2]AHTS-5'!AZ66+'[2]AHTS-6'!AZ66+'[2]AHTS-7'!AZ66+'[2]AHTS-8'!AZ66+'[3]CB-1'!AZ66+'[3]CB-2'!AZ66+'[3]CB-3'!AZ66+'[3]CB-4'!AZ66+'[3]CB-5'!AZ66+'[3]CB-6'!AZ66+'[3]CB-7'!AZ66+'[3]CB-8'!AZ66+'[3]CB-9'!AZ66+'[3]CB-10'!AZ66+'[3]CB-11'!AZ66+'[3]CB-12'!AZ66+'[3]CB-13'!AZ66+'[3]CB-14'!AZ66+'[3]CB-15'!AZ66+'[3]CB-16'!AZ66+'[3]CB-17'!AZ66+'[3]CB-18'!AZ66+'[3]CB-19'!AZ66+'[3]CB-20'!AZ66+'[3]CB-21'!AZ66+'[3]CB-22'!AZ66+'[3]CB-23'!AZ66+'[3]CB-24'!AZ66+'[4]LCT-1'!AZ66+'[4]LCT-2'!AZ66+'[4]LCT-3'!AZ66+'[4]LCT-4'!AZ66+'[4]LCT-5'!AZ66+'[4]LCT-6'!AZ66+'[4]LCT-7'!AZ66+'[4]LCT-8'!AZ66+'[5]TB-1'!AZ66+'[5]TB-2'!AZ66+'[5]TB-3'!AZ66+'[5]TB-4'!AZ66+'[5]TB-5'!AZ66+'[5]TB-6'!AZ66+'[5]TB-7'!AZ66+'[5]TB-8'!AZ66+'[5]TB-9'!AZ66+'[5]TB-10'!AZ66+'[6]DSV-1'!AZ66+'[6]DSV-2'!AZ66+'[6]DSV-3'!AZ66+'[7]TUB-1'!AZ66+'[7]TUB-2'!AZ66+'[8]Barge-1'!AZ66+'[8]Barge-2'!AZ66+'[8]Barge-3'!AZ66+'[8]Barge-4'!AZ66</f>
        <v>102.00000000000001</v>
      </c>
      <c r="P68" s="194"/>
      <c r="Q68" s="194"/>
      <c r="R68" s="194">
        <f>'[2]AHTS-1'!BA66+'[2]AHTS-2'!BA66+'[2]AHTS-3'!BA66+'[2]AHTS-4'!BA66+'[2]AHTS-5'!BA66+'[2]AHTS-6'!BA66+'[2]AHTS-7'!BA66+'[2]AHTS-8'!BA66+'[3]CB-1'!BA66+'[3]CB-2'!BA66+'[3]CB-3'!BA66+'[3]CB-4'!BA66+'[3]CB-5'!BA66+'[3]CB-6'!BA66+'[3]CB-7'!BA66+'[3]CB-8'!BA66+'[3]CB-9'!BA66+'[3]CB-10'!BA66+'[3]CB-11'!BA66+'[3]CB-12'!BA66+'[3]CB-13'!BA66+'[3]CB-14'!BA66+'[3]CB-15'!BA66+'[3]CB-16'!BA66+'[3]CB-17'!BA66+'[3]CB-18'!BA66+'[3]CB-19'!BA66+'[3]CB-20'!BA66+'[3]CB-21'!BA66+'[3]CB-22'!BA66+'[3]CB-23'!BA66+'[3]CB-24'!BA66+'[4]LCT-1'!BA66+'[4]LCT-2'!BA66+'[4]LCT-3'!BA66+'[4]LCT-4'!BA66+'[4]LCT-5'!BA66+'[4]LCT-6'!BA66+'[4]LCT-7'!BA66+'[4]LCT-8'!BA66+'[5]TB-1'!BA66+'[5]TB-2'!BA66+'[5]TB-3'!BA66+'[5]TB-4'!BA66+'[5]TB-5'!BA66+'[5]TB-6'!BA66+'[5]TB-7'!BA66+'[5]TB-8'!BA66+'[5]TB-9'!BA66+'[5]TB-10'!BA66+'[6]DSV-1'!BA66+'[6]DSV-2'!BA66+'[6]DSV-3'!BA66+'[7]TUB-1'!BA66+'[7]TUB-2'!BA66+'[8]Barge-1'!BA66+'[8]Barge-2'!BA66+'[8]Barge-3'!BA66+'[8]Barge-4'!BA66</f>
        <v>5901.333333333333</v>
      </c>
      <c r="S68" s="194"/>
      <c r="T68" s="194"/>
      <c r="U68" s="194">
        <f>'[2]AHTS-1'!BB66+'[2]AHTS-2'!BB66+'[2]AHTS-3'!BB66+'[2]AHTS-4'!BB66+'[2]AHTS-5'!BB66+'[2]AHTS-6'!BB66+'[2]AHTS-7'!BB66+'[2]AHTS-8'!BB66+'[3]CB-1'!BB66+'[3]CB-2'!BB66+'[3]CB-3'!BB66+'[3]CB-4'!BB66+'[3]CB-5'!BB66+'[3]CB-6'!BB66+'[3]CB-7'!BB66+'[3]CB-8'!BB66+'[3]CB-9'!BB66+'[3]CB-10'!BB66+'[3]CB-11'!BB66+'[3]CB-12'!BB66+'[3]CB-13'!BB66+'[3]CB-14'!BB66+'[3]CB-15'!BB66+'[3]CB-16'!BB66+'[3]CB-17'!BB66+'[3]CB-18'!BB66+'[3]CB-19'!BB66+'[3]CB-20'!BB66+'[3]CB-21'!BB66+'[3]CB-22'!BB66+'[3]CB-23'!BB66+'[3]CB-24'!BB66+'[4]LCT-1'!BB66+'[4]LCT-2'!BB66+'[4]LCT-3'!BB66+'[4]LCT-4'!BB66+'[4]LCT-5'!BB66+'[4]LCT-6'!BB66+'[4]LCT-7'!BB66+'[4]LCT-8'!BB66+'[5]TB-1'!BB66+'[5]TB-2'!BB66+'[5]TB-3'!BB66+'[5]TB-4'!BB66+'[5]TB-5'!BB66+'[5]TB-6'!BB66+'[5]TB-7'!BB66+'[5]TB-8'!BB66+'[5]TB-9'!BB66+'[5]TB-10'!BB66+'[6]DSV-1'!BB66+'[6]DSV-2'!BB66+'[6]DSV-3'!BB66+'[7]TUB-1'!BB66+'[7]TUB-2'!BB66+'[8]Barge-1'!BB66+'[8]Barge-2'!BB66+'[8]Barge-3'!BB66+'[8]Barge-4'!BB66</f>
        <v>0</v>
      </c>
      <c r="V68" s="194"/>
      <c r="W68" s="194"/>
      <c r="X68" s="122"/>
      <c r="Y68" s="12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82"/>
      <c r="CB68" s="82"/>
      <c r="CC68" s="82"/>
      <c r="CD68" s="82"/>
      <c r="CE68" s="82"/>
      <c r="CF68" s="82"/>
      <c r="CG68" s="82"/>
      <c r="CH68" s="82"/>
      <c r="CI68" s="82"/>
      <c r="CJ68" s="82"/>
      <c r="CK68" s="82"/>
      <c r="CL68" s="82"/>
      <c r="CM68" s="82"/>
      <c r="CN68" s="82"/>
      <c r="CO68" s="82"/>
      <c r="CP68" s="82"/>
      <c r="CQ68" s="82"/>
      <c r="CR68" s="82"/>
      <c r="CS68" s="82"/>
    </row>
    <row r="69" spans="1:97" s="90" customFormat="1" ht="15" customHeight="1" x14ac:dyDescent="0.25">
      <c r="A69" s="117">
        <f t="shared" si="4"/>
        <v>46004</v>
      </c>
      <c r="B69" s="120"/>
      <c r="C69" s="194">
        <f>'[2]AHTS-1'!AV67+'[2]AHTS-2'!AV67+'[2]AHTS-3'!AV67+'[2]AHTS-4'!AV67+'[2]AHTS-5'!AV67+'[2]AHTS-6'!AV67+'[2]AHTS-7'!AV67+'[2]AHTS-8'!AV67+'[3]CB-1'!AV67+'[3]CB-2'!AV67+'[3]CB-3'!AV67+'[3]CB-4'!AV67+'[3]CB-5'!AV67+'[3]CB-6'!AV67+'[3]CB-7'!AV67+'[3]CB-8'!AV67+'[3]CB-9'!AV67+'[3]CB-10'!AV67+'[3]CB-11'!AV67+'[3]CB-12'!AV67+'[3]CB-13'!AV67+'[3]CB-14'!AV67+'[3]CB-15'!AV67+'[3]CB-16'!AV67+'[3]CB-17'!AV67+'[3]CB-18'!AV67+'[3]CB-19'!AV67+'[3]CB-20'!AV67+'[3]CB-21'!AV67+'[3]CB-22'!AV67+'[3]CB-23'!AV67+'[3]CB-24'!AV67+'[4]LCT-1'!AV67+'[4]LCT-2'!AV67+'[4]LCT-3'!AV67+'[4]LCT-4'!AV67+'[4]LCT-5'!AV67+'[4]LCT-6'!AV67+'[4]LCT-7'!AV67+'[4]LCT-8'!AV67+'[5]TB-1'!AV67+'[5]TB-2'!AV67+'[5]TB-3'!AV67+'[5]TB-4'!AV67+'[5]TB-5'!AV67+'[5]TB-6'!AV67+'[5]TB-7'!AV67+'[5]TB-8'!AV67+'[5]TB-9'!AV67+'[5]TB-10'!AV67+'[6]DSV-1'!AV67+'[6]DSV-2'!AV67+'[6]DSV-3'!AV67+'[7]TUB-1'!AV67+'[7]TUB-2'!AV67+'[8]Barge-1'!AV67+'[8]Barge-2'!AV67+'[8]Barge-3'!AV67+'[8]Barge-4'!AV67</f>
        <v>0</v>
      </c>
      <c r="D69" s="194"/>
      <c r="E69" s="194"/>
      <c r="F69" s="194">
        <f>'[2]AHTS-1'!AW67+'[2]AHTS-2'!AW67+'[2]AHTS-3'!AW67+'[2]AHTS-4'!AW67+'[2]AHTS-5'!AW67+'[2]AHTS-6'!AW67+'[2]AHTS-7'!AW67+'[2]AHTS-8'!AW67+'[3]CB-1'!AW67+'[3]CB-2'!AW67+'[3]CB-3'!AW67+'[3]CB-4'!AW67+'[3]CB-5'!AW67+'[3]CB-6'!AW67+'[3]CB-7'!AW67+'[3]CB-8'!AW67+'[3]CB-9'!AW67+'[3]CB-10'!AW67+'[3]CB-11'!AW67+'[3]CB-12'!AW67+'[3]CB-13'!AW67+'[3]CB-14'!AW67+'[3]CB-15'!AW67+'[3]CB-16'!AW67+'[3]CB-17'!AW67+'[3]CB-18'!AW67+'[3]CB-19'!AW67+'[3]CB-20'!AW67+'[3]CB-21'!AW67+'[3]CB-22'!AW67+'[3]CB-23'!AW67+'[3]CB-24'!AW67+'[4]LCT-1'!AW67+'[4]LCT-2'!AW67+'[4]LCT-3'!AW67+'[4]LCT-4'!AW67+'[4]LCT-5'!AW67+'[4]LCT-6'!AW67+'[4]LCT-7'!AW67+'[4]LCT-8'!AW67+'[5]TB-1'!AW67+'[5]TB-2'!AW67+'[5]TB-3'!AW67+'[5]TB-4'!AW67+'[5]TB-5'!AW67+'[5]TB-6'!AW67+'[5]TB-7'!AW67+'[5]TB-8'!AW67+'[5]TB-9'!AW67+'[5]TB-10'!AW67+'[6]DSV-1'!AW67+'[6]DSV-2'!AW67+'[6]DSV-3'!AW67+'[7]TUB-1'!AW67+'[7]TUB-2'!AW67+'[8]Barge-1'!AW67+'[8]Barge-2'!AW67+'[8]Barge-3'!AW67+'[8]Barge-4'!AW67</f>
        <v>1540.166666666667</v>
      </c>
      <c r="G69" s="194"/>
      <c r="H69" s="194"/>
      <c r="I69" s="194">
        <f>'[2]AHTS-1'!AX67+'[2]AHTS-2'!AX67+'[2]AHTS-3'!AX67+'[2]AHTS-4'!AX67+'[2]AHTS-5'!AX67+'[2]AHTS-6'!AX67+'[2]AHTS-7'!AX67+'[2]AHTS-8'!AX67+'[3]CB-1'!AX67+'[3]CB-2'!AX67+'[3]CB-3'!AX67+'[3]CB-4'!AX67+'[3]CB-5'!AX67+'[3]CB-6'!AX67+'[3]CB-7'!AX67+'[3]CB-8'!AX67+'[3]CB-9'!AX67+'[3]CB-10'!AX67+'[3]CB-11'!AX67+'[3]CB-12'!AX67+'[3]CB-13'!AX67+'[3]CB-14'!AX67+'[3]CB-15'!AX67+'[3]CB-16'!AX67+'[3]CB-17'!AX67+'[3]CB-18'!AX67+'[3]CB-19'!AX67+'[3]CB-20'!AX67+'[3]CB-21'!AX67+'[3]CB-22'!AX67+'[3]CB-23'!AX67+'[3]CB-24'!AX67+'[4]LCT-1'!AX67+'[4]LCT-2'!AX67+'[4]LCT-3'!AX67+'[4]LCT-4'!AX67+'[4]LCT-5'!AX67+'[4]LCT-6'!AX67+'[4]LCT-7'!AX67+'[4]LCT-8'!AX67+'[5]TB-1'!AX67+'[5]TB-2'!AX67+'[5]TB-3'!AX67+'[5]TB-4'!AX67+'[5]TB-5'!AX67+'[5]TB-6'!AX67+'[5]TB-7'!AX67+'[5]TB-8'!AX67+'[5]TB-9'!AX67+'[5]TB-10'!AX67+'[6]DSV-1'!AX67+'[6]DSV-2'!AX67+'[6]DSV-3'!AX67+'[7]TUB-1'!AX67+'[7]TUB-2'!AX67+'[8]Barge-1'!AX67+'[8]Barge-2'!AX67+'[8]Barge-3'!AX67+'[8]Barge-4'!AX67</f>
        <v>3552.3333333333335</v>
      </c>
      <c r="J69" s="194"/>
      <c r="K69" s="194"/>
      <c r="L69" s="194">
        <f>'[2]AHTS-1'!AY67+'[2]AHTS-2'!AY67+'[2]AHTS-3'!AY67+'[2]AHTS-4'!AY67+'[2]AHTS-5'!AY67+'[2]AHTS-6'!AY67+'[2]AHTS-7'!AY67+'[2]AHTS-8'!AY67+'[3]CB-1'!AY67+'[3]CB-2'!AY67+'[3]CB-3'!AY67+'[3]CB-4'!AY67+'[3]CB-5'!AY67+'[3]CB-6'!AY67+'[3]CB-7'!AY67+'[3]CB-8'!AY67+'[3]CB-9'!AY67+'[3]CB-10'!AY67+'[3]CB-11'!AY67+'[3]CB-12'!AY67+'[3]CB-13'!AY67+'[3]CB-14'!AY67+'[3]CB-15'!AY67+'[3]CB-16'!AY67+'[3]CB-17'!AY67+'[3]CB-18'!AY67+'[3]CB-19'!AY67+'[3]CB-20'!AY67+'[3]CB-21'!AY67+'[3]CB-22'!AY67+'[3]CB-23'!AY67+'[3]CB-24'!AY67+'[4]LCT-1'!AY67+'[4]LCT-2'!AY67+'[4]LCT-3'!AY67+'[4]LCT-4'!AY67+'[4]LCT-5'!AY67+'[4]LCT-6'!AY67+'[4]LCT-7'!AY67+'[4]LCT-8'!AY67+'[5]TB-1'!AY67+'[5]TB-2'!AY67+'[5]TB-3'!AY67+'[5]TB-4'!AY67+'[5]TB-5'!AY67+'[5]TB-6'!AY67+'[5]TB-7'!AY67+'[5]TB-8'!AY67+'[5]TB-9'!AY67+'[5]TB-10'!AY67+'[6]DSV-1'!AY67+'[6]DSV-2'!AY67+'[6]DSV-3'!AY67+'[7]TUB-1'!AY67+'[7]TUB-2'!AY67+'[8]Barge-1'!AY67+'[8]Barge-2'!AY67+'[8]Barge-3'!AY67+'[8]Barge-4'!AY67</f>
        <v>2759</v>
      </c>
      <c r="M69" s="194"/>
      <c r="N69" s="194"/>
      <c r="O69" s="194">
        <f>'[2]AHTS-1'!AZ67+'[2]AHTS-2'!AZ67+'[2]AHTS-3'!AZ67+'[2]AHTS-4'!AZ67+'[2]AHTS-5'!AZ67+'[2]AHTS-6'!AZ67+'[2]AHTS-7'!AZ67+'[2]AHTS-8'!AZ67+'[3]CB-1'!AZ67+'[3]CB-2'!AZ67+'[3]CB-3'!AZ67+'[3]CB-4'!AZ67+'[3]CB-5'!AZ67+'[3]CB-6'!AZ67+'[3]CB-7'!AZ67+'[3]CB-8'!AZ67+'[3]CB-9'!AZ67+'[3]CB-10'!AZ67+'[3]CB-11'!AZ67+'[3]CB-12'!AZ67+'[3]CB-13'!AZ67+'[3]CB-14'!AZ67+'[3]CB-15'!AZ67+'[3]CB-16'!AZ67+'[3]CB-17'!AZ67+'[3]CB-18'!AZ67+'[3]CB-19'!AZ67+'[3]CB-20'!AZ67+'[3]CB-21'!AZ67+'[3]CB-22'!AZ67+'[3]CB-23'!AZ67+'[3]CB-24'!AZ67+'[4]LCT-1'!AZ67+'[4]LCT-2'!AZ67+'[4]LCT-3'!AZ67+'[4]LCT-4'!AZ67+'[4]LCT-5'!AZ67+'[4]LCT-6'!AZ67+'[4]LCT-7'!AZ67+'[4]LCT-8'!AZ67+'[5]TB-1'!AZ67+'[5]TB-2'!AZ67+'[5]TB-3'!AZ67+'[5]TB-4'!AZ67+'[5]TB-5'!AZ67+'[5]TB-6'!AZ67+'[5]TB-7'!AZ67+'[5]TB-8'!AZ67+'[5]TB-9'!AZ67+'[5]TB-10'!AZ67+'[6]DSV-1'!AZ67+'[6]DSV-2'!AZ67+'[6]DSV-3'!AZ67+'[7]TUB-1'!AZ67+'[7]TUB-2'!AZ67+'[8]Barge-1'!AZ67+'[8]Barge-2'!AZ67+'[8]Barge-3'!AZ67+'[8]Barge-4'!AZ67</f>
        <v>11.333333333333334</v>
      </c>
      <c r="P69" s="194"/>
      <c r="Q69" s="194"/>
      <c r="R69" s="194">
        <f>'[2]AHTS-1'!BA67+'[2]AHTS-2'!BA67+'[2]AHTS-3'!BA67+'[2]AHTS-4'!BA67+'[2]AHTS-5'!BA67+'[2]AHTS-6'!BA67+'[2]AHTS-7'!BA67+'[2]AHTS-8'!BA67+'[3]CB-1'!BA67+'[3]CB-2'!BA67+'[3]CB-3'!BA67+'[3]CB-4'!BA67+'[3]CB-5'!BA67+'[3]CB-6'!BA67+'[3]CB-7'!BA67+'[3]CB-8'!BA67+'[3]CB-9'!BA67+'[3]CB-10'!BA67+'[3]CB-11'!BA67+'[3]CB-12'!BA67+'[3]CB-13'!BA67+'[3]CB-14'!BA67+'[3]CB-15'!BA67+'[3]CB-16'!BA67+'[3]CB-17'!BA67+'[3]CB-18'!BA67+'[3]CB-19'!BA67+'[3]CB-20'!BA67+'[3]CB-21'!BA67+'[3]CB-22'!BA67+'[3]CB-23'!BA67+'[3]CB-24'!BA67+'[4]LCT-1'!BA67+'[4]LCT-2'!BA67+'[4]LCT-3'!BA67+'[4]LCT-4'!BA67+'[4]LCT-5'!BA67+'[4]LCT-6'!BA67+'[4]LCT-7'!BA67+'[4]LCT-8'!BA67+'[5]TB-1'!BA67+'[5]TB-2'!BA67+'[5]TB-3'!BA67+'[5]TB-4'!BA67+'[5]TB-5'!BA67+'[5]TB-6'!BA67+'[5]TB-7'!BA67+'[5]TB-8'!BA67+'[5]TB-9'!BA67+'[5]TB-10'!BA67+'[6]DSV-1'!BA67+'[6]DSV-2'!BA67+'[6]DSV-3'!BA67+'[7]TUB-1'!BA67+'[7]TUB-2'!BA67+'[8]Barge-1'!BA67+'[8]Barge-2'!BA67+'[8]Barge-3'!BA67+'[8]Barge-4'!BA67</f>
        <v>4962.333333333333</v>
      </c>
      <c r="S69" s="194"/>
      <c r="T69" s="194"/>
      <c r="U69" s="194">
        <f>'[2]AHTS-1'!BB67+'[2]AHTS-2'!BB67+'[2]AHTS-3'!BB67+'[2]AHTS-4'!BB67+'[2]AHTS-5'!BB67+'[2]AHTS-6'!BB67+'[2]AHTS-7'!BB67+'[2]AHTS-8'!BB67+'[3]CB-1'!BB67+'[3]CB-2'!BB67+'[3]CB-3'!BB67+'[3]CB-4'!BB67+'[3]CB-5'!BB67+'[3]CB-6'!BB67+'[3]CB-7'!BB67+'[3]CB-8'!BB67+'[3]CB-9'!BB67+'[3]CB-10'!BB67+'[3]CB-11'!BB67+'[3]CB-12'!BB67+'[3]CB-13'!BB67+'[3]CB-14'!BB67+'[3]CB-15'!BB67+'[3]CB-16'!BB67+'[3]CB-17'!BB67+'[3]CB-18'!BB67+'[3]CB-19'!BB67+'[3]CB-20'!BB67+'[3]CB-21'!BB67+'[3]CB-22'!BB67+'[3]CB-23'!BB67+'[3]CB-24'!BB67+'[4]LCT-1'!BB67+'[4]LCT-2'!BB67+'[4]LCT-3'!BB67+'[4]LCT-4'!BB67+'[4]LCT-5'!BB67+'[4]LCT-6'!BB67+'[4]LCT-7'!BB67+'[4]LCT-8'!BB67+'[5]TB-1'!BB67+'[5]TB-2'!BB67+'[5]TB-3'!BB67+'[5]TB-4'!BB67+'[5]TB-5'!BB67+'[5]TB-6'!BB67+'[5]TB-7'!BB67+'[5]TB-8'!BB67+'[5]TB-9'!BB67+'[5]TB-10'!BB67+'[6]DSV-1'!BB67+'[6]DSV-2'!BB67+'[6]DSV-3'!BB67+'[7]TUB-1'!BB67+'[7]TUB-2'!BB67+'[8]Barge-1'!BB67+'[8]Barge-2'!BB67+'[8]Barge-3'!BB67+'[8]Barge-4'!BB67</f>
        <v>0</v>
      </c>
      <c r="V69" s="194"/>
      <c r="W69" s="194"/>
      <c r="X69" s="122"/>
      <c r="Y69" s="12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  <c r="BN69" s="82"/>
      <c r="BO69" s="82"/>
      <c r="BP69" s="82"/>
      <c r="BQ69" s="82"/>
      <c r="BR69" s="82"/>
      <c r="BS69" s="82"/>
      <c r="BT69" s="82"/>
      <c r="BU69" s="82"/>
      <c r="BV69" s="82"/>
      <c r="BW69" s="82"/>
      <c r="BX69" s="82"/>
      <c r="BY69" s="82"/>
      <c r="BZ69" s="82"/>
      <c r="CA69" s="82"/>
      <c r="CB69" s="82"/>
      <c r="CC69" s="82"/>
      <c r="CD69" s="82"/>
      <c r="CE69" s="82"/>
      <c r="CF69" s="82"/>
      <c r="CG69" s="82"/>
      <c r="CH69" s="82"/>
      <c r="CI69" s="82"/>
      <c r="CJ69" s="82"/>
      <c r="CK69" s="82"/>
      <c r="CL69" s="82"/>
      <c r="CM69" s="82"/>
      <c r="CN69" s="82"/>
      <c r="CO69" s="82"/>
      <c r="CP69" s="82"/>
      <c r="CQ69" s="82"/>
      <c r="CR69" s="82"/>
      <c r="CS69" s="82"/>
    </row>
    <row r="70" spans="1:97" s="90" customFormat="1" ht="15" customHeight="1" x14ac:dyDescent="0.25">
      <c r="A70" s="117">
        <f t="shared" si="4"/>
        <v>46005</v>
      </c>
      <c r="B70" s="120"/>
      <c r="C70" s="194">
        <f>'[2]AHTS-1'!AV68+'[2]AHTS-2'!AV68+'[2]AHTS-3'!AV68+'[2]AHTS-4'!AV68+'[2]AHTS-5'!AV68+'[2]AHTS-6'!AV68+'[2]AHTS-7'!AV68+'[2]AHTS-8'!AV68+'[3]CB-1'!AV68+'[3]CB-2'!AV68+'[3]CB-3'!AV68+'[3]CB-4'!AV68+'[3]CB-5'!AV68+'[3]CB-6'!AV68+'[3]CB-7'!AV68+'[3]CB-8'!AV68+'[3]CB-9'!AV68+'[3]CB-10'!AV68+'[3]CB-11'!AV68+'[3]CB-12'!AV68+'[3]CB-13'!AV68+'[3]CB-14'!AV68+'[3]CB-15'!AV68+'[3]CB-16'!AV68+'[3]CB-17'!AV68+'[3]CB-18'!AV68+'[3]CB-19'!AV68+'[3]CB-20'!AV68+'[3]CB-21'!AV68+'[3]CB-22'!AV68+'[3]CB-23'!AV68+'[3]CB-24'!AV68+'[4]LCT-1'!AV68+'[4]LCT-2'!AV68+'[4]LCT-3'!AV68+'[4]LCT-4'!AV68+'[4]LCT-5'!AV68+'[4]LCT-6'!AV68+'[4]LCT-7'!AV68+'[4]LCT-8'!AV68+'[5]TB-1'!AV68+'[5]TB-2'!AV68+'[5]TB-3'!AV68+'[5]TB-4'!AV68+'[5]TB-5'!AV68+'[5]TB-6'!AV68+'[5]TB-7'!AV68+'[5]TB-8'!AV68+'[5]TB-9'!AV68+'[5]TB-10'!AV68+'[6]DSV-1'!AV68+'[6]DSV-2'!AV68+'[6]DSV-3'!AV68+'[7]TUB-1'!AV68+'[7]TUB-2'!AV68+'[8]Barge-1'!AV68+'[8]Barge-2'!AV68+'[8]Barge-3'!AV68+'[8]Barge-4'!AV68</f>
        <v>0</v>
      </c>
      <c r="D70" s="194"/>
      <c r="E70" s="194"/>
      <c r="F70" s="194">
        <f>'[2]AHTS-1'!AW68+'[2]AHTS-2'!AW68+'[2]AHTS-3'!AW68+'[2]AHTS-4'!AW68+'[2]AHTS-5'!AW68+'[2]AHTS-6'!AW68+'[2]AHTS-7'!AW68+'[2]AHTS-8'!AW68+'[3]CB-1'!AW68+'[3]CB-2'!AW68+'[3]CB-3'!AW68+'[3]CB-4'!AW68+'[3]CB-5'!AW68+'[3]CB-6'!AW68+'[3]CB-7'!AW68+'[3]CB-8'!AW68+'[3]CB-9'!AW68+'[3]CB-10'!AW68+'[3]CB-11'!AW68+'[3]CB-12'!AW68+'[3]CB-13'!AW68+'[3]CB-14'!AW68+'[3]CB-15'!AW68+'[3]CB-16'!AW68+'[3]CB-17'!AW68+'[3]CB-18'!AW68+'[3]CB-19'!AW68+'[3]CB-20'!AW68+'[3]CB-21'!AW68+'[3]CB-22'!AW68+'[3]CB-23'!AW68+'[3]CB-24'!AW68+'[4]LCT-1'!AW68+'[4]LCT-2'!AW68+'[4]LCT-3'!AW68+'[4]LCT-4'!AW68+'[4]LCT-5'!AW68+'[4]LCT-6'!AW68+'[4]LCT-7'!AW68+'[4]LCT-8'!AW68+'[5]TB-1'!AW68+'[5]TB-2'!AW68+'[5]TB-3'!AW68+'[5]TB-4'!AW68+'[5]TB-5'!AW68+'[5]TB-6'!AW68+'[5]TB-7'!AW68+'[5]TB-8'!AW68+'[5]TB-9'!AW68+'[5]TB-10'!AW68+'[6]DSV-1'!AW68+'[6]DSV-2'!AW68+'[6]DSV-3'!AW68+'[7]TUB-1'!AW68+'[7]TUB-2'!AW68+'[8]Barge-1'!AW68+'[8]Barge-2'!AW68+'[8]Barge-3'!AW68+'[8]Barge-4'!AW68</f>
        <v>1576</v>
      </c>
      <c r="G70" s="194"/>
      <c r="H70" s="194"/>
      <c r="I70" s="194">
        <f>'[2]AHTS-1'!AX68+'[2]AHTS-2'!AX68+'[2]AHTS-3'!AX68+'[2]AHTS-4'!AX68+'[2]AHTS-5'!AX68+'[2]AHTS-6'!AX68+'[2]AHTS-7'!AX68+'[2]AHTS-8'!AX68+'[3]CB-1'!AX68+'[3]CB-2'!AX68+'[3]CB-3'!AX68+'[3]CB-4'!AX68+'[3]CB-5'!AX68+'[3]CB-6'!AX68+'[3]CB-7'!AX68+'[3]CB-8'!AX68+'[3]CB-9'!AX68+'[3]CB-10'!AX68+'[3]CB-11'!AX68+'[3]CB-12'!AX68+'[3]CB-13'!AX68+'[3]CB-14'!AX68+'[3]CB-15'!AX68+'[3]CB-16'!AX68+'[3]CB-17'!AX68+'[3]CB-18'!AX68+'[3]CB-19'!AX68+'[3]CB-20'!AX68+'[3]CB-21'!AX68+'[3]CB-22'!AX68+'[3]CB-23'!AX68+'[3]CB-24'!AX68+'[4]LCT-1'!AX68+'[4]LCT-2'!AX68+'[4]LCT-3'!AX68+'[4]LCT-4'!AX68+'[4]LCT-5'!AX68+'[4]LCT-6'!AX68+'[4]LCT-7'!AX68+'[4]LCT-8'!AX68+'[5]TB-1'!AX68+'[5]TB-2'!AX68+'[5]TB-3'!AX68+'[5]TB-4'!AX68+'[5]TB-5'!AX68+'[5]TB-6'!AX68+'[5]TB-7'!AX68+'[5]TB-8'!AX68+'[5]TB-9'!AX68+'[5]TB-10'!AX68+'[6]DSV-1'!AX68+'[6]DSV-2'!AX68+'[6]DSV-3'!AX68+'[7]TUB-1'!AX68+'[7]TUB-2'!AX68+'[8]Barge-1'!AX68+'[8]Barge-2'!AX68+'[8]Barge-3'!AX68+'[8]Barge-4'!AX68</f>
        <v>3470</v>
      </c>
      <c r="J70" s="194"/>
      <c r="K70" s="194"/>
      <c r="L70" s="194">
        <f>'[2]AHTS-1'!AY68+'[2]AHTS-2'!AY68+'[2]AHTS-3'!AY68+'[2]AHTS-4'!AY68+'[2]AHTS-5'!AY68+'[2]AHTS-6'!AY68+'[2]AHTS-7'!AY68+'[2]AHTS-8'!AY68+'[3]CB-1'!AY68+'[3]CB-2'!AY68+'[3]CB-3'!AY68+'[3]CB-4'!AY68+'[3]CB-5'!AY68+'[3]CB-6'!AY68+'[3]CB-7'!AY68+'[3]CB-8'!AY68+'[3]CB-9'!AY68+'[3]CB-10'!AY68+'[3]CB-11'!AY68+'[3]CB-12'!AY68+'[3]CB-13'!AY68+'[3]CB-14'!AY68+'[3]CB-15'!AY68+'[3]CB-16'!AY68+'[3]CB-17'!AY68+'[3]CB-18'!AY68+'[3]CB-19'!AY68+'[3]CB-20'!AY68+'[3]CB-21'!AY68+'[3]CB-22'!AY68+'[3]CB-23'!AY68+'[3]CB-24'!AY68+'[4]LCT-1'!AY68+'[4]LCT-2'!AY68+'[4]LCT-3'!AY68+'[4]LCT-4'!AY68+'[4]LCT-5'!AY68+'[4]LCT-6'!AY68+'[4]LCT-7'!AY68+'[4]LCT-8'!AY68+'[5]TB-1'!AY68+'[5]TB-2'!AY68+'[5]TB-3'!AY68+'[5]TB-4'!AY68+'[5]TB-5'!AY68+'[5]TB-6'!AY68+'[5]TB-7'!AY68+'[5]TB-8'!AY68+'[5]TB-9'!AY68+'[5]TB-10'!AY68+'[6]DSV-1'!AY68+'[6]DSV-2'!AY68+'[6]DSV-3'!AY68+'[7]TUB-1'!AY68+'[7]TUB-2'!AY68+'[8]Barge-1'!AY68+'[8]Barge-2'!AY68+'[8]Barge-3'!AY68+'[8]Barge-4'!AY68</f>
        <v>2756</v>
      </c>
      <c r="M70" s="194"/>
      <c r="N70" s="194"/>
      <c r="O70" s="194">
        <f>'[2]AHTS-1'!AZ68+'[2]AHTS-2'!AZ68+'[2]AHTS-3'!AZ68+'[2]AHTS-4'!AZ68+'[2]AHTS-5'!AZ68+'[2]AHTS-6'!AZ68+'[2]AHTS-7'!AZ68+'[2]AHTS-8'!AZ68+'[3]CB-1'!AZ68+'[3]CB-2'!AZ68+'[3]CB-3'!AZ68+'[3]CB-4'!AZ68+'[3]CB-5'!AZ68+'[3]CB-6'!AZ68+'[3]CB-7'!AZ68+'[3]CB-8'!AZ68+'[3]CB-9'!AZ68+'[3]CB-10'!AZ68+'[3]CB-11'!AZ68+'[3]CB-12'!AZ68+'[3]CB-13'!AZ68+'[3]CB-14'!AZ68+'[3]CB-15'!AZ68+'[3]CB-16'!AZ68+'[3]CB-17'!AZ68+'[3]CB-18'!AZ68+'[3]CB-19'!AZ68+'[3]CB-20'!AZ68+'[3]CB-21'!AZ68+'[3]CB-22'!AZ68+'[3]CB-23'!AZ68+'[3]CB-24'!AZ68+'[4]LCT-1'!AZ68+'[4]LCT-2'!AZ68+'[4]LCT-3'!AZ68+'[4]LCT-4'!AZ68+'[4]LCT-5'!AZ68+'[4]LCT-6'!AZ68+'[4]LCT-7'!AZ68+'[4]LCT-8'!AZ68+'[5]TB-1'!AZ68+'[5]TB-2'!AZ68+'[5]TB-3'!AZ68+'[5]TB-4'!AZ68+'[5]TB-5'!AZ68+'[5]TB-6'!AZ68+'[5]TB-7'!AZ68+'[5]TB-8'!AZ68+'[5]TB-9'!AZ68+'[5]TB-10'!AZ68+'[6]DSV-1'!AZ68+'[6]DSV-2'!AZ68+'[6]DSV-3'!AZ68+'[7]TUB-1'!AZ68+'[7]TUB-2'!AZ68+'[8]Barge-1'!AZ68+'[8]Barge-2'!AZ68+'[8]Barge-3'!AZ68+'[8]Barge-4'!AZ68</f>
        <v>136</v>
      </c>
      <c r="P70" s="194"/>
      <c r="Q70" s="194"/>
      <c r="R70" s="194">
        <f>'[2]AHTS-1'!BA68+'[2]AHTS-2'!BA68+'[2]AHTS-3'!BA68+'[2]AHTS-4'!BA68+'[2]AHTS-5'!BA68+'[2]AHTS-6'!BA68+'[2]AHTS-7'!BA68+'[2]AHTS-8'!BA68+'[3]CB-1'!BA68+'[3]CB-2'!BA68+'[3]CB-3'!BA68+'[3]CB-4'!BA68+'[3]CB-5'!BA68+'[3]CB-6'!BA68+'[3]CB-7'!BA68+'[3]CB-8'!BA68+'[3]CB-9'!BA68+'[3]CB-10'!BA68+'[3]CB-11'!BA68+'[3]CB-12'!BA68+'[3]CB-13'!BA68+'[3]CB-14'!BA68+'[3]CB-15'!BA68+'[3]CB-16'!BA68+'[3]CB-17'!BA68+'[3]CB-18'!BA68+'[3]CB-19'!BA68+'[3]CB-20'!BA68+'[3]CB-21'!BA68+'[3]CB-22'!BA68+'[3]CB-23'!BA68+'[3]CB-24'!BA68+'[4]LCT-1'!BA68+'[4]LCT-2'!BA68+'[4]LCT-3'!BA68+'[4]LCT-4'!BA68+'[4]LCT-5'!BA68+'[4]LCT-6'!BA68+'[4]LCT-7'!BA68+'[4]LCT-8'!BA68+'[5]TB-1'!BA68+'[5]TB-2'!BA68+'[5]TB-3'!BA68+'[5]TB-4'!BA68+'[5]TB-5'!BA68+'[5]TB-6'!BA68+'[5]TB-7'!BA68+'[5]TB-8'!BA68+'[5]TB-9'!BA68+'[5]TB-10'!BA68+'[6]DSV-1'!BA68+'[6]DSV-2'!BA68+'[6]DSV-3'!BA68+'[7]TUB-1'!BA68+'[7]TUB-2'!BA68+'[8]Barge-1'!BA68+'[8]Barge-2'!BA68+'[8]Barge-3'!BA68+'[8]Barge-4'!BA68</f>
        <v>4280</v>
      </c>
      <c r="S70" s="194"/>
      <c r="T70" s="194"/>
      <c r="U70" s="194">
        <f>'[2]AHTS-1'!BB68+'[2]AHTS-2'!BB68+'[2]AHTS-3'!BB68+'[2]AHTS-4'!BB68+'[2]AHTS-5'!BB68+'[2]AHTS-6'!BB68+'[2]AHTS-7'!BB68+'[2]AHTS-8'!BB68+'[3]CB-1'!BB68+'[3]CB-2'!BB68+'[3]CB-3'!BB68+'[3]CB-4'!BB68+'[3]CB-5'!BB68+'[3]CB-6'!BB68+'[3]CB-7'!BB68+'[3]CB-8'!BB68+'[3]CB-9'!BB68+'[3]CB-10'!BB68+'[3]CB-11'!BB68+'[3]CB-12'!BB68+'[3]CB-13'!BB68+'[3]CB-14'!BB68+'[3]CB-15'!BB68+'[3]CB-16'!BB68+'[3]CB-17'!BB68+'[3]CB-18'!BB68+'[3]CB-19'!BB68+'[3]CB-20'!BB68+'[3]CB-21'!BB68+'[3]CB-22'!BB68+'[3]CB-23'!BB68+'[3]CB-24'!BB68+'[4]LCT-1'!BB68+'[4]LCT-2'!BB68+'[4]LCT-3'!BB68+'[4]LCT-4'!BB68+'[4]LCT-5'!BB68+'[4]LCT-6'!BB68+'[4]LCT-7'!BB68+'[4]LCT-8'!BB68+'[5]TB-1'!BB68+'[5]TB-2'!BB68+'[5]TB-3'!BB68+'[5]TB-4'!BB68+'[5]TB-5'!BB68+'[5]TB-6'!BB68+'[5]TB-7'!BB68+'[5]TB-8'!BB68+'[5]TB-9'!BB68+'[5]TB-10'!BB68+'[6]DSV-1'!BB68+'[6]DSV-2'!BB68+'[6]DSV-3'!BB68+'[7]TUB-1'!BB68+'[7]TUB-2'!BB68+'[8]Barge-1'!BB68+'[8]Barge-2'!BB68+'[8]Barge-3'!BB68+'[8]Barge-4'!BB68</f>
        <v>0</v>
      </c>
      <c r="V70" s="194"/>
      <c r="W70" s="194"/>
      <c r="X70" s="122"/>
      <c r="Y70" s="12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  <c r="BN70" s="82"/>
      <c r="BO70" s="82"/>
      <c r="BP70" s="82"/>
      <c r="BQ70" s="82"/>
      <c r="BR70" s="82"/>
      <c r="BS70" s="82"/>
      <c r="BT70" s="82"/>
      <c r="BU70" s="82"/>
      <c r="BV70" s="82"/>
      <c r="BW70" s="82"/>
      <c r="BX70" s="82"/>
      <c r="BY70" s="82"/>
      <c r="BZ70" s="82"/>
      <c r="CA70" s="82"/>
      <c r="CB70" s="82"/>
      <c r="CC70" s="82"/>
      <c r="CD70" s="82"/>
      <c r="CE70" s="82"/>
      <c r="CF70" s="82"/>
      <c r="CG70" s="82"/>
      <c r="CH70" s="82"/>
      <c r="CI70" s="82"/>
      <c r="CJ70" s="82"/>
      <c r="CK70" s="82"/>
      <c r="CL70" s="82"/>
      <c r="CM70" s="82"/>
      <c r="CN70" s="82"/>
      <c r="CO70" s="82"/>
      <c r="CP70" s="82"/>
      <c r="CQ70" s="82"/>
      <c r="CR70" s="82"/>
      <c r="CS70" s="82"/>
    </row>
    <row r="71" spans="1:97" s="90" customFormat="1" ht="15" customHeight="1" x14ac:dyDescent="0.25">
      <c r="A71" s="117">
        <f t="shared" si="4"/>
        <v>46006</v>
      </c>
      <c r="B71" s="120"/>
      <c r="C71" s="194">
        <f>'[2]AHTS-1'!AV69+'[2]AHTS-2'!AV69+'[2]AHTS-3'!AV69+'[2]AHTS-4'!AV69+'[2]AHTS-5'!AV69+'[2]AHTS-6'!AV69+'[2]AHTS-7'!AV69+'[2]AHTS-8'!AV69+'[3]CB-1'!AV69+'[3]CB-2'!AV69+'[3]CB-3'!AV69+'[3]CB-4'!AV69+'[3]CB-5'!AV69+'[3]CB-6'!AV69+'[3]CB-7'!AV69+'[3]CB-8'!AV69+'[3]CB-9'!AV69+'[3]CB-10'!AV69+'[3]CB-11'!AV69+'[3]CB-12'!AV69+'[3]CB-13'!AV69+'[3]CB-14'!AV69+'[3]CB-15'!AV69+'[3]CB-16'!AV69+'[3]CB-17'!AV69+'[3]CB-18'!AV69+'[3]CB-19'!AV69+'[3]CB-20'!AV69+'[3]CB-21'!AV69+'[3]CB-22'!AV69+'[3]CB-23'!AV69+'[3]CB-24'!AV69+'[4]LCT-1'!AV69+'[4]LCT-2'!AV69+'[4]LCT-3'!AV69+'[4]LCT-4'!AV69+'[4]LCT-5'!AV69+'[4]LCT-6'!AV69+'[4]LCT-7'!AV69+'[4]LCT-8'!AV69+'[5]TB-1'!AV69+'[5]TB-2'!AV69+'[5]TB-3'!AV69+'[5]TB-4'!AV69+'[5]TB-5'!AV69+'[5]TB-6'!AV69+'[5]TB-7'!AV69+'[5]TB-8'!AV69+'[5]TB-9'!AV69+'[5]TB-10'!AV69+'[6]DSV-1'!AV69+'[6]DSV-2'!AV69+'[6]DSV-3'!AV69+'[7]TUB-1'!AV69+'[7]TUB-2'!AV69+'[8]Barge-1'!AV69+'[8]Barge-2'!AV69+'[8]Barge-3'!AV69+'[8]Barge-4'!AV69</f>
        <v>0</v>
      </c>
      <c r="D71" s="194"/>
      <c r="E71" s="194"/>
      <c r="F71" s="194">
        <f>'[2]AHTS-1'!AW69+'[2]AHTS-2'!AW69+'[2]AHTS-3'!AW69+'[2]AHTS-4'!AW69+'[2]AHTS-5'!AW69+'[2]AHTS-6'!AW69+'[2]AHTS-7'!AW69+'[2]AHTS-8'!AW69+'[3]CB-1'!AW69+'[3]CB-2'!AW69+'[3]CB-3'!AW69+'[3]CB-4'!AW69+'[3]CB-5'!AW69+'[3]CB-6'!AW69+'[3]CB-7'!AW69+'[3]CB-8'!AW69+'[3]CB-9'!AW69+'[3]CB-10'!AW69+'[3]CB-11'!AW69+'[3]CB-12'!AW69+'[3]CB-13'!AW69+'[3]CB-14'!AW69+'[3]CB-15'!AW69+'[3]CB-16'!AW69+'[3]CB-17'!AW69+'[3]CB-18'!AW69+'[3]CB-19'!AW69+'[3]CB-20'!AW69+'[3]CB-21'!AW69+'[3]CB-22'!AW69+'[3]CB-23'!AW69+'[3]CB-24'!AW69+'[4]LCT-1'!AW69+'[4]LCT-2'!AW69+'[4]LCT-3'!AW69+'[4]LCT-4'!AW69+'[4]LCT-5'!AW69+'[4]LCT-6'!AW69+'[4]LCT-7'!AW69+'[4]LCT-8'!AW69+'[5]TB-1'!AW69+'[5]TB-2'!AW69+'[5]TB-3'!AW69+'[5]TB-4'!AW69+'[5]TB-5'!AW69+'[5]TB-6'!AW69+'[5]TB-7'!AW69+'[5]TB-8'!AW69+'[5]TB-9'!AW69+'[5]TB-10'!AW69+'[6]DSV-1'!AW69+'[6]DSV-2'!AW69+'[6]DSV-3'!AW69+'[7]TUB-1'!AW69+'[7]TUB-2'!AW69+'[8]Barge-1'!AW69+'[8]Barge-2'!AW69+'[8]Barge-3'!AW69+'[8]Barge-4'!AW69</f>
        <v>886.66666666666674</v>
      </c>
      <c r="G71" s="194"/>
      <c r="H71" s="194"/>
      <c r="I71" s="194">
        <f>'[2]AHTS-1'!AX69+'[2]AHTS-2'!AX69+'[2]AHTS-3'!AX69+'[2]AHTS-4'!AX69+'[2]AHTS-5'!AX69+'[2]AHTS-6'!AX69+'[2]AHTS-7'!AX69+'[2]AHTS-8'!AX69+'[3]CB-1'!AX69+'[3]CB-2'!AX69+'[3]CB-3'!AX69+'[3]CB-4'!AX69+'[3]CB-5'!AX69+'[3]CB-6'!AX69+'[3]CB-7'!AX69+'[3]CB-8'!AX69+'[3]CB-9'!AX69+'[3]CB-10'!AX69+'[3]CB-11'!AX69+'[3]CB-12'!AX69+'[3]CB-13'!AX69+'[3]CB-14'!AX69+'[3]CB-15'!AX69+'[3]CB-16'!AX69+'[3]CB-17'!AX69+'[3]CB-18'!AX69+'[3]CB-19'!AX69+'[3]CB-20'!AX69+'[3]CB-21'!AX69+'[3]CB-22'!AX69+'[3]CB-23'!AX69+'[3]CB-24'!AX69+'[4]LCT-1'!AX69+'[4]LCT-2'!AX69+'[4]LCT-3'!AX69+'[4]LCT-4'!AX69+'[4]LCT-5'!AX69+'[4]LCT-6'!AX69+'[4]LCT-7'!AX69+'[4]LCT-8'!AX69+'[5]TB-1'!AX69+'[5]TB-2'!AX69+'[5]TB-3'!AX69+'[5]TB-4'!AX69+'[5]TB-5'!AX69+'[5]TB-6'!AX69+'[5]TB-7'!AX69+'[5]TB-8'!AX69+'[5]TB-9'!AX69+'[5]TB-10'!AX69+'[6]DSV-1'!AX69+'[6]DSV-2'!AX69+'[6]DSV-3'!AX69+'[7]TUB-1'!AX69+'[7]TUB-2'!AX69+'[8]Barge-1'!AX69+'[8]Barge-2'!AX69+'[8]Barge-3'!AX69+'[8]Barge-4'!AX69</f>
        <v>4188.666666666667</v>
      </c>
      <c r="J71" s="194"/>
      <c r="K71" s="194"/>
      <c r="L71" s="194">
        <f>'[2]AHTS-1'!AY69+'[2]AHTS-2'!AY69+'[2]AHTS-3'!AY69+'[2]AHTS-4'!AY69+'[2]AHTS-5'!AY69+'[2]AHTS-6'!AY69+'[2]AHTS-7'!AY69+'[2]AHTS-8'!AY69+'[3]CB-1'!AY69+'[3]CB-2'!AY69+'[3]CB-3'!AY69+'[3]CB-4'!AY69+'[3]CB-5'!AY69+'[3]CB-6'!AY69+'[3]CB-7'!AY69+'[3]CB-8'!AY69+'[3]CB-9'!AY69+'[3]CB-10'!AY69+'[3]CB-11'!AY69+'[3]CB-12'!AY69+'[3]CB-13'!AY69+'[3]CB-14'!AY69+'[3]CB-15'!AY69+'[3]CB-16'!AY69+'[3]CB-17'!AY69+'[3]CB-18'!AY69+'[3]CB-19'!AY69+'[3]CB-20'!AY69+'[3]CB-21'!AY69+'[3]CB-22'!AY69+'[3]CB-23'!AY69+'[3]CB-24'!AY69+'[4]LCT-1'!AY69+'[4]LCT-2'!AY69+'[4]LCT-3'!AY69+'[4]LCT-4'!AY69+'[4]LCT-5'!AY69+'[4]LCT-6'!AY69+'[4]LCT-7'!AY69+'[4]LCT-8'!AY69+'[5]TB-1'!AY69+'[5]TB-2'!AY69+'[5]TB-3'!AY69+'[5]TB-4'!AY69+'[5]TB-5'!AY69+'[5]TB-6'!AY69+'[5]TB-7'!AY69+'[5]TB-8'!AY69+'[5]TB-9'!AY69+'[5]TB-10'!AY69+'[6]DSV-1'!AY69+'[6]DSV-2'!AY69+'[6]DSV-3'!AY69+'[7]TUB-1'!AY69+'[7]TUB-2'!AY69+'[8]Barge-1'!AY69+'[8]Barge-2'!AY69+'[8]Barge-3'!AY69+'[8]Barge-4'!AY69</f>
        <v>2744.9999999999995</v>
      </c>
      <c r="M71" s="194"/>
      <c r="N71" s="194"/>
      <c r="O71" s="194">
        <f>'[2]AHTS-1'!AZ69+'[2]AHTS-2'!AZ69+'[2]AHTS-3'!AZ69+'[2]AHTS-4'!AZ69+'[2]AHTS-5'!AZ69+'[2]AHTS-6'!AZ69+'[2]AHTS-7'!AZ69+'[2]AHTS-8'!AZ69+'[3]CB-1'!AZ69+'[3]CB-2'!AZ69+'[3]CB-3'!AZ69+'[3]CB-4'!AZ69+'[3]CB-5'!AZ69+'[3]CB-6'!AZ69+'[3]CB-7'!AZ69+'[3]CB-8'!AZ69+'[3]CB-9'!AZ69+'[3]CB-10'!AZ69+'[3]CB-11'!AZ69+'[3]CB-12'!AZ69+'[3]CB-13'!AZ69+'[3]CB-14'!AZ69+'[3]CB-15'!AZ69+'[3]CB-16'!AZ69+'[3]CB-17'!AZ69+'[3]CB-18'!AZ69+'[3]CB-19'!AZ69+'[3]CB-20'!AZ69+'[3]CB-21'!AZ69+'[3]CB-22'!AZ69+'[3]CB-23'!AZ69+'[3]CB-24'!AZ69+'[4]LCT-1'!AZ69+'[4]LCT-2'!AZ69+'[4]LCT-3'!AZ69+'[4]LCT-4'!AZ69+'[4]LCT-5'!AZ69+'[4]LCT-6'!AZ69+'[4]LCT-7'!AZ69+'[4]LCT-8'!AZ69+'[5]TB-1'!AZ69+'[5]TB-2'!AZ69+'[5]TB-3'!AZ69+'[5]TB-4'!AZ69+'[5]TB-5'!AZ69+'[5]TB-6'!AZ69+'[5]TB-7'!AZ69+'[5]TB-8'!AZ69+'[5]TB-9'!AZ69+'[5]TB-10'!AZ69+'[6]DSV-1'!AZ69+'[6]DSV-2'!AZ69+'[6]DSV-3'!AZ69+'[7]TUB-1'!AZ69+'[7]TUB-2'!AZ69+'[8]Barge-1'!AZ69+'[8]Barge-2'!AZ69+'[8]Barge-3'!AZ69+'[8]Barge-4'!AZ69</f>
        <v>78.999999999999986</v>
      </c>
      <c r="P71" s="194"/>
      <c r="Q71" s="194"/>
      <c r="R71" s="194">
        <f>'[2]AHTS-1'!BA69+'[2]AHTS-2'!BA69+'[2]AHTS-3'!BA69+'[2]AHTS-4'!BA69+'[2]AHTS-5'!BA69+'[2]AHTS-6'!BA69+'[2]AHTS-7'!BA69+'[2]AHTS-8'!BA69+'[3]CB-1'!BA69+'[3]CB-2'!BA69+'[3]CB-3'!BA69+'[3]CB-4'!BA69+'[3]CB-5'!BA69+'[3]CB-6'!BA69+'[3]CB-7'!BA69+'[3]CB-8'!BA69+'[3]CB-9'!BA69+'[3]CB-10'!BA69+'[3]CB-11'!BA69+'[3]CB-12'!BA69+'[3]CB-13'!BA69+'[3]CB-14'!BA69+'[3]CB-15'!BA69+'[3]CB-16'!BA69+'[3]CB-17'!BA69+'[3]CB-18'!BA69+'[3]CB-19'!BA69+'[3]CB-20'!BA69+'[3]CB-21'!BA69+'[3]CB-22'!BA69+'[3]CB-23'!BA69+'[3]CB-24'!BA69+'[4]LCT-1'!BA69+'[4]LCT-2'!BA69+'[4]LCT-3'!BA69+'[4]LCT-4'!BA69+'[4]LCT-5'!BA69+'[4]LCT-6'!BA69+'[4]LCT-7'!BA69+'[4]LCT-8'!BA69+'[5]TB-1'!BA69+'[5]TB-2'!BA69+'[5]TB-3'!BA69+'[5]TB-4'!BA69+'[5]TB-5'!BA69+'[5]TB-6'!BA69+'[5]TB-7'!BA69+'[5]TB-8'!BA69+'[5]TB-9'!BA69+'[5]TB-10'!BA69+'[6]DSV-1'!BA69+'[6]DSV-2'!BA69+'[6]DSV-3'!BA69+'[7]TUB-1'!BA69+'[7]TUB-2'!BA69+'[8]Barge-1'!BA69+'[8]Barge-2'!BA69+'[8]Barge-3'!BA69+'[8]Barge-4'!BA69</f>
        <v>4100.666666666667</v>
      </c>
      <c r="S71" s="194"/>
      <c r="T71" s="194"/>
      <c r="U71" s="194">
        <f>'[2]AHTS-1'!BB69+'[2]AHTS-2'!BB69+'[2]AHTS-3'!BB69+'[2]AHTS-4'!BB69+'[2]AHTS-5'!BB69+'[2]AHTS-6'!BB69+'[2]AHTS-7'!BB69+'[2]AHTS-8'!BB69+'[3]CB-1'!BB69+'[3]CB-2'!BB69+'[3]CB-3'!BB69+'[3]CB-4'!BB69+'[3]CB-5'!BB69+'[3]CB-6'!BB69+'[3]CB-7'!BB69+'[3]CB-8'!BB69+'[3]CB-9'!BB69+'[3]CB-10'!BB69+'[3]CB-11'!BB69+'[3]CB-12'!BB69+'[3]CB-13'!BB69+'[3]CB-14'!BB69+'[3]CB-15'!BB69+'[3]CB-16'!BB69+'[3]CB-17'!BB69+'[3]CB-18'!BB69+'[3]CB-19'!BB69+'[3]CB-20'!BB69+'[3]CB-21'!BB69+'[3]CB-22'!BB69+'[3]CB-23'!BB69+'[3]CB-24'!BB69+'[4]LCT-1'!BB69+'[4]LCT-2'!BB69+'[4]LCT-3'!BB69+'[4]LCT-4'!BB69+'[4]LCT-5'!BB69+'[4]LCT-6'!BB69+'[4]LCT-7'!BB69+'[4]LCT-8'!BB69+'[5]TB-1'!BB69+'[5]TB-2'!BB69+'[5]TB-3'!BB69+'[5]TB-4'!BB69+'[5]TB-5'!BB69+'[5]TB-6'!BB69+'[5]TB-7'!BB69+'[5]TB-8'!BB69+'[5]TB-9'!BB69+'[5]TB-10'!BB69+'[6]DSV-1'!BB69+'[6]DSV-2'!BB69+'[6]DSV-3'!BB69+'[7]TUB-1'!BB69+'[7]TUB-2'!BB69+'[8]Barge-1'!BB69+'[8]Barge-2'!BB69+'[8]Barge-3'!BB69+'[8]Barge-4'!BB69</f>
        <v>0</v>
      </c>
      <c r="V71" s="194"/>
      <c r="W71" s="194"/>
      <c r="X71" s="122"/>
      <c r="Y71" s="12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82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82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</row>
    <row r="72" spans="1:97" s="90" customFormat="1" ht="15" customHeight="1" x14ac:dyDescent="0.25">
      <c r="A72" s="117">
        <f t="shared" si="4"/>
        <v>46007</v>
      </c>
      <c r="B72" s="120"/>
      <c r="C72" s="194">
        <f>'[2]AHTS-1'!AV70+'[2]AHTS-2'!AV70+'[2]AHTS-3'!AV70+'[2]AHTS-4'!AV70+'[2]AHTS-5'!AV70+'[2]AHTS-6'!AV70+'[2]AHTS-7'!AV70+'[2]AHTS-8'!AV70+'[3]CB-1'!AV70+'[3]CB-2'!AV70+'[3]CB-3'!AV70+'[3]CB-4'!AV70+'[3]CB-5'!AV70+'[3]CB-6'!AV70+'[3]CB-7'!AV70+'[3]CB-8'!AV70+'[3]CB-9'!AV70+'[3]CB-10'!AV70+'[3]CB-11'!AV70+'[3]CB-12'!AV70+'[3]CB-13'!AV70+'[3]CB-14'!AV70+'[3]CB-15'!AV70+'[3]CB-16'!AV70+'[3]CB-17'!AV70+'[3]CB-18'!AV70+'[3]CB-19'!AV70+'[3]CB-20'!AV70+'[3]CB-21'!AV70+'[3]CB-22'!AV70+'[3]CB-23'!AV70+'[3]CB-24'!AV70+'[4]LCT-1'!AV70+'[4]LCT-2'!AV70+'[4]LCT-3'!AV70+'[4]LCT-4'!AV70+'[4]LCT-5'!AV70+'[4]LCT-6'!AV70+'[4]LCT-7'!AV70+'[4]LCT-8'!AV70+'[5]TB-1'!AV70+'[5]TB-2'!AV70+'[5]TB-3'!AV70+'[5]TB-4'!AV70+'[5]TB-5'!AV70+'[5]TB-6'!AV70+'[5]TB-7'!AV70+'[5]TB-8'!AV70+'[5]TB-9'!AV70+'[5]TB-10'!AV70+'[6]DSV-1'!AV70+'[6]DSV-2'!AV70+'[6]DSV-3'!AV70+'[7]TUB-1'!AV70+'[7]TUB-2'!AV70+'[8]Barge-1'!AV70+'[8]Barge-2'!AV70+'[8]Barge-3'!AV70+'[8]Barge-4'!AV70</f>
        <v>0</v>
      </c>
      <c r="D72" s="194"/>
      <c r="E72" s="194"/>
      <c r="F72" s="194">
        <f>'[2]AHTS-1'!AW70+'[2]AHTS-2'!AW70+'[2]AHTS-3'!AW70+'[2]AHTS-4'!AW70+'[2]AHTS-5'!AW70+'[2]AHTS-6'!AW70+'[2]AHTS-7'!AW70+'[2]AHTS-8'!AW70+'[3]CB-1'!AW70+'[3]CB-2'!AW70+'[3]CB-3'!AW70+'[3]CB-4'!AW70+'[3]CB-5'!AW70+'[3]CB-6'!AW70+'[3]CB-7'!AW70+'[3]CB-8'!AW70+'[3]CB-9'!AW70+'[3]CB-10'!AW70+'[3]CB-11'!AW70+'[3]CB-12'!AW70+'[3]CB-13'!AW70+'[3]CB-14'!AW70+'[3]CB-15'!AW70+'[3]CB-16'!AW70+'[3]CB-17'!AW70+'[3]CB-18'!AW70+'[3]CB-19'!AW70+'[3]CB-20'!AW70+'[3]CB-21'!AW70+'[3]CB-22'!AW70+'[3]CB-23'!AW70+'[3]CB-24'!AW70+'[4]LCT-1'!AW70+'[4]LCT-2'!AW70+'[4]LCT-3'!AW70+'[4]LCT-4'!AW70+'[4]LCT-5'!AW70+'[4]LCT-6'!AW70+'[4]LCT-7'!AW70+'[4]LCT-8'!AW70+'[5]TB-1'!AW70+'[5]TB-2'!AW70+'[5]TB-3'!AW70+'[5]TB-4'!AW70+'[5]TB-5'!AW70+'[5]TB-6'!AW70+'[5]TB-7'!AW70+'[5]TB-8'!AW70+'[5]TB-9'!AW70+'[5]TB-10'!AW70+'[6]DSV-1'!AW70+'[6]DSV-2'!AW70+'[6]DSV-3'!AW70+'[7]TUB-1'!AW70+'[7]TUB-2'!AW70+'[8]Barge-1'!AW70+'[8]Barge-2'!AW70+'[8]Barge-3'!AW70+'[8]Barge-4'!AW70</f>
        <v>1537.3055555555557</v>
      </c>
      <c r="G72" s="194"/>
      <c r="H72" s="194"/>
      <c r="I72" s="194">
        <f>'[2]AHTS-1'!AX70+'[2]AHTS-2'!AX70+'[2]AHTS-3'!AX70+'[2]AHTS-4'!AX70+'[2]AHTS-5'!AX70+'[2]AHTS-6'!AX70+'[2]AHTS-7'!AX70+'[2]AHTS-8'!AX70+'[3]CB-1'!AX70+'[3]CB-2'!AX70+'[3]CB-3'!AX70+'[3]CB-4'!AX70+'[3]CB-5'!AX70+'[3]CB-6'!AX70+'[3]CB-7'!AX70+'[3]CB-8'!AX70+'[3]CB-9'!AX70+'[3]CB-10'!AX70+'[3]CB-11'!AX70+'[3]CB-12'!AX70+'[3]CB-13'!AX70+'[3]CB-14'!AX70+'[3]CB-15'!AX70+'[3]CB-16'!AX70+'[3]CB-17'!AX70+'[3]CB-18'!AX70+'[3]CB-19'!AX70+'[3]CB-20'!AX70+'[3]CB-21'!AX70+'[3]CB-22'!AX70+'[3]CB-23'!AX70+'[3]CB-24'!AX70+'[4]LCT-1'!AX70+'[4]LCT-2'!AX70+'[4]LCT-3'!AX70+'[4]LCT-4'!AX70+'[4]LCT-5'!AX70+'[4]LCT-6'!AX70+'[4]LCT-7'!AX70+'[4]LCT-8'!AX70+'[5]TB-1'!AX70+'[5]TB-2'!AX70+'[5]TB-3'!AX70+'[5]TB-4'!AX70+'[5]TB-5'!AX70+'[5]TB-6'!AX70+'[5]TB-7'!AX70+'[5]TB-8'!AX70+'[5]TB-9'!AX70+'[5]TB-10'!AX70+'[6]DSV-1'!AX70+'[6]DSV-2'!AX70+'[6]DSV-3'!AX70+'[7]TUB-1'!AX70+'[7]TUB-2'!AX70+'[8]Barge-1'!AX70+'[8]Barge-2'!AX70+'[8]Barge-3'!AX70+'[8]Barge-4'!AX70</f>
        <v>3141.5555555555557</v>
      </c>
      <c r="J72" s="194"/>
      <c r="K72" s="194"/>
      <c r="L72" s="194">
        <f>'[2]AHTS-1'!AY70+'[2]AHTS-2'!AY70+'[2]AHTS-3'!AY70+'[2]AHTS-4'!AY70+'[2]AHTS-5'!AY70+'[2]AHTS-6'!AY70+'[2]AHTS-7'!AY70+'[2]AHTS-8'!AY70+'[3]CB-1'!AY70+'[3]CB-2'!AY70+'[3]CB-3'!AY70+'[3]CB-4'!AY70+'[3]CB-5'!AY70+'[3]CB-6'!AY70+'[3]CB-7'!AY70+'[3]CB-8'!AY70+'[3]CB-9'!AY70+'[3]CB-10'!AY70+'[3]CB-11'!AY70+'[3]CB-12'!AY70+'[3]CB-13'!AY70+'[3]CB-14'!AY70+'[3]CB-15'!AY70+'[3]CB-16'!AY70+'[3]CB-17'!AY70+'[3]CB-18'!AY70+'[3]CB-19'!AY70+'[3]CB-20'!AY70+'[3]CB-21'!AY70+'[3]CB-22'!AY70+'[3]CB-23'!AY70+'[3]CB-24'!AY70+'[4]LCT-1'!AY70+'[4]LCT-2'!AY70+'[4]LCT-3'!AY70+'[4]LCT-4'!AY70+'[4]LCT-5'!AY70+'[4]LCT-6'!AY70+'[4]LCT-7'!AY70+'[4]LCT-8'!AY70+'[5]TB-1'!AY70+'[5]TB-2'!AY70+'[5]TB-3'!AY70+'[5]TB-4'!AY70+'[5]TB-5'!AY70+'[5]TB-6'!AY70+'[5]TB-7'!AY70+'[5]TB-8'!AY70+'[5]TB-9'!AY70+'[5]TB-10'!AY70+'[6]DSV-1'!AY70+'[6]DSV-2'!AY70+'[6]DSV-3'!AY70+'[7]TUB-1'!AY70+'[7]TUB-2'!AY70+'[8]Barge-1'!AY70+'[8]Barge-2'!AY70+'[8]Barge-3'!AY70+'[8]Barge-4'!AY70</f>
        <v>4915</v>
      </c>
      <c r="M72" s="194"/>
      <c r="N72" s="194"/>
      <c r="O72" s="194">
        <f>'[2]AHTS-1'!AZ70+'[2]AHTS-2'!AZ70+'[2]AHTS-3'!AZ70+'[2]AHTS-4'!AZ70+'[2]AHTS-5'!AZ70+'[2]AHTS-6'!AZ70+'[2]AHTS-7'!AZ70+'[2]AHTS-8'!AZ70+'[3]CB-1'!AZ70+'[3]CB-2'!AZ70+'[3]CB-3'!AZ70+'[3]CB-4'!AZ70+'[3]CB-5'!AZ70+'[3]CB-6'!AZ70+'[3]CB-7'!AZ70+'[3]CB-8'!AZ70+'[3]CB-9'!AZ70+'[3]CB-10'!AZ70+'[3]CB-11'!AZ70+'[3]CB-12'!AZ70+'[3]CB-13'!AZ70+'[3]CB-14'!AZ70+'[3]CB-15'!AZ70+'[3]CB-16'!AZ70+'[3]CB-17'!AZ70+'[3]CB-18'!AZ70+'[3]CB-19'!AZ70+'[3]CB-20'!AZ70+'[3]CB-21'!AZ70+'[3]CB-22'!AZ70+'[3]CB-23'!AZ70+'[3]CB-24'!AZ70+'[4]LCT-1'!AZ70+'[4]LCT-2'!AZ70+'[4]LCT-3'!AZ70+'[4]LCT-4'!AZ70+'[4]LCT-5'!AZ70+'[4]LCT-6'!AZ70+'[4]LCT-7'!AZ70+'[4]LCT-8'!AZ70+'[5]TB-1'!AZ70+'[5]TB-2'!AZ70+'[5]TB-3'!AZ70+'[5]TB-4'!AZ70+'[5]TB-5'!AZ70+'[5]TB-6'!AZ70+'[5]TB-7'!AZ70+'[5]TB-8'!AZ70+'[5]TB-9'!AZ70+'[5]TB-10'!AZ70+'[6]DSV-1'!AZ70+'[6]DSV-2'!AZ70+'[6]DSV-3'!AZ70+'[7]TUB-1'!AZ70+'[7]TUB-2'!AZ70+'[8]Barge-1'!AZ70+'[8]Barge-2'!AZ70+'[8]Barge-3'!AZ70+'[8]Barge-4'!AZ70</f>
        <v>11.333333333333334</v>
      </c>
      <c r="P72" s="194"/>
      <c r="Q72" s="194"/>
      <c r="R72" s="194">
        <f>'[2]AHTS-1'!BA70+'[2]AHTS-2'!BA70+'[2]AHTS-3'!BA70+'[2]AHTS-4'!BA70+'[2]AHTS-5'!BA70+'[2]AHTS-6'!BA70+'[2]AHTS-7'!BA70+'[2]AHTS-8'!BA70+'[3]CB-1'!BA70+'[3]CB-2'!BA70+'[3]CB-3'!BA70+'[3]CB-4'!BA70+'[3]CB-5'!BA70+'[3]CB-6'!BA70+'[3]CB-7'!BA70+'[3]CB-8'!BA70+'[3]CB-9'!BA70+'[3]CB-10'!BA70+'[3]CB-11'!BA70+'[3]CB-12'!BA70+'[3]CB-13'!BA70+'[3]CB-14'!BA70+'[3]CB-15'!BA70+'[3]CB-16'!BA70+'[3]CB-17'!BA70+'[3]CB-18'!BA70+'[3]CB-19'!BA70+'[3]CB-20'!BA70+'[3]CB-21'!BA70+'[3]CB-22'!BA70+'[3]CB-23'!BA70+'[3]CB-24'!BA70+'[4]LCT-1'!BA70+'[4]LCT-2'!BA70+'[4]LCT-3'!BA70+'[4]LCT-4'!BA70+'[4]LCT-5'!BA70+'[4]LCT-6'!BA70+'[4]LCT-7'!BA70+'[4]LCT-8'!BA70+'[5]TB-1'!BA70+'[5]TB-2'!BA70+'[5]TB-3'!BA70+'[5]TB-4'!BA70+'[5]TB-5'!BA70+'[5]TB-6'!BA70+'[5]TB-7'!BA70+'[5]TB-8'!BA70+'[5]TB-9'!BA70+'[5]TB-10'!BA70+'[6]DSV-1'!BA70+'[6]DSV-2'!BA70+'[6]DSV-3'!BA70+'[7]TUB-1'!BA70+'[7]TUB-2'!BA70+'[8]Barge-1'!BA70+'[8]Barge-2'!BA70+'[8]Barge-3'!BA70+'[8]Barge-4'!BA70</f>
        <v>5116</v>
      </c>
      <c r="S72" s="194"/>
      <c r="T72" s="194"/>
      <c r="U72" s="194">
        <f>'[2]AHTS-1'!BB70+'[2]AHTS-2'!BB70+'[2]AHTS-3'!BB70+'[2]AHTS-4'!BB70+'[2]AHTS-5'!BB70+'[2]AHTS-6'!BB70+'[2]AHTS-7'!BB70+'[2]AHTS-8'!BB70+'[3]CB-1'!BB70+'[3]CB-2'!BB70+'[3]CB-3'!BB70+'[3]CB-4'!BB70+'[3]CB-5'!BB70+'[3]CB-6'!BB70+'[3]CB-7'!BB70+'[3]CB-8'!BB70+'[3]CB-9'!BB70+'[3]CB-10'!BB70+'[3]CB-11'!BB70+'[3]CB-12'!BB70+'[3]CB-13'!BB70+'[3]CB-14'!BB70+'[3]CB-15'!BB70+'[3]CB-16'!BB70+'[3]CB-17'!BB70+'[3]CB-18'!BB70+'[3]CB-19'!BB70+'[3]CB-20'!BB70+'[3]CB-21'!BB70+'[3]CB-22'!BB70+'[3]CB-23'!BB70+'[3]CB-24'!BB70+'[4]LCT-1'!BB70+'[4]LCT-2'!BB70+'[4]LCT-3'!BB70+'[4]LCT-4'!BB70+'[4]LCT-5'!BB70+'[4]LCT-6'!BB70+'[4]LCT-7'!BB70+'[4]LCT-8'!BB70+'[5]TB-1'!BB70+'[5]TB-2'!BB70+'[5]TB-3'!BB70+'[5]TB-4'!BB70+'[5]TB-5'!BB70+'[5]TB-6'!BB70+'[5]TB-7'!BB70+'[5]TB-8'!BB70+'[5]TB-9'!BB70+'[5]TB-10'!BB70+'[6]DSV-1'!BB70+'[6]DSV-2'!BB70+'[6]DSV-3'!BB70+'[7]TUB-1'!BB70+'[7]TUB-2'!BB70+'[8]Barge-1'!BB70+'[8]Barge-2'!BB70+'[8]Barge-3'!BB70+'[8]Barge-4'!BB70</f>
        <v>0</v>
      </c>
      <c r="V72" s="194"/>
      <c r="W72" s="194"/>
      <c r="X72" s="122"/>
      <c r="Y72" s="12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  <c r="BN72" s="82"/>
      <c r="BO72" s="82"/>
      <c r="BP72" s="82"/>
      <c r="BQ72" s="82"/>
      <c r="BR72" s="82"/>
      <c r="BS72" s="82"/>
      <c r="BT72" s="82"/>
      <c r="BU72" s="82"/>
      <c r="BV72" s="82"/>
      <c r="BW72" s="82"/>
      <c r="BX72" s="82"/>
      <c r="BY72" s="82"/>
      <c r="BZ72" s="82"/>
      <c r="CA72" s="82"/>
      <c r="CB72" s="82"/>
      <c r="CC72" s="82"/>
      <c r="CD72" s="82"/>
      <c r="CE72" s="82"/>
      <c r="CF72" s="82"/>
      <c r="CG72" s="82"/>
      <c r="CH72" s="82"/>
      <c r="CI72" s="82"/>
      <c r="CJ72" s="82"/>
      <c r="CK72" s="82"/>
      <c r="CL72" s="82"/>
      <c r="CM72" s="82"/>
      <c r="CN72" s="82"/>
      <c r="CO72" s="82"/>
      <c r="CP72" s="82"/>
      <c r="CQ72" s="82"/>
      <c r="CR72" s="82"/>
      <c r="CS72" s="82"/>
    </row>
    <row r="73" spans="1:97" s="90" customFormat="1" ht="15" customHeight="1" x14ac:dyDescent="0.25">
      <c r="A73" s="117">
        <f t="shared" si="4"/>
        <v>46008</v>
      </c>
      <c r="B73" s="120"/>
      <c r="C73" s="194">
        <f>'[2]AHTS-1'!AV71+'[2]AHTS-2'!AV71+'[2]AHTS-3'!AV71+'[2]AHTS-4'!AV71+'[2]AHTS-5'!AV71+'[2]AHTS-6'!AV71+'[2]AHTS-7'!AV71+'[2]AHTS-8'!AV71+'[3]CB-1'!AV71+'[3]CB-2'!AV71+'[3]CB-3'!AV71+'[3]CB-4'!AV71+'[3]CB-5'!AV71+'[3]CB-6'!AV71+'[3]CB-7'!AV71+'[3]CB-8'!AV71+'[3]CB-9'!AV71+'[3]CB-10'!AV71+'[3]CB-11'!AV71+'[3]CB-12'!AV71+'[3]CB-13'!AV71+'[3]CB-14'!AV71+'[3]CB-15'!AV71+'[3]CB-16'!AV71+'[3]CB-17'!AV71+'[3]CB-18'!AV71+'[3]CB-19'!AV71+'[3]CB-20'!AV71+'[3]CB-21'!AV71+'[3]CB-22'!AV71+'[3]CB-23'!AV71+'[3]CB-24'!AV71+'[4]LCT-1'!AV71+'[4]LCT-2'!AV71+'[4]LCT-3'!AV71+'[4]LCT-4'!AV71+'[4]LCT-5'!AV71+'[4]LCT-6'!AV71+'[4]LCT-7'!AV71+'[4]LCT-8'!AV71+'[5]TB-1'!AV71+'[5]TB-2'!AV71+'[5]TB-3'!AV71+'[5]TB-4'!AV71+'[5]TB-5'!AV71+'[5]TB-6'!AV71+'[5]TB-7'!AV71+'[5]TB-8'!AV71+'[5]TB-9'!AV71+'[5]TB-10'!AV71+'[6]DSV-1'!AV71+'[6]DSV-2'!AV71+'[6]DSV-3'!AV71+'[7]TUB-1'!AV71+'[7]TUB-2'!AV71+'[8]Barge-1'!AV71+'[8]Barge-2'!AV71+'[8]Barge-3'!AV71+'[8]Barge-4'!AV71</f>
        <v>0</v>
      </c>
      <c r="D73" s="194"/>
      <c r="E73" s="194"/>
      <c r="F73" s="194">
        <f>'[2]AHTS-1'!AW71+'[2]AHTS-2'!AW71+'[2]AHTS-3'!AW71+'[2]AHTS-4'!AW71+'[2]AHTS-5'!AW71+'[2]AHTS-6'!AW71+'[2]AHTS-7'!AW71+'[2]AHTS-8'!AW71+'[3]CB-1'!AW71+'[3]CB-2'!AW71+'[3]CB-3'!AW71+'[3]CB-4'!AW71+'[3]CB-5'!AW71+'[3]CB-6'!AW71+'[3]CB-7'!AW71+'[3]CB-8'!AW71+'[3]CB-9'!AW71+'[3]CB-10'!AW71+'[3]CB-11'!AW71+'[3]CB-12'!AW71+'[3]CB-13'!AW71+'[3]CB-14'!AW71+'[3]CB-15'!AW71+'[3]CB-16'!AW71+'[3]CB-17'!AW71+'[3]CB-18'!AW71+'[3]CB-19'!AW71+'[3]CB-20'!AW71+'[3]CB-21'!AW71+'[3]CB-22'!AW71+'[3]CB-23'!AW71+'[3]CB-24'!AW71+'[4]LCT-1'!AW71+'[4]LCT-2'!AW71+'[4]LCT-3'!AW71+'[4]LCT-4'!AW71+'[4]LCT-5'!AW71+'[4]LCT-6'!AW71+'[4]LCT-7'!AW71+'[4]LCT-8'!AW71+'[5]TB-1'!AW71+'[5]TB-2'!AW71+'[5]TB-3'!AW71+'[5]TB-4'!AW71+'[5]TB-5'!AW71+'[5]TB-6'!AW71+'[5]TB-7'!AW71+'[5]TB-8'!AW71+'[5]TB-9'!AW71+'[5]TB-10'!AW71+'[6]DSV-1'!AW71+'[6]DSV-2'!AW71+'[6]DSV-3'!AW71+'[7]TUB-1'!AW71+'[7]TUB-2'!AW71+'[8]Barge-1'!AW71+'[8]Barge-2'!AW71+'[8]Barge-3'!AW71+'[8]Barge-4'!AW71</f>
        <v>1368</v>
      </c>
      <c r="G73" s="194"/>
      <c r="H73" s="194"/>
      <c r="I73" s="194">
        <f>'[2]AHTS-1'!AX71+'[2]AHTS-2'!AX71+'[2]AHTS-3'!AX71+'[2]AHTS-4'!AX71+'[2]AHTS-5'!AX71+'[2]AHTS-6'!AX71+'[2]AHTS-7'!AX71+'[2]AHTS-8'!AX71+'[3]CB-1'!AX71+'[3]CB-2'!AX71+'[3]CB-3'!AX71+'[3]CB-4'!AX71+'[3]CB-5'!AX71+'[3]CB-6'!AX71+'[3]CB-7'!AX71+'[3]CB-8'!AX71+'[3]CB-9'!AX71+'[3]CB-10'!AX71+'[3]CB-11'!AX71+'[3]CB-12'!AX71+'[3]CB-13'!AX71+'[3]CB-14'!AX71+'[3]CB-15'!AX71+'[3]CB-16'!AX71+'[3]CB-17'!AX71+'[3]CB-18'!AX71+'[3]CB-19'!AX71+'[3]CB-20'!AX71+'[3]CB-21'!AX71+'[3]CB-22'!AX71+'[3]CB-23'!AX71+'[3]CB-24'!AX71+'[4]LCT-1'!AX71+'[4]LCT-2'!AX71+'[4]LCT-3'!AX71+'[4]LCT-4'!AX71+'[4]LCT-5'!AX71+'[4]LCT-6'!AX71+'[4]LCT-7'!AX71+'[4]LCT-8'!AX71+'[5]TB-1'!AX71+'[5]TB-2'!AX71+'[5]TB-3'!AX71+'[5]TB-4'!AX71+'[5]TB-5'!AX71+'[5]TB-6'!AX71+'[5]TB-7'!AX71+'[5]TB-8'!AX71+'[5]TB-9'!AX71+'[5]TB-10'!AX71+'[6]DSV-1'!AX71+'[6]DSV-2'!AX71+'[6]DSV-3'!AX71+'[7]TUB-1'!AX71+'[7]TUB-2'!AX71+'[8]Barge-1'!AX71+'[8]Barge-2'!AX71+'[8]Barge-3'!AX71+'[8]Barge-4'!AX71</f>
        <v>3688.6666666666665</v>
      </c>
      <c r="J73" s="194"/>
      <c r="K73" s="194"/>
      <c r="L73" s="194">
        <f>'[2]AHTS-1'!AY71+'[2]AHTS-2'!AY71+'[2]AHTS-3'!AY71+'[2]AHTS-4'!AY71+'[2]AHTS-5'!AY71+'[2]AHTS-6'!AY71+'[2]AHTS-7'!AY71+'[2]AHTS-8'!AY71+'[3]CB-1'!AY71+'[3]CB-2'!AY71+'[3]CB-3'!AY71+'[3]CB-4'!AY71+'[3]CB-5'!AY71+'[3]CB-6'!AY71+'[3]CB-7'!AY71+'[3]CB-8'!AY71+'[3]CB-9'!AY71+'[3]CB-10'!AY71+'[3]CB-11'!AY71+'[3]CB-12'!AY71+'[3]CB-13'!AY71+'[3]CB-14'!AY71+'[3]CB-15'!AY71+'[3]CB-16'!AY71+'[3]CB-17'!AY71+'[3]CB-18'!AY71+'[3]CB-19'!AY71+'[3]CB-20'!AY71+'[3]CB-21'!AY71+'[3]CB-22'!AY71+'[3]CB-23'!AY71+'[3]CB-24'!AY71+'[4]LCT-1'!AY71+'[4]LCT-2'!AY71+'[4]LCT-3'!AY71+'[4]LCT-4'!AY71+'[4]LCT-5'!AY71+'[4]LCT-6'!AY71+'[4]LCT-7'!AY71+'[4]LCT-8'!AY71+'[5]TB-1'!AY71+'[5]TB-2'!AY71+'[5]TB-3'!AY71+'[5]TB-4'!AY71+'[5]TB-5'!AY71+'[5]TB-6'!AY71+'[5]TB-7'!AY71+'[5]TB-8'!AY71+'[5]TB-9'!AY71+'[5]TB-10'!AY71+'[6]DSV-1'!AY71+'[6]DSV-2'!AY71+'[6]DSV-3'!AY71+'[7]TUB-1'!AY71+'[7]TUB-2'!AY71+'[8]Barge-1'!AY71+'[8]Barge-2'!AY71+'[8]Barge-3'!AY71+'[8]Barge-4'!AY71</f>
        <v>3548.0000000000005</v>
      </c>
      <c r="M73" s="194"/>
      <c r="N73" s="194"/>
      <c r="O73" s="194">
        <f>'[2]AHTS-1'!AZ71+'[2]AHTS-2'!AZ71+'[2]AHTS-3'!AZ71+'[2]AHTS-4'!AZ71+'[2]AHTS-5'!AZ71+'[2]AHTS-6'!AZ71+'[2]AHTS-7'!AZ71+'[2]AHTS-8'!AZ71+'[3]CB-1'!AZ71+'[3]CB-2'!AZ71+'[3]CB-3'!AZ71+'[3]CB-4'!AZ71+'[3]CB-5'!AZ71+'[3]CB-6'!AZ71+'[3]CB-7'!AZ71+'[3]CB-8'!AZ71+'[3]CB-9'!AZ71+'[3]CB-10'!AZ71+'[3]CB-11'!AZ71+'[3]CB-12'!AZ71+'[3]CB-13'!AZ71+'[3]CB-14'!AZ71+'[3]CB-15'!AZ71+'[3]CB-16'!AZ71+'[3]CB-17'!AZ71+'[3]CB-18'!AZ71+'[3]CB-19'!AZ71+'[3]CB-20'!AZ71+'[3]CB-21'!AZ71+'[3]CB-22'!AZ71+'[3]CB-23'!AZ71+'[3]CB-24'!AZ71+'[4]LCT-1'!AZ71+'[4]LCT-2'!AZ71+'[4]LCT-3'!AZ71+'[4]LCT-4'!AZ71+'[4]LCT-5'!AZ71+'[4]LCT-6'!AZ71+'[4]LCT-7'!AZ71+'[4]LCT-8'!AZ71+'[5]TB-1'!AZ71+'[5]TB-2'!AZ71+'[5]TB-3'!AZ71+'[5]TB-4'!AZ71+'[5]TB-5'!AZ71+'[5]TB-6'!AZ71+'[5]TB-7'!AZ71+'[5]TB-8'!AZ71+'[5]TB-9'!AZ71+'[5]TB-10'!AZ71+'[6]DSV-1'!AZ71+'[6]DSV-2'!AZ71+'[6]DSV-3'!AZ71+'[7]TUB-1'!AZ71+'[7]TUB-2'!AZ71+'[8]Barge-1'!AZ71+'[8]Barge-2'!AZ71+'[8]Barge-3'!AZ71+'[8]Barge-4'!AZ71</f>
        <v>34</v>
      </c>
      <c r="P73" s="194"/>
      <c r="Q73" s="194"/>
      <c r="R73" s="194">
        <f>'[2]AHTS-1'!BA71+'[2]AHTS-2'!BA71+'[2]AHTS-3'!BA71+'[2]AHTS-4'!BA71+'[2]AHTS-5'!BA71+'[2]AHTS-6'!BA71+'[2]AHTS-7'!BA71+'[2]AHTS-8'!BA71+'[3]CB-1'!BA71+'[3]CB-2'!BA71+'[3]CB-3'!BA71+'[3]CB-4'!BA71+'[3]CB-5'!BA71+'[3]CB-6'!BA71+'[3]CB-7'!BA71+'[3]CB-8'!BA71+'[3]CB-9'!BA71+'[3]CB-10'!BA71+'[3]CB-11'!BA71+'[3]CB-12'!BA71+'[3]CB-13'!BA71+'[3]CB-14'!BA71+'[3]CB-15'!BA71+'[3]CB-16'!BA71+'[3]CB-17'!BA71+'[3]CB-18'!BA71+'[3]CB-19'!BA71+'[3]CB-20'!BA71+'[3]CB-21'!BA71+'[3]CB-22'!BA71+'[3]CB-23'!BA71+'[3]CB-24'!BA71+'[4]LCT-1'!BA71+'[4]LCT-2'!BA71+'[4]LCT-3'!BA71+'[4]LCT-4'!BA71+'[4]LCT-5'!BA71+'[4]LCT-6'!BA71+'[4]LCT-7'!BA71+'[4]LCT-8'!BA71+'[5]TB-1'!BA71+'[5]TB-2'!BA71+'[5]TB-3'!BA71+'[5]TB-4'!BA71+'[5]TB-5'!BA71+'[5]TB-6'!BA71+'[5]TB-7'!BA71+'[5]TB-8'!BA71+'[5]TB-9'!BA71+'[5]TB-10'!BA71+'[6]DSV-1'!BA71+'[6]DSV-2'!BA71+'[6]DSV-3'!BA71+'[7]TUB-1'!BA71+'[7]TUB-2'!BA71+'[8]Barge-1'!BA71+'[8]Barge-2'!BA71+'[8]Barge-3'!BA71+'[8]Barge-4'!BA71</f>
        <v>4336</v>
      </c>
      <c r="S73" s="194"/>
      <c r="T73" s="194"/>
      <c r="U73" s="194">
        <f>'[2]AHTS-1'!BB71+'[2]AHTS-2'!BB71+'[2]AHTS-3'!BB71+'[2]AHTS-4'!BB71+'[2]AHTS-5'!BB71+'[2]AHTS-6'!BB71+'[2]AHTS-7'!BB71+'[2]AHTS-8'!BB71+'[3]CB-1'!BB71+'[3]CB-2'!BB71+'[3]CB-3'!BB71+'[3]CB-4'!BB71+'[3]CB-5'!BB71+'[3]CB-6'!BB71+'[3]CB-7'!BB71+'[3]CB-8'!BB71+'[3]CB-9'!BB71+'[3]CB-10'!BB71+'[3]CB-11'!BB71+'[3]CB-12'!BB71+'[3]CB-13'!BB71+'[3]CB-14'!BB71+'[3]CB-15'!BB71+'[3]CB-16'!BB71+'[3]CB-17'!BB71+'[3]CB-18'!BB71+'[3]CB-19'!BB71+'[3]CB-20'!BB71+'[3]CB-21'!BB71+'[3]CB-22'!BB71+'[3]CB-23'!BB71+'[3]CB-24'!BB71+'[4]LCT-1'!BB71+'[4]LCT-2'!BB71+'[4]LCT-3'!BB71+'[4]LCT-4'!BB71+'[4]LCT-5'!BB71+'[4]LCT-6'!BB71+'[4]LCT-7'!BB71+'[4]LCT-8'!BB71+'[5]TB-1'!BB71+'[5]TB-2'!BB71+'[5]TB-3'!BB71+'[5]TB-4'!BB71+'[5]TB-5'!BB71+'[5]TB-6'!BB71+'[5]TB-7'!BB71+'[5]TB-8'!BB71+'[5]TB-9'!BB71+'[5]TB-10'!BB71+'[6]DSV-1'!BB71+'[6]DSV-2'!BB71+'[6]DSV-3'!BB71+'[7]TUB-1'!BB71+'[7]TUB-2'!BB71+'[8]Barge-1'!BB71+'[8]Barge-2'!BB71+'[8]Barge-3'!BB71+'[8]Barge-4'!BB71</f>
        <v>0</v>
      </c>
      <c r="V73" s="194"/>
      <c r="W73" s="194"/>
      <c r="X73" s="122"/>
      <c r="Y73" s="12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  <c r="BN73" s="82"/>
      <c r="BO73" s="82"/>
      <c r="BP73" s="82"/>
      <c r="BQ73" s="82"/>
      <c r="BR73" s="82"/>
      <c r="BS73" s="82"/>
      <c r="BT73" s="82"/>
      <c r="BU73" s="82"/>
      <c r="BV73" s="82"/>
      <c r="BW73" s="82"/>
      <c r="BX73" s="82"/>
      <c r="BY73" s="82"/>
      <c r="BZ73" s="82"/>
      <c r="CA73" s="82"/>
      <c r="CB73" s="82"/>
      <c r="CC73" s="82"/>
      <c r="CD73" s="82"/>
      <c r="CE73" s="82"/>
      <c r="CF73" s="82"/>
      <c r="CG73" s="82"/>
      <c r="CH73" s="82"/>
      <c r="CI73" s="82"/>
      <c r="CJ73" s="82"/>
      <c r="CK73" s="82"/>
      <c r="CL73" s="82"/>
      <c r="CM73" s="82"/>
      <c r="CN73" s="82"/>
      <c r="CO73" s="82"/>
      <c r="CP73" s="82"/>
      <c r="CQ73" s="82"/>
      <c r="CR73" s="82"/>
      <c r="CS73" s="82"/>
    </row>
    <row r="74" spans="1:97" s="90" customFormat="1" ht="15" customHeight="1" x14ac:dyDescent="0.25">
      <c r="A74" s="117">
        <f t="shared" si="4"/>
        <v>46009</v>
      </c>
      <c r="B74" s="120"/>
      <c r="C74" s="194">
        <f>'[2]AHTS-1'!AV72+'[2]AHTS-2'!AV72+'[2]AHTS-3'!AV72+'[2]AHTS-4'!AV72+'[2]AHTS-5'!AV72+'[2]AHTS-6'!AV72+'[2]AHTS-7'!AV72+'[2]AHTS-8'!AV72+'[3]CB-1'!AV72+'[3]CB-2'!AV72+'[3]CB-3'!AV72+'[3]CB-4'!AV72+'[3]CB-5'!AV72+'[3]CB-6'!AV72+'[3]CB-7'!AV72+'[3]CB-8'!AV72+'[3]CB-9'!AV72+'[3]CB-10'!AV72+'[3]CB-11'!AV72+'[3]CB-12'!AV72+'[3]CB-13'!AV72+'[3]CB-14'!AV72+'[3]CB-15'!AV72+'[3]CB-16'!AV72+'[3]CB-17'!AV72+'[3]CB-18'!AV72+'[3]CB-19'!AV72+'[3]CB-20'!AV72+'[3]CB-21'!AV72+'[3]CB-22'!AV72+'[3]CB-23'!AV72+'[3]CB-24'!AV72+'[4]LCT-1'!AV72+'[4]LCT-2'!AV72+'[4]LCT-3'!AV72+'[4]LCT-4'!AV72+'[4]LCT-5'!AV72+'[4]LCT-6'!AV72+'[4]LCT-7'!AV72+'[4]LCT-8'!AV72+'[5]TB-1'!AV72+'[5]TB-2'!AV72+'[5]TB-3'!AV72+'[5]TB-4'!AV72+'[5]TB-5'!AV72+'[5]TB-6'!AV72+'[5]TB-7'!AV72+'[5]TB-8'!AV72+'[5]TB-9'!AV72+'[5]TB-10'!AV72+'[6]DSV-1'!AV72+'[6]DSV-2'!AV72+'[6]DSV-3'!AV72+'[7]TUB-1'!AV72+'[7]TUB-2'!AV72+'[8]Barge-1'!AV72+'[8]Barge-2'!AV72+'[8]Barge-3'!AV72+'[8]Barge-4'!AV72</f>
        <v>0</v>
      </c>
      <c r="D74" s="194"/>
      <c r="E74" s="194"/>
      <c r="F74" s="194">
        <f>'[2]AHTS-1'!AW72+'[2]AHTS-2'!AW72+'[2]AHTS-3'!AW72+'[2]AHTS-4'!AW72+'[2]AHTS-5'!AW72+'[2]AHTS-6'!AW72+'[2]AHTS-7'!AW72+'[2]AHTS-8'!AW72+'[3]CB-1'!AW72+'[3]CB-2'!AW72+'[3]CB-3'!AW72+'[3]CB-4'!AW72+'[3]CB-5'!AW72+'[3]CB-6'!AW72+'[3]CB-7'!AW72+'[3]CB-8'!AW72+'[3]CB-9'!AW72+'[3]CB-10'!AW72+'[3]CB-11'!AW72+'[3]CB-12'!AW72+'[3]CB-13'!AW72+'[3]CB-14'!AW72+'[3]CB-15'!AW72+'[3]CB-16'!AW72+'[3]CB-17'!AW72+'[3]CB-18'!AW72+'[3]CB-19'!AW72+'[3]CB-20'!AW72+'[3]CB-21'!AW72+'[3]CB-22'!AW72+'[3]CB-23'!AW72+'[3]CB-24'!AW72+'[4]LCT-1'!AW72+'[4]LCT-2'!AW72+'[4]LCT-3'!AW72+'[4]LCT-4'!AW72+'[4]LCT-5'!AW72+'[4]LCT-6'!AW72+'[4]LCT-7'!AW72+'[4]LCT-8'!AW72+'[5]TB-1'!AW72+'[5]TB-2'!AW72+'[5]TB-3'!AW72+'[5]TB-4'!AW72+'[5]TB-5'!AW72+'[5]TB-6'!AW72+'[5]TB-7'!AW72+'[5]TB-8'!AW72+'[5]TB-9'!AW72+'[5]TB-10'!AW72+'[6]DSV-1'!AW72+'[6]DSV-2'!AW72+'[6]DSV-3'!AW72+'[7]TUB-1'!AW72+'[7]TUB-2'!AW72+'[8]Barge-1'!AW72+'[8]Barge-2'!AW72+'[8]Barge-3'!AW72+'[8]Barge-4'!AW72</f>
        <v>1929.5555555555557</v>
      </c>
      <c r="G74" s="194"/>
      <c r="H74" s="194"/>
      <c r="I74" s="194">
        <f>'[2]AHTS-1'!AX72+'[2]AHTS-2'!AX72+'[2]AHTS-3'!AX72+'[2]AHTS-4'!AX72+'[2]AHTS-5'!AX72+'[2]AHTS-6'!AX72+'[2]AHTS-7'!AX72+'[2]AHTS-8'!AX72+'[3]CB-1'!AX72+'[3]CB-2'!AX72+'[3]CB-3'!AX72+'[3]CB-4'!AX72+'[3]CB-5'!AX72+'[3]CB-6'!AX72+'[3]CB-7'!AX72+'[3]CB-8'!AX72+'[3]CB-9'!AX72+'[3]CB-10'!AX72+'[3]CB-11'!AX72+'[3]CB-12'!AX72+'[3]CB-13'!AX72+'[3]CB-14'!AX72+'[3]CB-15'!AX72+'[3]CB-16'!AX72+'[3]CB-17'!AX72+'[3]CB-18'!AX72+'[3]CB-19'!AX72+'[3]CB-20'!AX72+'[3]CB-21'!AX72+'[3]CB-22'!AX72+'[3]CB-23'!AX72+'[3]CB-24'!AX72+'[4]LCT-1'!AX72+'[4]LCT-2'!AX72+'[4]LCT-3'!AX72+'[4]LCT-4'!AX72+'[4]LCT-5'!AX72+'[4]LCT-6'!AX72+'[4]LCT-7'!AX72+'[4]LCT-8'!AX72+'[5]TB-1'!AX72+'[5]TB-2'!AX72+'[5]TB-3'!AX72+'[5]TB-4'!AX72+'[5]TB-5'!AX72+'[5]TB-6'!AX72+'[5]TB-7'!AX72+'[5]TB-8'!AX72+'[5]TB-9'!AX72+'[5]TB-10'!AX72+'[6]DSV-1'!AX72+'[6]DSV-2'!AX72+'[6]DSV-3'!AX72+'[7]TUB-1'!AX72+'[7]TUB-2'!AX72+'[8]Barge-1'!AX72+'[8]Barge-2'!AX72+'[8]Barge-3'!AX72+'[8]Barge-4'!AX72</f>
        <v>5597.8888888888887</v>
      </c>
      <c r="J74" s="194"/>
      <c r="K74" s="194"/>
      <c r="L74" s="194">
        <f>'[2]AHTS-1'!AY72+'[2]AHTS-2'!AY72+'[2]AHTS-3'!AY72+'[2]AHTS-4'!AY72+'[2]AHTS-5'!AY72+'[2]AHTS-6'!AY72+'[2]AHTS-7'!AY72+'[2]AHTS-8'!AY72+'[3]CB-1'!AY72+'[3]CB-2'!AY72+'[3]CB-3'!AY72+'[3]CB-4'!AY72+'[3]CB-5'!AY72+'[3]CB-6'!AY72+'[3]CB-7'!AY72+'[3]CB-8'!AY72+'[3]CB-9'!AY72+'[3]CB-10'!AY72+'[3]CB-11'!AY72+'[3]CB-12'!AY72+'[3]CB-13'!AY72+'[3]CB-14'!AY72+'[3]CB-15'!AY72+'[3]CB-16'!AY72+'[3]CB-17'!AY72+'[3]CB-18'!AY72+'[3]CB-19'!AY72+'[3]CB-20'!AY72+'[3]CB-21'!AY72+'[3]CB-22'!AY72+'[3]CB-23'!AY72+'[3]CB-24'!AY72+'[4]LCT-1'!AY72+'[4]LCT-2'!AY72+'[4]LCT-3'!AY72+'[4]LCT-4'!AY72+'[4]LCT-5'!AY72+'[4]LCT-6'!AY72+'[4]LCT-7'!AY72+'[4]LCT-8'!AY72+'[5]TB-1'!AY72+'[5]TB-2'!AY72+'[5]TB-3'!AY72+'[5]TB-4'!AY72+'[5]TB-5'!AY72+'[5]TB-6'!AY72+'[5]TB-7'!AY72+'[5]TB-8'!AY72+'[5]TB-9'!AY72+'[5]TB-10'!AY72+'[6]DSV-1'!AY72+'[6]DSV-2'!AY72+'[6]DSV-3'!AY72+'[7]TUB-1'!AY72+'[7]TUB-2'!AY72+'[8]Barge-1'!AY72+'[8]Barge-2'!AY72+'[8]Barge-3'!AY72+'[8]Barge-4'!AY72</f>
        <v>2649</v>
      </c>
      <c r="M74" s="194"/>
      <c r="N74" s="194"/>
      <c r="O74" s="194">
        <f>'[2]AHTS-1'!AZ72+'[2]AHTS-2'!AZ72+'[2]AHTS-3'!AZ72+'[2]AHTS-4'!AZ72+'[2]AHTS-5'!AZ72+'[2]AHTS-6'!AZ72+'[2]AHTS-7'!AZ72+'[2]AHTS-8'!AZ72+'[3]CB-1'!AZ72+'[3]CB-2'!AZ72+'[3]CB-3'!AZ72+'[3]CB-4'!AZ72+'[3]CB-5'!AZ72+'[3]CB-6'!AZ72+'[3]CB-7'!AZ72+'[3]CB-8'!AZ72+'[3]CB-9'!AZ72+'[3]CB-10'!AZ72+'[3]CB-11'!AZ72+'[3]CB-12'!AZ72+'[3]CB-13'!AZ72+'[3]CB-14'!AZ72+'[3]CB-15'!AZ72+'[3]CB-16'!AZ72+'[3]CB-17'!AZ72+'[3]CB-18'!AZ72+'[3]CB-19'!AZ72+'[3]CB-20'!AZ72+'[3]CB-21'!AZ72+'[3]CB-22'!AZ72+'[3]CB-23'!AZ72+'[3]CB-24'!AZ72+'[4]LCT-1'!AZ72+'[4]LCT-2'!AZ72+'[4]LCT-3'!AZ72+'[4]LCT-4'!AZ72+'[4]LCT-5'!AZ72+'[4]LCT-6'!AZ72+'[4]LCT-7'!AZ72+'[4]LCT-8'!AZ72+'[5]TB-1'!AZ72+'[5]TB-2'!AZ72+'[5]TB-3'!AZ72+'[5]TB-4'!AZ72+'[5]TB-5'!AZ72+'[5]TB-6'!AZ72+'[5]TB-7'!AZ72+'[5]TB-8'!AZ72+'[5]TB-9'!AZ72+'[5]TB-10'!AZ72+'[6]DSV-1'!AZ72+'[6]DSV-2'!AZ72+'[6]DSV-3'!AZ72+'[7]TUB-1'!AZ72+'[7]TUB-2'!AZ72+'[8]Barge-1'!AZ72+'[8]Barge-2'!AZ72+'[8]Barge-3'!AZ72+'[8]Barge-4'!AZ72</f>
        <v>17</v>
      </c>
      <c r="P74" s="194"/>
      <c r="Q74" s="194"/>
      <c r="R74" s="194">
        <f>'[2]AHTS-1'!BA72+'[2]AHTS-2'!BA72+'[2]AHTS-3'!BA72+'[2]AHTS-4'!BA72+'[2]AHTS-5'!BA72+'[2]AHTS-6'!BA72+'[2]AHTS-7'!BA72+'[2]AHTS-8'!BA72+'[3]CB-1'!BA72+'[3]CB-2'!BA72+'[3]CB-3'!BA72+'[3]CB-4'!BA72+'[3]CB-5'!BA72+'[3]CB-6'!BA72+'[3]CB-7'!BA72+'[3]CB-8'!BA72+'[3]CB-9'!BA72+'[3]CB-10'!BA72+'[3]CB-11'!BA72+'[3]CB-12'!BA72+'[3]CB-13'!BA72+'[3]CB-14'!BA72+'[3]CB-15'!BA72+'[3]CB-16'!BA72+'[3]CB-17'!BA72+'[3]CB-18'!BA72+'[3]CB-19'!BA72+'[3]CB-20'!BA72+'[3]CB-21'!BA72+'[3]CB-22'!BA72+'[3]CB-23'!BA72+'[3]CB-24'!BA72+'[4]LCT-1'!BA72+'[4]LCT-2'!BA72+'[4]LCT-3'!BA72+'[4]LCT-4'!BA72+'[4]LCT-5'!BA72+'[4]LCT-6'!BA72+'[4]LCT-7'!BA72+'[4]LCT-8'!BA72+'[5]TB-1'!BA72+'[5]TB-2'!BA72+'[5]TB-3'!BA72+'[5]TB-4'!BA72+'[5]TB-5'!BA72+'[5]TB-6'!BA72+'[5]TB-7'!BA72+'[5]TB-8'!BA72+'[5]TB-9'!BA72+'[5]TB-10'!BA72+'[6]DSV-1'!BA72+'[6]DSV-2'!BA72+'[6]DSV-3'!BA72+'[7]TUB-1'!BA72+'[7]TUB-2'!BA72+'[8]Barge-1'!BA72+'[8]Barge-2'!BA72+'[8]Barge-3'!BA72+'[8]Barge-4'!BA72</f>
        <v>4794.666666666667</v>
      </c>
      <c r="S74" s="194"/>
      <c r="T74" s="194"/>
      <c r="U74" s="194">
        <f>'[2]AHTS-1'!BB72+'[2]AHTS-2'!BB72+'[2]AHTS-3'!BB72+'[2]AHTS-4'!BB72+'[2]AHTS-5'!BB72+'[2]AHTS-6'!BB72+'[2]AHTS-7'!BB72+'[2]AHTS-8'!BB72+'[3]CB-1'!BB72+'[3]CB-2'!BB72+'[3]CB-3'!BB72+'[3]CB-4'!BB72+'[3]CB-5'!BB72+'[3]CB-6'!BB72+'[3]CB-7'!BB72+'[3]CB-8'!BB72+'[3]CB-9'!BB72+'[3]CB-10'!BB72+'[3]CB-11'!BB72+'[3]CB-12'!BB72+'[3]CB-13'!BB72+'[3]CB-14'!BB72+'[3]CB-15'!BB72+'[3]CB-16'!BB72+'[3]CB-17'!BB72+'[3]CB-18'!BB72+'[3]CB-19'!BB72+'[3]CB-20'!BB72+'[3]CB-21'!BB72+'[3]CB-22'!BB72+'[3]CB-23'!BB72+'[3]CB-24'!BB72+'[4]LCT-1'!BB72+'[4]LCT-2'!BB72+'[4]LCT-3'!BB72+'[4]LCT-4'!BB72+'[4]LCT-5'!BB72+'[4]LCT-6'!BB72+'[4]LCT-7'!BB72+'[4]LCT-8'!BB72+'[5]TB-1'!BB72+'[5]TB-2'!BB72+'[5]TB-3'!BB72+'[5]TB-4'!BB72+'[5]TB-5'!BB72+'[5]TB-6'!BB72+'[5]TB-7'!BB72+'[5]TB-8'!BB72+'[5]TB-9'!BB72+'[5]TB-10'!BB72+'[6]DSV-1'!BB72+'[6]DSV-2'!BB72+'[6]DSV-3'!BB72+'[7]TUB-1'!BB72+'[7]TUB-2'!BB72+'[8]Barge-1'!BB72+'[8]Barge-2'!BB72+'[8]Barge-3'!BB72+'[8]Barge-4'!BB72</f>
        <v>0</v>
      </c>
      <c r="V74" s="194"/>
      <c r="W74" s="194"/>
      <c r="X74" s="122"/>
      <c r="Y74" s="12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  <c r="BN74" s="82"/>
      <c r="BO74" s="82"/>
      <c r="BP74" s="82"/>
      <c r="BQ74" s="82"/>
      <c r="BR74" s="82"/>
      <c r="BS74" s="82"/>
      <c r="BT74" s="82"/>
      <c r="BU74" s="82"/>
      <c r="BV74" s="82"/>
      <c r="BW74" s="82"/>
      <c r="BX74" s="82"/>
      <c r="BY74" s="82"/>
      <c r="BZ74" s="82"/>
      <c r="CA74" s="82"/>
      <c r="CB74" s="82"/>
      <c r="CC74" s="82"/>
      <c r="CD74" s="82"/>
      <c r="CE74" s="82"/>
      <c r="CF74" s="82"/>
      <c r="CG74" s="82"/>
      <c r="CH74" s="82"/>
      <c r="CI74" s="82"/>
      <c r="CJ74" s="82"/>
      <c r="CK74" s="82"/>
      <c r="CL74" s="82"/>
      <c r="CM74" s="82"/>
      <c r="CN74" s="82"/>
      <c r="CO74" s="82"/>
      <c r="CP74" s="82"/>
      <c r="CQ74" s="82"/>
      <c r="CR74" s="82"/>
      <c r="CS74" s="82"/>
    </row>
    <row r="75" spans="1:97" s="90" customFormat="1" ht="15" customHeight="1" x14ac:dyDescent="0.25">
      <c r="A75" s="117">
        <f t="shared" si="4"/>
        <v>46010</v>
      </c>
      <c r="B75" s="120"/>
      <c r="C75" s="194">
        <f>'[2]AHTS-1'!AV73+'[2]AHTS-2'!AV73+'[2]AHTS-3'!AV73+'[2]AHTS-4'!AV73+'[2]AHTS-5'!AV73+'[2]AHTS-6'!AV73+'[2]AHTS-7'!AV73+'[2]AHTS-8'!AV73+'[3]CB-1'!AV73+'[3]CB-2'!AV73+'[3]CB-3'!AV73+'[3]CB-4'!AV73+'[3]CB-5'!AV73+'[3]CB-6'!AV73+'[3]CB-7'!AV73+'[3]CB-8'!AV73+'[3]CB-9'!AV73+'[3]CB-10'!AV73+'[3]CB-11'!AV73+'[3]CB-12'!AV73+'[3]CB-13'!AV73+'[3]CB-14'!AV73+'[3]CB-15'!AV73+'[3]CB-16'!AV73+'[3]CB-17'!AV73+'[3]CB-18'!AV73+'[3]CB-19'!AV73+'[3]CB-20'!AV73+'[3]CB-21'!AV73+'[3]CB-22'!AV73+'[3]CB-23'!AV73+'[3]CB-24'!AV73+'[4]LCT-1'!AV73+'[4]LCT-2'!AV73+'[4]LCT-3'!AV73+'[4]LCT-4'!AV73+'[4]LCT-5'!AV73+'[4]LCT-6'!AV73+'[4]LCT-7'!AV73+'[4]LCT-8'!AV73+'[5]TB-1'!AV73+'[5]TB-2'!AV73+'[5]TB-3'!AV73+'[5]TB-4'!AV73+'[5]TB-5'!AV73+'[5]TB-6'!AV73+'[5]TB-7'!AV73+'[5]TB-8'!AV73+'[5]TB-9'!AV73+'[5]TB-10'!AV73+'[6]DSV-1'!AV73+'[6]DSV-2'!AV73+'[6]DSV-3'!AV73+'[7]TUB-1'!AV73+'[7]TUB-2'!AV73+'[8]Barge-1'!AV73+'[8]Barge-2'!AV73+'[8]Barge-3'!AV73+'[8]Barge-4'!AV73</f>
        <v>0</v>
      </c>
      <c r="D75" s="194"/>
      <c r="E75" s="194"/>
      <c r="F75" s="194">
        <f>'[2]AHTS-1'!AW73+'[2]AHTS-2'!AW73+'[2]AHTS-3'!AW73+'[2]AHTS-4'!AW73+'[2]AHTS-5'!AW73+'[2]AHTS-6'!AW73+'[2]AHTS-7'!AW73+'[2]AHTS-8'!AW73+'[3]CB-1'!AW73+'[3]CB-2'!AW73+'[3]CB-3'!AW73+'[3]CB-4'!AW73+'[3]CB-5'!AW73+'[3]CB-6'!AW73+'[3]CB-7'!AW73+'[3]CB-8'!AW73+'[3]CB-9'!AW73+'[3]CB-10'!AW73+'[3]CB-11'!AW73+'[3]CB-12'!AW73+'[3]CB-13'!AW73+'[3]CB-14'!AW73+'[3]CB-15'!AW73+'[3]CB-16'!AW73+'[3]CB-17'!AW73+'[3]CB-18'!AW73+'[3]CB-19'!AW73+'[3]CB-20'!AW73+'[3]CB-21'!AW73+'[3]CB-22'!AW73+'[3]CB-23'!AW73+'[3]CB-24'!AW73+'[4]LCT-1'!AW73+'[4]LCT-2'!AW73+'[4]LCT-3'!AW73+'[4]LCT-4'!AW73+'[4]LCT-5'!AW73+'[4]LCT-6'!AW73+'[4]LCT-7'!AW73+'[4]LCT-8'!AW73+'[5]TB-1'!AW73+'[5]TB-2'!AW73+'[5]TB-3'!AW73+'[5]TB-4'!AW73+'[5]TB-5'!AW73+'[5]TB-6'!AW73+'[5]TB-7'!AW73+'[5]TB-8'!AW73+'[5]TB-9'!AW73+'[5]TB-10'!AW73+'[6]DSV-1'!AW73+'[6]DSV-2'!AW73+'[6]DSV-3'!AW73+'[7]TUB-1'!AW73+'[7]TUB-2'!AW73+'[8]Barge-1'!AW73+'[8]Barge-2'!AW73+'[8]Barge-3'!AW73+'[8]Barge-4'!AW73</f>
        <v>981.27777777777771</v>
      </c>
      <c r="G75" s="194"/>
      <c r="H75" s="194"/>
      <c r="I75" s="194">
        <f>'[2]AHTS-1'!AX73+'[2]AHTS-2'!AX73+'[2]AHTS-3'!AX73+'[2]AHTS-4'!AX73+'[2]AHTS-5'!AX73+'[2]AHTS-6'!AX73+'[2]AHTS-7'!AX73+'[2]AHTS-8'!AX73+'[3]CB-1'!AX73+'[3]CB-2'!AX73+'[3]CB-3'!AX73+'[3]CB-4'!AX73+'[3]CB-5'!AX73+'[3]CB-6'!AX73+'[3]CB-7'!AX73+'[3]CB-8'!AX73+'[3]CB-9'!AX73+'[3]CB-10'!AX73+'[3]CB-11'!AX73+'[3]CB-12'!AX73+'[3]CB-13'!AX73+'[3]CB-14'!AX73+'[3]CB-15'!AX73+'[3]CB-16'!AX73+'[3]CB-17'!AX73+'[3]CB-18'!AX73+'[3]CB-19'!AX73+'[3]CB-20'!AX73+'[3]CB-21'!AX73+'[3]CB-22'!AX73+'[3]CB-23'!AX73+'[3]CB-24'!AX73+'[4]LCT-1'!AX73+'[4]LCT-2'!AX73+'[4]LCT-3'!AX73+'[4]LCT-4'!AX73+'[4]LCT-5'!AX73+'[4]LCT-6'!AX73+'[4]LCT-7'!AX73+'[4]LCT-8'!AX73+'[5]TB-1'!AX73+'[5]TB-2'!AX73+'[5]TB-3'!AX73+'[5]TB-4'!AX73+'[5]TB-5'!AX73+'[5]TB-6'!AX73+'[5]TB-7'!AX73+'[5]TB-8'!AX73+'[5]TB-9'!AX73+'[5]TB-10'!AX73+'[6]DSV-1'!AX73+'[6]DSV-2'!AX73+'[6]DSV-3'!AX73+'[7]TUB-1'!AX73+'[7]TUB-2'!AX73+'[8]Barge-1'!AX73+'[8]Barge-2'!AX73+'[8]Barge-3'!AX73+'[8]Barge-4'!AX73</f>
        <v>4483.1111111111113</v>
      </c>
      <c r="J75" s="194"/>
      <c r="K75" s="194"/>
      <c r="L75" s="194">
        <f>'[2]AHTS-1'!AY73+'[2]AHTS-2'!AY73+'[2]AHTS-3'!AY73+'[2]AHTS-4'!AY73+'[2]AHTS-5'!AY73+'[2]AHTS-6'!AY73+'[2]AHTS-7'!AY73+'[2]AHTS-8'!AY73+'[3]CB-1'!AY73+'[3]CB-2'!AY73+'[3]CB-3'!AY73+'[3]CB-4'!AY73+'[3]CB-5'!AY73+'[3]CB-6'!AY73+'[3]CB-7'!AY73+'[3]CB-8'!AY73+'[3]CB-9'!AY73+'[3]CB-10'!AY73+'[3]CB-11'!AY73+'[3]CB-12'!AY73+'[3]CB-13'!AY73+'[3]CB-14'!AY73+'[3]CB-15'!AY73+'[3]CB-16'!AY73+'[3]CB-17'!AY73+'[3]CB-18'!AY73+'[3]CB-19'!AY73+'[3]CB-20'!AY73+'[3]CB-21'!AY73+'[3]CB-22'!AY73+'[3]CB-23'!AY73+'[3]CB-24'!AY73+'[4]LCT-1'!AY73+'[4]LCT-2'!AY73+'[4]LCT-3'!AY73+'[4]LCT-4'!AY73+'[4]LCT-5'!AY73+'[4]LCT-6'!AY73+'[4]LCT-7'!AY73+'[4]LCT-8'!AY73+'[5]TB-1'!AY73+'[5]TB-2'!AY73+'[5]TB-3'!AY73+'[5]TB-4'!AY73+'[5]TB-5'!AY73+'[5]TB-6'!AY73+'[5]TB-7'!AY73+'[5]TB-8'!AY73+'[5]TB-9'!AY73+'[5]TB-10'!AY73+'[6]DSV-1'!AY73+'[6]DSV-2'!AY73+'[6]DSV-3'!AY73+'[7]TUB-1'!AY73+'[7]TUB-2'!AY73+'[8]Barge-1'!AY73+'[8]Barge-2'!AY73+'[8]Barge-3'!AY73+'[8]Barge-4'!AY73</f>
        <v>2656.0000000000005</v>
      </c>
      <c r="M75" s="194"/>
      <c r="N75" s="194"/>
      <c r="O75" s="194">
        <f>'[2]AHTS-1'!AZ73+'[2]AHTS-2'!AZ73+'[2]AHTS-3'!AZ73+'[2]AHTS-4'!AZ73+'[2]AHTS-5'!AZ73+'[2]AHTS-6'!AZ73+'[2]AHTS-7'!AZ73+'[2]AHTS-8'!AZ73+'[3]CB-1'!AZ73+'[3]CB-2'!AZ73+'[3]CB-3'!AZ73+'[3]CB-4'!AZ73+'[3]CB-5'!AZ73+'[3]CB-6'!AZ73+'[3]CB-7'!AZ73+'[3]CB-8'!AZ73+'[3]CB-9'!AZ73+'[3]CB-10'!AZ73+'[3]CB-11'!AZ73+'[3]CB-12'!AZ73+'[3]CB-13'!AZ73+'[3]CB-14'!AZ73+'[3]CB-15'!AZ73+'[3]CB-16'!AZ73+'[3]CB-17'!AZ73+'[3]CB-18'!AZ73+'[3]CB-19'!AZ73+'[3]CB-20'!AZ73+'[3]CB-21'!AZ73+'[3]CB-22'!AZ73+'[3]CB-23'!AZ73+'[3]CB-24'!AZ73+'[4]LCT-1'!AZ73+'[4]LCT-2'!AZ73+'[4]LCT-3'!AZ73+'[4]LCT-4'!AZ73+'[4]LCT-5'!AZ73+'[4]LCT-6'!AZ73+'[4]LCT-7'!AZ73+'[4]LCT-8'!AZ73+'[5]TB-1'!AZ73+'[5]TB-2'!AZ73+'[5]TB-3'!AZ73+'[5]TB-4'!AZ73+'[5]TB-5'!AZ73+'[5]TB-6'!AZ73+'[5]TB-7'!AZ73+'[5]TB-8'!AZ73+'[5]TB-9'!AZ73+'[5]TB-10'!AZ73+'[6]DSV-1'!AZ73+'[6]DSV-2'!AZ73+'[6]DSV-3'!AZ73+'[7]TUB-1'!AZ73+'[7]TUB-2'!AZ73+'[8]Barge-1'!AZ73+'[8]Barge-2'!AZ73+'[8]Barge-3'!AZ73+'[8]Barge-4'!AZ73</f>
        <v>22.666666666666668</v>
      </c>
      <c r="P75" s="194"/>
      <c r="Q75" s="194"/>
      <c r="R75" s="194">
        <f>'[2]AHTS-1'!BA73+'[2]AHTS-2'!BA73+'[2]AHTS-3'!BA73+'[2]AHTS-4'!BA73+'[2]AHTS-5'!BA73+'[2]AHTS-6'!BA73+'[2]AHTS-7'!BA73+'[2]AHTS-8'!BA73+'[3]CB-1'!BA73+'[3]CB-2'!BA73+'[3]CB-3'!BA73+'[3]CB-4'!BA73+'[3]CB-5'!BA73+'[3]CB-6'!BA73+'[3]CB-7'!BA73+'[3]CB-8'!BA73+'[3]CB-9'!BA73+'[3]CB-10'!BA73+'[3]CB-11'!BA73+'[3]CB-12'!BA73+'[3]CB-13'!BA73+'[3]CB-14'!BA73+'[3]CB-15'!BA73+'[3]CB-16'!BA73+'[3]CB-17'!BA73+'[3]CB-18'!BA73+'[3]CB-19'!BA73+'[3]CB-20'!BA73+'[3]CB-21'!BA73+'[3]CB-22'!BA73+'[3]CB-23'!BA73+'[3]CB-24'!BA73+'[4]LCT-1'!BA73+'[4]LCT-2'!BA73+'[4]LCT-3'!BA73+'[4]LCT-4'!BA73+'[4]LCT-5'!BA73+'[4]LCT-6'!BA73+'[4]LCT-7'!BA73+'[4]LCT-8'!BA73+'[5]TB-1'!BA73+'[5]TB-2'!BA73+'[5]TB-3'!BA73+'[5]TB-4'!BA73+'[5]TB-5'!BA73+'[5]TB-6'!BA73+'[5]TB-7'!BA73+'[5]TB-8'!BA73+'[5]TB-9'!BA73+'[5]TB-10'!BA73+'[6]DSV-1'!BA73+'[6]DSV-2'!BA73+'[6]DSV-3'!BA73+'[7]TUB-1'!BA73+'[7]TUB-2'!BA73+'[8]Barge-1'!BA73+'[8]Barge-2'!BA73+'[8]Barge-3'!BA73+'[8]Barge-4'!BA73</f>
        <v>5193.666666666667</v>
      </c>
      <c r="S75" s="194"/>
      <c r="T75" s="194"/>
      <c r="U75" s="194">
        <f>'[2]AHTS-1'!BB73+'[2]AHTS-2'!BB73+'[2]AHTS-3'!BB73+'[2]AHTS-4'!BB73+'[2]AHTS-5'!BB73+'[2]AHTS-6'!BB73+'[2]AHTS-7'!BB73+'[2]AHTS-8'!BB73+'[3]CB-1'!BB73+'[3]CB-2'!BB73+'[3]CB-3'!BB73+'[3]CB-4'!BB73+'[3]CB-5'!BB73+'[3]CB-6'!BB73+'[3]CB-7'!BB73+'[3]CB-8'!BB73+'[3]CB-9'!BB73+'[3]CB-10'!BB73+'[3]CB-11'!BB73+'[3]CB-12'!BB73+'[3]CB-13'!BB73+'[3]CB-14'!BB73+'[3]CB-15'!BB73+'[3]CB-16'!BB73+'[3]CB-17'!BB73+'[3]CB-18'!BB73+'[3]CB-19'!BB73+'[3]CB-20'!BB73+'[3]CB-21'!BB73+'[3]CB-22'!BB73+'[3]CB-23'!BB73+'[3]CB-24'!BB73+'[4]LCT-1'!BB73+'[4]LCT-2'!BB73+'[4]LCT-3'!BB73+'[4]LCT-4'!BB73+'[4]LCT-5'!BB73+'[4]LCT-6'!BB73+'[4]LCT-7'!BB73+'[4]LCT-8'!BB73+'[5]TB-1'!BB73+'[5]TB-2'!BB73+'[5]TB-3'!BB73+'[5]TB-4'!BB73+'[5]TB-5'!BB73+'[5]TB-6'!BB73+'[5]TB-7'!BB73+'[5]TB-8'!BB73+'[5]TB-9'!BB73+'[5]TB-10'!BB73+'[6]DSV-1'!BB73+'[6]DSV-2'!BB73+'[6]DSV-3'!BB73+'[7]TUB-1'!BB73+'[7]TUB-2'!BB73+'[8]Barge-1'!BB73+'[8]Barge-2'!BB73+'[8]Barge-3'!BB73+'[8]Barge-4'!BB73</f>
        <v>0</v>
      </c>
      <c r="V75" s="194"/>
      <c r="W75" s="194"/>
      <c r="X75" s="122"/>
      <c r="Y75" s="12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  <c r="BN75" s="82"/>
      <c r="BO75" s="82"/>
      <c r="BP75" s="82"/>
      <c r="BQ75" s="82"/>
      <c r="BR75" s="82"/>
      <c r="BS75" s="82"/>
      <c r="BT75" s="82"/>
      <c r="BU75" s="82"/>
      <c r="BV75" s="82"/>
      <c r="BW75" s="82"/>
      <c r="BX75" s="82"/>
      <c r="BY75" s="82"/>
      <c r="BZ75" s="82"/>
      <c r="CA75" s="82"/>
      <c r="CB75" s="82"/>
      <c r="CC75" s="82"/>
      <c r="CD75" s="82"/>
      <c r="CE75" s="82"/>
      <c r="CF75" s="82"/>
      <c r="CG75" s="82"/>
      <c r="CH75" s="82"/>
      <c r="CI75" s="82"/>
      <c r="CJ75" s="82"/>
      <c r="CK75" s="82"/>
      <c r="CL75" s="82"/>
      <c r="CM75" s="82"/>
      <c r="CN75" s="82"/>
      <c r="CO75" s="82"/>
      <c r="CP75" s="82"/>
      <c r="CQ75" s="82"/>
      <c r="CR75" s="82"/>
      <c r="CS75" s="82"/>
    </row>
    <row r="76" spans="1:97" s="90" customFormat="1" ht="15" customHeight="1" x14ac:dyDescent="0.25">
      <c r="A76" s="117">
        <f t="shared" si="4"/>
        <v>46011</v>
      </c>
      <c r="B76" s="120"/>
      <c r="C76" s="194">
        <f>'[2]AHTS-1'!AV74+'[2]AHTS-2'!AV74+'[2]AHTS-3'!AV74+'[2]AHTS-4'!AV74+'[2]AHTS-5'!AV74+'[2]AHTS-6'!AV74+'[2]AHTS-7'!AV74+'[2]AHTS-8'!AV74+'[3]CB-1'!AV74+'[3]CB-2'!AV74+'[3]CB-3'!AV74+'[3]CB-4'!AV74+'[3]CB-5'!AV74+'[3]CB-6'!AV74+'[3]CB-7'!AV74+'[3]CB-8'!AV74+'[3]CB-9'!AV74+'[3]CB-10'!AV74+'[3]CB-11'!AV74+'[3]CB-12'!AV74+'[3]CB-13'!AV74+'[3]CB-14'!AV74+'[3]CB-15'!AV74+'[3]CB-16'!AV74+'[3]CB-17'!AV74+'[3]CB-18'!AV74+'[3]CB-19'!AV74+'[3]CB-20'!AV74+'[3]CB-21'!AV74+'[3]CB-22'!AV74+'[3]CB-23'!AV74+'[3]CB-24'!AV74+'[4]LCT-1'!AV74+'[4]LCT-2'!AV74+'[4]LCT-3'!AV74+'[4]LCT-4'!AV74+'[4]LCT-5'!AV74+'[4]LCT-6'!AV74+'[4]LCT-7'!AV74+'[4]LCT-8'!AV74+'[5]TB-1'!AV74+'[5]TB-2'!AV74+'[5]TB-3'!AV74+'[5]TB-4'!AV74+'[5]TB-5'!AV74+'[5]TB-6'!AV74+'[5]TB-7'!AV74+'[5]TB-8'!AV74+'[5]TB-9'!AV74+'[5]TB-10'!AV74+'[6]DSV-1'!AV74+'[6]DSV-2'!AV74+'[6]DSV-3'!AV74+'[7]TUB-1'!AV74+'[7]TUB-2'!AV74+'[8]Barge-1'!AV74+'[8]Barge-2'!AV74+'[8]Barge-3'!AV74+'[8]Barge-4'!AV74</f>
        <v>0</v>
      </c>
      <c r="D76" s="194"/>
      <c r="E76" s="194"/>
      <c r="F76" s="194">
        <f>'[2]AHTS-1'!AW74+'[2]AHTS-2'!AW74+'[2]AHTS-3'!AW74+'[2]AHTS-4'!AW74+'[2]AHTS-5'!AW74+'[2]AHTS-6'!AW74+'[2]AHTS-7'!AW74+'[2]AHTS-8'!AW74+'[3]CB-1'!AW74+'[3]CB-2'!AW74+'[3]CB-3'!AW74+'[3]CB-4'!AW74+'[3]CB-5'!AW74+'[3]CB-6'!AW74+'[3]CB-7'!AW74+'[3]CB-8'!AW74+'[3]CB-9'!AW74+'[3]CB-10'!AW74+'[3]CB-11'!AW74+'[3]CB-12'!AW74+'[3]CB-13'!AW74+'[3]CB-14'!AW74+'[3]CB-15'!AW74+'[3]CB-16'!AW74+'[3]CB-17'!AW74+'[3]CB-18'!AW74+'[3]CB-19'!AW74+'[3]CB-20'!AW74+'[3]CB-21'!AW74+'[3]CB-22'!AW74+'[3]CB-23'!AW74+'[3]CB-24'!AW74+'[4]LCT-1'!AW74+'[4]LCT-2'!AW74+'[4]LCT-3'!AW74+'[4]LCT-4'!AW74+'[4]LCT-5'!AW74+'[4]LCT-6'!AW74+'[4]LCT-7'!AW74+'[4]LCT-8'!AW74+'[5]TB-1'!AW74+'[5]TB-2'!AW74+'[5]TB-3'!AW74+'[5]TB-4'!AW74+'[5]TB-5'!AW74+'[5]TB-6'!AW74+'[5]TB-7'!AW74+'[5]TB-8'!AW74+'[5]TB-9'!AW74+'[5]TB-10'!AW74+'[6]DSV-1'!AW74+'[6]DSV-2'!AW74+'[6]DSV-3'!AW74+'[7]TUB-1'!AW74+'[7]TUB-2'!AW74+'[8]Barge-1'!AW74+'[8]Barge-2'!AW74+'[8]Barge-3'!AW74+'[8]Barge-4'!AW74</f>
        <v>1592.1111111111109</v>
      </c>
      <c r="G76" s="194"/>
      <c r="H76" s="194"/>
      <c r="I76" s="194">
        <f>'[2]AHTS-1'!AX74+'[2]AHTS-2'!AX74+'[2]AHTS-3'!AX74+'[2]AHTS-4'!AX74+'[2]AHTS-5'!AX74+'[2]AHTS-6'!AX74+'[2]AHTS-7'!AX74+'[2]AHTS-8'!AX74+'[3]CB-1'!AX74+'[3]CB-2'!AX74+'[3]CB-3'!AX74+'[3]CB-4'!AX74+'[3]CB-5'!AX74+'[3]CB-6'!AX74+'[3]CB-7'!AX74+'[3]CB-8'!AX74+'[3]CB-9'!AX74+'[3]CB-10'!AX74+'[3]CB-11'!AX74+'[3]CB-12'!AX74+'[3]CB-13'!AX74+'[3]CB-14'!AX74+'[3]CB-15'!AX74+'[3]CB-16'!AX74+'[3]CB-17'!AX74+'[3]CB-18'!AX74+'[3]CB-19'!AX74+'[3]CB-20'!AX74+'[3]CB-21'!AX74+'[3]CB-22'!AX74+'[3]CB-23'!AX74+'[3]CB-24'!AX74+'[4]LCT-1'!AX74+'[4]LCT-2'!AX74+'[4]LCT-3'!AX74+'[4]LCT-4'!AX74+'[4]LCT-5'!AX74+'[4]LCT-6'!AX74+'[4]LCT-7'!AX74+'[4]LCT-8'!AX74+'[5]TB-1'!AX74+'[5]TB-2'!AX74+'[5]TB-3'!AX74+'[5]TB-4'!AX74+'[5]TB-5'!AX74+'[5]TB-6'!AX74+'[5]TB-7'!AX74+'[5]TB-8'!AX74+'[5]TB-9'!AX74+'[5]TB-10'!AX74+'[6]DSV-1'!AX74+'[6]DSV-2'!AX74+'[6]DSV-3'!AX74+'[7]TUB-1'!AX74+'[7]TUB-2'!AX74+'[8]Barge-1'!AX74+'[8]Barge-2'!AX74+'[8]Barge-3'!AX74+'[8]Barge-4'!AX74</f>
        <v>5207.7777777777774</v>
      </c>
      <c r="J76" s="194"/>
      <c r="K76" s="194"/>
      <c r="L76" s="194">
        <f>'[2]AHTS-1'!AY74+'[2]AHTS-2'!AY74+'[2]AHTS-3'!AY74+'[2]AHTS-4'!AY74+'[2]AHTS-5'!AY74+'[2]AHTS-6'!AY74+'[2]AHTS-7'!AY74+'[2]AHTS-8'!AY74+'[3]CB-1'!AY74+'[3]CB-2'!AY74+'[3]CB-3'!AY74+'[3]CB-4'!AY74+'[3]CB-5'!AY74+'[3]CB-6'!AY74+'[3]CB-7'!AY74+'[3]CB-8'!AY74+'[3]CB-9'!AY74+'[3]CB-10'!AY74+'[3]CB-11'!AY74+'[3]CB-12'!AY74+'[3]CB-13'!AY74+'[3]CB-14'!AY74+'[3]CB-15'!AY74+'[3]CB-16'!AY74+'[3]CB-17'!AY74+'[3]CB-18'!AY74+'[3]CB-19'!AY74+'[3]CB-20'!AY74+'[3]CB-21'!AY74+'[3]CB-22'!AY74+'[3]CB-23'!AY74+'[3]CB-24'!AY74+'[4]LCT-1'!AY74+'[4]LCT-2'!AY74+'[4]LCT-3'!AY74+'[4]LCT-4'!AY74+'[4]LCT-5'!AY74+'[4]LCT-6'!AY74+'[4]LCT-7'!AY74+'[4]LCT-8'!AY74+'[5]TB-1'!AY74+'[5]TB-2'!AY74+'[5]TB-3'!AY74+'[5]TB-4'!AY74+'[5]TB-5'!AY74+'[5]TB-6'!AY74+'[5]TB-7'!AY74+'[5]TB-8'!AY74+'[5]TB-9'!AY74+'[5]TB-10'!AY74+'[6]DSV-1'!AY74+'[6]DSV-2'!AY74+'[6]DSV-3'!AY74+'[7]TUB-1'!AY74+'[7]TUB-2'!AY74+'[8]Barge-1'!AY74+'[8]Barge-2'!AY74+'[8]Barge-3'!AY74+'[8]Barge-4'!AY74</f>
        <v>2603</v>
      </c>
      <c r="M76" s="194"/>
      <c r="N76" s="194"/>
      <c r="O76" s="194">
        <f>'[2]AHTS-1'!AZ74+'[2]AHTS-2'!AZ74+'[2]AHTS-3'!AZ74+'[2]AHTS-4'!AZ74+'[2]AHTS-5'!AZ74+'[2]AHTS-6'!AZ74+'[2]AHTS-7'!AZ74+'[2]AHTS-8'!AZ74+'[3]CB-1'!AZ74+'[3]CB-2'!AZ74+'[3]CB-3'!AZ74+'[3]CB-4'!AZ74+'[3]CB-5'!AZ74+'[3]CB-6'!AZ74+'[3]CB-7'!AZ74+'[3]CB-8'!AZ74+'[3]CB-9'!AZ74+'[3]CB-10'!AZ74+'[3]CB-11'!AZ74+'[3]CB-12'!AZ74+'[3]CB-13'!AZ74+'[3]CB-14'!AZ74+'[3]CB-15'!AZ74+'[3]CB-16'!AZ74+'[3]CB-17'!AZ74+'[3]CB-18'!AZ74+'[3]CB-19'!AZ74+'[3]CB-20'!AZ74+'[3]CB-21'!AZ74+'[3]CB-22'!AZ74+'[3]CB-23'!AZ74+'[3]CB-24'!AZ74+'[4]LCT-1'!AZ74+'[4]LCT-2'!AZ74+'[4]LCT-3'!AZ74+'[4]LCT-4'!AZ74+'[4]LCT-5'!AZ74+'[4]LCT-6'!AZ74+'[4]LCT-7'!AZ74+'[4]LCT-8'!AZ74+'[5]TB-1'!AZ74+'[5]TB-2'!AZ74+'[5]TB-3'!AZ74+'[5]TB-4'!AZ74+'[5]TB-5'!AZ74+'[5]TB-6'!AZ74+'[5]TB-7'!AZ74+'[5]TB-8'!AZ74+'[5]TB-9'!AZ74+'[5]TB-10'!AZ74+'[6]DSV-1'!AZ74+'[6]DSV-2'!AZ74+'[6]DSV-3'!AZ74+'[7]TUB-1'!AZ74+'[7]TUB-2'!AZ74+'[8]Barge-1'!AZ74+'[8]Barge-2'!AZ74+'[8]Barge-3'!AZ74+'[8]Barge-4'!AZ74</f>
        <v>22.666666666666668</v>
      </c>
      <c r="P76" s="194"/>
      <c r="Q76" s="194"/>
      <c r="R76" s="194">
        <f>'[2]AHTS-1'!BA74+'[2]AHTS-2'!BA74+'[2]AHTS-3'!BA74+'[2]AHTS-4'!BA74+'[2]AHTS-5'!BA74+'[2]AHTS-6'!BA74+'[2]AHTS-7'!BA74+'[2]AHTS-8'!BA74+'[3]CB-1'!BA74+'[3]CB-2'!BA74+'[3]CB-3'!BA74+'[3]CB-4'!BA74+'[3]CB-5'!BA74+'[3]CB-6'!BA74+'[3]CB-7'!BA74+'[3]CB-8'!BA74+'[3]CB-9'!BA74+'[3]CB-10'!BA74+'[3]CB-11'!BA74+'[3]CB-12'!BA74+'[3]CB-13'!BA74+'[3]CB-14'!BA74+'[3]CB-15'!BA74+'[3]CB-16'!BA74+'[3]CB-17'!BA74+'[3]CB-18'!BA74+'[3]CB-19'!BA74+'[3]CB-20'!BA74+'[3]CB-21'!BA74+'[3]CB-22'!BA74+'[3]CB-23'!BA74+'[3]CB-24'!BA74+'[4]LCT-1'!BA74+'[4]LCT-2'!BA74+'[4]LCT-3'!BA74+'[4]LCT-4'!BA74+'[4]LCT-5'!BA74+'[4]LCT-6'!BA74+'[4]LCT-7'!BA74+'[4]LCT-8'!BA74+'[5]TB-1'!BA74+'[5]TB-2'!BA74+'[5]TB-3'!BA74+'[5]TB-4'!BA74+'[5]TB-5'!BA74+'[5]TB-6'!BA74+'[5]TB-7'!BA74+'[5]TB-8'!BA74+'[5]TB-9'!BA74+'[5]TB-10'!BA74+'[6]DSV-1'!BA74+'[6]DSV-2'!BA74+'[6]DSV-3'!BA74+'[7]TUB-1'!BA74+'[7]TUB-2'!BA74+'[8]Barge-1'!BA74+'[8]Barge-2'!BA74+'[8]Barge-3'!BA74+'[8]Barge-4'!BA74</f>
        <v>3933.3333333333335</v>
      </c>
      <c r="S76" s="194"/>
      <c r="T76" s="194"/>
      <c r="U76" s="194">
        <f>'[2]AHTS-1'!BB74+'[2]AHTS-2'!BB74+'[2]AHTS-3'!BB74+'[2]AHTS-4'!BB74+'[2]AHTS-5'!BB74+'[2]AHTS-6'!BB74+'[2]AHTS-7'!BB74+'[2]AHTS-8'!BB74+'[3]CB-1'!BB74+'[3]CB-2'!BB74+'[3]CB-3'!BB74+'[3]CB-4'!BB74+'[3]CB-5'!BB74+'[3]CB-6'!BB74+'[3]CB-7'!BB74+'[3]CB-8'!BB74+'[3]CB-9'!BB74+'[3]CB-10'!BB74+'[3]CB-11'!BB74+'[3]CB-12'!BB74+'[3]CB-13'!BB74+'[3]CB-14'!BB74+'[3]CB-15'!BB74+'[3]CB-16'!BB74+'[3]CB-17'!BB74+'[3]CB-18'!BB74+'[3]CB-19'!BB74+'[3]CB-20'!BB74+'[3]CB-21'!BB74+'[3]CB-22'!BB74+'[3]CB-23'!BB74+'[3]CB-24'!BB74+'[4]LCT-1'!BB74+'[4]LCT-2'!BB74+'[4]LCT-3'!BB74+'[4]LCT-4'!BB74+'[4]LCT-5'!BB74+'[4]LCT-6'!BB74+'[4]LCT-7'!BB74+'[4]LCT-8'!BB74+'[5]TB-1'!BB74+'[5]TB-2'!BB74+'[5]TB-3'!BB74+'[5]TB-4'!BB74+'[5]TB-5'!BB74+'[5]TB-6'!BB74+'[5]TB-7'!BB74+'[5]TB-8'!BB74+'[5]TB-9'!BB74+'[5]TB-10'!BB74+'[6]DSV-1'!BB74+'[6]DSV-2'!BB74+'[6]DSV-3'!BB74+'[7]TUB-1'!BB74+'[7]TUB-2'!BB74+'[8]Barge-1'!BB74+'[8]Barge-2'!BB74+'[8]Barge-3'!BB74+'[8]Barge-4'!BB74</f>
        <v>0</v>
      </c>
      <c r="V76" s="194"/>
      <c r="W76" s="194"/>
      <c r="X76" s="122"/>
      <c r="Y76" s="12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2"/>
      <c r="CR76" s="82"/>
      <c r="CS76" s="82"/>
    </row>
    <row r="77" spans="1:97" s="90" customFormat="1" ht="15" customHeight="1" x14ac:dyDescent="0.25">
      <c r="A77" s="117">
        <f t="shared" si="4"/>
        <v>46012</v>
      </c>
      <c r="B77" s="120"/>
      <c r="C77" s="194">
        <f>'[2]AHTS-1'!AV75+'[2]AHTS-2'!AV75+'[2]AHTS-3'!AV75+'[2]AHTS-4'!AV75+'[2]AHTS-5'!AV75+'[2]AHTS-6'!AV75+'[2]AHTS-7'!AV75+'[2]AHTS-8'!AV75+'[3]CB-1'!AV75+'[3]CB-2'!AV75+'[3]CB-3'!AV75+'[3]CB-4'!AV75+'[3]CB-5'!AV75+'[3]CB-6'!AV75+'[3]CB-7'!AV75+'[3]CB-8'!AV75+'[3]CB-9'!AV75+'[3]CB-10'!AV75+'[3]CB-11'!AV75+'[3]CB-12'!AV75+'[3]CB-13'!AV75+'[3]CB-14'!AV75+'[3]CB-15'!AV75+'[3]CB-16'!AV75+'[3]CB-17'!AV75+'[3]CB-18'!AV75+'[3]CB-19'!AV75+'[3]CB-20'!AV75+'[3]CB-21'!AV75+'[3]CB-22'!AV75+'[3]CB-23'!AV75+'[3]CB-24'!AV75+'[4]LCT-1'!AV75+'[4]LCT-2'!AV75+'[4]LCT-3'!AV75+'[4]LCT-4'!AV75+'[4]LCT-5'!AV75+'[4]LCT-6'!AV75+'[4]LCT-7'!AV75+'[4]LCT-8'!AV75+'[5]TB-1'!AV75+'[5]TB-2'!AV75+'[5]TB-3'!AV75+'[5]TB-4'!AV75+'[5]TB-5'!AV75+'[5]TB-6'!AV75+'[5]TB-7'!AV75+'[5]TB-8'!AV75+'[5]TB-9'!AV75+'[5]TB-10'!AV75+'[6]DSV-1'!AV75+'[6]DSV-2'!AV75+'[6]DSV-3'!AV75+'[7]TUB-1'!AV75+'[7]TUB-2'!AV75+'[8]Barge-1'!AV75+'[8]Barge-2'!AV75+'[8]Barge-3'!AV75+'[8]Barge-4'!AV75</f>
        <v>0</v>
      </c>
      <c r="D77" s="194"/>
      <c r="E77" s="194"/>
      <c r="F77" s="194">
        <f>'[2]AHTS-1'!AW75+'[2]AHTS-2'!AW75+'[2]AHTS-3'!AW75+'[2]AHTS-4'!AW75+'[2]AHTS-5'!AW75+'[2]AHTS-6'!AW75+'[2]AHTS-7'!AW75+'[2]AHTS-8'!AW75+'[3]CB-1'!AW75+'[3]CB-2'!AW75+'[3]CB-3'!AW75+'[3]CB-4'!AW75+'[3]CB-5'!AW75+'[3]CB-6'!AW75+'[3]CB-7'!AW75+'[3]CB-8'!AW75+'[3]CB-9'!AW75+'[3]CB-10'!AW75+'[3]CB-11'!AW75+'[3]CB-12'!AW75+'[3]CB-13'!AW75+'[3]CB-14'!AW75+'[3]CB-15'!AW75+'[3]CB-16'!AW75+'[3]CB-17'!AW75+'[3]CB-18'!AW75+'[3]CB-19'!AW75+'[3]CB-20'!AW75+'[3]CB-21'!AW75+'[3]CB-22'!AW75+'[3]CB-23'!AW75+'[3]CB-24'!AW75+'[4]LCT-1'!AW75+'[4]LCT-2'!AW75+'[4]LCT-3'!AW75+'[4]LCT-4'!AW75+'[4]LCT-5'!AW75+'[4]LCT-6'!AW75+'[4]LCT-7'!AW75+'[4]LCT-8'!AW75+'[5]TB-1'!AW75+'[5]TB-2'!AW75+'[5]TB-3'!AW75+'[5]TB-4'!AW75+'[5]TB-5'!AW75+'[5]TB-6'!AW75+'[5]TB-7'!AW75+'[5]TB-8'!AW75+'[5]TB-9'!AW75+'[5]TB-10'!AW75+'[6]DSV-1'!AW75+'[6]DSV-2'!AW75+'[6]DSV-3'!AW75+'[7]TUB-1'!AW75+'[7]TUB-2'!AW75+'[8]Barge-1'!AW75+'[8]Barge-2'!AW75+'[8]Barge-3'!AW75+'[8]Barge-4'!AW75</f>
        <v>1699.083333333333</v>
      </c>
      <c r="G77" s="194"/>
      <c r="H77" s="194"/>
      <c r="I77" s="194">
        <f>'[2]AHTS-1'!AX75+'[2]AHTS-2'!AX75+'[2]AHTS-3'!AX75+'[2]AHTS-4'!AX75+'[2]AHTS-5'!AX75+'[2]AHTS-6'!AX75+'[2]AHTS-7'!AX75+'[2]AHTS-8'!AX75+'[3]CB-1'!AX75+'[3]CB-2'!AX75+'[3]CB-3'!AX75+'[3]CB-4'!AX75+'[3]CB-5'!AX75+'[3]CB-6'!AX75+'[3]CB-7'!AX75+'[3]CB-8'!AX75+'[3]CB-9'!AX75+'[3]CB-10'!AX75+'[3]CB-11'!AX75+'[3]CB-12'!AX75+'[3]CB-13'!AX75+'[3]CB-14'!AX75+'[3]CB-15'!AX75+'[3]CB-16'!AX75+'[3]CB-17'!AX75+'[3]CB-18'!AX75+'[3]CB-19'!AX75+'[3]CB-20'!AX75+'[3]CB-21'!AX75+'[3]CB-22'!AX75+'[3]CB-23'!AX75+'[3]CB-24'!AX75+'[4]LCT-1'!AX75+'[4]LCT-2'!AX75+'[4]LCT-3'!AX75+'[4]LCT-4'!AX75+'[4]LCT-5'!AX75+'[4]LCT-6'!AX75+'[4]LCT-7'!AX75+'[4]LCT-8'!AX75+'[5]TB-1'!AX75+'[5]TB-2'!AX75+'[5]TB-3'!AX75+'[5]TB-4'!AX75+'[5]TB-5'!AX75+'[5]TB-6'!AX75+'[5]TB-7'!AX75+'[5]TB-8'!AX75+'[5]TB-9'!AX75+'[5]TB-10'!AX75+'[6]DSV-1'!AX75+'[6]DSV-2'!AX75+'[6]DSV-3'!AX75+'[7]TUB-1'!AX75+'[7]TUB-2'!AX75+'[8]Barge-1'!AX75+'[8]Barge-2'!AX75+'[8]Barge-3'!AX75+'[8]Barge-4'!AX75</f>
        <v>4612.166666666667</v>
      </c>
      <c r="J77" s="194"/>
      <c r="K77" s="194"/>
      <c r="L77" s="194">
        <f>'[2]AHTS-1'!AY75+'[2]AHTS-2'!AY75+'[2]AHTS-3'!AY75+'[2]AHTS-4'!AY75+'[2]AHTS-5'!AY75+'[2]AHTS-6'!AY75+'[2]AHTS-7'!AY75+'[2]AHTS-8'!AY75+'[3]CB-1'!AY75+'[3]CB-2'!AY75+'[3]CB-3'!AY75+'[3]CB-4'!AY75+'[3]CB-5'!AY75+'[3]CB-6'!AY75+'[3]CB-7'!AY75+'[3]CB-8'!AY75+'[3]CB-9'!AY75+'[3]CB-10'!AY75+'[3]CB-11'!AY75+'[3]CB-12'!AY75+'[3]CB-13'!AY75+'[3]CB-14'!AY75+'[3]CB-15'!AY75+'[3]CB-16'!AY75+'[3]CB-17'!AY75+'[3]CB-18'!AY75+'[3]CB-19'!AY75+'[3]CB-20'!AY75+'[3]CB-21'!AY75+'[3]CB-22'!AY75+'[3]CB-23'!AY75+'[3]CB-24'!AY75+'[4]LCT-1'!AY75+'[4]LCT-2'!AY75+'[4]LCT-3'!AY75+'[4]LCT-4'!AY75+'[4]LCT-5'!AY75+'[4]LCT-6'!AY75+'[4]LCT-7'!AY75+'[4]LCT-8'!AY75+'[5]TB-1'!AY75+'[5]TB-2'!AY75+'[5]TB-3'!AY75+'[5]TB-4'!AY75+'[5]TB-5'!AY75+'[5]TB-6'!AY75+'[5]TB-7'!AY75+'[5]TB-8'!AY75+'[5]TB-9'!AY75+'[5]TB-10'!AY75+'[6]DSV-1'!AY75+'[6]DSV-2'!AY75+'[6]DSV-3'!AY75+'[7]TUB-1'!AY75+'[7]TUB-2'!AY75+'[8]Barge-1'!AY75+'[8]Barge-2'!AY75+'[8]Barge-3'!AY75+'[8]Barge-4'!AY75</f>
        <v>2732</v>
      </c>
      <c r="M77" s="194"/>
      <c r="N77" s="194"/>
      <c r="O77" s="194">
        <f>'[2]AHTS-1'!AZ75+'[2]AHTS-2'!AZ75+'[2]AHTS-3'!AZ75+'[2]AHTS-4'!AZ75+'[2]AHTS-5'!AZ75+'[2]AHTS-6'!AZ75+'[2]AHTS-7'!AZ75+'[2]AHTS-8'!AZ75+'[3]CB-1'!AZ75+'[3]CB-2'!AZ75+'[3]CB-3'!AZ75+'[3]CB-4'!AZ75+'[3]CB-5'!AZ75+'[3]CB-6'!AZ75+'[3]CB-7'!AZ75+'[3]CB-8'!AZ75+'[3]CB-9'!AZ75+'[3]CB-10'!AZ75+'[3]CB-11'!AZ75+'[3]CB-12'!AZ75+'[3]CB-13'!AZ75+'[3]CB-14'!AZ75+'[3]CB-15'!AZ75+'[3]CB-16'!AZ75+'[3]CB-17'!AZ75+'[3]CB-18'!AZ75+'[3]CB-19'!AZ75+'[3]CB-20'!AZ75+'[3]CB-21'!AZ75+'[3]CB-22'!AZ75+'[3]CB-23'!AZ75+'[3]CB-24'!AZ75+'[4]LCT-1'!AZ75+'[4]LCT-2'!AZ75+'[4]LCT-3'!AZ75+'[4]LCT-4'!AZ75+'[4]LCT-5'!AZ75+'[4]LCT-6'!AZ75+'[4]LCT-7'!AZ75+'[4]LCT-8'!AZ75+'[5]TB-1'!AZ75+'[5]TB-2'!AZ75+'[5]TB-3'!AZ75+'[5]TB-4'!AZ75+'[5]TB-5'!AZ75+'[5]TB-6'!AZ75+'[5]TB-7'!AZ75+'[5]TB-8'!AZ75+'[5]TB-9'!AZ75+'[5]TB-10'!AZ75+'[6]DSV-1'!AZ75+'[6]DSV-2'!AZ75+'[6]DSV-3'!AZ75+'[7]TUB-1'!AZ75+'[7]TUB-2'!AZ75+'[8]Barge-1'!AZ75+'[8]Barge-2'!AZ75+'[8]Barge-3'!AZ75+'[8]Barge-4'!AZ75</f>
        <v>22.666666666666668</v>
      </c>
      <c r="P77" s="194"/>
      <c r="Q77" s="194"/>
      <c r="R77" s="194">
        <f>'[2]AHTS-1'!BA75+'[2]AHTS-2'!BA75+'[2]AHTS-3'!BA75+'[2]AHTS-4'!BA75+'[2]AHTS-5'!BA75+'[2]AHTS-6'!BA75+'[2]AHTS-7'!BA75+'[2]AHTS-8'!BA75+'[3]CB-1'!BA75+'[3]CB-2'!BA75+'[3]CB-3'!BA75+'[3]CB-4'!BA75+'[3]CB-5'!BA75+'[3]CB-6'!BA75+'[3]CB-7'!BA75+'[3]CB-8'!BA75+'[3]CB-9'!BA75+'[3]CB-10'!BA75+'[3]CB-11'!BA75+'[3]CB-12'!BA75+'[3]CB-13'!BA75+'[3]CB-14'!BA75+'[3]CB-15'!BA75+'[3]CB-16'!BA75+'[3]CB-17'!BA75+'[3]CB-18'!BA75+'[3]CB-19'!BA75+'[3]CB-20'!BA75+'[3]CB-21'!BA75+'[3]CB-22'!BA75+'[3]CB-23'!BA75+'[3]CB-24'!BA75+'[4]LCT-1'!BA75+'[4]LCT-2'!BA75+'[4]LCT-3'!BA75+'[4]LCT-4'!BA75+'[4]LCT-5'!BA75+'[4]LCT-6'!BA75+'[4]LCT-7'!BA75+'[4]LCT-8'!BA75+'[5]TB-1'!BA75+'[5]TB-2'!BA75+'[5]TB-3'!BA75+'[5]TB-4'!BA75+'[5]TB-5'!BA75+'[5]TB-6'!BA75+'[5]TB-7'!BA75+'[5]TB-8'!BA75+'[5]TB-9'!BA75+'[5]TB-10'!BA75+'[6]DSV-1'!BA75+'[6]DSV-2'!BA75+'[6]DSV-3'!BA75+'[7]TUB-1'!BA75+'[7]TUB-2'!BA75+'[8]Barge-1'!BA75+'[8]Barge-2'!BA75+'[8]Barge-3'!BA75+'[8]Barge-4'!BA75</f>
        <v>4237</v>
      </c>
      <c r="S77" s="194"/>
      <c r="T77" s="194"/>
      <c r="U77" s="194">
        <f>'[2]AHTS-1'!BB75+'[2]AHTS-2'!BB75+'[2]AHTS-3'!BB75+'[2]AHTS-4'!BB75+'[2]AHTS-5'!BB75+'[2]AHTS-6'!BB75+'[2]AHTS-7'!BB75+'[2]AHTS-8'!BB75+'[3]CB-1'!BB75+'[3]CB-2'!BB75+'[3]CB-3'!BB75+'[3]CB-4'!BB75+'[3]CB-5'!BB75+'[3]CB-6'!BB75+'[3]CB-7'!BB75+'[3]CB-8'!BB75+'[3]CB-9'!BB75+'[3]CB-10'!BB75+'[3]CB-11'!BB75+'[3]CB-12'!BB75+'[3]CB-13'!BB75+'[3]CB-14'!BB75+'[3]CB-15'!BB75+'[3]CB-16'!BB75+'[3]CB-17'!BB75+'[3]CB-18'!BB75+'[3]CB-19'!BB75+'[3]CB-20'!BB75+'[3]CB-21'!BB75+'[3]CB-22'!BB75+'[3]CB-23'!BB75+'[3]CB-24'!BB75+'[4]LCT-1'!BB75+'[4]LCT-2'!BB75+'[4]LCT-3'!BB75+'[4]LCT-4'!BB75+'[4]LCT-5'!BB75+'[4]LCT-6'!BB75+'[4]LCT-7'!BB75+'[4]LCT-8'!BB75+'[5]TB-1'!BB75+'[5]TB-2'!BB75+'[5]TB-3'!BB75+'[5]TB-4'!BB75+'[5]TB-5'!BB75+'[5]TB-6'!BB75+'[5]TB-7'!BB75+'[5]TB-8'!BB75+'[5]TB-9'!BB75+'[5]TB-10'!BB75+'[6]DSV-1'!BB75+'[6]DSV-2'!BB75+'[6]DSV-3'!BB75+'[7]TUB-1'!BB75+'[7]TUB-2'!BB75+'[8]Barge-1'!BB75+'[8]Barge-2'!BB75+'[8]Barge-3'!BB75+'[8]Barge-4'!BB75</f>
        <v>0</v>
      </c>
      <c r="V77" s="194"/>
      <c r="W77" s="194"/>
      <c r="X77" s="122"/>
      <c r="Y77" s="12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2"/>
      <c r="CR77" s="82"/>
      <c r="CS77" s="82"/>
    </row>
    <row r="78" spans="1:97" s="90" customFormat="1" ht="15" customHeight="1" x14ac:dyDescent="0.25">
      <c r="A78" s="117">
        <f t="shared" si="4"/>
        <v>46013</v>
      </c>
      <c r="B78" s="120"/>
      <c r="C78" s="194">
        <f>'[2]AHTS-1'!AV76+'[2]AHTS-2'!AV76+'[2]AHTS-3'!AV76+'[2]AHTS-4'!AV76+'[2]AHTS-5'!AV76+'[2]AHTS-6'!AV76+'[2]AHTS-7'!AV76+'[2]AHTS-8'!AV76+'[3]CB-1'!AV76+'[3]CB-2'!AV76+'[3]CB-3'!AV76+'[3]CB-4'!AV76+'[3]CB-5'!AV76+'[3]CB-6'!AV76+'[3]CB-7'!AV76+'[3]CB-8'!AV76+'[3]CB-9'!AV76+'[3]CB-10'!AV76+'[3]CB-11'!AV76+'[3]CB-12'!AV76+'[3]CB-13'!AV76+'[3]CB-14'!AV76+'[3]CB-15'!AV76+'[3]CB-16'!AV76+'[3]CB-17'!AV76+'[3]CB-18'!AV76+'[3]CB-19'!AV76+'[3]CB-20'!AV76+'[3]CB-21'!AV76+'[3]CB-22'!AV76+'[3]CB-23'!AV76+'[3]CB-24'!AV76+'[4]LCT-1'!AV76+'[4]LCT-2'!AV76+'[4]LCT-3'!AV76+'[4]LCT-4'!AV76+'[4]LCT-5'!AV76+'[4]LCT-6'!AV76+'[4]LCT-7'!AV76+'[4]LCT-8'!AV76+'[5]TB-1'!AV76+'[5]TB-2'!AV76+'[5]TB-3'!AV76+'[5]TB-4'!AV76+'[5]TB-5'!AV76+'[5]TB-6'!AV76+'[5]TB-7'!AV76+'[5]TB-8'!AV76+'[5]TB-9'!AV76+'[5]TB-10'!AV76+'[6]DSV-1'!AV76+'[6]DSV-2'!AV76+'[6]DSV-3'!AV76+'[7]TUB-1'!AV76+'[7]TUB-2'!AV76+'[8]Barge-1'!AV76+'[8]Barge-2'!AV76+'[8]Barge-3'!AV76+'[8]Barge-4'!AV76</f>
        <v>0</v>
      </c>
      <c r="D78" s="194"/>
      <c r="E78" s="194"/>
      <c r="F78" s="194">
        <f>'[2]AHTS-1'!AW76+'[2]AHTS-2'!AW76+'[2]AHTS-3'!AW76+'[2]AHTS-4'!AW76+'[2]AHTS-5'!AW76+'[2]AHTS-6'!AW76+'[2]AHTS-7'!AW76+'[2]AHTS-8'!AW76+'[3]CB-1'!AW76+'[3]CB-2'!AW76+'[3]CB-3'!AW76+'[3]CB-4'!AW76+'[3]CB-5'!AW76+'[3]CB-6'!AW76+'[3]CB-7'!AW76+'[3]CB-8'!AW76+'[3]CB-9'!AW76+'[3]CB-10'!AW76+'[3]CB-11'!AW76+'[3]CB-12'!AW76+'[3]CB-13'!AW76+'[3]CB-14'!AW76+'[3]CB-15'!AW76+'[3]CB-16'!AW76+'[3]CB-17'!AW76+'[3]CB-18'!AW76+'[3]CB-19'!AW76+'[3]CB-20'!AW76+'[3]CB-21'!AW76+'[3]CB-22'!AW76+'[3]CB-23'!AW76+'[3]CB-24'!AW76+'[4]LCT-1'!AW76+'[4]LCT-2'!AW76+'[4]LCT-3'!AW76+'[4]LCT-4'!AW76+'[4]LCT-5'!AW76+'[4]LCT-6'!AW76+'[4]LCT-7'!AW76+'[4]LCT-8'!AW76+'[5]TB-1'!AW76+'[5]TB-2'!AW76+'[5]TB-3'!AW76+'[5]TB-4'!AW76+'[5]TB-5'!AW76+'[5]TB-6'!AW76+'[5]TB-7'!AW76+'[5]TB-8'!AW76+'[5]TB-9'!AW76+'[5]TB-10'!AW76+'[6]DSV-1'!AW76+'[6]DSV-2'!AW76+'[6]DSV-3'!AW76+'[7]TUB-1'!AW76+'[7]TUB-2'!AW76+'[8]Barge-1'!AW76+'[8]Barge-2'!AW76+'[8]Barge-3'!AW76+'[8]Barge-4'!AW76</f>
        <v>1333.1666666666667</v>
      </c>
      <c r="G78" s="194"/>
      <c r="H78" s="194"/>
      <c r="I78" s="194">
        <f>'[2]AHTS-1'!AX76+'[2]AHTS-2'!AX76+'[2]AHTS-3'!AX76+'[2]AHTS-4'!AX76+'[2]AHTS-5'!AX76+'[2]AHTS-6'!AX76+'[2]AHTS-7'!AX76+'[2]AHTS-8'!AX76+'[3]CB-1'!AX76+'[3]CB-2'!AX76+'[3]CB-3'!AX76+'[3]CB-4'!AX76+'[3]CB-5'!AX76+'[3]CB-6'!AX76+'[3]CB-7'!AX76+'[3]CB-8'!AX76+'[3]CB-9'!AX76+'[3]CB-10'!AX76+'[3]CB-11'!AX76+'[3]CB-12'!AX76+'[3]CB-13'!AX76+'[3]CB-14'!AX76+'[3]CB-15'!AX76+'[3]CB-16'!AX76+'[3]CB-17'!AX76+'[3]CB-18'!AX76+'[3]CB-19'!AX76+'[3]CB-20'!AX76+'[3]CB-21'!AX76+'[3]CB-22'!AX76+'[3]CB-23'!AX76+'[3]CB-24'!AX76+'[4]LCT-1'!AX76+'[4]LCT-2'!AX76+'[4]LCT-3'!AX76+'[4]LCT-4'!AX76+'[4]LCT-5'!AX76+'[4]LCT-6'!AX76+'[4]LCT-7'!AX76+'[4]LCT-8'!AX76+'[5]TB-1'!AX76+'[5]TB-2'!AX76+'[5]TB-3'!AX76+'[5]TB-4'!AX76+'[5]TB-5'!AX76+'[5]TB-6'!AX76+'[5]TB-7'!AX76+'[5]TB-8'!AX76+'[5]TB-9'!AX76+'[5]TB-10'!AX76+'[6]DSV-1'!AX76+'[6]DSV-2'!AX76+'[6]DSV-3'!AX76+'[7]TUB-1'!AX76+'[7]TUB-2'!AX76+'[8]Barge-1'!AX76+'[8]Barge-2'!AX76+'[8]Barge-3'!AX76+'[8]Barge-4'!AX76</f>
        <v>4842</v>
      </c>
      <c r="J78" s="194"/>
      <c r="K78" s="194"/>
      <c r="L78" s="194">
        <f>'[2]AHTS-1'!AY76+'[2]AHTS-2'!AY76+'[2]AHTS-3'!AY76+'[2]AHTS-4'!AY76+'[2]AHTS-5'!AY76+'[2]AHTS-6'!AY76+'[2]AHTS-7'!AY76+'[2]AHTS-8'!AY76+'[3]CB-1'!AY76+'[3]CB-2'!AY76+'[3]CB-3'!AY76+'[3]CB-4'!AY76+'[3]CB-5'!AY76+'[3]CB-6'!AY76+'[3]CB-7'!AY76+'[3]CB-8'!AY76+'[3]CB-9'!AY76+'[3]CB-10'!AY76+'[3]CB-11'!AY76+'[3]CB-12'!AY76+'[3]CB-13'!AY76+'[3]CB-14'!AY76+'[3]CB-15'!AY76+'[3]CB-16'!AY76+'[3]CB-17'!AY76+'[3]CB-18'!AY76+'[3]CB-19'!AY76+'[3]CB-20'!AY76+'[3]CB-21'!AY76+'[3]CB-22'!AY76+'[3]CB-23'!AY76+'[3]CB-24'!AY76+'[4]LCT-1'!AY76+'[4]LCT-2'!AY76+'[4]LCT-3'!AY76+'[4]LCT-4'!AY76+'[4]LCT-5'!AY76+'[4]LCT-6'!AY76+'[4]LCT-7'!AY76+'[4]LCT-8'!AY76+'[5]TB-1'!AY76+'[5]TB-2'!AY76+'[5]TB-3'!AY76+'[5]TB-4'!AY76+'[5]TB-5'!AY76+'[5]TB-6'!AY76+'[5]TB-7'!AY76+'[5]TB-8'!AY76+'[5]TB-9'!AY76+'[5]TB-10'!AY76+'[6]DSV-1'!AY76+'[6]DSV-2'!AY76+'[6]DSV-3'!AY76+'[7]TUB-1'!AY76+'[7]TUB-2'!AY76+'[8]Barge-1'!AY76+'[8]Barge-2'!AY76+'[8]Barge-3'!AY76+'[8]Barge-4'!AY76</f>
        <v>2767.9999999999995</v>
      </c>
      <c r="M78" s="194"/>
      <c r="N78" s="194"/>
      <c r="O78" s="194">
        <f>'[2]AHTS-1'!AZ76+'[2]AHTS-2'!AZ76+'[2]AHTS-3'!AZ76+'[2]AHTS-4'!AZ76+'[2]AHTS-5'!AZ76+'[2]AHTS-6'!AZ76+'[2]AHTS-7'!AZ76+'[2]AHTS-8'!AZ76+'[3]CB-1'!AZ76+'[3]CB-2'!AZ76+'[3]CB-3'!AZ76+'[3]CB-4'!AZ76+'[3]CB-5'!AZ76+'[3]CB-6'!AZ76+'[3]CB-7'!AZ76+'[3]CB-8'!AZ76+'[3]CB-9'!AZ76+'[3]CB-10'!AZ76+'[3]CB-11'!AZ76+'[3]CB-12'!AZ76+'[3]CB-13'!AZ76+'[3]CB-14'!AZ76+'[3]CB-15'!AZ76+'[3]CB-16'!AZ76+'[3]CB-17'!AZ76+'[3]CB-18'!AZ76+'[3]CB-19'!AZ76+'[3]CB-20'!AZ76+'[3]CB-21'!AZ76+'[3]CB-22'!AZ76+'[3]CB-23'!AZ76+'[3]CB-24'!AZ76+'[4]LCT-1'!AZ76+'[4]LCT-2'!AZ76+'[4]LCT-3'!AZ76+'[4]LCT-4'!AZ76+'[4]LCT-5'!AZ76+'[4]LCT-6'!AZ76+'[4]LCT-7'!AZ76+'[4]LCT-8'!AZ76+'[5]TB-1'!AZ76+'[5]TB-2'!AZ76+'[5]TB-3'!AZ76+'[5]TB-4'!AZ76+'[5]TB-5'!AZ76+'[5]TB-6'!AZ76+'[5]TB-7'!AZ76+'[5]TB-8'!AZ76+'[5]TB-9'!AZ76+'[5]TB-10'!AZ76+'[6]DSV-1'!AZ76+'[6]DSV-2'!AZ76+'[6]DSV-3'!AZ76+'[7]TUB-1'!AZ76+'[7]TUB-2'!AZ76+'[8]Barge-1'!AZ76+'[8]Barge-2'!AZ76+'[8]Barge-3'!AZ76+'[8]Barge-4'!AZ76</f>
        <v>39.666666666666664</v>
      </c>
      <c r="P78" s="194"/>
      <c r="Q78" s="194"/>
      <c r="R78" s="194">
        <f>'[2]AHTS-1'!BA76+'[2]AHTS-2'!BA76+'[2]AHTS-3'!BA76+'[2]AHTS-4'!BA76+'[2]AHTS-5'!BA76+'[2]AHTS-6'!BA76+'[2]AHTS-7'!BA76+'[2]AHTS-8'!BA76+'[3]CB-1'!BA76+'[3]CB-2'!BA76+'[3]CB-3'!BA76+'[3]CB-4'!BA76+'[3]CB-5'!BA76+'[3]CB-6'!BA76+'[3]CB-7'!BA76+'[3]CB-8'!BA76+'[3]CB-9'!BA76+'[3]CB-10'!BA76+'[3]CB-11'!BA76+'[3]CB-12'!BA76+'[3]CB-13'!BA76+'[3]CB-14'!BA76+'[3]CB-15'!BA76+'[3]CB-16'!BA76+'[3]CB-17'!BA76+'[3]CB-18'!BA76+'[3]CB-19'!BA76+'[3]CB-20'!BA76+'[3]CB-21'!BA76+'[3]CB-22'!BA76+'[3]CB-23'!BA76+'[3]CB-24'!BA76+'[4]LCT-1'!BA76+'[4]LCT-2'!BA76+'[4]LCT-3'!BA76+'[4]LCT-4'!BA76+'[4]LCT-5'!BA76+'[4]LCT-6'!BA76+'[4]LCT-7'!BA76+'[4]LCT-8'!BA76+'[5]TB-1'!BA76+'[5]TB-2'!BA76+'[5]TB-3'!BA76+'[5]TB-4'!BA76+'[5]TB-5'!BA76+'[5]TB-6'!BA76+'[5]TB-7'!BA76+'[5]TB-8'!BA76+'[5]TB-9'!BA76+'[5]TB-10'!BA76+'[6]DSV-1'!BA76+'[6]DSV-2'!BA76+'[6]DSV-3'!BA76+'[7]TUB-1'!BA76+'[7]TUB-2'!BA76+'[8]Barge-1'!BA76+'[8]Barge-2'!BA76+'[8]Barge-3'!BA76+'[8]Barge-4'!BA76</f>
        <v>4082.6666666666665</v>
      </c>
      <c r="S78" s="194"/>
      <c r="T78" s="194"/>
      <c r="U78" s="194">
        <f>'[2]AHTS-1'!BB76+'[2]AHTS-2'!BB76+'[2]AHTS-3'!BB76+'[2]AHTS-4'!BB76+'[2]AHTS-5'!BB76+'[2]AHTS-6'!BB76+'[2]AHTS-7'!BB76+'[2]AHTS-8'!BB76+'[3]CB-1'!BB76+'[3]CB-2'!BB76+'[3]CB-3'!BB76+'[3]CB-4'!BB76+'[3]CB-5'!BB76+'[3]CB-6'!BB76+'[3]CB-7'!BB76+'[3]CB-8'!BB76+'[3]CB-9'!BB76+'[3]CB-10'!BB76+'[3]CB-11'!BB76+'[3]CB-12'!BB76+'[3]CB-13'!BB76+'[3]CB-14'!BB76+'[3]CB-15'!BB76+'[3]CB-16'!BB76+'[3]CB-17'!BB76+'[3]CB-18'!BB76+'[3]CB-19'!BB76+'[3]CB-20'!BB76+'[3]CB-21'!BB76+'[3]CB-22'!BB76+'[3]CB-23'!BB76+'[3]CB-24'!BB76+'[4]LCT-1'!BB76+'[4]LCT-2'!BB76+'[4]LCT-3'!BB76+'[4]LCT-4'!BB76+'[4]LCT-5'!BB76+'[4]LCT-6'!BB76+'[4]LCT-7'!BB76+'[4]LCT-8'!BB76+'[5]TB-1'!BB76+'[5]TB-2'!BB76+'[5]TB-3'!BB76+'[5]TB-4'!BB76+'[5]TB-5'!BB76+'[5]TB-6'!BB76+'[5]TB-7'!BB76+'[5]TB-8'!BB76+'[5]TB-9'!BB76+'[5]TB-10'!BB76+'[6]DSV-1'!BB76+'[6]DSV-2'!BB76+'[6]DSV-3'!BB76+'[7]TUB-1'!BB76+'[7]TUB-2'!BB76+'[8]Barge-1'!BB76+'[8]Barge-2'!BB76+'[8]Barge-3'!BB76+'[8]Barge-4'!BB76</f>
        <v>0</v>
      </c>
      <c r="V78" s="194"/>
      <c r="W78" s="194"/>
      <c r="X78" s="122"/>
      <c r="Y78" s="12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2"/>
      <c r="CR78" s="82"/>
      <c r="CS78" s="82"/>
    </row>
    <row r="79" spans="1:97" s="90" customFormat="1" ht="15" customHeight="1" x14ac:dyDescent="0.25">
      <c r="A79" s="117">
        <f t="shared" si="4"/>
        <v>46014</v>
      </c>
      <c r="B79" s="120"/>
      <c r="C79" s="194">
        <f>'[2]AHTS-1'!AV77+'[2]AHTS-2'!AV77+'[2]AHTS-3'!AV77+'[2]AHTS-4'!AV77+'[2]AHTS-5'!AV77+'[2]AHTS-6'!AV77+'[2]AHTS-7'!AV77+'[2]AHTS-8'!AV77+'[3]CB-1'!AV77+'[3]CB-2'!AV77+'[3]CB-3'!AV77+'[3]CB-4'!AV77+'[3]CB-5'!AV77+'[3]CB-6'!AV77+'[3]CB-7'!AV77+'[3]CB-8'!AV77+'[3]CB-9'!AV77+'[3]CB-10'!AV77+'[3]CB-11'!AV77+'[3]CB-12'!AV77+'[3]CB-13'!AV77+'[3]CB-14'!AV77+'[3]CB-15'!AV77+'[3]CB-16'!AV77+'[3]CB-17'!AV77+'[3]CB-18'!AV77+'[3]CB-19'!AV77+'[3]CB-20'!AV77+'[3]CB-21'!AV77+'[3]CB-22'!AV77+'[3]CB-23'!AV77+'[3]CB-24'!AV77+'[4]LCT-1'!AV77+'[4]LCT-2'!AV77+'[4]LCT-3'!AV77+'[4]LCT-4'!AV77+'[4]LCT-5'!AV77+'[4]LCT-6'!AV77+'[4]LCT-7'!AV77+'[4]LCT-8'!AV77+'[5]TB-1'!AV77+'[5]TB-2'!AV77+'[5]TB-3'!AV77+'[5]TB-4'!AV77+'[5]TB-5'!AV77+'[5]TB-6'!AV77+'[5]TB-7'!AV77+'[5]TB-8'!AV77+'[5]TB-9'!AV77+'[5]TB-10'!AV77+'[6]DSV-1'!AV77+'[6]DSV-2'!AV77+'[6]DSV-3'!AV77+'[7]TUB-1'!AV77+'[7]TUB-2'!AV77+'[8]Barge-1'!AV77+'[8]Barge-2'!AV77+'[8]Barge-3'!AV77+'[8]Barge-4'!AV77</f>
        <v>0</v>
      </c>
      <c r="D79" s="194"/>
      <c r="E79" s="194"/>
      <c r="F79" s="194">
        <f>'[2]AHTS-1'!AW77+'[2]AHTS-2'!AW77+'[2]AHTS-3'!AW77+'[2]AHTS-4'!AW77+'[2]AHTS-5'!AW77+'[2]AHTS-6'!AW77+'[2]AHTS-7'!AW77+'[2]AHTS-8'!AW77+'[3]CB-1'!AW77+'[3]CB-2'!AW77+'[3]CB-3'!AW77+'[3]CB-4'!AW77+'[3]CB-5'!AW77+'[3]CB-6'!AW77+'[3]CB-7'!AW77+'[3]CB-8'!AW77+'[3]CB-9'!AW77+'[3]CB-10'!AW77+'[3]CB-11'!AW77+'[3]CB-12'!AW77+'[3]CB-13'!AW77+'[3]CB-14'!AW77+'[3]CB-15'!AW77+'[3]CB-16'!AW77+'[3]CB-17'!AW77+'[3]CB-18'!AW77+'[3]CB-19'!AW77+'[3]CB-20'!AW77+'[3]CB-21'!AW77+'[3]CB-22'!AW77+'[3]CB-23'!AW77+'[3]CB-24'!AW77+'[4]LCT-1'!AW77+'[4]LCT-2'!AW77+'[4]LCT-3'!AW77+'[4]LCT-4'!AW77+'[4]LCT-5'!AW77+'[4]LCT-6'!AW77+'[4]LCT-7'!AW77+'[4]LCT-8'!AW77+'[5]TB-1'!AW77+'[5]TB-2'!AW77+'[5]TB-3'!AW77+'[5]TB-4'!AW77+'[5]TB-5'!AW77+'[5]TB-6'!AW77+'[5]TB-7'!AW77+'[5]TB-8'!AW77+'[5]TB-9'!AW77+'[5]TB-10'!AW77+'[6]DSV-1'!AW77+'[6]DSV-2'!AW77+'[6]DSV-3'!AW77+'[7]TUB-1'!AW77+'[7]TUB-2'!AW77+'[8]Barge-1'!AW77+'[8]Barge-2'!AW77+'[8]Barge-3'!AW77+'[8]Barge-4'!AW77</f>
        <v>888.5</v>
      </c>
      <c r="G79" s="194"/>
      <c r="H79" s="194"/>
      <c r="I79" s="194">
        <f>'[2]AHTS-1'!AX77+'[2]AHTS-2'!AX77+'[2]AHTS-3'!AX77+'[2]AHTS-4'!AX77+'[2]AHTS-5'!AX77+'[2]AHTS-6'!AX77+'[2]AHTS-7'!AX77+'[2]AHTS-8'!AX77+'[3]CB-1'!AX77+'[3]CB-2'!AX77+'[3]CB-3'!AX77+'[3]CB-4'!AX77+'[3]CB-5'!AX77+'[3]CB-6'!AX77+'[3]CB-7'!AX77+'[3]CB-8'!AX77+'[3]CB-9'!AX77+'[3]CB-10'!AX77+'[3]CB-11'!AX77+'[3]CB-12'!AX77+'[3]CB-13'!AX77+'[3]CB-14'!AX77+'[3]CB-15'!AX77+'[3]CB-16'!AX77+'[3]CB-17'!AX77+'[3]CB-18'!AX77+'[3]CB-19'!AX77+'[3]CB-20'!AX77+'[3]CB-21'!AX77+'[3]CB-22'!AX77+'[3]CB-23'!AX77+'[3]CB-24'!AX77+'[4]LCT-1'!AX77+'[4]LCT-2'!AX77+'[4]LCT-3'!AX77+'[4]LCT-4'!AX77+'[4]LCT-5'!AX77+'[4]LCT-6'!AX77+'[4]LCT-7'!AX77+'[4]LCT-8'!AX77+'[5]TB-1'!AX77+'[5]TB-2'!AX77+'[5]TB-3'!AX77+'[5]TB-4'!AX77+'[5]TB-5'!AX77+'[5]TB-6'!AX77+'[5]TB-7'!AX77+'[5]TB-8'!AX77+'[5]TB-9'!AX77+'[5]TB-10'!AX77+'[6]DSV-1'!AX77+'[6]DSV-2'!AX77+'[6]DSV-3'!AX77+'[7]TUB-1'!AX77+'[7]TUB-2'!AX77+'[8]Barge-1'!AX77+'[8]Barge-2'!AX77+'[8]Barge-3'!AX77+'[8]Barge-4'!AX77</f>
        <v>4577</v>
      </c>
      <c r="J79" s="194"/>
      <c r="K79" s="194"/>
      <c r="L79" s="194">
        <f>'[2]AHTS-1'!AY77+'[2]AHTS-2'!AY77+'[2]AHTS-3'!AY77+'[2]AHTS-4'!AY77+'[2]AHTS-5'!AY77+'[2]AHTS-6'!AY77+'[2]AHTS-7'!AY77+'[2]AHTS-8'!AY77+'[3]CB-1'!AY77+'[3]CB-2'!AY77+'[3]CB-3'!AY77+'[3]CB-4'!AY77+'[3]CB-5'!AY77+'[3]CB-6'!AY77+'[3]CB-7'!AY77+'[3]CB-8'!AY77+'[3]CB-9'!AY77+'[3]CB-10'!AY77+'[3]CB-11'!AY77+'[3]CB-12'!AY77+'[3]CB-13'!AY77+'[3]CB-14'!AY77+'[3]CB-15'!AY77+'[3]CB-16'!AY77+'[3]CB-17'!AY77+'[3]CB-18'!AY77+'[3]CB-19'!AY77+'[3]CB-20'!AY77+'[3]CB-21'!AY77+'[3]CB-22'!AY77+'[3]CB-23'!AY77+'[3]CB-24'!AY77+'[4]LCT-1'!AY77+'[4]LCT-2'!AY77+'[4]LCT-3'!AY77+'[4]LCT-4'!AY77+'[4]LCT-5'!AY77+'[4]LCT-6'!AY77+'[4]LCT-7'!AY77+'[4]LCT-8'!AY77+'[5]TB-1'!AY77+'[5]TB-2'!AY77+'[5]TB-3'!AY77+'[5]TB-4'!AY77+'[5]TB-5'!AY77+'[5]TB-6'!AY77+'[5]TB-7'!AY77+'[5]TB-8'!AY77+'[5]TB-9'!AY77+'[5]TB-10'!AY77+'[6]DSV-1'!AY77+'[6]DSV-2'!AY77+'[6]DSV-3'!AY77+'[7]TUB-1'!AY77+'[7]TUB-2'!AY77+'[8]Barge-1'!AY77+'[8]Barge-2'!AY77+'[8]Barge-3'!AY77+'[8]Barge-4'!AY77</f>
        <v>8584</v>
      </c>
      <c r="M79" s="194"/>
      <c r="N79" s="194"/>
      <c r="O79" s="194">
        <f>'[2]AHTS-1'!AZ77+'[2]AHTS-2'!AZ77+'[2]AHTS-3'!AZ77+'[2]AHTS-4'!AZ77+'[2]AHTS-5'!AZ77+'[2]AHTS-6'!AZ77+'[2]AHTS-7'!AZ77+'[2]AHTS-8'!AZ77+'[3]CB-1'!AZ77+'[3]CB-2'!AZ77+'[3]CB-3'!AZ77+'[3]CB-4'!AZ77+'[3]CB-5'!AZ77+'[3]CB-6'!AZ77+'[3]CB-7'!AZ77+'[3]CB-8'!AZ77+'[3]CB-9'!AZ77+'[3]CB-10'!AZ77+'[3]CB-11'!AZ77+'[3]CB-12'!AZ77+'[3]CB-13'!AZ77+'[3]CB-14'!AZ77+'[3]CB-15'!AZ77+'[3]CB-16'!AZ77+'[3]CB-17'!AZ77+'[3]CB-18'!AZ77+'[3]CB-19'!AZ77+'[3]CB-20'!AZ77+'[3]CB-21'!AZ77+'[3]CB-22'!AZ77+'[3]CB-23'!AZ77+'[3]CB-24'!AZ77+'[4]LCT-1'!AZ77+'[4]LCT-2'!AZ77+'[4]LCT-3'!AZ77+'[4]LCT-4'!AZ77+'[4]LCT-5'!AZ77+'[4]LCT-6'!AZ77+'[4]LCT-7'!AZ77+'[4]LCT-8'!AZ77+'[5]TB-1'!AZ77+'[5]TB-2'!AZ77+'[5]TB-3'!AZ77+'[5]TB-4'!AZ77+'[5]TB-5'!AZ77+'[5]TB-6'!AZ77+'[5]TB-7'!AZ77+'[5]TB-8'!AZ77+'[5]TB-9'!AZ77+'[5]TB-10'!AZ77+'[6]DSV-1'!AZ77+'[6]DSV-2'!AZ77+'[6]DSV-3'!AZ77+'[7]TUB-1'!AZ77+'[7]TUB-2'!AZ77+'[8]Barge-1'!AZ77+'[8]Barge-2'!AZ77+'[8]Barge-3'!AZ77+'[8]Barge-4'!AZ77</f>
        <v>17</v>
      </c>
      <c r="P79" s="194"/>
      <c r="Q79" s="194"/>
      <c r="R79" s="194">
        <f>'[2]AHTS-1'!BA77+'[2]AHTS-2'!BA77+'[2]AHTS-3'!BA77+'[2]AHTS-4'!BA77+'[2]AHTS-5'!BA77+'[2]AHTS-6'!BA77+'[2]AHTS-7'!BA77+'[2]AHTS-8'!BA77+'[3]CB-1'!BA77+'[3]CB-2'!BA77+'[3]CB-3'!BA77+'[3]CB-4'!BA77+'[3]CB-5'!BA77+'[3]CB-6'!BA77+'[3]CB-7'!BA77+'[3]CB-8'!BA77+'[3]CB-9'!BA77+'[3]CB-10'!BA77+'[3]CB-11'!BA77+'[3]CB-12'!BA77+'[3]CB-13'!BA77+'[3]CB-14'!BA77+'[3]CB-15'!BA77+'[3]CB-16'!BA77+'[3]CB-17'!BA77+'[3]CB-18'!BA77+'[3]CB-19'!BA77+'[3]CB-20'!BA77+'[3]CB-21'!BA77+'[3]CB-22'!BA77+'[3]CB-23'!BA77+'[3]CB-24'!BA77+'[4]LCT-1'!BA77+'[4]LCT-2'!BA77+'[4]LCT-3'!BA77+'[4]LCT-4'!BA77+'[4]LCT-5'!BA77+'[4]LCT-6'!BA77+'[4]LCT-7'!BA77+'[4]LCT-8'!BA77+'[5]TB-1'!BA77+'[5]TB-2'!BA77+'[5]TB-3'!BA77+'[5]TB-4'!BA77+'[5]TB-5'!BA77+'[5]TB-6'!BA77+'[5]TB-7'!BA77+'[5]TB-8'!BA77+'[5]TB-9'!BA77+'[5]TB-10'!BA77+'[6]DSV-1'!BA77+'[6]DSV-2'!BA77+'[6]DSV-3'!BA77+'[7]TUB-1'!BA77+'[7]TUB-2'!BA77+'[8]Barge-1'!BA77+'[8]Barge-2'!BA77+'[8]Barge-3'!BA77+'[8]Barge-4'!BA77</f>
        <v>4538.0000000000009</v>
      </c>
      <c r="S79" s="194"/>
      <c r="T79" s="194"/>
      <c r="U79" s="194">
        <f>'[2]AHTS-1'!BB77+'[2]AHTS-2'!BB77+'[2]AHTS-3'!BB77+'[2]AHTS-4'!BB77+'[2]AHTS-5'!BB77+'[2]AHTS-6'!BB77+'[2]AHTS-7'!BB77+'[2]AHTS-8'!BB77+'[3]CB-1'!BB77+'[3]CB-2'!BB77+'[3]CB-3'!BB77+'[3]CB-4'!BB77+'[3]CB-5'!BB77+'[3]CB-6'!BB77+'[3]CB-7'!BB77+'[3]CB-8'!BB77+'[3]CB-9'!BB77+'[3]CB-10'!BB77+'[3]CB-11'!BB77+'[3]CB-12'!BB77+'[3]CB-13'!BB77+'[3]CB-14'!BB77+'[3]CB-15'!BB77+'[3]CB-16'!BB77+'[3]CB-17'!BB77+'[3]CB-18'!BB77+'[3]CB-19'!BB77+'[3]CB-20'!BB77+'[3]CB-21'!BB77+'[3]CB-22'!BB77+'[3]CB-23'!BB77+'[3]CB-24'!BB77+'[4]LCT-1'!BB77+'[4]LCT-2'!BB77+'[4]LCT-3'!BB77+'[4]LCT-4'!BB77+'[4]LCT-5'!BB77+'[4]LCT-6'!BB77+'[4]LCT-7'!BB77+'[4]LCT-8'!BB77+'[5]TB-1'!BB77+'[5]TB-2'!BB77+'[5]TB-3'!BB77+'[5]TB-4'!BB77+'[5]TB-5'!BB77+'[5]TB-6'!BB77+'[5]TB-7'!BB77+'[5]TB-8'!BB77+'[5]TB-9'!BB77+'[5]TB-10'!BB77+'[6]DSV-1'!BB77+'[6]DSV-2'!BB77+'[6]DSV-3'!BB77+'[7]TUB-1'!BB77+'[7]TUB-2'!BB77+'[8]Barge-1'!BB77+'[8]Barge-2'!BB77+'[8]Barge-3'!BB77+'[8]Barge-4'!BB77</f>
        <v>0</v>
      </c>
      <c r="V79" s="194"/>
      <c r="W79" s="194"/>
      <c r="X79" s="122"/>
      <c r="Y79" s="12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  <c r="BN79" s="82"/>
      <c r="BO79" s="82"/>
      <c r="BP79" s="82"/>
      <c r="BQ79" s="82"/>
      <c r="BR79" s="82"/>
      <c r="BS79" s="82"/>
      <c r="BT79" s="82"/>
      <c r="BU79" s="82"/>
      <c r="BV79" s="82"/>
      <c r="BW79" s="82"/>
      <c r="BX79" s="82"/>
      <c r="BY79" s="82"/>
      <c r="BZ79" s="82"/>
      <c r="CA79" s="82"/>
      <c r="CB79" s="82"/>
      <c r="CC79" s="82"/>
      <c r="CD79" s="82"/>
      <c r="CE79" s="82"/>
      <c r="CF79" s="82"/>
      <c r="CG79" s="82"/>
      <c r="CH79" s="82"/>
      <c r="CI79" s="82"/>
      <c r="CJ79" s="82"/>
      <c r="CK79" s="82"/>
      <c r="CL79" s="82"/>
      <c r="CM79" s="82"/>
      <c r="CN79" s="82"/>
      <c r="CO79" s="82"/>
      <c r="CP79" s="82"/>
      <c r="CQ79" s="82"/>
      <c r="CR79" s="82"/>
      <c r="CS79" s="82"/>
    </row>
    <row r="80" spans="1:97" s="90" customFormat="1" ht="15" customHeight="1" x14ac:dyDescent="0.25">
      <c r="A80" s="117">
        <f t="shared" si="4"/>
        <v>46015</v>
      </c>
      <c r="B80" s="120"/>
      <c r="C80" s="194">
        <f>'[2]AHTS-1'!AV78+'[2]AHTS-2'!AV78+'[2]AHTS-3'!AV78+'[2]AHTS-4'!AV78+'[2]AHTS-5'!AV78+'[2]AHTS-6'!AV78+'[2]AHTS-7'!AV78+'[2]AHTS-8'!AV78+'[3]CB-1'!AV78+'[3]CB-2'!AV78+'[3]CB-3'!AV78+'[3]CB-4'!AV78+'[3]CB-5'!AV78+'[3]CB-6'!AV78+'[3]CB-7'!AV78+'[3]CB-8'!AV78+'[3]CB-9'!AV78+'[3]CB-10'!AV78+'[3]CB-11'!AV78+'[3]CB-12'!AV78+'[3]CB-13'!AV78+'[3]CB-14'!AV78+'[3]CB-15'!AV78+'[3]CB-16'!AV78+'[3]CB-17'!AV78+'[3]CB-18'!AV78+'[3]CB-19'!AV78+'[3]CB-20'!AV78+'[3]CB-21'!AV78+'[3]CB-22'!AV78+'[3]CB-23'!AV78+'[3]CB-24'!AV78+'[4]LCT-1'!AV78+'[4]LCT-2'!AV78+'[4]LCT-3'!AV78+'[4]LCT-4'!AV78+'[4]LCT-5'!AV78+'[4]LCT-6'!AV78+'[4]LCT-7'!AV78+'[4]LCT-8'!AV78+'[5]TB-1'!AV78+'[5]TB-2'!AV78+'[5]TB-3'!AV78+'[5]TB-4'!AV78+'[5]TB-5'!AV78+'[5]TB-6'!AV78+'[5]TB-7'!AV78+'[5]TB-8'!AV78+'[5]TB-9'!AV78+'[5]TB-10'!AV78+'[6]DSV-1'!AV78+'[6]DSV-2'!AV78+'[6]DSV-3'!AV78+'[7]TUB-1'!AV78+'[7]TUB-2'!AV78+'[8]Barge-1'!AV78+'[8]Barge-2'!AV78+'[8]Barge-3'!AV78+'[8]Barge-4'!AV78</f>
        <v>0</v>
      </c>
      <c r="D80" s="194"/>
      <c r="E80" s="194"/>
      <c r="F80" s="194">
        <f>'[2]AHTS-1'!AW78+'[2]AHTS-2'!AW78+'[2]AHTS-3'!AW78+'[2]AHTS-4'!AW78+'[2]AHTS-5'!AW78+'[2]AHTS-6'!AW78+'[2]AHTS-7'!AW78+'[2]AHTS-8'!AW78+'[3]CB-1'!AW78+'[3]CB-2'!AW78+'[3]CB-3'!AW78+'[3]CB-4'!AW78+'[3]CB-5'!AW78+'[3]CB-6'!AW78+'[3]CB-7'!AW78+'[3]CB-8'!AW78+'[3]CB-9'!AW78+'[3]CB-10'!AW78+'[3]CB-11'!AW78+'[3]CB-12'!AW78+'[3]CB-13'!AW78+'[3]CB-14'!AW78+'[3]CB-15'!AW78+'[3]CB-16'!AW78+'[3]CB-17'!AW78+'[3]CB-18'!AW78+'[3]CB-19'!AW78+'[3]CB-20'!AW78+'[3]CB-21'!AW78+'[3]CB-22'!AW78+'[3]CB-23'!AW78+'[3]CB-24'!AW78+'[4]LCT-1'!AW78+'[4]LCT-2'!AW78+'[4]LCT-3'!AW78+'[4]LCT-4'!AW78+'[4]LCT-5'!AW78+'[4]LCT-6'!AW78+'[4]LCT-7'!AW78+'[4]LCT-8'!AW78+'[5]TB-1'!AW78+'[5]TB-2'!AW78+'[5]TB-3'!AW78+'[5]TB-4'!AW78+'[5]TB-5'!AW78+'[5]TB-6'!AW78+'[5]TB-7'!AW78+'[5]TB-8'!AW78+'[5]TB-9'!AW78+'[5]TB-10'!AW78+'[6]DSV-1'!AW78+'[6]DSV-2'!AW78+'[6]DSV-3'!AW78+'[7]TUB-1'!AW78+'[7]TUB-2'!AW78+'[8]Barge-1'!AW78+'[8]Barge-2'!AW78+'[8]Barge-3'!AW78+'[8]Barge-4'!AW78</f>
        <v>1584.75</v>
      </c>
      <c r="G80" s="194"/>
      <c r="H80" s="194"/>
      <c r="I80" s="194">
        <f>'[2]AHTS-1'!AX78+'[2]AHTS-2'!AX78+'[2]AHTS-3'!AX78+'[2]AHTS-4'!AX78+'[2]AHTS-5'!AX78+'[2]AHTS-6'!AX78+'[2]AHTS-7'!AX78+'[2]AHTS-8'!AX78+'[3]CB-1'!AX78+'[3]CB-2'!AX78+'[3]CB-3'!AX78+'[3]CB-4'!AX78+'[3]CB-5'!AX78+'[3]CB-6'!AX78+'[3]CB-7'!AX78+'[3]CB-8'!AX78+'[3]CB-9'!AX78+'[3]CB-10'!AX78+'[3]CB-11'!AX78+'[3]CB-12'!AX78+'[3]CB-13'!AX78+'[3]CB-14'!AX78+'[3]CB-15'!AX78+'[3]CB-16'!AX78+'[3]CB-17'!AX78+'[3]CB-18'!AX78+'[3]CB-19'!AX78+'[3]CB-20'!AX78+'[3]CB-21'!AX78+'[3]CB-22'!AX78+'[3]CB-23'!AX78+'[3]CB-24'!AX78+'[4]LCT-1'!AX78+'[4]LCT-2'!AX78+'[4]LCT-3'!AX78+'[4]LCT-4'!AX78+'[4]LCT-5'!AX78+'[4]LCT-6'!AX78+'[4]LCT-7'!AX78+'[4]LCT-8'!AX78+'[5]TB-1'!AX78+'[5]TB-2'!AX78+'[5]TB-3'!AX78+'[5]TB-4'!AX78+'[5]TB-5'!AX78+'[5]TB-6'!AX78+'[5]TB-7'!AX78+'[5]TB-8'!AX78+'[5]TB-9'!AX78+'[5]TB-10'!AX78+'[6]DSV-1'!AX78+'[6]DSV-2'!AX78+'[6]DSV-3'!AX78+'[7]TUB-1'!AX78+'[7]TUB-2'!AX78+'[8]Barge-1'!AX78+'[8]Barge-2'!AX78+'[8]Barge-3'!AX78+'[8]Barge-4'!AX78</f>
        <v>4081.4166666666665</v>
      </c>
      <c r="J80" s="194"/>
      <c r="K80" s="194"/>
      <c r="L80" s="194">
        <f>'[2]AHTS-1'!AY78+'[2]AHTS-2'!AY78+'[2]AHTS-3'!AY78+'[2]AHTS-4'!AY78+'[2]AHTS-5'!AY78+'[2]AHTS-6'!AY78+'[2]AHTS-7'!AY78+'[2]AHTS-8'!AY78+'[3]CB-1'!AY78+'[3]CB-2'!AY78+'[3]CB-3'!AY78+'[3]CB-4'!AY78+'[3]CB-5'!AY78+'[3]CB-6'!AY78+'[3]CB-7'!AY78+'[3]CB-8'!AY78+'[3]CB-9'!AY78+'[3]CB-10'!AY78+'[3]CB-11'!AY78+'[3]CB-12'!AY78+'[3]CB-13'!AY78+'[3]CB-14'!AY78+'[3]CB-15'!AY78+'[3]CB-16'!AY78+'[3]CB-17'!AY78+'[3]CB-18'!AY78+'[3]CB-19'!AY78+'[3]CB-20'!AY78+'[3]CB-21'!AY78+'[3]CB-22'!AY78+'[3]CB-23'!AY78+'[3]CB-24'!AY78+'[4]LCT-1'!AY78+'[4]LCT-2'!AY78+'[4]LCT-3'!AY78+'[4]LCT-4'!AY78+'[4]LCT-5'!AY78+'[4]LCT-6'!AY78+'[4]LCT-7'!AY78+'[4]LCT-8'!AY78+'[5]TB-1'!AY78+'[5]TB-2'!AY78+'[5]TB-3'!AY78+'[5]TB-4'!AY78+'[5]TB-5'!AY78+'[5]TB-6'!AY78+'[5]TB-7'!AY78+'[5]TB-8'!AY78+'[5]TB-9'!AY78+'[5]TB-10'!AY78+'[6]DSV-1'!AY78+'[6]DSV-2'!AY78+'[6]DSV-3'!AY78+'[7]TUB-1'!AY78+'[7]TUB-2'!AY78+'[8]Barge-1'!AY78+'[8]Barge-2'!AY78+'[8]Barge-3'!AY78+'[8]Barge-4'!AY78</f>
        <v>6220.833333333333</v>
      </c>
      <c r="M80" s="194"/>
      <c r="N80" s="194"/>
      <c r="O80" s="194">
        <f>'[2]AHTS-1'!AZ78+'[2]AHTS-2'!AZ78+'[2]AHTS-3'!AZ78+'[2]AHTS-4'!AZ78+'[2]AHTS-5'!AZ78+'[2]AHTS-6'!AZ78+'[2]AHTS-7'!AZ78+'[2]AHTS-8'!AZ78+'[3]CB-1'!AZ78+'[3]CB-2'!AZ78+'[3]CB-3'!AZ78+'[3]CB-4'!AZ78+'[3]CB-5'!AZ78+'[3]CB-6'!AZ78+'[3]CB-7'!AZ78+'[3]CB-8'!AZ78+'[3]CB-9'!AZ78+'[3]CB-10'!AZ78+'[3]CB-11'!AZ78+'[3]CB-12'!AZ78+'[3]CB-13'!AZ78+'[3]CB-14'!AZ78+'[3]CB-15'!AZ78+'[3]CB-16'!AZ78+'[3]CB-17'!AZ78+'[3]CB-18'!AZ78+'[3]CB-19'!AZ78+'[3]CB-20'!AZ78+'[3]CB-21'!AZ78+'[3]CB-22'!AZ78+'[3]CB-23'!AZ78+'[3]CB-24'!AZ78+'[4]LCT-1'!AZ78+'[4]LCT-2'!AZ78+'[4]LCT-3'!AZ78+'[4]LCT-4'!AZ78+'[4]LCT-5'!AZ78+'[4]LCT-6'!AZ78+'[4]LCT-7'!AZ78+'[4]LCT-8'!AZ78+'[5]TB-1'!AZ78+'[5]TB-2'!AZ78+'[5]TB-3'!AZ78+'[5]TB-4'!AZ78+'[5]TB-5'!AZ78+'[5]TB-6'!AZ78+'[5]TB-7'!AZ78+'[5]TB-8'!AZ78+'[5]TB-9'!AZ78+'[5]TB-10'!AZ78+'[6]DSV-1'!AZ78+'[6]DSV-2'!AZ78+'[6]DSV-3'!AZ78+'[7]TUB-1'!AZ78+'[7]TUB-2'!AZ78+'[8]Barge-1'!AZ78+'[8]Barge-2'!AZ78+'[8]Barge-3'!AZ78+'[8]Barge-4'!AZ78</f>
        <v>31.166666666666668</v>
      </c>
      <c r="P80" s="194"/>
      <c r="Q80" s="194"/>
      <c r="R80" s="194">
        <f>'[2]AHTS-1'!BA78+'[2]AHTS-2'!BA78+'[2]AHTS-3'!BA78+'[2]AHTS-4'!BA78+'[2]AHTS-5'!BA78+'[2]AHTS-6'!BA78+'[2]AHTS-7'!BA78+'[2]AHTS-8'!BA78+'[3]CB-1'!BA78+'[3]CB-2'!BA78+'[3]CB-3'!BA78+'[3]CB-4'!BA78+'[3]CB-5'!BA78+'[3]CB-6'!BA78+'[3]CB-7'!BA78+'[3]CB-8'!BA78+'[3]CB-9'!BA78+'[3]CB-10'!BA78+'[3]CB-11'!BA78+'[3]CB-12'!BA78+'[3]CB-13'!BA78+'[3]CB-14'!BA78+'[3]CB-15'!BA78+'[3]CB-16'!BA78+'[3]CB-17'!BA78+'[3]CB-18'!BA78+'[3]CB-19'!BA78+'[3]CB-20'!BA78+'[3]CB-21'!BA78+'[3]CB-22'!BA78+'[3]CB-23'!BA78+'[3]CB-24'!BA78+'[4]LCT-1'!BA78+'[4]LCT-2'!BA78+'[4]LCT-3'!BA78+'[4]LCT-4'!BA78+'[4]LCT-5'!BA78+'[4]LCT-6'!BA78+'[4]LCT-7'!BA78+'[4]LCT-8'!BA78+'[5]TB-1'!BA78+'[5]TB-2'!BA78+'[5]TB-3'!BA78+'[5]TB-4'!BA78+'[5]TB-5'!BA78+'[5]TB-6'!BA78+'[5]TB-7'!BA78+'[5]TB-8'!BA78+'[5]TB-9'!BA78+'[5]TB-10'!BA78+'[6]DSV-1'!BA78+'[6]DSV-2'!BA78+'[6]DSV-3'!BA78+'[7]TUB-1'!BA78+'[7]TUB-2'!BA78+'[8]Barge-1'!BA78+'[8]Barge-2'!BA78+'[8]Barge-3'!BA78+'[8]Barge-4'!BA78</f>
        <v>4407</v>
      </c>
      <c r="S80" s="194"/>
      <c r="T80" s="194"/>
      <c r="U80" s="194">
        <f>'[2]AHTS-1'!BB78+'[2]AHTS-2'!BB78+'[2]AHTS-3'!BB78+'[2]AHTS-4'!BB78+'[2]AHTS-5'!BB78+'[2]AHTS-6'!BB78+'[2]AHTS-7'!BB78+'[2]AHTS-8'!BB78+'[3]CB-1'!BB78+'[3]CB-2'!BB78+'[3]CB-3'!BB78+'[3]CB-4'!BB78+'[3]CB-5'!BB78+'[3]CB-6'!BB78+'[3]CB-7'!BB78+'[3]CB-8'!BB78+'[3]CB-9'!BB78+'[3]CB-10'!BB78+'[3]CB-11'!BB78+'[3]CB-12'!BB78+'[3]CB-13'!BB78+'[3]CB-14'!BB78+'[3]CB-15'!BB78+'[3]CB-16'!BB78+'[3]CB-17'!BB78+'[3]CB-18'!BB78+'[3]CB-19'!BB78+'[3]CB-20'!BB78+'[3]CB-21'!BB78+'[3]CB-22'!BB78+'[3]CB-23'!BB78+'[3]CB-24'!BB78+'[4]LCT-1'!BB78+'[4]LCT-2'!BB78+'[4]LCT-3'!BB78+'[4]LCT-4'!BB78+'[4]LCT-5'!BB78+'[4]LCT-6'!BB78+'[4]LCT-7'!BB78+'[4]LCT-8'!BB78+'[5]TB-1'!BB78+'[5]TB-2'!BB78+'[5]TB-3'!BB78+'[5]TB-4'!BB78+'[5]TB-5'!BB78+'[5]TB-6'!BB78+'[5]TB-7'!BB78+'[5]TB-8'!BB78+'[5]TB-9'!BB78+'[5]TB-10'!BB78+'[6]DSV-1'!BB78+'[6]DSV-2'!BB78+'[6]DSV-3'!BB78+'[7]TUB-1'!BB78+'[7]TUB-2'!BB78+'[8]Barge-1'!BB78+'[8]Barge-2'!BB78+'[8]Barge-3'!BB78+'[8]Barge-4'!BB78</f>
        <v>0</v>
      </c>
      <c r="V80" s="194"/>
      <c r="W80" s="194"/>
      <c r="X80" s="122"/>
      <c r="Y80" s="12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  <c r="BN80" s="82"/>
      <c r="BO80" s="82"/>
      <c r="BP80" s="82"/>
      <c r="BQ80" s="82"/>
      <c r="BR80" s="82"/>
      <c r="BS80" s="82"/>
      <c r="BT80" s="82"/>
      <c r="BU80" s="82"/>
      <c r="BV80" s="82"/>
      <c r="BW80" s="82"/>
      <c r="BX80" s="82"/>
      <c r="BY80" s="82"/>
      <c r="BZ80" s="82"/>
      <c r="CA80" s="82"/>
      <c r="CB80" s="82"/>
      <c r="CC80" s="82"/>
      <c r="CD80" s="82"/>
      <c r="CE80" s="82"/>
      <c r="CF80" s="82"/>
      <c r="CG80" s="82"/>
      <c r="CH80" s="82"/>
      <c r="CI80" s="82"/>
      <c r="CJ80" s="82"/>
      <c r="CK80" s="82"/>
      <c r="CL80" s="82"/>
      <c r="CM80" s="82"/>
      <c r="CN80" s="82"/>
      <c r="CO80" s="82"/>
      <c r="CP80" s="82"/>
      <c r="CQ80" s="82"/>
      <c r="CR80" s="82"/>
      <c r="CS80" s="82"/>
    </row>
    <row r="81" spans="1:97" s="90" customFormat="1" ht="15" customHeight="1" x14ac:dyDescent="0.25">
      <c r="A81" s="117" t="str">
        <f t="shared" si="4"/>
        <v>-</v>
      </c>
      <c r="B81" s="120"/>
      <c r="C81" s="194">
        <f>'[2]AHTS-1'!AV79+'[2]AHTS-2'!AV79+'[2]AHTS-3'!AV79+'[2]AHTS-4'!AV79+'[2]AHTS-5'!AV79+'[2]AHTS-6'!AV79+'[2]AHTS-7'!AV79+'[2]AHTS-8'!AV79+'[3]CB-1'!AV79+'[3]CB-2'!AV79+'[3]CB-3'!AV79+'[3]CB-4'!AV79+'[3]CB-5'!AV79+'[3]CB-6'!AV79+'[3]CB-7'!AV79+'[3]CB-8'!AV79+'[3]CB-9'!AV79+'[3]CB-10'!AV79+'[3]CB-11'!AV79+'[3]CB-12'!AV79+'[3]CB-13'!AV79+'[3]CB-14'!AV79+'[3]CB-15'!AV79+'[3]CB-16'!AV79+'[3]CB-17'!AV79+'[3]CB-18'!AV79+'[3]CB-19'!AV79+'[3]CB-20'!AV79+'[3]CB-21'!AV79+'[3]CB-22'!AV79+'[3]CB-23'!AV79+'[3]CB-24'!AV79+'[4]LCT-1'!AV79+'[4]LCT-2'!AV79+'[4]LCT-3'!AV79+'[4]LCT-4'!AV79+'[4]LCT-5'!AV79+'[4]LCT-6'!AV79+'[4]LCT-7'!AV79+'[4]LCT-8'!AV79+'[5]TB-1'!AV79+'[5]TB-2'!AV79+'[5]TB-3'!AV79+'[5]TB-4'!AV79+'[5]TB-5'!AV79+'[5]TB-6'!AV79+'[5]TB-7'!AV79+'[5]TB-8'!AV79+'[5]TB-9'!AV79+'[5]TB-10'!AV79+'[6]DSV-1'!AV79+'[6]DSV-2'!AV79+'[6]DSV-3'!AV79+'[7]TUB-1'!AV79+'[7]TUB-2'!AV79+'[8]Barge-1'!AV79+'[8]Barge-2'!AV79+'[8]Barge-3'!AV79+'[8]Barge-4'!AV79</f>
        <v>0</v>
      </c>
      <c r="D81" s="194"/>
      <c r="E81" s="194"/>
      <c r="F81" s="194">
        <f>'[2]AHTS-1'!AW79+'[2]AHTS-2'!AW79+'[2]AHTS-3'!AW79+'[2]AHTS-4'!AW79+'[2]AHTS-5'!AW79+'[2]AHTS-6'!AW79+'[2]AHTS-7'!AW79+'[2]AHTS-8'!AW79+'[3]CB-1'!AW79+'[3]CB-2'!AW79+'[3]CB-3'!AW79+'[3]CB-4'!AW79+'[3]CB-5'!AW79+'[3]CB-6'!AW79+'[3]CB-7'!AW79+'[3]CB-8'!AW79+'[3]CB-9'!AW79+'[3]CB-10'!AW79+'[3]CB-11'!AW79+'[3]CB-12'!AW79+'[3]CB-13'!AW79+'[3]CB-14'!AW79+'[3]CB-15'!AW79+'[3]CB-16'!AW79+'[3]CB-17'!AW79+'[3]CB-18'!AW79+'[3]CB-19'!AW79+'[3]CB-20'!AW79+'[3]CB-21'!AW79+'[3]CB-22'!AW79+'[3]CB-23'!AW79+'[3]CB-24'!AW79+'[4]LCT-1'!AW79+'[4]LCT-2'!AW79+'[4]LCT-3'!AW79+'[4]LCT-4'!AW79+'[4]LCT-5'!AW79+'[4]LCT-6'!AW79+'[4]LCT-7'!AW79+'[4]LCT-8'!AW79+'[5]TB-1'!AW79+'[5]TB-2'!AW79+'[5]TB-3'!AW79+'[5]TB-4'!AW79+'[5]TB-5'!AW79+'[5]TB-6'!AW79+'[5]TB-7'!AW79+'[5]TB-8'!AW79+'[5]TB-9'!AW79+'[5]TB-10'!AW79+'[6]DSV-1'!AW79+'[6]DSV-2'!AW79+'[6]DSV-3'!AW79+'[7]TUB-1'!AW79+'[7]TUB-2'!AW79+'[8]Barge-1'!AW79+'[8]Barge-2'!AW79+'[8]Barge-3'!AW79+'[8]Barge-4'!AW79</f>
        <v>0</v>
      </c>
      <c r="G81" s="194"/>
      <c r="H81" s="194"/>
      <c r="I81" s="194">
        <f>'[2]AHTS-1'!AX79+'[2]AHTS-2'!AX79+'[2]AHTS-3'!AX79+'[2]AHTS-4'!AX79+'[2]AHTS-5'!AX79+'[2]AHTS-6'!AX79+'[2]AHTS-7'!AX79+'[2]AHTS-8'!AX79+'[3]CB-1'!AX79+'[3]CB-2'!AX79+'[3]CB-3'!AX79+'[3]CB-4'!AX79+'[3]CB-5'!AX79+'[3]CB-6'!AX79+'[3]CB-7'!AX79+'[3]CB-8'!AX79+'[3]CB-9'!AX79+'[3]CB-10'!AX79+'[3]CB-11'!AX79+'[3]CB-12'!AX79+'[3]CB-13'!AX79+'[3]CB-14'!AX79+'[3]CB-15'!AX79+'[3]CB-16'!AX79+'[3]CB-17'!AX79+'[3]CB-18'!AX79+'[3]CB-19'!AX79+'[3]CB-20'!AX79+'[3]CB-21'!AX79+'[3]CB-22'!AX79+'[3]CB-23'!AX79+'[3]CB-24'!AX79+'[4]LCT-1'!AX79+'[4]LCT-2'!AX79+'[4]LCT-3'!AX79+'[4]LCT-4'!AX79+'[4]LCT-5'!AX79+'[4]LCT-6'!AX79+'[4]LCT-7'!AX79+'[4]LCT-8'!AX79+'[5]TB-1'!AX79+'[5]TB-2'!AX79+'[5]TB-3'!AX79+'[5]TB-4'!AX79+'[5]TB-5'!AX79+'[5]TB-6'!AX79+'[5]TB-7'!AX79+'[5]TB-8'!AX79+'[5]TB-9'!AX79+'[5]TB-10'!AX79+'[6]DSV-1'!AX79+'[6]DSV-2'!AX79+'[6]DSV-3'!AX79+'[7]TUB-1'!AX79+'[7]TUB-2'!AX79+'[8]Barge-1'!AX79+'[8]Barge-2'!AX79+'[8]Barge-3'!AX79+'[8]Barge-4'!AX79</f>
        <v>0</v>
      </c>
      <c r="J81" s="194"/>
      <c r="K81" s="194"/>
      <c r="L81" s="194">
        <f>'[2]AHTS-1'!AY79+'[2]AHTS-2'!AY79+'[2]AHTS-3'!AY79+'[2]AHTS-4'!AY79+'[2]AHTS-5'!AY79+'[2]AHTS-6'!AY79+'[2]AHTS-7'!AY79+'[2]AHTS-8'!AY79+'[3]CB-1'!AY79+'[3]CB-2'!AY79+'[3]CB-3'!AY79+'[3]CB-4'!AY79+'[3]CB-5'!AY79+'[3]CB-6'!AY79+'[3]CB-7'!AY79+'[3]CB-8'!AY79+'[3]CB-9'!AY79+'[3]CB-10'!AY79+'[3]CB-11'!AY79+'[3]CB-12'!AY79+'[3]CB-13'!AY79+'[3]CB-14'!AY79+'[3]CB-15'!AY79+'[3]CB-16'!AY79+'[3]CB-17'!AY79+'[3]CB-18'!AY79+'[3]CB-19'!AY79+'[3]CB-20'!AY79+'[3]CB-21'!AY79+'[3]CB-22'!AY79+'[3]CB-23'!AY79+'[3]CB-24'!AY79+'[4]LCT-1'!AY79+'[4]LCT-2'!AY79+'[4]LCT-3'!AY79+'[4]LCT-4'!AY79+'[4]LCT-5'!AY79+'[4]LCT-6'!AY79+'[4]LCT-7'!AY79+'[4]LCT-8'!AY79+'[5]TB-1'!AY79+'[5]TB-2'!AY79+'[5]TB-3'!AY79+'[5]TB-4'!AY79+'[5]TB-5'!AY79+'[5]TB-6'!AY79+'[5]TB-7'!AY79+'[5]TB-8'!AY79+'[5]TB-9'!AY79+'[5]TB-10'!AY79+'[6]DSV-1'!AY79+'[6]DSV-2'!AY79+'[6]DSV-3'!AY79+'[7]TUB-1'!AY79+'[7]TUB-2'!AY79+'[8]Barge-1'!AY79+'[8]Barge-2'!AY79+'[8]Barge-3'!AY79+'[8]Barge-4'!AY79</f>
        <v>0</v>
      </c>
      <c r="M81" s="194"/>
      <c r="N81" s="194"/>
      <c r="O81" s="194">
        <f>'[2]AHTS-1'!AZ79+'[2]AHTS-2'!AZ79+'[2]AHTS-3'!AZ79+'[2]AHTS-4'!AZ79+'[2]AHTS-5'!AZ79+'[2]AHTS-6'!AZ79+'[2]AHTS-7'!AZ79+'[2]AHTS-8'!AZ79+'[3]CB-1'!AZ79+'[3]CB-2'!AZ79+'[3]CB-3'!AZ79+'[3]CB-4'!AZ79+'[3]CB-5'!AZ79+'[3]CB-6'!AZ79+'[3]CB-7'!AZ79+'[3]CB-8'!AZ79+'[3]CB-9'!AZ79+'[3]CB-10'!AZ79+'[3]CB-11'!AZ79+'[3]CB-12'!AZ79+'[3]CB-13'!AZ79+'[3]CB-14'!AZ79+'[3]CB-15'!AZ79+'[3]CB-16'!AZ79+'[3]CB-17'!AZ79+'[3]CB-18'!AZ79+'[3]CB-19'!AZ79+'[3]CB-20'!AZ79+'[3]CB-21'!AZ79+'[3]CB-22'!AZ79+'[3]CB-23'!AZ79+'[3]CB-24'!AZ79+'[4]LCT-1'!AZ79+'[4]LCT-2'!AZ79+'[4]LCT-3'!AZ79+'[4]LCT-4'!AZ79+'[4]LCT-5'!AZ79+'[4]LCT-6'!AZ79+'[4]LCT-7'!AZ79+'[4]LCT-8'!AZ79+'[5]TB-1'!AZ79+'[5]TB-2'!AZ79+'[5]TB-3'!AZ79+'[5]TB-4'!AZ79+'[5]TB-5'!AZ79+'[5]TB-6'!AZ79+'[5]TB-7'!AZ79+'[5]TB-8'!AZ79+'[5]TB-9'!AZ79+'[5]TB-10'!AZ79+'[6]DSV-1'!AZ79+'[6]DSV-2'!AZ79+'[6]DSV-3'!AZ79+'[7]TUB-1'!AZ79+'[7]TUB-2'!AZ79+'[8]Barge-1'!AZ79+'[8]Barge-2'!AZ79+'[8]Barge-3'!AZ79+'[8]Barge-4'!AZ79</f>
        <v>0</v>
      </c>
      <c r="P81" s="194"/>
      <c r="Q81" s="194"/>
      <c r="R81" s="194">
        <f>'[2]AHTS-1'!BA79+'[2]AHTS-2'!BA79+'[2]AHTS-3'!BA79+'[2]AHTS-4'!BA79+'[2]AHTS-5'!BA79+'[2]AHTS-6'!BA79+'[2]AHTS-7'!BA79+'[2]AHTS-8'!BA79+'[3]CB-1'!BA79+'[3]CB-2'!BA79+'[3]CB-3'!BA79+'[3]CB-4'!BA79+'[3]CB-5'!BA79+'[3]CB-6'!BA79+'[3]CB-7'!BA79+'[3]CB-8'!BA79+'[3]CB-9'!BA79+'[3]CB-10'!BA79+'[3]CB-11'!BA79+'[3]CB-12'!BA79+'[3]CB-13'!BA79+'[3]CB-14'!BA79+'[3]CB-15'!BA79+'[3]CB-16'!BA79+'[3]CB-17'!BA79+'[3]CB-18'!BA79+'[3]CB-19'!BA79+'[3]CB-20'!BA79+'[3]CB-21'!BA79+'[3]CB-22'!BA79+'[3]CB-23'!BA79+'[3]CB-24'!BA79+'[4]LCT-1'!BA79+'[4]LCT-2'!BA79+'[4]LCT-3'!BA79+'[4]LCT-4'!BA79+'[4]LCT-5'!BA79+'[4]LCT-6'!BA79+'[4]LCT-7'!BA79+'[4]LCT-8'!BA79+'[5]TB-1'!BA79+'[5]TB-2'!BA79+'[5]TB-3'!BA79+'[5]TB-4'!BA79+'[5]TB-5'!BA79+'[5]TB-6'!BA79+'[5]TB-7'!BA79+'[5]TB-8'!BA79+'[5]TB-9'!BA79+'[5]TB-10'!BA79+'[6]DSV-1'!BA79+'[6]DSV-2'!BA79+'[6]DSV-3'!BA79+'[7]TUB-1'!BA79+'[7]TUB-2'!BA79+'[8]Barge-1'!BA79+'[8]Barge-2'!BA79+'[8]Barge-3'!BA79+'[8]Barge-4'!BA79</f>
        <v>0</v>
      </c>
      <c r="S81" s="194"/>
      <c r="T81" s="194"/>
      <c r="U81" s="194">
        <f>'[2]AHTS-1'!BB79+'[2]AHTS-2'!BB79+'[2]AHTS-3'!BB79+'[2]AHTS-4'!BB79+'[2]AHTS-5'!BB79+'[2]AHTS-6'!BB79+'[2]AHTS-7'!BB79+'[2]AHTS-8'!BB79+'[3]CB-1'!BB79+'[3]CB-2'!BB79+'[3]CB-3'!BB79+'[3]CB-4'!BB79+'[3]CB-5'!BB79+'[3]CB-6'!BB79+'[3]CB-7'!BB79+'[3]CB-8'!BB79+'[3]CB-9'!BB79+'[3]CB-10'!BB79+'[3]CB-11'!BB79+'[3]CB-12'!BB79+'[3]CB-13'!BB79+'[3]CB-14'!BB79+'[3]CB-15'!BB79+'[3]CB-16'!BB79+'[3]CB-17'!BB79+'[3]CB-18'!BB79+'[3]CB-19'!BB79+'[3]CB-20'!BB79+'[3]CB-21'!BB79+'[3]CB-22'!BB79+'[3]CB-23'!BB79+'[3]CB-24'!BB79+'[4]LCT-1'!BB79+'[4]LCT-2'!BB79+'[4]LCT-3'!BB79+'[4]LCT-4'!BB79+'[4]LCT-5'!BB79+'[4]LCT-6'!BB79+'[4]LCT-7'!BB79+'[4]LCT-8'!BB79+'[5]TB-1'!BB79+'[5]TB-2'!BB79+'[5]TB-3'!BB79+'[5]TB-4'!BB79+'[5]TB-5'!BB79+'[5]TB-6'!BB79+'[5]TB-7'!BB79+'[5]TB-8'!BB79+'[5]TB-9'!BB79+'[5]TB-10'!BB79+'[6]DSV-1'!BB79+'[6]DSV-2'!BB79+'[6]DSV-3'!BB79+'[7]TUB-1'!BB79+'[7]TUB-2'!BB79+'[8]Barge-1'!BB79+'[8]Barge-2'!BB79+'[8]Barge-3'!BB79+'[8]Barge-4'!BB79</f>
        <v>0</v>
      </c>
      <c r="V81" s="194"/>
      <c r="W81" s="194"/>
      <c r="X81" s="122"/>
      <c r="Y81" s="12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  <c r="BN81" s="82"/>
      <c r="BO81" s="82"/>
      <c r="BP81" s="82"/>
      <c r="BQ81" s="82"/>
      <c r="BR81" s="82"/>
      <c r="BS81" s="82"/>
      <c r="BT81" s="82"/>
      <c r="BU81" s="82"/>
      <c r="BV81" s="82"/>
      <c r="BW81" s="82"/>
      <c r="BX81" s="82"/>
      <c r="BY81" s="82"/>
      <c r="BZ81" s="82"/>
      <c r="CA81" s="82"/>
      <c r="CB81" s="82"/>
      <c r="CC81" s="82"/>
      <c r="CD81" s="82"/>
      <c r="CE81" s="82"/>
      <c r="CF81" s="82"/>
      <c r="CG81" s="82"/>
      <c r="CH81" s="82"/>
      <c r="CI81" s="82"/>
      <c r="CJ81" s="82"/>
      <c r="CK81" s="82"/>
      <c r="CL81" s="82"/>
      <c r="CM81" s="82"/>
      <c r="CN81" s="82"/>
      <c r="CO81" s="82"/>
      <c r="CP81" s="82"/>
      <c r="CQ81" s="82"/>
      <c r="CR81" s="82"/>
      <c r="CS81" s="82"/>
    </row>
    <row r="82" spans="1:97" s="90" customFormat="1" ht="15" customHeight="1" x14ac:dyDescent="0.25">
      <c r="A82" s="117" t="str">
        <f t="shared" si="4"/>
        <v>SUM</v>
      </c>
      <c r="B82" s="120"/>
      <c r="C82" s="194">
        <f>SUM(C51:E81)</f>
        <v>0</v>
      </c>
      <c r="D82" s="194"/>
      <c r="E82" s="194"/>
      <c r="F82" s="194">
        <f>SUM(F51:H81)</f>
        <v>47315.004166666666</v>
      </c>
      <c r="G82" s="194"/>
      <c r="H82" s="194"/>
      <c r="I82" s="194">
        <f>SUM(I51:K81)</f>
        <v>96482.991666666683</v>
      </c>
      <c r="J82" s="194"/>
      <c r="K82" s="194"/>
      <c r="L82" s="194">
        <f>SUM(L51:N81)</f>
        <v>109659.2611111111</v>
      </c>
      <c r="M82" s="194"/>
      <c r="N82" s="194"/>
      <c r="O82" s="194">
        <f>SUM(O51:Q81)</f>
        <v>1271.9444444444448</v>
      </c>
      <c r="P82" s="194"/>
      <c r="Q82" s="194"/>
      <c r="R82" s="194">
        <f>SUM(R51:T81)</f>
        <v>138478.33333333334</v>
      </c>
      <c r="S82" s="194"/>
      <c r="T82" s="194"/>
      <c r="U82" s="194">
        <f>SUM(U51:W81)</f>
        <v>0</v>
      </c>
      <c r="V82" s="194"/>
      <c r="W82" s="194"/>
      <c r="X82" s="122"/>
      <c r="Y82" s="12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  <c r="BN82" s="82"/>
      <c r="BO82" s="82"/>
      <c r="BP82" s="82"/>
      <c r="BQ82" s="82"/>
      <c r="BR82" s="82"/>
      <c r="BS82" s="82"/>
      <c r="BT82" s="82"/>
      <c r="BU82" s="82"/>
      <c r="BV82" s="82"/>
      <c r="BW82" s="82"/>
      <c r="BX82" s="82"/>
      <c r="BY82" s="82"/>
      <c r="BZ82" s="82"/>
      <c r="CA82" s="82"/>
      <c r="CB82" s="82"/>
      <c r="CC82" s="82"/>
      <c r="CD82" s="82"/>
      <c r="CE82" s="82"/>
      <c r="CF82" s="82"/>
      <c r="CG82" s="82"/>
      <c r="CH82" s="82"/>
      <c r="CI82" s="82"/>
      <c r="CJ82" s="82"/>
      <c r="CK82" s="82"/>
      <c r="CL82" s="82"/>
      <c r="CM82" s="82"/>
      <c r="CN82" s="82"/>
      <c r="CO82" s="82"/>
      <c r="CP82" s="82"/>
      <c r="CQ82" s="82"/>
      <c r="CR82" s="82"/>
      <c r="CS82" s="82"/>
    </row>
    <row r="83" spans="1:97" s="90" customFormat="1" ht="17.850000000000001" customHeight="1" x14ac:dyDescent="0.25">
      <c r="A83" s="121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  <c r="BN83" s="82"/>
      <c r="BO83" s="82"/>
      <c r="BP83" s="82"/>
      <c r="BQ83" s="82"/>
      <c r="BR83" s="82"/>
      <c r="BS83" s="82"/>
      <c r="BT83" s="82"/>
      <c r="BU83" s="82"/>
      <c r="BV83" s="82"/>
      <c r="BW83" s="82"/>
      <c r="BX83" s="82"/>
      <c r="BY83" s="82"/>
      <c r="BZ83" s="82"/>
      <c r="CA83" s="82"/>
      <c r="CB83" s="82"/>
      <c r="CC83" s="82"/>
      <c r="CD83" s="82"/>
      <c r="CE83" s="82"/>
      <c r="CF83" s="82"/>
      <c r="CG83" s="82"/>
      <c r="CH83" s="82"/>
      <c r="CI83" s="82"/>
      <c r="CJ83" s="82"/>
      <c r="CK83" s="82"/>
      <c r="CL83" s="82"/>
      <c r="CM83" s="82"/>
      <c r="CN83" s="82"/>
      <c r="CO83" s="82"/>
      <c r="CP83" s="82"/>
      <c r="CQ83" s="82"/>
      <c r="CR83" s="82"/>
      <c r="CS83" s="82"/>
    </row>
    <row r="84" spans="1:97" s="90" customFormat="1" ht="17.850000000000001" customHeight="1" x14ac:dyDescent="0.25">
      <c r="A84" s="121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  <c r="BN84" s="82"/>
      <c r="BO84" s="82"/>
      <c r="BP84" s="82"/>
      <c r="BQ84" s="82"/>
      <c r="BR84" s="82"/>
      <c r="BS84" s="82"/>
      <c r="BT84" s="82"/>
      <c r="BU84" s="82"/>
      <c r="BV84" s="82"/>
      <c r="BW84" s="82"/>
      <c r="BX84" s="82"/>
      <c r="BY84" s="82"/>
      <c r="BZ84" s="82"/>
      <c r="CA84" s="82"/>
      <c r="CB84" s="82"/>
      <c r="CC84" s="82"/>
      <c r="CD84" s="82"/>
      <c r="CE84" s="82"/>
      <c r="CF84" s="82"/>
      <c r="CG84" s="82"/>
      <c r="CH84" s="82"/>
      <c r="CI84" s="82"/>
      <c r="CJ84" s="82"/>
      <c r="CK84" s="82"/>
      <c r="CL84" s="82"/>
      <c r="CM84" s="82"/>
      <c r="CN84" s="82"/>
      <c r="CO84" s="82"/>
      <c r="CP84" s="82"/>
      <c r="CQ84" s="82"/>
      <c r="CR84" s="82"/>
      <c r="CS84" s="82"/>
    </row>
    <row r="85" spans="1:97" s="90" customFormat="1" ht="17.850000000000001" customHeight="1" x14ac:dyDescent="0.25">
      <c r="A85" s="121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2"/>
      <c r="BT85" s="82"/>
      <c r="BU85" s="82"/>
      <c r="BV85" s="82"/>
      <c r="BW85" s="82"/>
      <c r="BX85" s="82"/>
      <c r="BY85" s="82"/>
      <c r="BZ85" s="82"/>
      <c r="CA85" s="82"/>
      <c r="CB85" s="82"/>
      <c r="CC85" s="82"/>
      <c r="CD85" s="82"/>
      <c r="CE85" s="82"/>
      <c r="CF85" s="82"/>
      <c r="CG85" s="82"/>
      <c r="CH85" s="82"/>
      <c r="CI85" s="82"/>
      <c r="CJ85" s="82"/>
      <c r="CK85" s="82"/>
      <c r="CL85" s="82"/>
      <c r="CM85" s="82"/>
      <c r="CN85" s="82"/>
      <c r="CO85" s="82"/>
      <c r="CP85" s="82"/>
      <c r="CQ85" s="82"/>
      <c r="CR85" s="82"/>
      <c r="CS85" s="82"/>
    </row>
    <row r="86" spans="1:97" s="90" customFormat="1" ht="17.850000000000001" customHeight="1" x14ac:dyDescent="0.25">
      <c r="A86" s="121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  <c r="BN86" s="82"/>
      <c r="BO86" s="82"/>
      <c r="BP86" s="82"/>
      <c r="BQ86" s="82"/>
      <c r="BR86" s="82"/>
      <c r="BS86" s="82"/>
      <c r="BT86" s="82"/>
      <c r="BU86" s="82"/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/>
      <c r="CP86" s="82"/>
      <c r="CQ86" s="82"/>
      <c r="CR86" s="82"/>
      <c r="CS86" s="82"/>
    </row>
    <row r="87" spans="1:97" s="90" customFormat="1" ht="17.850000000000001" customHeight="1" x14ac:dyDescent="0.25">
      <c r="A87" s="121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  <c r="BN87" s="82"/>
      <c r="BO87" s="82"/>
      <c r="BP87" s="82"/>
      <c r="BQ87" s="82"/>
      <c r="BR87" s="82"/>
      <c r="BS87" s="82"/>
      <c r="BT87" s="82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</row>
    <row r="88" spans="1:97" s="90" customFormat="1" ht="17.850000000000001" customHeight="1" x14ac:dyDescent="0.25">
      <c r="A88" s="121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82"/>
      <c r="BU88" s="82"/>
      <c r="BV88" s="82"/>
      <c r="BW88" s="82"/>
      <c r="BX88" s="82"/>
      <c r="BY88" s="82"/>
      <c r="BZ88" s="82"/>
      <c r="CA88" s="82"/>
      <c r="CB88" s="82"/>
      <c r="CC88" s="82"/>
      <c r="CD88" s="82"/>
      <c r="CE88" s="82"/>
      <c r="CF88" s="82"/>
      <c r="CG88" s="82"/>
      <c r="CH88" s="82"/>
      <c r="CI88" s="82"/>
      <c r="CJ88" s="82"/>
      <c r="CK88" s="82"/>
      <c r="CL88" s="82"/>
      <c r="CM88" s="82"/>
      <c r="CN88" s="82"/>
      <c r="CO88" s="82"/>
      <c r="CP88" s="82"/>
      <c r="CQ88" s="82"/>
      <c r="CR88" s="82"/>
      <c r="CS88" s="82"/>
    </row>
    <row r="89" spans="1:97" s="90" customFormat="1" ht="17.850000000000001" customHeight="1" x14ac:dyDescent="0.25">
      <c r="A89" s="121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  <c r="BN89" s="82"/>
      <c r="BO89" s="82"/>
      <c r="BP89" s="82"/>
      <c r="BQ89" s="82"/>
      <c r="BR89" s="82"/>
      <c r="BS89" s="82"/>
      <c r="BT89" s="82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</row>
    <row r="90" spans="1:97" s="90" customFormat="1" ht="17.850000000000001" customHeight="1" x14ac:dyDescent="0.25">
      <c r="A90" s="121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</row>
    <row r="91" spans="1:97" s="90" customFormat="1" ht="17.850000000000001" customHeight="1" x14ac:dyDescent="0.25">
      <c r="A91" s="121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</row>
    <row r="92" spans="1:97" s="90" customFormat="1" ht="17.850000000000001" customHeight="1" x14ac:dyDescent="0.25">
      <c r="A92" s="121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</row>
    <row r="93" spans="1:97" s="90" customFormat="1" ht="17.850000000000001" customHeight="1" x14ac:dyDescent="0.25">
      <c r="A93" s="121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</row>
    <row r="94" spans="1:97" s="90" customFormat="1" ht="17.850000000000001" customHeight="1" x14ac:dyDescent="0.25">
      <c r="A94" s="121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</row>
    <row r="95" spans="1:97" s="90" customFormat="1" ht="17.850000000000001" customHeight="1" x14ac:dyDescent="0.25">
      <c r="A95" s="121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</row>
    <row r="96" spans="1:97" s="90" customFormat="1" ht="17.850000000000001" customHeight="1" x14ac:dyDescent="0.25">
      <c r="A96" s="121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</row>
    <row r="97" spans="1:97" s="90" customFormat="1" ht="17.850000000000001" customHeight="1" x14ac:dyDescent="0.25">
      <c r="A97" s="121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</row>
    <row r="98" spans="1:97" s="90" customFormat="1" ht="17.850000000000001" customHeight="1" x14ac:dyDescent="0.25">
      <c r="A98" s="121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</row>
    <row r="99" spans="1:97" s="90" customFormat="1" ht="17.850000000000001" customHeight="1" x14ac:dyDescent="0.25">
      <c r="A99" s="121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</row>
    <row r="100" spans="1:97" s="90" customFormat="1" ht="17.850000000000001" customHeight="1" x14ac:dyDescent="0.25">
      <c r="A100" s="121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  <c r="BN100" s="82"/>
      <c r="BO100" s="82"/>
      <c r="BP100" s="82"/>
      <c r="BQ100" s="82"/>
      <c r="BR100" s="82"/>
      <c r="BS100" s="82"/>
      <c r="BT100" s="82"/>
      <c r="BU100" s="82"/>
      <c r="BV100" s="82"/>
      <c r="BW100" s="82"/>
      <c r="BX100" s="82"/>
      <c r="BY100" s="82"/>
      <c r="BZ100" s="82"/>
      <c r="CA100" s="82"/>
      <c r="CB100" s="82"/>
      <c r="CC100" s="82"/>
      <c r="CD100" s="82"/>
      <c r="CE100" s="82"/>
      <c r="CF100" s="82"/>
      <c r="CG100" s="82"/>
      <c r="CH100" s="82"/>
      <c r="CI100" s="82"/>
      <c r="CJ100" s="82"/>
      <c r="CK100" s="82"/>
      <c r="CL100" s="82"/>
      <c r="CM100" s="82"/>
      <c r="CN100" s="82"/>
      <c r="CO100" s="82"/>
      <c r="CP100" s="82"/>
      <c r="CQ100" s="82"/>
      <c r="CR100" s="82"/>
      <c r="CS100" s="82"/>
    </row>
    <row r="101" spans="1:97" s="90" customFormat="1" ht="17.850000000000001" customHeight="1" x14ac:dyDescent="0.25">
      <c r="A101" s="121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  <c r="BN101" s="82"/>
      <c r="BO101" s="82"/>
      <c r="BP101" s="82"/>
      <c r="BQ101" s="82"/>
      <c r="BR101" s="82"/>
      <c r="BS101" s="82"/>
      <c r="BT101" s="82"/>
      <c r="BU101" s="82"/>
      <c r="BV101" s="82"/>
      <c r="BW101" s="82"/>
      <c r="BX101" s="82"/>
      <c r="BY101" s="82"/>
      <c r="BZ101" s="82"/>
      <c r="CA101" s="82"/>
      <c r="CB101" s="82"/>
      <c r="CC101" s="82"/>
      <c r="CD101" s="82"/>
      <c r="CE101" s="82"/>
      <c r="CF101" s="82"/>
      <c r="CG101" s="82"/>
      <c r="CH101" s="82"/>
      <c r="CI101" s="82"/>
      <c r="CJ101" s="82"/>
      <c r="CK101" s="82"/>
      <c r="CL101" s="82"/>
      <c r="CM101" s="82"/>
      <c r="CN101" s="82"/>
      <c r="CO101" s="82"/>
      <c r="CP101" s="82"/>
      <c r="CQ101" s="82"/>
      <c r="CR101" s="82"/>
      <c r="CS101" s="82"/>
    </row>
    <row r="102" spans="1:97" s="90" customFormat="1" ht="17.850000000000001" customHeight="1" x14ac:dyDescent="0.25">
      <c r="A102" s="121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  <c r="BN102" s="82"/>
      <c r="BO102" s="82"/>
      <c r="BP102" s="82"/>
      <c r="BQ102" s="82"/>
      <c r="BR102" s="82"/>
      <c r="BS102" s="82"/>
      <c r="BT102" s="82"/>
      <c r="BU102" s="82"/>
      <c r="BV102" s="82"/>
      <c r="BW102" s="82"/>
      <c r="BX102" s="82"/>
      <c r="BY102" s="82"/>
      <c r="BZ102" s="82"/>
      <c r="CA102" s="82"/>
      <c r="CB102" s="82"/>
      <c r="CC102" s="82"/>
      <c r="CD102" s="82"/>
      <c r="CE102" s="82"/>
      <c r="CF102" s="82"/>
      <c r="CG102" s="82"/>
      <c r="CH102" s="82"/>
      <c r="CI102" s="82"/>
      <c r="CJ102" s="82"/>
      <c r="CK102" s="82"/>
      <c r="CL102" s="82"/>
      <c r="CM102" s="82"/>
      <c r="CN102" s="82"/>
      <c r="CO102" s="82"/>
      <c r="CP102" s="82"/>
      <c r="CQ102" s="82"/>
      <c r="CR102" s="82"/>
      <c r="CS102" s="82"/>
    </row>
    <row r="103" spans="1:97" s="90" customFormat="1" ht="17.850000000000001" customHeight="1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  <c r="BN103" s="82"/>
      <c r="BO103" s="82"/>
      <c r="BP103" s="82"/>
      <c r="BQ103" s="82"/>
      <c r="BR103" s="82"/>
      <c r="BS103" s="82"/>
      <c r="BT103" s="82"/>
      <c r="BU103" s="82"/>
      <c r="BV103" s="82"/>
      <c r="BW103" s="82"/>
      <c r="BX103" s="82"/>
      <c r="BY103" s="82"/>
      <c r="BZ103" s="82"/>
      <c r="CA103" s="82"/>
      <c r="CB103" s="82"/>
      <c r="CC103" s="82"/>
      <c r="CD103" s="82"/>
      <c r="CE103" s="82"/>
      <c r="CF103" s="82"/>
      <c r="CG103" s="82"/>
      <c r="CH103" s="82"/>
      <c r="CI103" s="82"/>
      <c r="CJ103" s="82"/>
      <c r="CK103" s="82"/>
      <c r="CL103" s="82"/>
      <c r="CM103" s="82"/>
      <c r="CN103" s="82"/>
      <c r="CO103" s="82"/>
      <c r="CP103" s="82"/>
      <c r="CQ103" s="82"/>
      <c r="CR103" s="82"/>
      <c r="CS103" s="82"/>
    </row>
    <row r="104" spans="1:97" s="90" customFormat="1" ht="17.850000000000001" customHeight="1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2"/>
      <c r="CE104" s="82"/>
      <c r="CF104" s="82"/>
      <c r="CG104" s="82"/>
      <c r="CH104" s="82"/>
      <c r="CI104" s="82"/>
      <c r="CJ104" s="82"/>
      <c r="CK104" s="82"/>
      <c r="CL104" s="82"/>
      <c r="CM104" s="82"/>
      <c r="CN104" s="82"/>
      <c r="CO104" s="82"/>
      <c r="CP104" s="82"/>
      <c r="CQ104" s="82"/>
      <c r="CR104" s="82"/>
      <c r="CS104" s="82"/>
    </row>
    <row r="105" spans="1:97" s="90" customFormat="1" ht="17.850000000000001" customHeight="1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  <c r="BN105" s="82"/>
      <c r="BO105" s="82"/>
      <c r="BP105" s="82"/>
      <c r="BQ105" s="82"/>
      <c r="BR105" s="82"/>
      <c r="BS105" s="82"/>
      <c r="BT105" s="82"/>
      <c r="BU105" s="82"/>
      <c r="BV105" s="82"/>
      <c r="BW105" s="82"/>
      <c r="BX105" s="82"/>
      <c r="BY105" s="82"/>
      <c r="BZ105" s="82"/>
      <c r="CA105" s="82"/>
      <c r="CB105" s="82"/>
      <c r="CC105" s="82"/>
      <c r="CD105" s="82"/>
      <c r="CE105" s="82"/>
      <c r="CF105" s="82"/>
      <c r="CG105" s="82"/>
      <c r="CH105" s="82"/>
      <c r="CI105" s="82"/>
      <c r="CJ105" s="82"/>
      <c r="CK105" s="82"/>
      <c r="CL105" s="82"/>
      <c r="CM105" s="82"/>
      <c r="CN105" s="82"/>
      <c r="CO105" s="82"/>
      <c r="CP105" s="82"/>
      <c r="CQ105" s="82"/>
      <c r="CR105" s="82"/>
      <c r="CS105" s="82"/>
    </row>
    <row r="106" spans="1:97" s="90" customFormat="1" ht="17.850000000000001" customHeight="1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  <c r="BN106" s="82"/>
      <c r="BO106" s="82"/>
      <c r="BP106" s="82"/>
      <c r="BQ106" s="82"/>
      <c r="BR106" s="82"/>
      <c r="BS106" s="82"/>
      <c r="BT106" s="82"/>
      <c r="BU106" s="82"/>
      <c r="BV106" s="82"/>
      <c r="BW106" s="82"/>
      <c r="BX106" s="82"/>
      <c r="BY106" s="82"/>
      <c r="BZ106" s="82"/>
      <c r="CA106" s="82"/>
      <c r="CB106" s="82"/>
      <c r="CC106" s="82"/>
      <c r="CD106" s="82"/>
      <c r="CE106" s="82"/>
      <c r="CF106" s="82"/>
      <c r="CG106" s="82"/>
      <c r="CH106" s="82"/>
      <c r="CI106" s="82"/>
      <c r="CJ106" s="82"/>
      <c r="CK106" s="82"/>
      <c r="CL106" s="82"/>
      <c r="CM106" s="82"/>
      <c r="CN106" s="82"/>
      <c r="CO106" s="82"/>
      <c r="CP106" s="82"/>
      <c r="CQ106" s="82"/>
      <c r="CR106" s="82"/>
      <c r="CS106" s="82"/>
    </row>
    <row r="107" spans="1:97" s="90" customFormat="1" ht="17.850000000000001" customHeight="1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  <c r="BN107" s="82"/>
      <c r="BO107" s="82"/>
      <c r="BP107" s="82"/>
      <c r="BQ107" s="82"/>
      <c r="BR107" s="82"/>
      <c r="BS107" s="82"/>
      <c r="BT107" s="82"/>
      <c r="BU107" s="82"/>
      <c r="BV107" s="82"/>
      <c r="BW107" s="82"/>
      <c r="BX107" s="82"/>
      <c r="BY107" s="82"/>
      <c r="BZ107" s="82"/>
      <c r="CA107" s="82"/>
      <c r="CB107" s="82"/>
      <c r="CC107" s="82"/>
      <c r="CD107" s="82"/>
      <c r="CE107" s="82"/>
      <c r="CF107" s="82"/>
      <c r="CG107" s="82"/>
      <c r="CH107" s="82"/>
      <c r="CI107" s="82"/>
      <c r="CJ107" s="82"/>
      <c r="CK107" s="82"/>
      <c r="CL107" s="82"/>
      <c r="CM107" s="82"/>
      <c r="CN107" s="82"/>
      <c r="CO107" s="82"/>
      <c r="CP107" s="82"/>
      <c r="CQ107" s="82"/>
      <c r="CR107" s="82"/>
      <c r="CS107" s="82"/>
    </row>
    <row r="108" spans="1:97" s="91" customFormat="1" x14ac:dyDescent="0.25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</row>
    <row r="109" spans="1:97" s="91" customFormat="1" x14ac:dyDescent="0.25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  <c r="CA109" s="92"/>
      <c r="CB109" s="92"/>
      <c r="CC109" s="92"/>
      <c r="CD109" s="92"/>
      <c r="CE109" s="92"/>
      <c r="CF109" s="92"/>
      <c r="CG109" s="92"/>
      <c r="CH109" s="92"/>
      <c r="CI109" s="92"/>
      <c r="CJ109" s="92"/>
      <c r="CK109" s="92"/>
      <c r="CL109" s="92"/>
      <c r="CM109" s="92"/>
      <c r="CN109" s="92"/>
      <c r="CO109" s="92"/>
      <c r="CP109" s="92"/>
      <c r="CQ109" s="92"/>
      <c r="CR109" s="92"/>
      <c r="CS109" s="92"/>
    </row>
    <row r="110" spans="1:97" s="91" customFormat="1" x14ac:dyDescent="0.25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</row>
    <row r="111" spans="1:97" x14ac:dyDescent="0.25">
      <c r="A111" s="124"/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</row>
    <row r="112" spans="1:97" x14ac:dyDescent="0.25">
      <c r="A112" s="124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</row>
    <row r="113" spans="1:25" x14ac:dyDescent="0.25">
      <c r="A113" s="124"/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</row>
    <row r="114" spans="1:25" x14ac:dyDescent="0.25">
      <c r="A114" s="124"/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</row>
  </sheetData>
  <sheetProtection algorithmName="SHA-512" hashValue="A9SO1NU5KBoH0iigIwn4BOvw8hnb6byx/K776cC1mWjWK2FxWEz1aLzW1SfdRBVcmpaYH59rZnEuaRB2nhzqvg==" saltValue="4habSd14Z7ZFhx/KSETkjw==" spinCount="100000" sheet="1" objects="1" scenarios="1"/>
  <mergeCells count="245">
    <mergeCell ref="AU9:AW9"/>
    <mergeCell ref="AC9:AE9"/>
    <mergeCell ref="AF9:AH9"/>
    <mergeCell ref="AI9:AK9"/>
    <mergeCell ref="AL9:AN9"/>
    <mergeCell ref="AO9:AQ9"/>
    <mergeCell ref="AR9:AT9"/>
    <mergeCell ref="C81:E81"/>
    <mergeCell ref="F81:H81"/>
    <mergeCell ref="I81:K81"/>
    <mergeCell ref="L81:N81"/>
    <mergeCell ref="O81:Q81"/>
    <mergeCell ref="U81:W81"/>
    <mergeCell ref="R81:T81"/>
    <mergeCell ref="C77:E77"/>
    <mergeCell ref="F77:H77"/>
    <mergeCell ref="I77:K77"/>
    <mergeCell ref="L77:N77"/>
    <mergeCell ref="O77:Q77"/>
    <mergeCell ref="U77:W77"/>
    <mergeCell ref="R77:T77"/>
    <mergeCell ref="C78:E78"/>
    <mergeCell ref="F78:H78"/>
    <mergeCell ref="I78:K78"/>
    <mergeCell ref="C82:E82"/>
    <mergeCell ref="F82:H82"/>
    <mergeCell ref="I82:K82"/>
    <mergeCell ref="L82:N82"/>
    <mergeCell ref="O82:Q82"/>
    <mergeCell ref="U82:W82"/>
    <mergeCell ref="R82:T82"/>
    <mergeCell ref="C79:E79"/>
    <mergeCell ref="F79:H79"/>
    <mergeCell ref="I79:K79"/>
    <mergeCell ref="L79:N79"/>
    <mergeCell ref="O79:Q79"/>
    <mergeCell ref="U79:W79"/>
    <mergeCell ref="R79:T79"/>
    <mergeCell ref="C80:E80"/>
    <mergeCell ref="F80:H80"/>
    <mergeCell ref="I80:K80"/>
    <mergeCell ref="L80:N80"/>
    <mergeCell ref="O80:Q80"/>
    <mergeCell ref="U80:W80"/>
    <mergeCell ref="R80:T80"/>
    <mergeCell ref="L78:N78"/>
    <mergeCell ref="O78:Q78"/>
    <mergeCell ref="U78:W78"/>
    <mergeCell ref="R78:T78"/>
    <mergeCell ref="C75:E75"/>
    <mergeCell ref="F75:H75"/>
    <mergeCell ref="I75:K75"/>
    <mergeCell ref="L75:N75"/>
    <mergeCell ref="O75:Q75"/>
    <mergeCell ref="U75:W75"/>
    <mergeCell ref="R75:T75"/>
    <mergeCell ref="C76:E76"/>
    <mergeCell ref="F76:H76"/>
    <mergeCell ref="I76:K76"/>
    <mergeCell ref="L76:N76"/>
    <mergeCell ref="O76:Q76"/>
    <mergeCell ref="U76:W76"/>
    <mergeCell ref="R76:T76"/>
    <mergeCell ref="C73:E73"/>
    <mergeCell ref="F73:H73"/>
    <mergeCell ref="I73:K73"/>
    <mergeCell ref="L73:N73"/>
    <mergeCell ref="O73:Q73"/>
    <mergeCell ref="U73:W73"/>
    <mergeCell ref="R73:T73"/>
    <mergeCell ref="C74:E74"/>
    <mergeCell ref="F74:H74"/>
    <mergeCell ref="I74:K74"/>
    <mergeCell ref="L74:N74"/>
    <mergeCell ref="O74:Q74"/>
    <mergeCell ref="U74:W74"/>
    <mergeCell ref="R74:T74"/>
    <mergeCell ref="C71:E71"/>
    <mergeCell ref="F71:H71"/>
    <mergeCell ref="I71:K71"/>
    <mergeCell ref="L71:N71"/>
    <mergeCell ref="O71:Q71"/>
    <mergeCell ref="U71:W71"/>
    <mergeCell ref="R71:T71"/>
    <mergeCell ref="C72:E72"/>
    <mergeCell ref="F72:H72"/>
    <mergeCell ref="I72:K72"/>
    <mergeCell ref="L72:N72"/>
    <mergeCell ref="O72:Q72"/>
    <mergeCell ref="U72:W72"/>
    <mergeCell ref="R72:T72"/>
    <mergeCell ref="C69:E69"/>
    <mergeCell ref="F69:H69"/>
    <mergeCell ref="I69:K69"/>
    <mergeCell ref="L69:N69"/>
    <mergeCell ref="O69:Q69"/>
    <mergeCell ref="U69:W69"/>
    <mergeCell ref="R69:T69"/>
    <mergeCell ref="C70:E70"/>
    <mergeCell ref="F70:H70"/>
    <mergeCell ref="I70:K70"/>
    <mergeCell ref="L70:N70"/>
    <mergeCell ref="O70:Q70"/>
    <mergeCell ref="U70:W70"/>
    <mergeCell ref="R70:T70"/>
    <mergeCell ref="C67:E67"/>
    <mergeCell ref="F67:H67"/>
    <mergeCell ref="I67:K67"/>
    <mergeCell ref="L67:N67"/>
    <mergeCell ref="O67:Q67"/>
    <mergeCell ref="U67:W67"/>
    <mergeCell ref="R67:T67"/>
    <mergeCell ref="C68:E68"/>
    <mergeCell ref="F68:H68"/>
    <mergeCell ref="I68:K68"/>
    <mergeCell ref="L68:N68"/>
    <mergeCell ref="O68:Q68"/>
    <mergeCell ref="U68:W68"/>
    <mergeCell ref="R68:T68"/>
    <mergeCell ref="C65:E65"/>
    <mergeCell ref="F65:H65"/>
    <mergeCell ref="I65:K65"/>
    <mergeCell ref="L65:N65"/>
    <mergeCell ref="O65:Q65"/>
    <mergeCell ref="U65:W65"/>
    <mergeCell ref="R65:T65"/>
    <mergeCell ref="C66:E66"/>
    <mergeCell ref="F66:H66"/>
    <mergeCell ref="I66:K66"/>
    <mergeCell ref="L66:N66"/>
    <mergeCell ref="O66:Q66"/>
    <mergeCell ref="U66:W66"/>
    <mergeCell ref="R66:T66"/>
    <mergeCell ref="C63:E63"/>
    <mergeCell ref="F63:H63"/>
    <mergeCell ref="I63:K63"/>
    <mergeCell ref="L63:N63"/>
    <mergeCell ref="O63:Q63"/>
    <mergeCell ref="U63:W63"/>
    <mergeCell ref="R63:T63"/>
    <mergeCell ref="C64:E64"/>
    <mergeCell ref="F64:H64"/>
    <mergeCell ref="I64:K64"/>
    <mergeCell ref="L64:N64"/>
    <mergeCell ref="O64:Q64"/>
    <mergeCell ref="U64:W64"/>
    <mergeCell ref="R64:T64"/>
    <mergeCell ref="C61:E61"/>
    <mergeCell ref="F61:H61"/>
    <mergeCell ref="I61:K61"/>
    <mergeCell ref="L61:N61"/>
    <mergeCell ref="O61:Q61"/>
    <mergeCell ref="U61:W61"/>
    <mergeCell ref="R61:T61"/>
    <mergeCell ref="C62:E62"/>
    <mergeCell ref="F62:H62"/>
    <mergeCell ref="I62:K62"/>
    <mergeCell ref="L62:N62"/>
    <mergeCell ref="O62:Q62"/>
    <mergeCell ref="U62:W62"/>
    <mergeCell ref="R62:T62"/>
    <mergeCell ref="C59:E59"/>
    <mergeCell ref="F59:H59"/>
    <mergeCell ref="I59:K59"/>
    <mergeCell ref="L59:N59"/>
    <mergeCell ref="O59:Q59"/>
    <mergeCell ref="U59:W59"/>
    <mergeCell ref="R59:T59"/>
    <mergeCell ref="C60:E60"/>
    <mergeCell ref="F60:H60"/>
    <mergeCell ref="I60:K60"/>
    <mergeCell ref="L60:N60"/>
    <mergeCell ref="O60:Q60"/>
    <mergeCell ref="U60:W60"/>
    <mergeCell ref="R60:T60"/>
    <mergeCell ref="C57:E57"/>
    <mergeCell ref="F57:H57"/>
    <mergeCell ref="I57:K57"/>
    <mergeCell ref="L57:N57"/>
    <mergeCell ref="O57:Q57"/>
    <mergeCell ref="U57:W57"/>
    <mergeCell ref="R57:T57"/>
    <mergeCell ref="C58:E58"/>
    <mergeCell ref="F58:H58"/>
    <mergeCell ref="I58:K58"/>
    <mergeCell ref="L58:N58"/>
    <mergeCell ref="O58:Q58"/>
    <mergeCell ref="U58:W58"/>
    <mergeCell ref="R58:T58"/>
    <mergeCell ref="C55:E55"/>
    <mergeCell ref="F55:H55"/>
    <mergeCell ref="I55:K55"/>
    <mergeCell ref="L55:N55"/>
    <mergeCell ref="O55:Q55"/>
    <mergeCell ref="U55:W55"/>
    <mergeCell ref="R55:T55"/>
    <mergeCell ref="C56:E56"/>
    <mergeCell ref="F56:H56"/>
    <mergeCell ref="I56:K56"/>
    <mergeCell ref="L56:N56"/>
    <mergeCell ref="O56:Q56"/>
    <mergeCell ref="U56:W56"/>
    <mergeCell ref="R56:T56"/>
    <mergeCell ref="C53:E53"/>
    <mergeCell ref="F53:H53"/>
    <mergeCell ref="I53:K53"/>
    <mergeCell ref="L53:N53"/>
    <mergeCell ref="O53:Q53"/>
    <mergeCell ref="U53:W53"/>
    <mergeCell ref="R53:T53"/>
    <mergeCell ref="C54:E54"/>
    <mergeCell ref="F54:H54"/>
    <mergeCell ref="I54:K54"/>
    <mergeCell ref="L54:N54"/>
    <mergeCell ref="O54:Q54"/>
    <mergeCell ref="U54:W54"/>
    <mergeCell ref="R54:T54"/>
    <mergeCell ref="C51:E51"/>
    <mergeCell ref="F51:H51"/>
    <mergeCell ref="I51:K51"/>
    <mergeCell ref="L51:N51"/>
    <mergeCell ref="O51:Q51"/>
    <mergeCell ref="U51:W51"/>
    <mergeCell ref="R51:T51"/>
    <mergeCell ref="C52:E52"/>
    <mergeCell ref="F52:H52"/>
    <mergeCell ref="I52:K52"/>
    <mergeCell ref="L52:N52"/>
    <mergeCell ref="O52:Q52"/>
    <mergeCell ref="U52:W52"/>
    <mergeCell ref="R52:T52"/>
    <mergeCell ref="C9:E9"/>
    <mergeCell ref="F9:H9"/>
    <mergeCell ref="I9:K9"/>
    <mergeCell ref="L9:N9"/>
    <mergeCell ref="O9:Q9"/>
    <mergeCell ref="U9:W9"/>
    <mergeCell ref="R9:T9"/>
    <mergeCell ref="O50:Q50"/>
    <mergeCell ref="L50:N50"/>
    <mergeCell ref="I50:K50"/>
    <mergeCell ref="F50:H50"/>
    <mergeCell ref="C50:E50"/>
    <mergeCell ref="U50:W50"/>
    <mergeCell ref="R50:T50"/>
  </mergeCells>
  <conditionalFormatting sqref="U11:W41 C11:Q41">
    <cfRule type="cellIs" dxfId="7" priority="8" stopIfTrue="1" operator="lessThanOrEqual">
      <formula>0</formula>
    </cfRule>
  </conditionalFormatting>
  <conditionalFormatting sqref="C43:Q43 U43:W43">
    <cfRule type="cellIs" dxfId="6" priority="7" stopIfTrue="1" operator="equal">
      <formula>#DIV/0!</formula>
    </cfRule>
  </conditionalFormatting>
  <conditionalFormatting sqref="R11:T41">
    <cfRule type="cellIs" dxfId="5" priority="6" stopIfTrue="1" operator="lessThanOrEqual">
      <formula>0</formula>
    </cfRule>
  </conditionalFormatting>
  <conditionalFormatting sqref="R43:T43">
    <cfRule type="cellIs" dxfId="4" priority="5" stopIfTrue="1" operator="equal">
      <formula>#DIV/0!</formula>
    </cfRule>
  </conditionalFormatting>
  <conditionalFormatting sqref="AC11:AQ41 AU11:AW41">
    <cfRule type="cellIs" dxfId="3" priority="4" stopIfTrue="1" operator="lessThanOrEqual">
      <formula>0</formula>
    </cfRule>
  </conditionalFormatting>
  <conditionalFormatting sqref="AC43:AQ43 AU43:AW43">
    <cfRule type="cellIs" dxfId="2" priority="3" stopIfTrue="1" operator="equal">
      <formula>#DIV/0!</formula>
    </cfRule>
  </conditionalFormatting>
  <conditionalFormatting sqref="AR11:AT41">
    <cfRule type="cellIs" dxfId="1" priority="2" stopIfTrue="1" operator="lessThanOrEqual">
      <formula>0</formula>
    </cfRule>
  </conditionalFormatting>
  <conditionalFormatting sqref="AR43:AT43">
    <cfRule type="cellIs" dxfId="0" priority="1" stopIfTrue="1" operator="equal">
      <formula>#DIV/0!</formula>
    </cfRule>
  </conditionalFormatting>
  <printOptions horizontalCentered="1"/>
  <pageMargins left="0.4" right="0.3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Ops</vt:lpstr>
      <vt:lpstr>Distribute</vt:lpstr>
      <vt:lpstr>Distribute!Print_Area</vt:lpstr>
      <vt:lpstr>Ops!Print_Area</vt:lpstr>
      <vt:lpstr>Distribute!Print_Titles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2012-03-19T00:45:24Z</cp:lastPrinted>
  <dcterms:created xsi:type="dcterms:W3CDTF">2003-02-17T07:40:35Z</dcterms:created>
  <dcterms:modified xsi:type="dcterms:W3CDTF">2025-12-25T03:17:08Z</dcterms:modified>
  <cp:contentStatus/>
</cp:coreProperties>
</file>