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O:\BS\SCM\FMLE\06. MARINE\1A_OPERATION KAPAL\BCA\2025\am_25Nov-24Dec_25\"/>
    </mc:Choice>
  </mc:AlternateContent>
  <bookViews>
    <workbookView xWindow="-108" yWindow="-108" windowWidth="26304" windowHeight="14172" tabRatio="294" activeTab="1"/>
  </bookViews>
  <sheets>
    <sheet name="EnC" sheetId="1" r:id="rId1"/>
    <sheet name="Distribute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IDS">"Rectangle 3"</definedName>
    <definedName name="_xlnm.Print_Area" localSheetId="0">EnC!$A$1:$Q$31</definedName>
  </definedNames>
  <calcPr calcId="162913"/>
  <customWorkbookViews>
    <customWorkbookView name="Leopold Mathoes - Personal View" guid="{54040F03-421B-11D5-B65E-0050BA87D337}" mergeInterval="0" personalView="1" xWindow="4" yWindow="4" windowWidth="1012" windowHeight="635" activeSheetId="1" showStatusbar="0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2" l="1"/>
  <c r="C50" i="2" s="1"/>
  <c r="F9" i="2"/>
  <c r="F50" i="2" s="1"/>
  <c r="W9" i="2"/>
  <c r="Z9" i="2"/>
  <c r="A82" i="2"/>
  <c r="L5" i="1"/>
  <c r="A44" i="1" s="1"/>
  <c r="AE5" i="1"/>
  <c r="A45" i="1"/>
  <c r="A46" i="1"/>
  <c r="A41" i="2"/>
  <c r="A81" i="2" s="1"/>
  <c r="U41" i="2"/>
  <c r="A32" i="2"/>
  <c r="A72" i="2" s="1"/>
  <c r="U32" i="2"/>
  <c r="A12" i="2"/>
  <c r="A52" i="2" s="1"/>
  <c r="U12" i="2"/>
  <c r="U31" i="2"/>
  <c r="A31" i="2"/>
  <c r="A71" i="2" s="1"/>
  <c r="U39" i="2"/>
  <c r="A39" i="2"/>
  <c r="A79" i="2" s="1"/>
  <c r="U15" i="2"/>
  <c r="A15" i="2"/>
  <c r="A55" i="2" s="1"/>
  <c r="U34" i="2"/>
  <c r="A34" i="2"/>
  <c r="A74" i="2" s="1"/>
  <c r="U29" i="2"/>
  <c r="A29" i="2"/>
  <c r="A69" i="2" s="1"/>
  <c r="A24" i="2"/>
  <c r="A64" i="2" s="1"/>
  <c r="U24" i="2"/>
  <c r="A19" i="2"/>
  <c r="A59" i="2" s="1"/>
  <c r="U19" i="2"/>
  <c r="A38" i="2"/>
  <c r="A78" i="2" s="1"/>
  <c r="U38" i="2"/>
  <c r="U14" i="2"/>
  <c r="A14" i="2"/>
  <c r="A54" i="2" s="1"/>
  <c r="A33" i="2"/>
  <c r="A73" i="2" s="1"/>
  <c r="U33" i="2"/>
  <c r="A28" i="2"/>
  <c r="A68" i="2" s="1"/>
  <c r="U28" i="2"/>
  <c r="A23" i="2"/>
  <c r="A63" i="2" s="1"/>
  <c r="U23" i="2"/>
  <c r="U18" i="2"/>
  <c r="A18" i="2"/>
  <c r="A58" i="2" s="1"/>
  <c r="U37" i="2"/>
  <c r="A37" i="2"/>
  <c r="A77" i="2" s="1"/>
  <c r="A13" i="2"/>
  <c r="A53" i="2" s="1"/>
  <c r="U13" i="2"/>
  <c r="A17" i="2"/>
  <c r="A57" i="2" s="1"/>
  <c r="U17" i="2"/>
  <c r="U26" i="2"/>
  <c r="A26" i="2"/>
  <c r="A66" i="2" s="1"/>
  <c r="U40" i="2"/>
  <c r="A40" i="2"/>
  <c r="A80" i="2" s="1"/>
  <c r="A16" i="2"/>
  <c r="A56" i="2" s="1"/>
  <c r="U16" i="2"/>
  <c r="A22" i="2"/>
  <c r="A62" i="2" s="1"/>
  <c r="U22" i="2"/>
  <c r="A35" i="2"/>
  <c r="A75" i="2" s="1"/>
  <c r="U35" i="2"/>
  <c r="A27" i="2"/>
  <c r="A67" i="2" s="1"/>
  <c r="U27" i="2"/>
  <c r="A36" i="2"/>
  <c r="A76" i="2" s="1"/>
  <c r="U36" i="2"/>
  <c r="U30" i="2"/>
  <c r="A30" i="2"/>
  <c r="A70" i="2" s="1"/>
  <c r="U21" i="2"/>
  <c r="A21" i="2"/>
  <c r="A61" i="2" s="1"/>
  <c r="A25" i="2"/>
  <c r="A65" i="2" s="1"/>
  <c r="U25" i="2"/>
  <c r="A20" i="2"/>
  <c r="A60" i="2" s="1"/>
  <c r="U20" i="2"/>
  <c r="U11" i="2"/>
  <c r="A11" i="2"/>
  <c r="A51" i="2" s="1"/>
  <c r="D21" i="2" l="1"/>
  <c r="Z21" i="2"/>
  <c r="W22" i="2"/>
  <c r="G31" i="2"/>
  <c r="W29" i="2"/>
  <c r="D25" i="2"/>
  <c r="F26" i="2"/>
  <c r="G13" i="2"/>
  <c r="Z27" i="2"/>
  <c r="G19" i="2"/>
  <c r="Z15" i="2"/>
  <c r="G36" i="2"/>
  <c r="Z39" i="2"/>
  <c r="F39" i="2"/>
  <c r="Z41" i="2"/>
  <c r="D41" i="2"/>
  <c r="W16" i="2"/>
  <c r="W11" i="2"/>
  <c r="Z35" i="2"/>
  <c r="Z36" i="2"/>
  <c r="W24" i="2"/>
  <c r="Z23" i="2"/>
  <c r="D37" i="2"/>
  <c r="W37" i="2"/>
  <c r="Z37" i="2"/>
  <c r="Z24" i="2"/>
  <c r="W19" i="2"/>
  <c r="D36" i="2"/>
  <c r="W32" i="2"/>
  <c r="G33" i="2"/>
  <c r="D33" i="2"/>
  <c r="X39" i="2"/>
  <c r="W39" i="2"/>
  <c r="Z25" i="2"/>
  <c r="W25" i="2"/>
  <c r="G37" i="2"/>
  <c r="Z33" i="2"/>
  <c r="Z34" i="2"/>
  <c r="D34" i="2"/>
  <c r="W34" i="2"/>
  <c r="G34" i="2"/>
  <c r="W31" i="2"/>
  <c r="D31" i="2"/>
  <c r="Z28" i="2"/>
  <c r="G28" i="2"/>
  <c r="W28" i="2"/>
  <c r="Z19" i="2"/>
  <c r="D19" i="2"/>
  <c r="W35" i="2"/>
  <c r="D35" i="2"/>
  <c r="G35" i="2"/>
  <c r="W15" i="2"/>
  <c r="Z11" i="2"/>
  <c r="W36" i="2"/>
  <c r="G24" i="2"/>
  <c r="D24" i="2"/>
  <c r="Z32" i="2"/>
  <c r="G32" i="2"/>
  <c r="D32" i="2"/>
  <c r="G39" i="2"/>
  <c r="W21" i="2"/>
  <c r="Z22" i="2"/>
  <c r="AA28" i="2"/>
  <c r="D17" i="2"/>
  <c r="F34" i="2"/>
  <c r="C34" i="2"/>
  <c r="AA34" i="2"/>
  <c r="AA35" i="2"/>
  <c r="X31" i="2"/>
  <c r="Z31" i="2"/>
  <c r="AA13" i="2"/>
  <c r="F40" i="2"/>
  <c r="X40" i="2"/>
  <c r="X16" i="2"/>
  <c r="C16" i="2"/>
  <c r="AA19" i="2"/>
  <c r="W41" i="2"/>
  <c r="X15" i="2"/>
  <c r="C13" i="2"/>
  <c r="W33" i="2"/>
  <c r="X13" i="2"/>
  <c r="X29" i="2"/>
  <c r="C35" i="2"/>
  <c r="F32" i="2"/>
  <c r="C24" i="2"/>
  <c r="X27" i="2"/>
  <c r="Z16" i="2"/>
  <c r="Z40" i="2"/>
  <c r="AA29" i="2"/>
  <c r="X22" i="2"/>
  <c r="X34" i="2"/>
  <c r="AA22" i="2"/>
  <c r="F24" i="2"/>
  <c r="F30" i="2"/>
  <c r="F33" i="2"/>
  <c r="X28" i="2"/>
  <c r="F21" i="2"/>
  <c r="AA17" i="2"/>
  <c r="F36" i="2"/>
  <c r="AA20" i="2"/>
  <c r="X18" i="2"/>
  <c r="W40" i="2"/>
  <c r="F13" i="2"/>
  <c r="AA33" i="2"/>
  <c r="C25" i="2"/>
  <c r="C26" i="2"/>
  <c r="G11" i="2"/>
  <c r="X37" i="2"/>
  <c r="X20" i="2"/>
  <c r="C17" i="2"/>
  <c r="W38" i="2" l="1"/>
  <c r="Z38" i="2"/>
  <c r="Z12" i="2"/>
  <c r="W12" i="2"/>
  <c r="Z14" i="2"/>
  <c r="D28" i="2"/>
  <c r="X23" i="2"/>
  <c r="F11" i="2"/>
  <c r="AA12" i="2"/>
  <c r="D26" i="2"/>
  <c r="AA32" i="2"/>
  <c r="G18" i="2"/>
  <c r="X24" i="2"/>
  <c r="F29" i="2"/>
  <c r="X11" i="2"/>
  <c r="D39" i="2"/>
  <c r="X33" i="2"/>
  <c r="C21" i="2"/>
  <c r="AA24" i="2"/>
  <c r="C40" i="2"/>
  <c r="F12" i="2"/>
  <c r="X21" i="2"/>
  <c r="X17" i="2"/>
  <c r="G29" i="2"/>
  <c r="AA37" i="2"/>
  <c r="AA11" i="2"/>
  <c r="X30" i="2"/>
  <c r="C30" i="2"/>
  <c r="G14" i="2"/>
  <c r="C39" i="2"/>
  <c r="C29" i="2"/>
  <c r="C23" i="2"/>
  <c r="X14" i="2"/>
  <c r="D18" i="2"/>
  <c r="AA21" i="2"/>
  <c r="AA39" i="2"/>
  <c r="AA36" i="2"/>
  <c r="C32" i="2"/>
  <c r="C11" i="2"/>
  <c r="C27" i="2"/>
  <c r="D38" i="2"/>
  <c r="Z29" i="2"/>
  <c r="C18" i="2"/>
  <c r="D40" i="2"/>
  <c r="D13" i="2"/>
  <c r="G40" i="2"/>
  <c r="AA18" i="2"/>
  <c r="W18" i="2"/>
  <c r="F74" i="2"/>
  <c r="D29" i="2"/>
  <c r="Z18" i="2"/>
  <c r="C67" i="2"/>
  <c r="AA40" i="2"/>
  <c r="F18" i="2"/>
  <c r="C73" i="2"/>
  <c r="Y26" i="2"/>
  <c r="E26" i="2"/>
  <c r="AB37" i="2"/>
  <c r="AB30" i="2"/>
  <c r="F70" i="2"/>
  <c r="AB39" i="2"/>
  <c r="AB19" i="2"/>
  <c r="AB29" i="2"/>
  <c r="F68" i="2"/>
  <c r="Z13" i="2"/>
  <c r="F53" i="2"/>
  <c r="F71" i="2"/>
  <c r="F79" i="2"/>
  <c r="Y33" i="2"/>
  <c r="F55" i="2"/>
  <c r="F72" i="2"/>
  <c r="F59" i="2"/>
  <c r="Y37" i="2"/>
  <c r="C77" i="2"/>
  <c r="W13" i="2"/>
  <c r="F25" i="2"/>
  <c r="X35" i="2"/>
  <c r="Y25" i="2"/>
  <c r="E34" i="2"/>
  <c r="G25" i="2"/>
  <c r="C74" i="2"/>
  <c r="X25" i="2"/>
  <c r="AA25" i="2"/>
  <c r="AA23" i="2"/>
  <c r="F17" i="2"/>
  <c r="C55" i="2"/>
  <c r="C71" i="2"/>
  <c r="Z17" i="2"/>
  <c r="C59" i="2"/>
  <c r="W17" i="2"/>
  <c r="G17" i="2"/>
  <c r="C53" i="2"/>
  <c r="D16" i="2"/>
  <c r="C37" i="2"/>
  <c r="D15" i="2"/>
  <c r="AA31" i="2"/>
  <c r="AB34" i="2"/>
  <c r="C12" i="2"/>
  <c r="F16" i="2"/>
  <c r="G27" i="2"/>
  <c r="AB15" i="2"/>
  <c r="X19" i="2"/>
  <c r="F31" i="2"/>
  <c r="AB31" i="2"/>
  <c r="AA16" i="2"/>
  <c r="G15" i="2"/>
  <c r="F15" i="2"/>
  <c r="F28" i="2"/>
  <c r="F27" i="2"/>
  <c r="C15" i="2"/>
  <c r="F19" i="2"/>
  <c r="G16" i="2"/>
  <c r="W27" i="2"/>
  <c r="C75" i="2"/>
  <c r="C28" i="2"/>
  <c r="X12" i="2"/>
  <c r="F37" i="2"/>
  <c r="AA27" i="2"/>
  <c r="AA15" i="2"/>
  <c r="C31" i="2"/>
  <c r="C19" i="2"/>
  <c r="AB16" i="2"/>
  <c r="F35" i="2"/>
  <c r="C33" i="2"/>
  <c r="D27" i="2"/>
  <c r="C76" i="2"/>
  <c r="C36" i="2"/>
  <c r="D11" i="2"/>
  <c r="X26" i="2"/>
  <c r="Z26" i="2"/>
  <c r="D20" i="2"/>
  <c r="C20" i="2"/>
  <c r="F20" i="2"/>
  <c r="G20" i="2"/>
  <c r="D14" i="2"/>
  <c r="W14" i="2"/>
  <c r="AA26" i="2"/>
  <c r="X36" i="2"/>
  <c r="F14" i="2"/>
  <c r="G26" i="2"/>
  <c r="W20" i="2"/>
  <c r="W26" i="2"/>
  <c r="F76" i="2"/>
  <c r="Z20" i="2"/>
  <c r="F23" i="2"/>
  <c r="G21" i="2"/>
  <c r="G41" i="2"/>
  <c r="D22" i="2"/>
  <c r="D23" i="2"/>
  <c r="D30" i="2"/>
  <c r="C61" i="2"/>
  <c r="C72" i="2"/>
  <c r="Y24" i="2"/>
  <c r="G22" i="2"/>
  <c r="C22" i="2"/>
  <c r="Z30" i="2"/>
  <c r="AA30" i="2"/>
  <c r="C38" i="2"/>
  <c r="G23" i="2"/>
  <c r="AA38" i="2"/>
  <c r="X41" i="2"/>
  <c r="X32" i="2"/>
  <c r="F64" i="2"/>
  <c r="C64" i="2"/>
  <c r="X38" i="2"/>
  <c r="F41" i="2"/>
  <c r="G30" i="2"/>
  <c r="F22" i="2"/>
  <c r="AA41" i="2"/>
  <c r="C41" i="2"/>
  <c r="W23" i="2"/>
  <c r="W30" i="2"/>
  <c r="E13" i="2"/>
  <c r="E40" i="2"/>
  <c r="AB27" i="2"/>
  <c r="Y17" i="2"/>
  <c r="C66" i="2"/>
  <c r="Y18" i="2"/>
  <c r="Y41" i="2"/>
  <c r="Y16" i="2"/>
  <c r="AB32" i="2"/>
  <c r="H18" i="2"/>
  <c r="E15" i="2"/>
  <c r="E18" i="2"/>
  <c r="E23" i="2"/>
  <c r="H33" i="2"/>
  <c r="E17" i="2"/>
  <c r="AB18" i="2"/>
  <c r="C79" i="2"/>
  <c r="AB36" i="2"/>
  <c r="H16" i="2"/>
  <c r="E24" i="2"/>
  <c r="Y28" i="2"/>
  <c r="E11" i="2"/>
  <c r="H17" i="2"/>
  <c r="H20" i="2"/>
  <c r="H27" i="2"/>
  <c r="C56" i="2"/>
  <c r="H31" i="2"/>
  <c r="H36" i="2"/>
  <c r="C60" i="2"/>
  <c r="F81" i="2"/>
  <c r="F58" i="2"/>
  <c r="H24" i="2"/>
  <c r="AB33" i="2"/>
  <c r="E22" i="2"/>
  <c r="F66" i="2"/>
  <c r="E16" i="2"/>
  <c r="Y22" i="2"/>
  <c r="F67" i="2"/>
  <c r="AB11" i="2"/>
  <c r="AB20" i="2"/>
  <c r="H11" i="2"/>
  <c r="AA14" i="2" l="1"/>
  <c r="AA42" i="2" s="1"/>
  <c r="F38" i="2"/>
  <c r="F42" i="2" s="1"/>
  <c r="C78" i="2"/>
  <c r="Y38" i="2"/>
  <c r="G12" i="2"/>
  <c r="AB38" i="2"/>
  <c r="C14" i="2"/>
  <c r="C42" i="2" s="1"/>
  <c r="C9" i="1" s="1"/>
  <c r="AB14" i="2"/>
  <c r="G38" i="2"/>
  <c r="Y12" i="2"/>
  <c r="D12" i="2"/>
  <c r="D42" i="2" s="1"/>
  <c r="D43" i="2" s="1"/>
  <c r="Y39" i="2"/>
  <c r="AB40" i="2"/>
  <c r="AB26" i="2"/>
  <c r="Y30" i="2"/>
  <c r="AB12" i="2"/>
  <c r="AB41" i="2"/>
  <c r="AB24" i="2"/>
  <c r="Y21" i="2"/>
  <c r="Y20" i="2"/>
  <c r="Y11" i="2"/>
  <c r="AB22" i="2"/>
  <c r="E29" i="2"/>
  <c r="E32" i="2"/>
  <c r="H22" i="2"/>
  <c r="F77" i="2"/>
  <c r="AB21" i="2"/>
  <c r="Y13" i="2"/>
  <c r="Y34" i="2"/>
  <c r="H35" i="2"/>
  <c r="F52" i="2"/>
  <c r="E19" i="2"/>
  <c r="Y15" i="2"/>
  <c r="H30" i="2"/>
  <c r="Y19" i="2"/>
  <c r="Y31" i="2"/>
  <c r="Y35" i="2"/>
  <c r="Y40" i="2"/>
  <c r="Y36" i="2"/>
  <c r="AB13" i="2"/>
  <c r="H25" i="2"/>
  <c r="E20" i="2"/>
  <c r="Y32" i="2"/>
  <c r="H13" i="2"/>
  <c r="H29" i="2"/>
  <c r="H37" i="2"/>
  <c r="E33" i="2"/>
  <c r="H28" i="2"/>
  <c r="Y29" i="2"/>
  <c r="AB35" i="2"/>
  <c r="H40" i="2"/>
  <c r="AB25" i="2"/>
  <c r="H26" i="2"/>
  <c r="C58" i="2"/>
  <c r="F56" i="2"/>
  <c r="F69" i="2"/>
  <c r="F51" i="2"/>
  <c r="C69" i="2"/>
  <c r="C51" i="2"/>
  <c r="F80" i="2"/>
  <c r="F73" i="2"/>
  <c r="C52" i="2"/>
  <c r="C80" i="2"/>
  <c r="H41" i="2"/>
  <c r="E27" i="2"/>
  <c r="C70" i="2"/>
  <c r="AB28" i="2"/>
  <c r="E25" i="2"/>
  <c r="F65" i="2"/>
  <c r="C57" i="2"/>
  <c r="E35" i="2"/>
  <c r="C65" i="2"/>
  <c r="E31" i="2"/>
  <c r="Y23" i="2"/>
  <c r="Y27" i="2"/>
  <c r="C68" i="2"/>
  <c r="AB17" i="2"/>
  <c r="F57" i="2"/>
  <c r="F75" i="2"/>
  <c r="H15" i="2"/>
  <c r="E37" i="2"/>
  <c r="E28" i="2"/>
  <c r="H34" i="2"/>
  <c r="H19" i="2"/>
  <c r="H12" i="2"/>
  <c r="Z42" i="2"/>
  <c r="V11" i="1" s="1"/>
  <c r="Y14" i="2"/>
  <c r="E36" i="2"/>
  <c r="F54" i="2"/>
  <c r="F60" i="2"/>
  <c r="C54" i="2"/>
  <c r="W42" i="2"/>
  <c r="V9" i="1" s="1"/>
  <c r="X42" i="2"/>
  <c r="H21" i="2"/>
  <c r="F63" i="2"/>
  <c r="C81" i="2"/>
  <c r="C62" i="2"/>
  <c r="E39" i="2"/>
  <c r="H39" i="2"/>
  <c r="H32" i="2"/>
  <c r="C63" i="2"/>
  <c r="E30" i="2"/>
  <c r="F61" i="2"/>
  <c r="F62" i="2"/>
  <c r="H23" i="2"/>
  <c r="AB23" i="2"/>
  <c r="E41" i="2"/>
  <c r="E21" i="2"/>
  <c r="AA43" i="2" l="1"/>
  <c r="F43" i="2"/>
  <c r="G42" i="2"/>
  <c r="E11" i="1" s="1"/>
  <c r="X43" i="2"/>
  <c r="H38" i="2"/>
  <c r="E12" i="2"/>
  <c r="H14" i="2"/>
  <c r="L11" i="1"/>
  <c r="F78" i="2"/>
  <c r="F82" i="2" s="1"/>
  <c r="C46" i="1" s="1"/>
  <c r="AE9" i="1"/>
  <c r="E38" i="2"/>
  <c r="E14" i="2"/>
  <c r="Y42" i="2"/>
  <c r="Z9" i="1" s="1"/>
  <c r="AB42" i="2"/>
  <c r="AB43" i="2" s="1"/>
  <c r="Z43" i="2"/>
  <c r="X11" i="1"/>
  <c r="C43" i="2"/>
  <c r="V21" i="1"/>
  <c r="W43" i="2"/>
  <c r="E9" i="1"/>
  <c r="X9" i="1"/>
  <c r="C11" i="1"/>
  <c r="C21" i="1" s="1"/>
  <c r="C82" i="2"/>
  <c r="C45" i="1" s="1"/>
  <c r="E21" i="1" l="1"/>
  <c r="G43" i="2"/>
  <c r="H42" i="2"/>
  <c r="G11" i="1" s="1"/>
  <c r="I11" i="1" s="1"/>
  <c r="E42" i="2"/>
  <c r="G9" i="1" s="1"/>
  <c r="I9" i="1" s="1"/>
  <c r="AE11" i="1"/>
  <c r="AE21" i="1" s="1"/>
  <c r="AB9" i="1"/>
  <c r="Y43" i="2"/>
  <c r="Z11" i="1"/>
  <c r="AB11" i="1" s="1"/>
  <c r="L9" i="1"/>
  <c r="L21" i="1" s="1"/>
  <c r="X21" i="1"/>
  <c r="C47" i="1"/>
  <c r="M9" i="1" l="1"/>
  <c r="AF9" i="1"/>
  <c r="E43" i="2"/>
  <c r="H43" i="2"/>
  <c r="G21" i="1"/>
  <c r="AB21" i="1"/>
  <c r="Z21" i="1"/>
  <c r="AF11" i="1"/>
  <c r="I21" i="1"/>
  <c r="M11" i="1"/>
  <c r="AF21" i="1" l="1"/>
  <c r="M21" i="1"/>
  <c r="J11" i="1"/>
  <c r="AC9" i="1"/>
  <c r="AC11" i="1"/>
  <c r="J9" i="1"/>
  <c r="J21" i="1" l="1"/>
  <c r="AC21" i="1"/>
</calcChain>
</file>

<file path=xl/sharedStrings.xml><?xml version="1.0" encoding="utf-8"?>
<sst xmlns="http://schemas.openxmlformats.org/spreadsheetml/2006/main" count="50" uniqueCount="22">
  <si>
    <t>CHARTER
RATE</t>
  </si>
  <si>
    <t>TOTAL
COST</t>
  </si>
  <si>
    <t>FUEL
COST</t>
  </si>
  <si>
    <t>TOTAL COST</t>
  </si>
  <si>
    <t>MOB /
DEMOB</t>
  </si>
  <si>
    <t>Summary</t>
  </si>
  <si>
    <t>BOAT
HOURS</t>
  </si>
  <si>
    <t>PCT</t>
  </si>
  <si>
    <t>Logistics Cost Sharing</t>
  </si>
  <si>
    <t>FE&amp;C Boat Cost Analysis</t>
  </si>
  <si>
    <t>DATE</t>
  </si>
  <si>
    <t>FUEL</t>
  </si>
  <si>
    <t>DAYRATE</t>
  </si>
  <si>
    <t>SUM</t>
  </si>
  <si>
    <t>This Month Daily AVG</t>
  </si>
  <si>
    <t>Started Jun 01</t>
  </si>
  <si>
    <t>Daily Boat Cost Distribution to FE&amp;C South &amp; North</t>
  </si>
  <si>
    <t>Fuel (liter)</t>
  </si>
  <si>
    <t>TOTAL (liter)</t>
  </si>
  <si>
    <t>SOUTH _OSF</t>
  </si>
  <si>
    <t>NORTH_OSF</t>
  </si>
  <si>
    <t>SOUTH_OSF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</si>
</sst>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43" formatCode="_(* #,##0.00_);_(* \(#,##0.00\);_(* &quot;-&quot;??_);_(@_)"/>
    <numFmt numFmtId="164" formatCode="_-&quot;$&quot;* #,##0_-;\-&quot;$&quot;* #,##0_-;_-&quot;$&quot;* &quot;-&quot;_-;_-@_-"/>
    <numFmt numFmtId="165" formatCode="_(* #,##0.0_);_(* \(#,##0.0\);_(* &quot;-&quot;??_);_(@_)"/>
    <numFmt numFmtId="166" formatCode="_(* #,##0_);_(* \(#,##0\);_(* &quot;-&quot;??_);_(@_)"/>
    <numFmt numFmtId="167" formatCode="_-[$Rp-3809]* #,##0.00_-;\-[$Rp-3809]* #,##0.00_-;_-[$Rp-3809]* &quot;-&quot;??_-;_-@_-"/>
    <numFmt numFmtId="168" formatCode="_([$$-409]* #,##0.00_);_([$$-409]* \(#,##0.00\);_([$$-409]* &quot;-&quot;??_);_(@_)"/>
    <numFmt numFmtId="169" formatCode="_([$Rp-421]* #,##0.00_);_([$Rp-421]* \(#,##0.00\);_([$Rp-421]* &quot;-&quot;??_);_(@_)"/>
  </numFmts>
  <fonts count="37" x14ac:knownFonts="1">
    <font>
      <sz val="10"/>
      <name val="Arial"/>
    </font>
    <font>
      <sz val="10"/>
      <name val="Arial"/>
      <family val="2"/>
    </font>
    <font>
      <sz val="12"/>
      <color indexed="13"/>
      <name val="Arial Narrow"/>
      <family val="2"/>
    </font>
    <font>
      <b/>
      <sz val="10"/>
      <color indexed="10"/>
      <name val="Arial Narrow"/>
      <family val="2"/>
    </font>
    <font>
      <b/>
      <sz val="12"/>
      <color indexed="13"/>
      <name val="Arial Narrow"/>
      <family val="2"/>
    </font>
    <font>
      <b/>
      <sz val="12"/>
      <color indexed="18"/>
      <name val="Arial Narrow"/>
      <family val="2"/>
    </font>
    <font>
      <u/>
      <sz val="10"/>
      <color indexed="12"/>
      <name val="Arial"/>
      <family val="2"/>
    </font>
    <font>
      <b/>
      <sz val="12"/>
      <color indexed="12"/>
      <name val="Arial Narrow"/>
      <family val="2"/>
    </font>
    <font>
      <b/>
      <u/>
      <sz val="12"/>
      <color indexed="13"/>
      <name val="Arial Narrow"/>
      <family val="2"/>
    </font>
    <font>
      <b/>
      <u/>
      <sz val="10"/>
      <color indexed="13"/>
      <name val="Arial"/>
      <family val="2"/>
    </font>
    <font>
      <b/>
      <sz val="10"/>
      <color indexed="13"/>
      <name val="Arial"/>
      <family val="2"/>
    </font>
    <font>
      <b/>
      <sz val="12"/>
      <name val="Arial Narrow"/>
      <family val="2"/>
    </font>
    <font>
      <b/>
      <sz val="12"/>
      <color indexed="13"/>
      <name val="Arial"/>
      <family val="2"/>
    </font>
    <font>
      <b/>
      <sz val="10"/>
      <name val="Arial"/>
      <family val="2"/>
    </font>
    <font>
      <sz val="10"/>
      <color indexed="13"/>
      <name val="Arial Narrow"/>
      <family val="2"/>
    </font>
    <font>
      <sz val="10"/>
      <name val="Arial"/>
      <family val="2"/>
    </font>
    <font>
      <b/>
      <sz val="10"/>
      <color indexed="43"/>
      <name val="Arial Narrow"/>
      <family val="2"/>
    </font>
    <font>
      <sz val="8"/>
      <name val="Arial"/>
      <family val="2"/>
    </font>
    <font>
      <sz val="10"/>
      <color indexed="13"/>
      <name val="Arial"/>
      <family val="2"/>
    </font>
    <font>
      <b/>
      <sz val="11"/>
      <color indexed="13"/>
      <name val="Arial Narrow"/>
      <family val="2"/>
    </font>
    <font>
      <b/>
      <sz val="7"/>
      <color indexed="13"/>
      <name val="Arial Narrow"/>
      <family val="2"/>
    </font>
    <font>
      <sz val="8"/>
      <color indexed="18"/>
      <name val="Arial Narrow"/>
      <family val="2"/>
    </font>
    <font>
      <sz val="10"/>
      <color indexed="11"/>
      <name val="Arial"/>
      <family val="2"/>
    </font>
    <font>
      <vertAlign val="superscript"/>
      <sz val="10"/>
      <color indexed="13"/>
      <name val="Arial"/>
      <family val="2"/>
    </font>
    <font>
      <b/>
      <sz val="9"/>
      <color indexed="13"/>
      <name val="Arial"/>
      <family val="2"/>
    </font>
    <font>
      <sz val="11"/>
      <color indexed="18"/>
      <name val="Arial Narrow"/>
      <family val="2"/>
    </font>
    <font>
      <b/>
      <sz val="12"/>
      <color theme="3"/>
      <name val="Arial Narrow"/>
      <family val="2"/>
    </font>
    <font>
      <b/>
      <sz val="8"/>
      <color theme="3"/>
      <name val="Arial Narrow"/>
      <family val="2"/>
    </font>
    <font>
      <b/>
      <sz val="7"/>
      <color theme="0"/>
      <name val="Arial Narrow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 Narrow"/>
      <family val="2"/>
    </font>
    <font>
      <b/>
      <sz val="12"/>
      <color theme="0"/>
      <name val="Arial Narrow"/>
      <family val="2"/>
    </font>
    <font>
      <sz val="8"/>
      <color theme="0"/>
      <name val="Arial Narrow"/>
      <family val="2"/>
    </font>
    <font>
      <sz val="11"/>
      <color theme="0"/>
      <name val="Arial Narrow"/>
      <family val="2"/>
    </font>
    <font>
      <b/>
      <sz val="18"/>
      <color rgb="FFCC0000"/>
      <name val="Arial Narrow"/>
      <family val="2"/>
    </font>
    <font>
      <b/>
      <sz val="11"/>
      <color rgb="FFFFFF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64"/>
      </left>
      <right style="medium">
        <color indexed="10"/>
      </right>
      <top style="medium">
        <color indexed="1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rgb="FF00B0F0"/>
      </right>
      <top style="medium">
        <color rgb="FFFF0000"/>
      </top>
      <bottom style="medium">
        <color rgb="FFFF0000"/>
      </bottom>
      <diagonal/>
    </border>
    <border>
      <left style="thin">
        <color rgb="FF00B0F0"/>
      </left>
      <right style="thin">
        <color rgb="FF00B0F0"/>
      </right>
      <top style="medium">
        <color rgb="FFFF0000"/>
      </top>
      <bottom style="medium">
        <color rgb="FFFF0000"/>
      </bottom>
      <diagonal/>
    </border>
    <border>
      <left style="thin">
        <color rgb="FF00B0F0"/>
      </left>
      <right style="medium">
        <color indexed="10"/>
      </right>
      <top style="medium">
        <color rgb="FFFF0000"/>
      </top>
      <bottom style="medium">
        <color rgb="FFFF0000"/>
      </bottom>
      <diagonal/>
    </border>
    <border>
      <left style="medium">
        <color indexed="10"/>
      </left>
      <right style="thin">
        <color rgb="FF00B0F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rgb="FFFF0000"/>
      </left>
      <right style="medium">
        <color indexed="10"/>
      </right>
      <top/>
      <bottom style="medium">
        <color rgb="FFFF0000"/>
      </bottom>
      <diagonal/>
    </border>
    <border>
      <left style="medium">
        <color rgb="FFFF0000"/>
      </left>
      <right style="medium">
        <color indexed="10"/>
      </right>
      <top style="medium">
        <color rgb="FFFF0000"/>
      </top>
      <bottom style="thin">
        <color rgb="FF00FFFF"/>
      </bottom>
      <diagonal/>
    </border>
    <border>
      <left style="medium">
        <color rgb="FFFF0000"/>
      </left>
      <right style="thin">
        <color rgb="FF00FFFF"/>
      </right>
      <top/>
      <bottom style="thin">
        <color rgb="FF00FFFF"/>
      </bottom>
      <diagonal/>
    </border>
    <border>
      <left style="thin">
        <color rgb="FF00FFFF"/>
      </left>
      <right style="thin">
        <color rgb="FF00FFFF"/>
      </right>
      <top/>
      <bottom style="thin">
        <color rgb="FF00FFFF"/>
      </bottom>
      <diagonal/>
    </border>
    <border>
      <left style="thin">
        <color rgb="FF00FFFF"/>
      </left>
      <right style="medium">
        <color rgb="FFFF0000"/>
      </right>
      <top/>
      <bottom style="thin">
        <color rgb="FF00FFFF"/>
      </bottom>
      <diagonal/>
    </border>
    <border>
      <left style="medium">
        <color rgb="FFFF0000"/>
      </left>
      <right style="thin">
        <color rgb="FF00FFFF"/>
      </right>
      <top style="medium">
        <color rgb="FFFF0000"/>
      </top>
      <bottom style="thin">
        <color rgb="FF00FFFF"/>
      </bottom>
      <diagonal/>
    </border>
    <border>
      <left style="thin">
        <color rgb="FF00FFFF"/>
      </left>
      <right style="thin">
        <color rgb="FF00FFFF"/>
      </right>
      <top style="medium">
        <color rgb="FFFF0000"/>
      </top>
      <bottom style="thin">
        <color rgb="FF00FFFF"/>
      </bottom>
      <diagonal/>
    </border>
    <border>
      <left style="thin">
        <color rgb="FF00FFFF"/>
      </left>
      <right style="medium">
        <color rgb="FFFF0000"/>
      </right>
      <top style="medium">
        <color rgb="FFFF0000"/>
      </top>
      <bottom style="thin">
        <color rgb="FF00FFFF"/>
      </bottom>
      <diagonal/>
    </border>
    <border>
      <left style="medium">
        <color rgb="FFFF0000"/>
      </left>
      <right style="thin">
        <color rgb="FF00FFFF"/>
      </right>
      <top style="thin">
        <color rgb="FF00FFFF"/>
      </top>
      <bottom style="medium">
        <color rgb="FFFF0000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medium">
        <color rgb="FFFF0000"/>
      </bottom>
      <diagonal/>
    </border>
    <border>
      <left style="thin">
        <color rgb="FF00FFFF"/>
      </left>
      <right style="medium">
        <color rgb="FFFF0000"/>
      </right>
      <top style="thin">
        <color rgb="FF00FFFF"/>
      </top>
      <bottom style="medium">
        <color rgb="FFFF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184">
    <xf numFmtId="0" fontId="0" fillId="0" borderId="0" xfId="0"/>
    <xf numFmtId="0" fontId="0" fillId="0" borderId="0" xfId="0" applyProtection="1">
      <protection hidden="1"/>
    </xf>
    <xf numFmtId="0" fontId="0" fillId="2" borderId="0" xfId="0" applyFill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3" fillId="2" borderId="0" xfId="0" applyFont="1" applyFill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2" fillId="2" borderId="0" xfId="0" applyFont="1" applyFill="1" applyBorder="1" applyAlignment="1" applyProtection="1">
      <alignment vertical="center"/>
      <protection hidden="1"/>
    </xf>
    <xf numFmtId="42" fontId="5" fillId="2" borderId="0" xfId="1" applyNumberFormat="1" applyFont="1" applyFill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8" fillId="2" borderId="0" xfId="2" applyFont="1" applyFill="1" applyBorder="1" applyAlignment="1" applyProtection="1">
      <alignment vertical="center"/>
      <protection hidden="1"/>
    </xf>
    <xf numFmtId="0" fontId="7" fillId="2" borderId="0" xfId="2" applyFont="1" applyFill="1" applyBorder="1" applyAlignment="1" applyProtection="1">
      <alignment vertical="center"/>
      <protection hidden="1"/>
    </xf>
    <xf numFmtId="0" fontId="9" fillId="2" borderId="0" xfId="2" applyFont="1" applyFill="1" applyBorder="1" applyAlignment="1" applyProtection="1">
      <alignment vertical="center"/>
      <protection hidden="1"/>
    </xf>
    <xf numFmtId="0" fontId="0" fillId="0" borderId="0" xfId="0" applyFill="1" applyProtection="1">
      <protection hidden="1"/>
    </xf>
    <xf numFmtId="0" fontId="0" fillId="0" borderId="0" xfId="0" applyFill="1" applyAlignment="1" applyProtection="1">
      <alignment vertical="center"/>
      <protection hidden="1"/>
    </xf>
    <xf numFmtId="0" fontId="3" fillId="0" borderId="0" xfId="0" applyFont="1" applyFill="1" applyAlignment="1" applyProtection="1">
      <alignment vertical="center"/>
      <protection hidden="1"/>
    </xf>
    <xf numFmtId="0" fontId="4" fillId="0" borderId="0" xfId="0" applyFont="1" applyFill="1" applyAlignment="1" applyProtection="1">
      <alignment horizontal="center" vertical="center"/>
      <protection hidden="1"/>
    </xf>
    <xf numFmtId="0" fontId="2" fillId="0" borderId="0" xfId="0" applyFont="1" applyFill="1" applyAlignment="1" applyProtection="1">
      <alignment vertical="center"/>
      <protection hidden="1"/>
    </xf>
    <xf numFmtId="9" fontId="12" fillId="3" borderId="1" xfId="1" applyNumberFormat="1" applyFont="1" applyFill="1" applyBorder="1" applyAlignment="1" applyProtection="1">
      <alignment horizontal="center" vertical="center"/>
      <protection hidden="1"/>
    </xf>
    <xf numFmtId="165" fontId="2" fillId="2" borderId="0" xfId="1" applyNumberFormat="1" applyFont="1" applyFill="1" applyBorder="1" applyAlignment="1" applyProtection="1">
      <alignment vertical="center"/>
      <protection hidden="1"/>
    </xf>
    <xf numFmtId="0" fontId="12" fillId="2" borderId="0" xfId="1" applyNumberFormat="1" applyFont="1" applyFill="1" applyBorder="1" applyAlignment="1" applyProtection="1">
      <alignment horizontal="center" vertical="center"/>
      <protection hidden="1"/>
    </xf>
    <xf numFmtId="165" fontId="11" fillId="2" borderId="0" xfId="1" applyNumberFormat="1" applyFont="1" applyFill="1" applyBorder="1" applyAlignment="1" applyProtection="1">
      <alignment vertical="center"/>
      <protection hidden="1"/>
    </xf>
    <xf numFmtId="9" fontId="12" fillId="2" borderId="0" xfId="1" applyNumberFormat="1" applyFont="1" applyFill="1" applyBorder="1" applyAlignment="1" applyProtection="1">
      <alignment horizontal="center" vertical="center"/>
      <protection hidden="1"/>
    </xf>
    <xf numFmtId="9" fontId="10" fillId="3" borderId="1" xfId="0" applyNumberFormat="1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Border="1" applyAlignment="1" applyProtection="1">
      <alignment vertical="center"/>
      <protection hidden="1"/>
    </xf>
    <xf numFmtId="0" fontId="10" fillId="2" borderId="0" xfId="2" applyFont="1" applyFill="1" applyBorder="1" applyAlignment="1" applyProtection="1">
      <alignment vertical="center"/>
      <protection hidden="1"/>
    </xf>
    <xf numFmtId="0" fontId="10" fillId="2" borderId="0" xfId="0" applyFont="1" applyFill="1" applyBorder="1"/>
    <xf numFmtId="0" fontId="9" fillId="2" borderId="0" xfId="2" applyFont="1" applyFill="1" applyBorder="1" applyAlignment="1" applyProtection="1">
      <protection hidden="1"/>
    </xf>
    <xf numFmtId="0" fontId="0" fillId="11" borderId="2" xfId="0" applyFill="1" applyBorder="1" applyProtection="1">
      <protection hidden="1"/>
    </xf>
    <xf numFmtId="0" fontId="0" fillId="11" borderId="0" xfId="0" applyFill="1" applyBorder="1" applyProtection="1">
      <protection hidden="1"/>
    </xf>
    <xf numFmtId="0" fontId="0" fillId="11" borderId="0" xfId="0" applyFill="1" applyBorder="1" applyAlignment="1" applyProtection="1">
      <alignment vertical="center"/>
      <protection hidden="1"/>
    </xf>
    <xf numFmtId="0" fontId="0" fillId="11" borderId="3" xfId="0" applyFill="1" applyBorder="1" applyAlignment="1" applyProtection="1">
      <alignment vertical="center"/>
      <protection hidden="1"/>
    </xf>
    <xf numFmtId="0" fontId="9" fillId="11" borderId="0" xfId="2" applyFont="1" applyFill="1" applyBorder="1" applyAlignment="1" applyProtection="1"/>
    <xf numFmtId="0" fontId="9" fillId="11" borderId="0" xfId="2" applyFont="1" applyFill="1" applyBorder="1" applyAlignment="1" applyProtection="1">
      <alignment vertical="center"/>
      <protection hidden="1"/>
    </xf>
    <xf numFmtId="0" fontId="8" fillId="11" borderId="0" xfId="2" applyFont="1" applyFill="1" applyBorder="1" applyAlignment="1" applyProtection="1">
      <alignment vertical="center"/>
      <protection hidden="1"/>
    </xf>
    <xf numFmtId="0" fontId="7" fillId="11" borderId="0" xfId="2" applyFont="1" applyFill="1" applyBorder="1" applyAlignment="1" applyProtection="1">
      <alignment vertical="center"/>
      <protection hidden="1"/>
    </xf>
    <xf numFmtId="0" fontId="0" fillId="11" borderId="0" xfId="0" applyFill="1" applyAlignment="1" applyProtection="1">
      <alignment vertical="center"/>
      <protection hidden="1"/>
    </xf>
    <xf numFmtId="0" fontId="4" fillId="11" borderId="3" xfId="0" applyFont="1" applyFill="1" applyBorder="1" applyAlignment="1" applyProtection="1">
      <alignment horizontal="center" vertical="center"/>
      <protection hidden="1"/>
    </xf>
    <xf numFmtId="0" fontId="3" fillId="11" borderId="3" xfId="0" applyFont="1" applyFill="1" applyBorder="1" applyAlignment="1" applyProtection="1">
      <alignment vertical="center"/>
      <protection hidden="1"/>
    </xf>
    <xf numFmtId="0" fontId="2" fillId="11" borderId="3" xfId="0" applyFont="1" applyFill="1" applyBorder="1" applyAlignment="1" applyProtection="1">
      <alignment vertical="center"/>
      <protection hidden="1"/>
    </xf>
    <xf numFmtId="0" fontId="0" fillId="4" borderId="4" xfId="0" applyFill="1" applyBorder="1" applyProtection="1">
      <protection hidden="1"/>
    </xf>
    <xf numFmtId="0" fontId="0" fillId="4" borderId="3" xfId="0" applyFill="1" applyBorder="1" applyProtection="1">
      <protection hidden="1"/>
    </xf>
    <xf numFmtId="0" fontId="0" fillId="4" borderId="3" xfId="0" applyFill="1" applyBorder="1" applyAlignment="1" applyProtection="1">
      <alignment vertical="center"/>
      <protection hidden="1"/>
    </xf>
    <xf numFmtId="165" fontId="11" fillId="12" borderId="1" xfId="1" applyNumberFormat="1" applyFont="1" applyFill="1" applyBorder="1" applyAlignment="1" applyProtection="1">
      <alignment vertical="center"/>
      <protection hidden="1"/>
    </xf>
    <xf numFmtId="0" fontId="26" fillId="11" borderId="3" xfId="0" applyFont="1" applyFill="1" applyBorder="1" applyAlignment="1" applyProtection="1">
      <alignment horizontal="right" vertical="center"/>
      <protection hidden="1"/>
    </xf>
    <xf numFmtId="42" fontId="5" fillId="5" borderId="5" xfId="1" applyNumberFormat="1" applyFont="1" applyFill="1" applyBorder="1" applyAlignment="1" applyProtection="1">
      <alignment vertical="center"/>
      <protection hidden="1"/>
    </xf>
    <xf numFmtId="42" fontId="5" fillId="5" borderId="6" xfId="1" applyNumberFormat="1" applyFont="1" applyFill="1" applyBorder="1" applyAlignment="1" applyProtection="1">
      <alignment vertical="center"/>
      <protection hidden="1"/>
    </xf>
    <xf numFmtId="0" fontId="4" fillId="6" borderId="1" xfId="0" applyFont="1" applyFill="1" applyBorder="1" applyAlignment="1" applyProtection="1">
      <alignment horizontal="center" vertical="center" wrapText="1"/>
      <protection hidden="1"/>
    </xf>
    <xf numFmtId="0" fontId="4" fillId="12" borderId="1" xfId="0" applyFont="1" applyFill="1" applyBorder="1" applyAlignment="1" applyProtection="1">
      <alignment horizontal="center" vertical="center" wrapText="1"/>
      <protection hidden="1"/>
    </xf>
    <xf numFmtId="0" fontId="0" fillId="7" borderId="0" xfId="0" applyFill="1" applyProtection="1">
      <protection hidden="1"/>
    </xf>
    <xf numFmtId="0" fontId="0" fillId="13" borderId="0" xfId="0" applyFill="1" applyProtection="1">
      <protection hidden="1"/>
    </xf>
    <xf numFmtId="0" fontId="0" fillId="4" borderId="0" xfId="0" applyFill="1" applyBorder="1" applyProtection="1">
      <protection hidden="1"/>
    </xf>
    <xf numFmtId="0" fontId="0" fillId="13" borderId="0" xfId="0" applyFill="1" applyBorder="1" applyProtection="1">
      <protection hidden="1"/>
    </xf>
    <xf numFmtId="0" fontId="18" fillId="13" borderId="0" xfId="0" applyFont="1" applyFill="1" applyBorder="1" applyProtection="1">
      <protection hidden="1"/>
    </xf>
    <xf numFmtId="0" fontId="0" fillId="4" borderId="0" xfId="0" applyFill="1" applyBorder="1" applyAlignment="1" applyProtection="1">
      <alignment vertical="center"/>
      <protection hidden="1"/>
    </xf>
    <xf numFmtId="0" fontId="0" fillId="13" borderId="0" xfId="0" applyFill="1" applyBorder="1" applyAlignment="1" applyProtection="1">
      <alignment vertical="center"/>
      <protection hidden="1"/>
    </xf>
    <xf numFmtId="0" fontId="0" fillId="13" borderId="0" xfId="0" applyFill="1" applyAlignment="1" applyProtection="1">
      <alignment vertical="center"/>
      <protection hidden="1"/>
    </xf>
    <xf numFmtId="0" fontId="0" fillId="7" borderId="0" xfId="0" applyFill="1" applyAlignment="1" applyProtection="1">
      <alignment vertical="center"/>
      <protection hidden="1"/>
    </xf>
    <xf numFmtId="0" fontId="3" fillId="14" borderId="3" xfId="0" applyFont="1" applyFill="1" applyBorder="1" applyAlignment="1" applyProtection="1">
      <alignment vertical="center"/>
      <protection hidden="1"/>
    </xf>
    <xf numFmtId="0" fontId="3" fillId="14" borderId="0" xfId="0" applyFont="1" applyFill="1" applyBorder="1" applyAlignment="1" applyProtection="1">
      <alignment vertical="center"/>
      <protection hidden="1"/>
    </xf>
    <xf numFmtId="0" fontId="3" fillId="13" borderId="0" xfId="0" applyFont="1" applyFill="1" applyBorder="1" applyAlignment="1" applyProtection="1">
      <alignment vertical="center"/>
      <protection hidden="1"/>
    </xf>
    <xf numFmtId="0" fontId="3" fillId="13" borderId="0" xfId="0" applyFont="1" applyFill="1" applyAlignment="1" applyProtection="1">
      <alignment vertical="center"/>
      <protection hidden="1"/>
    </xf>
    <xf numFmtId="0" fontId="3" fillId="7" borderId="0" xfId="0" applyFont="1" applyFill="1" applyAlignment="1" applyProtection="1">
      <alignment vertical="center"/>
      <protection hidden="1"/>
    </xf>
    <xf numFmtId="0" fontId="27" fillId="14" borderId="3" xfId="0" applyFont="1" applyFill="1" applyBorder="1" applyAlignment="1" applyProtection="1">
      <alignment horizontal="center" vertical="top" wrapText="1"/>
      <protection hidden="1"/>
    </xf>
    <xf numFmtId="0" fontId="27" fillId="14" borderId="0" xfId="0" applyFont="1" applyFill="1" applyBorder="1" applyAlignment="1" applyProtection="1">
      <alignment horizontal="center" vertical="top"/>
      <protection hidden="1"/>
    </xf>
    <xf numFmtId="0" fontId="27" fillId="13" borderId="0" xfId="0" applyFont="1" applyFill="1" applyBorder="1" applyAlignment="1" applyProtection="1">
      <alignment horizontal="center" vertical="top" wrapText="1"/>
      <protection hidden="1"/>
    </xf>
    <xf numFmtId="0" fontId="27" fillId="13" borderId="0" xfId="0" applyFont="1" applyFill="1" applyBorder="1" applyAlignment="1" applyProtection="1">
      <alignment horizontal="center" vertical="top"/>
      <protection hidden="1"/>
    </xf>
    <xf numFmtId="0" fontId="27" fillId="13" borderId="0" xfId="0" applyFont="1" applyFill="1" applyAlignment="1" applyProtection="1">
      <alignment horizontal="center" vertical="top"/>
      <protection hidden="1"/>
    </xf>
    <xf numFmtId="0" fontId="27" fillId="7" borderId="0" xfId="0" applyFont="1" applyFill="1" applyAlignment="1" applyProtection="1">
      <alignment horizontal="center" vertical="top"/>
      <protection hidden="1"/>
    </xf>
    <xf numFmtId="0" fontId="27" fillId="0" borderId="0" xfId="0" applyFont="1" applyAlignment="1" applyProtection="1">
      <alignment horizontal="center" vertical="top"/>
      <protection hidden="1"/>
    </xf>
    <xf numFmtId="0" fontId="19" fillId="13" borderId="3" xfId="0" applyFont="1" applyFill="1" applyBorder="1" applyAlignment="1" applyProtection="1">
      <alignment horizontal="center" vertical="center" wrapText="1"/>
      <protection hidden="1"/>
    </xf>
    <xf numFmtId="0" fontId="19" fillId="13" borderId="0" xfId="0" applyFont="1" applyFill="1" applyBorder="1" applyAlignment="1" applyProtection="1">
      <alignment horizontal="center" vertical="center"/>
      <protection hidden="1"/>
    </xf>
    <xf numFmtId="0" fontId="19" fillId="13" borderId="0" xfId="0" applyFont="1" applyFill="1" applyAlignment="1" applyProtection="1">
      <alignment horizontal="center" vertical="center"/>
      <protection hidden="1"/>
    </xf>
    <xf numFmtId="0" fontId="19" fillId="7" borderId="0" xfId="0" applyFont="1" applyFill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28" fillId="15" borderId="7" xfId="0" applyFont="1" applyFill="1" applyBorder="1" applyAlignment="1" applyProtection="1">
      <alignment horizontal="center" vertical="center" wrapText="1"/>
      <protection hidden="1"/>
    </xf>
    <xf numFmtId="0" fontId="28" fillId="2" borderId="0" xfId="0" applyFont="1" applyFill="1" applyBorder="1" applyAlignment="1" applyProtection="1">
      <alignment horizontal="center" vertical="center"/>
      <protection hidden="1"/>
    </xf>
    <xf numFmtId="0" fontId="20" fillId="13" borderId="0" xfId="0" applyFont="1" applyFill="1" applyAlignment="1" applyProtection="1">
      <alignment horizontal="center" vertical="center"/>
      <protection hidden="1"/>
    </xf>
    <xf numFmtId="0" fontId="20" fillId="7" borderId="0" xfId="0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14" fillId="2" borderId="0" xfId="0" applyFont="1" applyFill="1" applyBorder="1" applyAlignment="1" applyProtection="1">
      <alignment vertical="center"/>
      <protection hidden="1"/>
    </xf>
    <xf numFmtId="0" fontId="14" fillId="13" borderId="0" xfId="0" applyFont="1" applyFill="1" applyAlignment="1" applyProtection="1">
      <alignment vertical="center"/>
      <protection hidden="1"/>
    </xf>
    <xf numFmtId="0" fontId="14" fillId="7" borderId="0" xfId="0" applyFont="1" applyFill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22" fillId="13" borderId="0" xfId="0" applyFont="1" applyFill="1" applyAlignment="1" applyProtection="1">
      <alignment vertical="center"/>
      <protection hidden="1"/>
    </xf>
    <xf numFmtId="0" fontId="22" fillId="7" borderId="0" xfId="0" applyFont="1" applyFill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3" fillId="2" borderId="3" xfId="0" applyFont="1" applyFill="1" applyBorder="1" applyAlignment="1" applyProtection="1">
      <alignment horizontal="right" vertical="center"/>
      <protection hidden="1"/>
    </xf>
    <xf numFmtId="0" fontId="15" fillId="2" borderId="3" xfId="0" applyFont="1" applyFill="1" applyBorder="1" applyAlignment="1" applyProtection="1">
      <alignment vertical="center"/>
      <protection hidden="1"/>
    </xf>
    <xf numFmtId="0" fontId="15" fillId="2" borderId="0" xfId="0" applyFont="1" applyFill="1" applyBorder="1" applyAlignment="1" applyProtection="1">
      <alignment vertical="center"/>
      <protection hidden="1"/>
    </xf>
    <xf numFmtId="0" fontId="15" fillId="2" borderId="0" xfId="0" applyFont="1" applyFill="1" applyBorder="1" applyProtection="1">
      <protection hidden="1"/>
    </xf>
    <xf numFmtId="0" fontId="10" fillId="2" borderId="0" xfId="0" applyFont="1" applyFill="1" applyBorder="1" applyProtection="1">
      <protection hidden="1"/>
    </xf>
    <xf numFmtId="0" fontId="15" fillId="13" borderId="0" xfId="0" applyFont="1" applyFill="1" applyAlignment="1" applyProtection="1">
      <alignment vertical="center"/>
      <protection hidden="1"/>
    </xf>
    <xf numFmtId="0" fontId="15" fillId="7" borderId="0" xfId="0" applyFont="1" applyFill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0" fillId="2" borderId="3" xfId="0" applyFill="1" applyBorder="1" applyAlignment="1" applyProtection="1">
      <alignment vertical="center"/>
      <protection hidden="1"/>
    </xf>
    <xf numFmtId="0" fontId="0" fillId="13" borderId="3" xfId="0" applyFill="1" applyBorder="1" applyAlignment="1" applyProtection="1">
      <alignment vertical="center"/>
      <protection hidden="1"/>
    </xf>
    <xf numFmtId="164" fontId="14" fillId="13" borderId="0" xfId="0" applyNumberFormat="1" applyFont="1" applyFill="1" applyBorder="1" applyAlignment="1" applyProtection="1">
      <alignment horizontal="center" vertical="center" wrapText="1"/>
      <protection hidden="1"/>
    </xf>
    <xf numFmtId="0" fontId="14" fillId="13" borderId="0" xfId="0" applyNumberFormat="1" applyFont="1" applyFill="1" applyBorder="1" applyAlignment="1" applyProtection="1">
      <alignment horizontal="center" vertical="center" wrapText="1"/>
      <protection hidden="1"/>
    </xf>
    <xf numFmtId="0" fontId="15" fillId="0" borderId="0" xfId="0" applyFont="1" applyFill="1" applyAlignment="1" applyProtection="1">
      <alignment vertical="center"/>
      <protection hidden="1"/>
    </xf>
    <xf numFmtId="0" fontId="15" fillId="0" borderId="0" xfId="0" applyFont="1" applyFill="1" applyProtection="1">
      <protection hidden="1"/>
    </xf>
    <xf numFmtId="0" fontId="15" fillId="7" borderId="0" xfId="0" applyFont="1" applyFill="1" applyProtection="1">
      <protection hidden="1"/>
    </xf>
    <xf numFmtId="0" fontId="24" fillId="2" borderId="0" xfId="2" applyFont="1" applyFill="1" applyBorder="1" applyAlignment="1" applyProtection="1">
      <alignment vertical="center"/>
      <protection hidden="1"/>
    </xf>
    <xf numFmtId="0" fontId="0" fillId="16" borderId="0" xfId="0" applyFill="1" applyProtection="1">
      <protection hidden="1"/>
    </xf>
    <xf numFmtId="0" fontId="0" fillId="16" borderId="0" xfId="0" applyFill="1" applyAlignment="1" applyProtection="1">
      <alignment vertical="center"/>
      <protection hidden="1"/>
    </xf>
    <xf numFmtId="0" fontId="3" fillId="16" borderId="0" xfId="0" applyFont="1" applyFill="1" applyAlignment="1" applyProtection="1">
      <alignment vertical="center"/>
      <protection hidden="1"/>
    </xf>
    <xf numFmtId="0" fontId="27" fillId="16" borderId="0" xfId="0" applyFont="1" applyFill="1" applyAlignment="1" applyProtection="1">
      <alignment horizontal="center" vertical="top"/>
      <protection hidden="1"/>
    </xf>
    <xf numFmtId="0" fontId="19" fillId="16" borderId="0" xfId="0" applyFont="1" applyFill="1" applyAlignment="1" applyProtection="1">
      <alignment horizontal="center" vertical="center"/>
      <protection hidden="1"/>
    </xf>
    <xf numFmtId="0" fontId="20" fillId="16" borderId="0" xfId="0" applyFont="1" applyFill="1" applyAlignment="1" applyProtection="1">
      <alignment horizontal="center" vertical="center"/>
      <protection hidden="1"/>
    </xf>
    <xf numFmtId="0" fontId="14" fillId="16" borderId="0" xfId="0" applyFont="1" applyFill="1" applyAlignment="1" applyProtection="1">
      <alignment vertical="center"/>
      <protection hidden="1"/>
    </xf>
    <xf numFmtId="0" fontId="22" fillId="16" borderId="0" xfId="0" applyFont="1" applyFill="1" applyAlignment="1" applyProtection="1">
      <alignment vertical="center"/>
      <protection hidden="1"/>
    </xf>
    <xf numFmtId="0" fontId="15" fillId="16" borderId="0" xfId="0" applyFont="1" applyFill="1" applyAlignment="1" applyProtection="1">
      <alignment vertical="center"/>
      <protection hidden="1"/>
    </xf>
    <xf numFmtId="0" fontId="15" fillId="16" borderId="0" xfId="0" applyFont="1" applyFill="1" applyProtection="1">
      <protection hidden="1"/>
    </xf>
    <xf numFmtId="0" fontId="0" fillId="7" borderId="0" xfId="0" applyFill="1" applyBorder="1" applyProtection="1">
      <protection hidden="1"/>
    </xf>
    <xf numFmtId="0" fontId="28" fillId="15" borderId="13" xfId="0" applyFont="1" applyFill="1" applyBorder="1" applyAlignment="1" applyProtection="1">
      <alignment horizontal="center" vertical="center" wrapText="1"/>
      <protection hidden="1"/>
    </xf>
    <xf numFmtId="0" fontId="28" fillId="15" borderId="14" xfId="0" applyFont="1" applyFill="1" applyBorder="1" applyAlignment="1" applyProtection="1">
      <alignment horizontal="center" vertical="center" wrapText="1"/>
      <protection hidden="1"/>
    </xf>
    <xf numFmtId="0" fontId="28" fillId="15" borderId="15" xfId="0" applyFont="1" applyFill="1" applyBorder="1" applyAlignment="1" applyProtection="1">
      <alignment horizontal="center" vertical="center" wrapText="1"/>
      <protection hidden="1"/>
    </xf>
    <xf numFmtId="0" fontId="28" fillId="15" borderId="16" xfId="0" applyFont="1" applyFill="1" applyBorder="1" applyAlignment="1" applyProtection="1">
      <alignment horizontal="center" vertical="center" wrapText="1"/>
      <protection hidden="1"/>
    </xf>
    <xf numFmtId="15" fontId="29" fillId="15" borderId="7" xfId="0" applyNumberFormat="1" applyFont="1" applyFill="1" applyBorder="1" applyAlignment="1" applyProtection="1">
      <alignment horizontal="center" vertical="center"/>
      <protection hidden="1"/>
    </xf>
    <xf numFmtId="0" fontId="0" fillId="7" borderId="0" xfId="0" applyFill="1" applyAlignment="1" applyProtection="1">
      <protection hidden="1"/>
    </xf>
    <xf numFmtId="0" fontId="0" fillId="16" borderId="0" xfId="0" applyFill="1" applyAlignment="1" applyProtection="1">
      <protection hidden="1"/>
    </xf>
    <xf numFmtId="15" fontId="29" fillId="15" borderId="8" xfId="0" applyNumberFormat="1" applyFont="1" applyFill="1" applyBorder="1" applyAlignment="1" applyProtection="1">
      <alignment horizontal="center" vertical="center"/>
      <protection hidden="1"/>
    </xf>
    <xf numFmtId="0" fontId="30" fillId="2" borderId="17" xfId="0" applyFont="1" applyFill="1" applyBorder="1" applyAlignment="1" applyProtection="1">
      <alignment vertical="center"/>
      <protection hidden="1"/>
    </xf>
    <xf numFmtId="0" fontId="30" fillId="2" borderId="18" xfId="0" applyFont="1" applyFill="1" applyBorder="1" applyAlignment="1" applyProtection="1">
      <alignment vertical="center"/>
      <protection hidden="1"/>
    </xf>
    <xf numFmtId="0" fontId="31" fillId="9" borderId="19" xfId="0" applyFont="1" applyFill="1" applyBorder="1" applyAlignment="1" applyProtection="1">
      <alignment horizontal="right" vertical="center" wrapText="1"/>
      <protection hidden="1"/>
    </xf>
    <xf numFmtId="0" fontId="32" fillId="9" borderId="20" xfId="0" applyFont="1" applyFill="1" applyBorder="1" applyAlignment="1" applyProtection="1">
      <alignment horizontal="center" vertical="center" wrapText="1"/>
      <protection hidden="1"/>
    </xf>
    <xf numFmtId="166" fontId="11" fillId="12" borderId="1" xfId="1" applyNumberFormat="1" applyFont="1" applyFill="1" applyBorder="1" applyAlignment="1" applyProtection="1">
      <alignment vertical="center"/>
      <protection hidden="1"/>
    </xf>
    <xf numFmtId="166" fontId="13" fillId="17" borderId="1" xfId="1" applyNumberFormat="1" applyFont="1" applyFill="1" applyBorder="1" applyAlignment="1" applyProtection="1">
      <alignment vertical="center"/>
      <protection hidden="1"/>
    </xf>
    <xf numFmtId="15" fontId="15" fillId="16" borderId="0" xfId="0" applyNumberFormat="1" applyFont="1" applyFill="1" applyAlignment="1" applyProtection="1">
      <alignment vertical="center"/>
      <protection hidden="1"/>
    </xf>
    <xf numFmtId="15" fontId="15" fillId="14" borderId="9" xfId="0" applyNumberFormat="1" applyFont="1" applyFill="1" applyBorder="1" applyAlignment="1" applyProtection="1">
      <alignment vertical="center"/>
      <protection hidden="1"/>
    </xf>
    <xf numFmtId="0" fontId="15" fillId="14" borderId="9" xfId="0" applyFont="1" applyFill="1" applyBorder="1" applyAlignment="1" applyProtection="1">
      <alignment vertical="center"/>
      <protection hidden="1"/>
    </xf>
    <xf numFmtId="0" fontId="0" fillId="14" borderId="9" xfId="0" applyFill="1" applyBorder="1" applyAlignment="1" applyProtection="1">
      <protection hidden="1"/>
    </xf>
    <xf numFmtId="0" fontId="0" fillId="14" borderId="9" xfId="0" applyFill="1" applyBorder="1" applyProtection="1">
      <protection hidden="1"/>
    </xf>
    <xf numFmtId="0" fontId="15" fillId="14" borderId="9" xfId="0" applyFont="1" applyFill="1" applyBorder="1" applyAlignment="1" applyProtection="1">
      <alignment horizontal="left" vertical="center"/>
      <protection hidden="1"/>
    </xf>
    <xf numFmtId="0" fontId="15" fillId="0" borderId="9" xfId="0" applyFont="1" applyFill="1" applyBorder="1" applyAlignment="1" applyProtection="1">
      <alignment vertical="center"/>
      <protection hidden="1"/>
    </xf>
    <xf numFmtId="15" fontId="13" fillId="14" borderId="9" xfId="0" applyNumberFormat="1" applyFont="1" applyFill="1" applyBorder="1" applyAlignment="1" applyProtection="1">
      <alignment vertical="center"/>
      <protection hidden="1"/>
    </xf>
    <xf numFmtId="0" fontId="13" fillId="0" borderId="9" xfId="0" applyFont="1" applyFill="1" applyBorder="1" applyAlignment="1" applyProtection="1">
      <alignment vertical="center"/>
      <protection hidden="1"/>
    </xf>
    <xf numFmtId="15" fontId="0" fillId="18" borderId="9" xfId="0" applyNumberFormat="1" applyFill="1" applyBorder="1" applyAlignment="1" applyProtection="1">
      <alignment vertical="center"/>
      <protection hidden="1"/>
    </xf>
    <xf numFmtId="0" fontId="0" fillId="0" borderId="9" xfId="0" applyFill="1" applyBorder="1" applyAlignment="1" applyProtection="1">
      <alignment vertical="center"/>
      <protection hidden="1"/>
    </xf>
    <xf numFmtId="166" fontId="0" fillId="0" borderId="9" xfId="1" applyNumberFormat="1" applyFont="1" applyFill="1" applyBorder="1" applyAlignment="1" applyProtection="1">
      <alignment vertical="center"/>
      <protection hidden="1"/>
    </xf>
    <xf numFmtId="166" fontId="13" fillId="0" borderId="9" xfId="1" applyNumberFormat="1" applyFont="1" applyFill="1" applyBorder="1" applyAlignment="1" applyProtection="1">
      <alignment vertical="center"/>
      <protection hidden="1"/>
    </xf>
    <xf numFmtId="167" fontId="5" fillId="5" borderId="1" xfId="1" applyNumberFormat="1" applyFont="1" applyFill="1" applyBorder="1" applyAlignment="1" applyProtection="1">
      <alignment vertical="center"/>
      <protection hidden="1"/>
    </xf>
    <xf numFmtId="167" fontId="5" fillId="8" borderId="1" xfId="1" applyNumberFormat="1" applyFont="1" applyFill="1" applyBorder="1" applyAlignment="1" applyProtection="1">
      <alignment vertical="center"/>
      <protection hidden="1"/>
    </xf>
    <xf numFmtId="0" fontId="0" fillId="0" borderId="0" xfId="0" applyFill="1" applyBorder="1" applyAlignment="1" applyProtection="1">
      <alignment vertical="center"/>
      <protection hidden="1"/>
    </xf>
    <xf numFmtId="169" fontId="21" fillId="5" borderId="21" xfId="1" applyNumberFormat="1" applyFont="1" applyFill="1" applyBorder="1" applyAlignment="1" applyProtection="1">
      <alignment vertical="center"/>
      <protection hidden="1"/>
    </xf>
    <xf numFmtId="169" fontId="21" fillId="5" borderId="22" xfId="1" applyNumberFormat="1" applyFont="1" applyFill="1" applyBorder="1" applyAlignment="1" applyProtection="1">
      <alignment vertical="center"/>
      <protection hidden="1"/>
    </xf>
    <xf numFmtId="169" fontId="21" fillId="5" borderId="23" xfId="1" applyNumberFormat="1" applyFont="1" applyFill="1" applyBorder="1" applyAlignment="1" applyProtection="1">
      <alignment vertical="center"/>
      <protection hidden="1"/>
    </xf>
    <xf numFmtId="169" fontId="33" fillId="9" borderId="24" xfId="0" applyNumberFormat="1" applyFont="1" applyFill="1" applyBorder="1" applyAlignment="1" applyProtection="1">
      <alignment horizontal="center" vertical="center" wrapText="1"/>
      <protection hidden="1"/>
    </xf>
    <xf numFmtId="169" fontId="33" fillId="9" borderId="25" xfId="0" applyNumberFormat="1" applyFont="1" applyFill="1" applyBorder="1" applyAlignment="1" applyProtection="1">
      <alignment horizontal="center" vertical="center" wrapText="1"/>
      <protection hidden="1"/>
    </xf>
    <xf numFmtId="169" fontId="33" fillId="9" borderId="26" xfId="0" applyNumberFormat="1" applyFont="1" applyFill="1" applyBorder="1" applyAlignment="1" applyProtection="1">
      <alignment horizontal="center" vertical="center" wrapText="1"/>
      <protection hidden="1"/>
    </xf>
    <xf numFmtId="169" fontId="33" fillId="9" borderId="27" xfId="0" applyNumberFormat="1" applyFont="1" applyFill="1" applyBorder="1" applyAlignment="1" applyProtection="1">
      <alignment horizontal="center" vertical="center" wrapText="1"/>
      <protection hidden="1"/>
    </xf>
    <xf numFmtId="169" fontId="33" fillId="9" borderId="28" xfId="0" applyNumberFormat="1" applyFont="1" applyFill="1" applyBorder="1" applyAlignment="1" applyProtection="1">
      <alignment horizontal="center" vertical="center" wrapText="1"/>
      <protection hidden="1"/>
    </xf>
    <xf numFmtId="169" fontId="33" fillId="9" borderId="29" xfId="0" applyNumberFormat="1" applyFont="1" applyFill="1" applyBorder="1" applyAlignment="1" applyProtection="1">
      <alignment horizontal="center" vertical="center" wrapText="1"/>
      <protection hidden="1"/>
    </xf>
    <xf numFmtId="168" fontId="5" fillId="5" borderId="1" xfId="1" applyNumberFormat="1" applyFont="1" applyFill="1" applyBorder="1" applyAlignment="1" applyProtection="1">
      <alignment vertical="center"/>
      <protection hidden="1"/>
    </xf>
    <xf numFmtId="168" fontId="5" fillId="5" borderId="6" xfId="1" applyNumberFormat="1" applyFont="1" applyFill="1" applyBorder="1" applyAlignment="1" applyProtection="1">
      <alignment vertical="center"/>
      <protection hidden="1"/>
    </xf>
    <xf numFmtId="168" fontId="5" fillId="2" borderId="0" xfId="1" applyNumberFormat="1" applyFont="1" applyFill="1" applyBorder="1" applyAlignment="1" applyProtection="1">
      <alignment vertical="center"/>
      <protection hidden="1"/>
    </xf>
    <xf numFmtId="168" fontId="5" fillId="8" borderId="1" xfId="1" applyNumberFormat="1" applyFont="1" applyFill="1" applyBorder="1" applyAlignment="1" applyProtection="1">
      <alignment vertical="center"/>
      <protection hidden="1"/>
    </xf>
    <xf numFmtId="168" fontId="0" fillId="2" borderId="0" xfId="0" applyNumberFormat="1" applyFill="1" applyBorder="1" applyAlignment="1" applyProtection="1">
      <alignment vertical="center"/>
      <protection hidden="1"/>
    </xf>
    <xf numFmtId="168" fontId="25" fillId="5" borderId="21" xfId="1" applyNumberFormat="1" applyFont="1" applyFill="1" applyBorder="1" applyAlignment="1" applyProtection="1">
      <alignment vertical="center"/>
      <protection hidden="1"/>
    </xf>
    <xf numFmtId="168" fontId="25" fillId="5" borderId="22" xfId="1" applyNumberFormat="1" applyFont="1" applyFill="1" applyBorder="1" applyAlignment="1" applyProtection="1">
      <alignment vertical="center"/>
      <protection hidden="1"/>
    </xf>
    <xf numFmtId="168" fontId="25" fillId="5" borderId="23" xfId="1" applyNumberFormat="1" applyFont="1" applyFill="1" applyBorder="1" applyAlignment="1" applyProtection="1">
      <alignment vertical="center"/>
      <protection hidden="1"/>
    </xf>
    <xf numFmtId="168" fontId="34" fillId="9" borderId="24" xfId="0" applyNumberFormat="1" applyFont="1" applyFill="1" applyBorder="1" applyAlignment="1" applyProtection="1">
      <alignment horizontal="center" vertical="center" wrapText="1"/>
      <protection hidden="1"/>
    </xf>
    <xf numFmtId="168" fontId="34" fillId="9" borderId="25" xfId="0" applyNumberFormat="1" applyFont="1" applyFill="1" applyBorder="1" applyAlignment="1" applyProtection="1">
      <alignment horizontal="center" vertical="center" wrapText="1"/>
      <protection hidden="1"/>
    </xf>
    <xf numFmtId="168" fontId="34" fillId="9" borderId="26" xfId="0" applyNumberFormat="1" applyFont="1" applyFill="1" applyBorder="1" applyAlignment="1" applyProtection="1">
      <alignment horizontal="center" vertical="center" wrapText="1"/>
      <protection hidden="1"/>
    </xf>
    <xf numFmtId="168" fontId="34" fillId="9" borderId="27" xfId="0" applyNumberFormat="1" applyFont="1" applyFill="1" applyBorder="1" applyAlignment="1" applyProtection="1">
      <alignment horizontal="center" vertical="center" wrapText="1"/>
      <protection hidden="1"/>
    </xf>
    <xf numFmtId="168" fontId="34" fillId="9" borderId="28" xfId="0" applyNumberFormat="1" applyFont="1" applyFill="1" applyBorder="1" applyAlignment="1" applyProtection="1">
      <alignment horizontal="center" vertical="center" wrapText="1"/>
      <protection hidden="1"/>
    </xf>
    <xf numFmtId="168" fontId="34" fillId="9" borderId="29" xfId="0" applyNumberFormat="1" applyFont="1" applyFill="1" applyBorder="1" applyAlignment="1" applyProtection="1">
      <alignment horizontal="center" vertical="center" wrapText="1"/>
      <protection hidden="1"/>
    </xf>
    <xf numFmtId="0" fontId="4" fillId="11" borderId="0" xfId="0" applyFont="1" applyFill="1" applyBorder="1" applyAlignment="1" applyProtection="1">
      <alignment horizontal="center" vertical="center"/>
      <protection hidden="1"/>
    </xf>
    <xf numFmtId="0" fontId="3" fillId="11" borderId="0" xfId="0" applyFont="1" applyFill="1" applyBorder="1" applyAlignment="1" applyProtection="1">
      <alignment vertical="center"/>
      <protection hidden="1"/>
    </xf>
    <xf numFmtId="0" fontId="26" fillId="11" borderId="0" xfId="0" applyFont="1" applyFill="1" applyBorder="1" applyAlignment="1" applyProtection="1">
      <alignment horizontal="right" vertical="center"/>
      <protection hidden="1"/>
    </xf>
    <xf numFmtId="0" fontId="2" fillId="11" borderId="0" xfId="0" applyFont="1" applyFill="1" applyBorder="1" applyAlignment="1" applyProtection="1">
      <alignment vertical="center"/>
      <protection hidden="1"/>
    </xf>
    <xf numFmtId="15" fontId="35" fillId="11" borderId="0" xfId="0" quotePrefix="1" applyNumberFormat="1" applyFont="1" applyFill="1" applyBorder="1" applyAlignment="1" applyProtection="1">
      <alignment horizontal="left" vertical="center"/>
      <protection hidden="1"/>
    </xf>
    <xf numFmtId="0" fontId="16" fillId="10" borderId="0" xfId="0" applyFont="1" applyFill="1" applyBorder="1" applyAlignment="1" applyProtection="1">
      <alignment horizontal="center" vertical="center"/>
      <protection hidden="1"/>
    </xf>
    <xf numFmtId="0" fontId="36" fillId="19" borderId="30" xfId="2" applyFont="1" applyFill="1" applyBorder="1" applyAlignment="1" applyProtection="1">
      <alignment horizontal="center" vertical="center" wrapText="1"/>
      <protection hidden="1"/>
    </xf>
    <xf numFmtId="0" fontId="15" fillId="14" borderId="10" xfId="0" applyFont="1" applyFill="1" applyBorder="1" applyAlignment="1" applyProtection="1">
      <alignment horizontal="center" vertical="center"/>
      <protection hidden="1"/>
    </xf>
    <xf numFmtId="0" fontId="15" fillId="14" borderId="11" xfId="0" applyFont="1" applyFill="1" applyBorder="1" applyAlignment="1" applyProtection="1">
      <alignment horizontal="center" vertical="center"/>
      <protection hidden="1"/>
    </xf>
    <xf numFmtId="0" fontId="15" fillId="14" borderId="12" xfId="0" applyFont="1" applyFill="1" applyBorder="1" applyAlignment="1" applyProtection="1">
      <alignment horizontal="center" vertical="center"/>
      <protection hidden="1"/>
    </xf>
    <xf numFmtId="166" fontId="15" fillId="14" borderId="10" xfId="1" applyNumberFormat="1" applyFont="1" applyFill="1" applyBorder="1" applyAlignment="1" applyProtection="1">
      <alignment horizontal="center" vertical="center"/>
      <protection hidden="1"/>
    </xf>
    <xf numFmtId="166" fontId="15" fillId="14" borderId="11" xfId="1" applyNumberFormat="1" applyFont="1" applyFill="1" applyBorder="1" applyAlignment="1" applyProtection="1">
      <alignment horizontal="center" vertical="center"/>
      <protection hidden="1"/>
    </xf>
    <xf numFmtId="166" fontId="15" fillId="14" borderId="12" xfId="1" applyNumberFormat="1" applyFont="1" applyFill="1" applyBorder="1" applyAlignment="1" applyProtection="1">
      <alignment horizontal="center" vertical="center"/>
      <protection hidden="1"/>
    </xf>
    <xf numFmtId="166" fontId="13" fillId="14" borderId="10" xfId="1" applyNumberFormat="1" applyFont="1" applyFill="1" applyBorder="1" applyAlignment="1" applyProtection="1">
      <alignment horizontal="center" vertical="center"/>
      <protection hidden="1"/>
    </xf>
    <xf numFmtId="166" fontId="13" fillId="14" borderId="11" xfId="1" applyNumberFormat="1" applyFont="1" applyFill="1" applyBorder="1" applyAlignment="1" applyProtection="1">
      <alignment horizontal="center" vertical="center"/>
      <protection hidden="1"/>
    </xf>
    <xf numFmtId="166" fontId="13" fillId="14" borderId="12" xfId="1" applyNumberFormat="1" applyFont="1" applyFill="1" applyBorder="1" applyAlignment="1" applyProtection="1">
      <alignment horizontal="center" vertical="center"/>
      <protection hidden="1"/>
    </xf>
  </cellXfs>
  <cellStyles count="3">
    <cellStyle name="Comma" xfId="1" builtinId="3"/>
    <cellStyle name="Hyperlink" xfId="2" builtinId="8"/>
    <cellStyle name="Normal" xfId="0" builtinId="0"/>
  </cellStyles>
  <dxfs count="4">
    <dxf>
      <fill>
        <patternFill>
          <bgColor indexed="18"/>
        </patternFill>
      </fill>
    </dxf>
    <dxf>
      <fill>
        <patternFill>
          <bgColor indexed="18"/>
        </patternFill>
      </fill>
    </dxf>
    <dxf>
      <fill>
        <patternFill>
          <bgColor indexed="18"/>
        </patternFill>
      </fill>
    </dxf>
    <dxf>
      <fill>
        <patternFill>
          <bgColor indexed="1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Cost</a:t>
            </a:r>
          </a:p>
        </c:rich>
      </c:tx>
      <c:layout>
        <c:manualLayout>
          <c:xMode val="edge"/>
          <c:yMode val="edge"/>
          <c:x val="0.27729857631432436"/>
          <c:y val="2.4896162904108284E-2"/>
        </c:manualLayout>
      </c:layout>
      <c:overlay val="0"/>
    </c:title>
    <c:autoTitleDeleted val="0"/>
    <c:view3D>
      <c:rotX val="25"/>
      <c:hPercent val="5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2439316935098506E-2"/>
          <c:y val="0.39596212238176109"/>
          <c:w val="0.82614041000725325"/>
          <c:h val="0.43012505789717465"/>
        </c:manualLayout>
      </c:layout>
      <c:pie3DChart>
        <c:varyColors val="1"/>
        <c:ser>
          <c:idx val="0"/>
          <c:order val="0"/>
          <c:tx>
            <c:v>Total Cost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064-4A6D-B567-D4114A89416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8064-4A6D-B567-D4114A89416C}"/>
              </c:ext>
            </c:extLst>
          </c:dPt>
          <c:dLbls>
            <c:dLbl>
              <c:idx val="0"/>
              <c:layout>
                <c:manualLayout>
                  <c:x val="-0.28924146533411044"/>
                  <c:y val="1.9440584632803251E-2"/>
                </c:manualLayout>
              </c:layout>
              <c:spPr/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FFFFFF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64-4A6D-B567-D4114A89416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700" b="0" i="0" u="none" strike="noStrike" baseline="0">
                        <a:solidFill>
                          <a:srgbClr val="FFFFFF"/>
                        </a:solidFill>
                        <a:latin typeface="Calibri"/>
                        <a:ea typeface="Calibri"/>
                        <a:cs typeface="Calibri"/>
                      </a:defRPr>
                    </a:pPr>
                    <a:r>
                      <a:rPr lang="en-US"/>
                      <a:t>SANTAN TERM.</a:t>
                    </a:r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64-4A6D-B567-D4114A89416C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(EnC!$A$9,EnC!$A$11)</c:f>
              <c:strCache>
                <c:ptCount val="2"/>
                <c:pt idx="0">
                  <c:v>SOUTH _OSF</c:v>
                </c:pt>
                <c:pt idx="1">
                  <c:v>NORTH_OSF</c:v>
                </c:pt>
              </c:strCache>
            </c:strRef>
          </c:cat>
          <c:val>
            <c:numRef>
              <c:f>(EnC!$I$9,EnC!$I$11)</c:f>
              <c:numCache>
                <c:formatCode>_([$$-409]* #,##0.00_);_([$$-409]* \(#,##0.00\);_([$$-409]* "-"??_);_(@_)</c:formatCode>
                <c:ptCount val="2"/>
                <c:pt idx="0">
                  <c:v>71371.855637558197</c:v>
                </c:pt>
                <c:pt idx="1">
                  <c:v>217205.65680904771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64-4A6D-B567-D4114A894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FFFFFF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Cost</a:t>
            </a:r>
          </a:p>
        </c:rich>
      </c:tx>
      <c:layout>
        <c:manualLayout>
          <c:xMode val="edge"/>
          <c:yMode val="edge"/>
          <c:x val="0.27729893519407639"/>
          <c:y val="2.4896162904108284E-2"/>
        </c:manualLayout>
      </c:layout>
      <c:overlay val="0"/>
    </c:title>
    <c:autoTitleDeleted val="0"/>
    <c:view3D>
      <c:rotX val="25"/>
      <c:hPercent val="5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2439316935098506E-2"/>
          <c:y val="0.39596212238176109"/>
          <c:w val="0.82614041000725325"/>
          <c:h val="0.43012505789717465"/>
        </c:manualLayout>
      </c:layout>
      <c:pie3DChart>
        <c:varyColors val="1"/>
        <c:ser>
          <c:idx val="0"/>
          <c:order val="0"/>
          <c:tx>
            <c:v>Total Cost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C7D-4D68-9E25-58131D06334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CC7D-4D68-9E25-58131D06334E}"/>
              </c:ext>
            </c:extLst>
          </c:dPt>
          <c:dLbls>
            <c:dLbl>
              <c:idx val="0"/>
              <c:layout>
                <c:manualLayout>
                  <c:x val="-0.28924146533411044"/>
                  <c:y val="1.9440584632803251E-2"/>
                </c:manualLayout>
              </c:layout>
              <c:spPr/>
              <c:txPr>
                <a:bodyPr/>
                <a:lstStyle/>
                <a:p>
                  <a:pPr>
                    <a:defRPr sz="700" b="0" i="0" u="none" strike="noStrike" baseline="0">
                      <a:solidFill>
                        <a:srgbClr val="FFFFFF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7D-4D68-9E25-58131D0633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>
                      <a:defRPr sz="700" b="0" i="0" u="none" strike="noStrike" baseline="0">
                        <a:solidFill>
                          <a:srgbClr val="FFFFFF"/>
                        </a:solidFill>
                        <a:latin typeface="Calibri"/>
                        <a:ea typeface="Calibri"/>
                        <a:cs typeface="Calibri"/>
                      </a:defRPr>
                    </a:pPr>
                    <a:r>
                      <a:rPr lang="en-US"/>
                      <a:t>SANTAN TERM.</a:t>
                    </a:r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7D-4D68-9E25-58131D06334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(EnC!$A$9,EnC!$A$11)</c:f>
              <c:strCache>
                <c:ptCount val="2"/>
                <c:pt idx="0">
                  <c:v>SOUTH _OSF</c:v>
                </c:pt>
                <c:pt idx="1">
                  <c:v>NORTH_OSF</c:v>
                </c:pt>
              </c:strCache>
            </c:strRef>
          </c:cat>
          <c:val>
            <c:numRef>
              <c:f>(EnC!$I$9,EnC!$I$11)</c:f>
              <c:numCache>
                <c:formatCode>_([$$-409]* #,##0.00_);_([$$-409]* \(#,##0.00\);_([$$-409]* "-"??_);_(@_)</c:formatCode>
                <c:ptCount val="2"/>
                <c:pt idx="0">
                  <c:v>71371.855637558197</c:v>
                </c:pt>
                <c:pt idx="1">
                  <c:v>217205.65680904771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7D-4D68-9E25-58131D063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FFFFFF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En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745401</xdr:colOff>
      <xdr:row>4</xdr:row>
      <xdr:rowOff>60326</xdr:rowOff>
    </xdr:from>
    <xdr:to>
      <xdr:col>9</xdr:col>
      <xdr:colOff>449553</xdr:colOff>
      <xdr:row>4</xdr:row>
      <xdr:rowOff>307976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953260" y="774701"/>
          <a:ext cx="5219558" cy="2476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Monthly Boat Cost</a:t>
          </a:r>
        </a:p>
      </xdr:txBody>
    </xdr:sp>
    <xdr:clientData/>
  </xdr:twoCellAnchor>
  <xdr:twoCellAnchor>
    <xdr:from>
      <xdr:col>6</xdr:col>
      <xdr:colOff>9525</xdr:colOff>
      <xdr:row>1</xdr:row>
      <xdr:rowOff>95250</xdr:rowOff>
    </xdr:from>
    <xdr:to>
      <xdr:col>8</xdr:col>
      <xdr:colOff>231580</xdr:colOff>
      <xdr:row>2</xdr:row>
      <xdr:rowOff>133641</xdr:rowOff>
    </xdr:to>
    <xdr:sp macro="" textlink="">
      <xdr:nvSpPr>
        <xdr:cNvPr id="6" name="WordArt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4057650" y="295275"/>
          <a:ext cx="1630319" cy="23841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FE&amp;C</a:t>
          </a:r>
        </a:p>
      </xdr:txBody>
    </xdr:sp>
    <xdr:clientData/>
  </xdr:twoCellAnchor>
  <xdr:twoCellAnchor>
    <xdr:from>
      <xdr:col>13</xdr:col>
      <xdr:colOff>88900</xdr:colOff>
      <xdr:row>7</xdr:row>
      <xdr:rowOff>165100</xdr:rowOff>
    </xdr:from>
    <xdr:to>
      <xdr:col>16</xdr:col>
      <xdr:colOff>508000</xdr:colOff>
      <xdr:row>19</xdr:row>
      <xdr:rowOff>44450</xdr:rowOff>
    </xdr:to>
    <xdr:graphicFrame macro="">
      <xdr:nvGraphicFramePr>
        <xdr:cNvPr id="14262168" name="Chart 15">
          <a:extLst>
            <a:ext uri="{FF2B5EF4-FFF2-40B4-BE49-F238E27FC236}">
              <a16:creationId xmlns:a16="http://schemas.microsoft.com/office/drawing/2014/main" id="{00000000-0008-0000-0000-0000989FD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1187450</xdr:colOff>
      <xdr:row>23</xdr:row>
      <xdr:rowOff>63500</xdr:rowOff>
    </xdr:from>
    <xdr:to>
      <xdr:col>3</xdr:col>
      <xdr:colOff>88900</xdr:colOff>
      <xdr:row>25</xdr:row>
      <xdr:rowOff>19050</xdr:rowOff>
    </xdr:to>
    <xdr:pic>
      <xdr:nvPicPr>
        <xdr:cNvPr id="14262169" name="Picture 1">
          <a:extLst>
            <a:ext uri="{FF2B5EF4-FFF2-40B4-BE49-F238E27FC236}">
              <a16:creationId xmlns:a16="http://schemas.microsoft.com/office/drawing/2014/main" id="{00000000-0008-0000-0000-0000999FD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4610100"/>
          <a:ext cx="24765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1149350</xdr:colOff>
      <xdr:row>23</xdr:row>
      <xdr:rowOff>76200</xdr:rowOff>
    </xdr:from>
    <xdr:to>
      <xdr:col>7</xdr:col>
      <xdr:colOff>50800</xdr:colOff>
      <xdr:row>25</xdr:row>
      <xdr:rowOff>31750</xdr:rowOff>
    </xdr:to>
    <xdr:pic>
      <xdr:nvPicPr>
        <xdr:cNvPr id="14262170" name="Picture 2">
          <a:extLst>
            <a:ext uri="{FF2B5EF4-FFF2-40B4-BE49-F238E27FC236}">
              <a16:creationId xmlns:a16="http://schemas.microsoft.com/office/drawing/2014/main" id="{00000000-0008-0000-0000-00009A9FD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4622800"/>
          <a:ext cx="24765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406400</xdr:colOff>
      <xdr:row>23</xdr:row>
      <xdr:rowOff>76200</xdr:rowOff>
    </xdr:from>
    <xdr:to>
      <xdr:col>13</xdr:col>
      <xdr:colOff>666750</xdr:colOff>
      <xdr:row>25</xdr:row>
      <xdr:rowOff>31750</xdr:rowOff>
    </xdr:to>
    <xdr:pic>
      <xdr:nvPicPr>
        <xdr:cNvPr id="14262171" name="Picture 3">
          <a:extLst>
            <a:ext uri="{FF2B5EF4-FFF2-40B4-BE49-F238E27FC236}">
              <a16:creationId xmlns:a16="http://schemas.microsoft.com/office/drawing/2014/main" id="{00000000-0008-0000-0000-00009B9FD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4622800"/>
          <a:ext cx="26035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739958</xdr:colOff>
      <xdr:row>4</xdr:row>
      <xdr:rowOff>60326</xdr:rowOff>
    </xdr:from>
    <xdr:to>
      <xdr:col>28</xdr:col>
      <xdr:colOff>443250</xdr:colOff>
      <xdr:row>4</xdr:row>
      <xdr:rowOff>307976</xdr:rowOff>
    </xdr:to>
    <xdr:sp macro="" textlink="">
      <xdr:nvSpPr>
        <xdr:cNvPr id="9" name="WordArt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3611860" y="774701"/>
          <a:ext cx="5594215" cy="2476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Monthly Boat Cost</a:t>
          </a:r>
        </a:p>
      </xdr:txBody>
    </xdr:sp>
    <xdr:clientData/>
  </xdr:twoCellAnchor>
  <xdr:twoCellAnchor>
    <xdr:from>
      <xdr:col>25</xdr:col>
      <xdr:colOff>10432</xdr:colOff>
      <xdr:row>1</xdr:row>
      <xdr:rowOff>95250</xdr:rowOff>
    </xdr:from>
    <xdr:to>
      <xdr:col>27</xdr:col>
      <xdr:colOff>188671</xdr:colOff>
      <xdr:row>2</xdr:row>
      <xdr:rowOff>133641</xdr:rowOff>
    </xdr:to>
    <xdr:sp macro="" textlink="">
      <xdr:nvSpPr>
        <xdr:cNvPr id="11" name="WordArt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5913100" y="295275"/>
          <a:ext cx="1680941" cy="23841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FE&amp;C</a:t>
          </a:r>
        </a:p>
      </xdr:txBody>
    </xdr:sp>
    <xdr:clientData/>
  </xdr:twoCellAnchor>
  <xdr:twoCellAnchor>
    <xdr:from>
      <xdr:col>32</xdr:col>
      <xdr:colOff>88900</xdr:colOff>
      <xdr:row>7</xdr:row>
      <xdr:rowOff>165100</xdr:rowOff>
    </xdr:from>
    <xdr:to>
      <xdr:col>35</xdr:col>
      <xdr:colOff>508000</xdr:colOff>
      <xdr:row>19</xdr:row>
      <xdr:rowOff>44450</xdr:rowOff>
    </xdr:to>
    <xdr:graphicFrame macro="">
      <xdr:nvGraphicFramePr>
        <xdr:cNvPr id="14262174" name="Chart 15">
          <a:extLst>
            <a:ext uri="{FF2B5EF4-FFF2-40B4-BE49-F238E27FC236}">
              <a16:creationId xmlns:a16="http://schemas.microsoft.com/office/drawing/2014/main" id="{00000000-0008-0000-0000-00009E9FD9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1320800</xdr:colOff>
      <xdr:row>23</xdr:row>
      <xdr:rowOff>95250</xdr:rowOff>
    </xdr:from>
    <xdr:to>
      <xdr:col>23</xdr:col>
      <xdr:colOff>0</xdr:colOff>
      <xdr:row>25</xdr:row>
      <xdr:rowOff>38100</xdr:rowOff>
    </xdr:to>
    <xdr:pic>
      <xdr:nvPicPr>
        <xdr:cNvPr id="14262175" name="Picture 1">
          <a:extLst>
            <a:ext uri="{FF2B5EF4-FFF2-40B4-BE49-F238E27FC236}">
              <a16:creationId xmlns:a16="http://schemas.microsoft.com/office/drawing/2014/main" id="{00000000-0008-0000-0000-00009F9FD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2650" y="4641850"/>
          <a:ext cx="2476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1295400</xdr:colOff>
      <xdr:row>23</xdr:row>
      <xdr:rowOff>63500</xdr:rowOff>
    </xdr:from>
    <xdr:to>
      <xdr:col>26</xdr:col>
      <xdr:colOff>88900</xdr:colOff>
      <xdr:row>25</xdr:row>
      <xdr:rowOff>12700</xdr:rowOff>
    </xdr:to>
    <xdr:pic>
      <xdr:nvPicPr>
        <xdr:cNvPr id="14262176" name="Picture 2">
          <a:extLst>
            <a:ext uri="{FF2B5EF4-FFF2-40B4-BE49-F238E27FC236}">
              <a16:creationId xmlns:a16="http://schemas.microsoft.com/office/drawing/2014/main" id="{00000000-0008-0000-0000-0000A09FD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64150" y="4610100"/>
          <a:ext cx="241300" cy="23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361950</xdr:colOff>
      <xdr:row>23</xdr:row>
      <xdr:rowOff>76200</xdr:rowOff>
    </xdr:from>
    <xdr:to>
      <xdr:col>32</xdr:col>
      <xdr:colOff>603250</xdr:colOff>
      <xdr:row>25</xdr:row>
      <xdr:rowOff>19050</xdr:rowOff>
    </xdr:to>
    <xdr:pic>
      <xdr:nvPicPr>
        <xdr:cNvPr id="14262177" name="Picture 3">
          <a:extLst>
            <a:ext uri="{FF2B5EF4-FFF2-40B4-BE49-F238E27FC236}">
              <a16:creationId xmlns:a16="http://schemas.microsoft.com/office/drawing/2014/main" id="{00000000-0008-0000-0000-0000A19FD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1650" y="4622800"/>
          <a:ext cx="24130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88900</xdr:rowOff>
    </xdr:from>
    <xdr:to>
      <xdr:col>0</xdr:col>
      <xdr:colOff>1098550</xdr:colOff>
      <xdr:row>4</xdr:row>
      <xdr:rowOff>222250</xdr:rowOff>
    </xdr:to>
    <xdr:pic>
      <xdr:nvPicPr>
        <xdr:cNvPr id="14262178" name="Picture 9">
          <a:extLst>
            <a:ext uri="{FF2B5EF4-FFF2-40B4-BE49-F238E27FC236}">
              <a16:creationId xmlns:a16="http://schemas.microsoft.com/office/drawing/2014/main" id="{00000000-0008-0000-0000-0000A29FD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8900"/>
          <a:ext cx="946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0</xdr:row>
      <xdr:rowOff>146050</xdr:rowOff>
    </xdr:from>
    <xdr:to>
      <xdr:col>19</xdr:col>
      <xdr:colOff>946150</xdr:colOff>
      <xdr:row>4</xdr:row>
      <xdr:rowOff>273050</xdr:rowOff>
    </xdr:to>
    <xdr:pic>
      <xdr:nvPicPr>
        <xdr:cNvPr id="14262179" name="Picture 9">
          <a:extLst>
            <a:ext uri="{FF2B5EF4-FFF2-40B4-BE49-F238E27FC236}">
              <a16:creationId xmlns:a16="http://schemas.microsoft.com/office/drawing/2014/main" id="{00000000-0008-0000-0000-0000A39FD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2350" y="146050"/>
          <a:ext cx="946150" cy="83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174625</xdr:colOff>
      <xdr:row>4</xdr:row>
      <xdr:rowOff>79374</xdr:rowOff>
    </xdr:from>
    <xdr:to>
      <xdr:col>7</xdr:col>
      <xdr:colOff>787522</xdr:colOff>
      <xdr:row>6</xdr:row>
      <xdr:rowOff>57245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123950" y="771524"/>
          <a:ext cx="5010150" cy="2190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Daily Boat Cost Distribution to South &amp; North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Area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37274</xdr:colOff>
      <xdr:row>0</xdr:row>
      <xdr:rowOff>43157</xdr:rowOff>
    </xdr:from>
    <xdr:to>
      <xdr:col>1</xdr:col>
      <xdr:colOff>36220</xdr:colOff>
      <xdr:row>0</xdr:row>
      <xdr:rowOff>266701</xdr:rowOff>
    </xdr:to>
    <xdr:sp macro="" textlink="">
      <xdr:nvSpPr>
        <xdr:cNvPr id="3" name="Rectangl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7274" y="43157"/>
          <a:ext cx="854245" cy="223544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05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>
    <xdr:from>
      <xdr:col>3</xdr:col>
      <xdr:colOff>261939</xdr:colOff>
      <xdr:row>1</xdr:row>
      <xdr:rowOff>55562</xdr:rowOff>
    </xdr:from>
    <xdr:to>
      <xdr:col>6</xdr:col>
      <xdr:colOff>293211</xdr:colOff>
      <xdr:row>3</xdr:row>
      <xdr:rowOff>111124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222502" y="365125"/>
          <a:ext cx="2984022" cy="29368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Operation Support Facility</a:t>
          </a:r>
        </a:p>
      </xdr:txBody>
    </xdr:sp>
    <xdr:clientData/>
  </xdr:twoCellAnchor>
  <xdr:twoCellAnchor>
    <xdr:from>
      <xdr:col>22</xdr:col>
      <xdr:colOff>60616</xdr:colOff>
      <xdr:row>4</xdr:row>
      <xdr:rowOff>79374</xdr:rowOff>
    </xdr:from>
    <xdr:to>
      <xdr:col>27</xdr:col>
      <xdr:colOff>483133</xdr:colOff>
      <xdr:row>6</xdr:row>
      <xdr:rowOff>57245</xdr:rowOff>
    </xdr:to>
    <xdr:sp macro="" textlink="">
      <xdr:nvSpPr>
        <xdr:cNvPr id="6" name="WordAr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4873377" y="777634"/>
          <a:ext cx="4694730" cy="223029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Daily Boat Cost Distribution to South &amp; North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Area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 editAs="oneCell">
    <xdr:from>
      <xdr:col>0</xdr:col>
      <xdr:colOff>38100</xdr:colOff>
      <xdr:row>1</xdr:row>
      <xdr:rowOff>25400</xdr:rowOff>
    </xdr:from>
    <xdr:to>
      <xdr:col>2</xdr:col>
      <xdr:colOff>31750</xdr:colOff>
      <xdr:row>7</xdr:row>
      <xdr:rowOff>127000</xdr:rowOff>
    </xdr:to>
    <xdr:pic>
      <xdr:nvPicPr>
        <xdr:cNvPr id="14112579" name="Picture 9">
          <a:extLst>
            <a:ext uri="{FF2B5EF4-FFF2-40B4-BE49-F238E27FC236}">
              <a16:creationId xmlns:a16="http://schemas.microsoft.com/office/drawing/2014/main" id="{00000000-0008-0000-0100-00004357D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36550"/>
          <a:ext cx="952500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960438</xdr:colOff>
      <xdr:row>1</xdr:row>
      <xdr:rowOff>47625</xdr:rowOff>
    </xdr:from>
    <xdr:to>
      <xdr:col>26</xdr:col>
      <xdr:colOff>404335</xdr:colOff>
      <xdr:row>3</xdr:row>
      <xdr:rowOff>103187</xdr:rowOff>
    </xdr:to>
    <xdr:sp macro="" textlink="">
      <xdr:nvSpPr>
        <xdr:cNvPr id="9" name="WordArt 1">
          <a:extLst>
            <a:ext uri="{FF2B5EF4-FFF2-40B4-BE49-F238E27FC236}">
              <a16:creationId xmlns:a16="http://schemas.microsoft.com/office/drawing/2014/main" id="{3EC136B7-63D6-4388-9B94-FE22706D6355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6375063" y="357188"/>
          <a:ext cx="2984022" cy="293687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Operation Support Facility</a:t>
          </a:r>
        </a:p>
      </xdr:txBody>
    </xdr:sp>
    <xdr:clientData/>
  </xdr:twoCellAnchor>
  <xdr:twoCellAnchor editAs="oneCell">
    <xdr:from>
      <xdr:col>20</xdr:col>
      <xdr:colOff>15875</xdr:colOff>
      <xdr:row>1</xdr:row>
      <xdr:rowOff>60096</xdr:rowOff>
    </xdr:from>
    <xdr:to>
      <xdr:col>22</xdr:col>
      <xdr:colOff>1589</xdr:colOff>
      <xdr:row>7</xdr:row>
      <xdr:rowOff>101600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6F08A9-F12F-4B25-AD3C-11C289603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7688" y="369659"/>
          <a:ext cx="898526" cy="755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A_OpenMeFir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B_AH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B_C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B_LC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B_Tu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B_DSV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B_TU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B_Bar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Control"/>
      <sheetName val="#REF"/>
    </sheetNames>
    <sheetDataSet>
      <sheetData sheetId="0"/>
      <sheetData sheetId="1">
        <row r="10">
          <cell r="AU10" t="str">
            <v>25 Nov - 24 Dec 2025</v>
          </cell>
          <cell r="HC10" t="str">
            <v>SOUTH
OSF</v>
          </cell>
          <cell r="HD10" t="str">
            <v>NORTH
OSF</v>
          </cell>
        </row>
        <row r="11">
          <cell r="AZ11">
            <v>45986</v>
          </cell>
        </row>
        <row r="12">
          <cell r="AZ12">
            <v>45987</v>
          </cell>
        </row>
        <row r="13">
          <cell r="AZ13">
            <v>45988</v>
          </cell>
        </row>
        <row r="14">
          <cell r="AZ14">
            <v>45989</v>
          </cell>
        </row>
        <row r="15">
          <cell r="AZ15">
            <v>45990</v>
          </cell>
        </row>
        <row r="16">
          <cell r="AZ16">
            <v>45991</v>
          </cell>
        </row>
        <row r="17">
          <cell r="AZ17">
            <v>45992</v>
          </cell>
        </row>
        <row r="18">
          <cell r="AZ18">
            <v>45993</v>
          </cell>
        </row>
        <row r="19">
          <cell r="AZ19">
            <v>45994</v>
          </cell>
        </row>
        <row r="20">
          <cell r="AZ20">
            <v>45995</v>
          </cell>
        </row>
        <row r="21">
          <cell r="AZ21">
            <v>45996</v>
          </cell>
        </row>
        <row r="22">
          <cell r="AZ22">
            <v>45997</v>
          </cell>
        </row>
        <row r="23">
          <cell r="AZ23">
            <v>45998</v>
          </cell>
        </row>
        <row r="24">
          <cell r="AZ24">
            <v>45999</v>
          </cell>
        </row>
        <row r="25">
          <cell r="AZ25">
            <v>46000</v>
          </cell>
        </row>
        <row r="26">
          <cell r="AZ26">
            <v>46001</v>
          </cell>
        </row>
        <row r="27">
          <cell r="AZ27">
            <v>46002</v>
          </cell>
        </row>
        <row r="28">
          <cell r="AZ28">
            <v>46003</v>
          </cell>
        </row>
        <row r="29">
          <cell r="AZ29">
            <v>46004</v>
          </cell>
        </row>
        <row r="30">
          <cell r="AZ30">
            <v>46005</v>
          </cell>
        </row>
        <row r="31">
          <cell r="AZ31">
            <v>46006</v>
          </cell>
        </row>
        <row r="32">
          <cell r="AZ32">
            <v>46007</v>
          </cell>
        </row>
        <row r="33">
          <cell r="AZ33">
            <v>46008</v>
          </cell>
        </row>
        <row r="34">
          <cell r="AZ34">
            <v>46009</v>
          </cell>
        </row>
        <row r="35">
          <cell r="AZ35">
            <v>46010</v>
          </cell>
        </row>
        <row r="36">
          <cell r="AZ36">
            <v>46011</v>
          </cell>
        </row>
        <row r="37">
          <cell r="AZ37">
            <v>46012</v>
          </cell>
        </row>
        <row r="38">
          <cell r="AZ38">
            <v>46013</v>
          </cell>
        </row>
        <row r="39">
          <cell r="AZ39">
            <v>46014</v>
          </cell>
        </row>
        <row r="40">
          <cell r="AZ40">
            <v>46015</v>
          </cell>
        </row>
        <row r="41">
          <cell r="AZ41" t="str">
            <v>-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AHTS-1"/>
      <sheetName val="AHTS-2"/>
      <sheetName val="AHTS-3"/>
      <sheetName val="AHTS-4"/>
      <sheetName val="AHTS-5"/>
      <sheetName val="AHTS-6"/>
      <sheetName val="AHTS-7"/>
      <sheetName val="AHTS-8"/>
    </sheetNames>
    <sheetDataSet>
      <sheetData sheetId="0"/>
      <sheetData sheetId="1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2">
        <row r="11">
          <cell r="AT11">
            <v>0</v>
          </cell>
          <cell r="AU11">
            <v>8636.6178258365853</v>
          </cell>
          <cell r="BP11">
            <v>0</v>
          </cell>
          <cell r="BQ11">
            <v>3435.9204043764798</v>
          </cell>
          <cell r="CL11">
            <v>0</v>
          </cell>
          <cell r="CM11">
            <v>0</v>
          </cell>
          <cell r="IA11">
            <v>0</v>
          </cell>
          <cell r="IB11">
            <v>53700000</v>
          </cell>
        </row>
        <row r="12">
          <cell r="AT12">
            <v>0</v>
          </cell>
          <cell r="AU12">
            <v>8277.0170836265916</v>
          </cell>
          <cell r="BP12">
            <v>0</v>
          </cell>
          <cell r="BQ12">
            <v>3435.9204043764798</v>
          </cell>
          <cell r="CL12">
            <v>0</v>
          </cell>
          <cell r="CM12">
            <v>0</v>
          </cell>
          <cell r="IA12">
            <v>0</v>
          </cell>
          <cell r="IB12">
            <v>53700000</v>
          </cell>
        </row>
        <row r="13">
          <cell r="AT13">
            <v>0</v>
          </cell>
          <cell r="AU13">
            <v>4034.0383261884963</v>
          </cell>
          <cell r="BP13">
            <v>0</v>
          </cell>
          <cell r="BQ13">
            <v>2047.2359076076527</v>
          </cell>
          <cell r="CL13">
            <v>0</v>
          </cell>
          <cell r="CM13">
            <v>0</v>
          </cell>
          <cell r="IA13">
            <v>0</v>
          </cell>
          <cell r="IB13">
            <v>31996250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62.3</v>
          </cell>
        </row>
        <row r="49">
          <cell r="AT49">
            <v>0</v>
          </cell>
          <cell r="AU49">
            <v>8358</v>
          </cell>
          <cell r="IA49">
            <v>0</v>
          </cell>
          <cell r="IB49">
            <v>134981700</v>
          </cell>
        </row>
        <row r="50">
          <cell r="AT50">
            <v>0</v>
          </cell>
          <cell r="AU50">
            <v>8010</v>
          </cell>
          <cell r="IA50">
            <v>0</v>
          </cell>
          <cell r="IB50">
            <v>129361500</v>
          </cell>
        </row>
        <row r="51">
          <cell r="AT51">
            <v>0</v>
          </cell>
          <cell r="AU51">
            <v>3903.9000000000005</v>
          </cell>
          <cell r="IA51">
            <v>0</v>
          </cell>
          <cell r="IB51">
            <v>63047985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3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4087.3080312185298</v>
          </cell>
          <cell r="BP32">
            <v>0</v>
          </cell>
          <cell r="BQ32">
            <v>3379.9093655589118</v>
          </cell>
          <cell r="CL32">
            <v>0</v>
          </cell>
          <cell r="CM32">
            <v>0</v>
          </cell>
          <cell r="IA32">
            <v>0</v>
          </cell>
          <cell r="IB32">
            <v>53700000</v>
          </cell>
        </row>
        <row r="33">
          <cell r="AT33">
            <v>0</v>
          </cell>
          <cell r="AU33">
            <v>8364.6997734138968</v>
          </cell>
          <cell r="BP33">
            <v>0</v>
          </cell>
          <cell r="BQ33">
            <v>3379.9093655589118</v>
          </cell>
          <cell r="CL33">
            <v>0</v>
          </cell>
          <cell r="CM33">
            <v>0</v>
          </cell>
          <cell r="IA33">
            <v>0</v>
          </cell>
          <cell r="IB33">
            <v>53700000</v>
          </cell>
        </row>
        <row r="34">
          <cell r="AT34">
            <v>9139.2654833836859</v>
          </cell>
          <cell r="AU34">
            <v>0</v>
          </cell>
          <cell r="BP34">
            <v>3379.9093655589118</v>
          </cell>
          <cell r="BQ34">
            <v>0</v>
          </cell>
          <cell r="CL34">
            <v>0</v>
          </cell>
          <cell r="CM34">
            <v>0</v>
          </cell>
          <cell r="IA34">
            <v>53700000</v>
          </cell>
          <cell r="IB34">
            <v>0</v>
          </cell>
        </row>
        <row r="35">
          <cell r="AT35">
            <v>9648.4225138818783</v>
          </cell>
          <cell r="AU35">
            <v>0</v>
          </cell>
          <cell r="BP35">
            <v>3388.4401817264006</v>
          </cell>
          <cell r="BQ35">
            <v>0</v>
          </cell>
          <cell r="CL35">
            <v>0</v>
          </cell>
          <cell r="CM35">
            <v>0</v>
          </cell>
          <cell r="IA35">
            <v>53700000</v>
          </cell>
          <cell r="IB35">
            <v>0</v>
          </cell>
        </row>
        <row r="36">
          <cell r="AT36">
            <v>9692.4506828528065</v>
          </cell>
          <cell r="AU36">
            <v>0</v>
          </cell>
          <cell r="BP36">
            <v>3395.295902883156</v>
          </cell>
          <cell r="BQ36">
            <v>0</v>
          </cell>
          <cell r="CL36">
            <v>0</v>
          </cell>
          <cell r="CM36">
            <v>0</v>
          </cell>
          <cell r="IA36">
            <v>53700000</v>
          </cell>
          <cell r="IB36">
            <v>0</v>
          </cell>
        </row>
        <row r="37">
          <cell r="AT37">
            <v>9218.6782696430819</v>
          </cell>
          <cell r="AU37">
            <v>0</v>
          </cell>
          <cell r="BP37">
            <v>3386.303443057132</v>
          </cell>
          <cell r="BQ37">
            <v>0</v>
          </cell>
          <cell r="CL37">
            <v>0</v>
          </cell>
          <cell r="CM37">
            <v>0</v>
          </cell>
          <cell r="IA37">
            <v>53700000</v>
          </cell>
          <cell r="IB37">
            <v>0</v>
          </cell>
        </row>
        <row r="38">
          <cell r="AT38">
            <v>1864.0070254673192</v>
          </cell>
          <cell r="AU38">
            <v>0</v>
          </cell>
          <cell r="BP38">
            <v>3368.4606699284909</v>
          </cell>
          <cell r="BQ38">
            <v>0</v>
          </cell>
          <cell r="CL38">
            <v>0</v>
          </cell>
          <cell r="CM38">
            <v>0</v>
          </cell>
          <cell r="IA38">
            <v>53700000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120</v>
          </cell>
          <cell r="GF42">
            <v>48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4021</v>
          </cell>
          <cell r="IA70">
            <v>0</v>
          </cell>
          <cell r="IB70">
            <v>64939150</v>
          </cell>
        </row>
        <row r="71">
          <cell r="AT71">
            <v>0</v>
          </cell>
          <cell r="AU71">
            <v>8229</v>
          </cell>
          <cell r="IA71">
            <v>0</v>
          </cell>
          <cell r="IB71">
            <v>132898350</v>
          </cell>
        </row>
        <row r="72">
          <cell r="AT72">
            <v>8991</v>
          </cell>
          <cell r="AU72">
            <v>0</v>
          </cell>
          <cell r="IA72">
            <v>145204650</v>
          </cell>
          <cell r="IB72">
            <v>0</v>
          </cell>
        </row>
        <row r="73">
          <cell r="AT73">
            <v>9468</v>
          </cell>
          <cell r="AU73">
            <v>0</v>
          </cell>
          <cell r="IA73">
            <v>152908200</v>
          </cell>
          <cell r="IB73">
            <v>0</v>
          </cell>
        </row>
        <row r="74">
          <cell r="AT74">
            <v>9492</v>
          </cell>
          <cell r="AU74">
            <v>0</v>
          </cell>
          <cell r="IA74">
            <v>153295800</v>
          </cell>
          <cell r="IB74">
            <v>0</v>
          </cell>
        </row>
        <row r="75">
          <cell r="AT75">
            <v>9052</v>
          </cell>
          <cell r="AU75">
            <v>0</v>
          </cell>
          <cell r="IA75">
            <v>146189800</v>
          </cell>
          <cell r="IB75">
            <v>0</v>
          </cell>
        </row>
        <row r="76">
          <cell r="AT76">
            <v>1840</v>
          </cell>
          <cell r="AU76">
            <v>0</v>
          </cell>
          <cell r="IA76">
            <v>29716000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4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5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6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7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IA49">
            <v>0</v>
          </cell>
          <cell r="IB49">
            <v>0</v>
          </cell>
        </row>
        <row r="50">
          <cell r="IA50">
            <v>0</v>
          </cell>
          <cell r="IB50">
            <v>0</v>
          </cell>
        </row>
        <row r="51">
          <cell r="IA51">
            <v>0</v>
          </cell>
          <cell r="IB51">
            <v>0</v>
          </cell>
        </row>
        <row r="52">
          <cell r="IA52">
            <v>0</v>
          </cell>
          <cell r="IB52">
            <v>0</v>
          </cell>
        </row>
        <row r="53">
          <cell r="IA53">
            <v>0</v>
          </cell>
          <cell r="IB53">
            <v>0</v>
          </cell>
        </row>
        <row r="54">
          <cell r="IA54">
            <v>0</v>
          </cell>
          <cell r="IB54">
            <v>0</v>
          </cell>
        </row>
        <row r="55">
          <cell r="IA55">
            <v>0</v>
          </cell>
          <cell r="IB55">
            <v>0</v>
          </cell>
        </row>
        <row r="56">
          <cell r="IA56">
            <v>0</v>
          </cell>
          <cell r="IB56">
            <v>0</v>
          </cell>
        </row>
        <row r="57">
          <cell r="IA57">
            <v>0</v>
          </cell>
          <cell r="IB57">
            <v>0</v>
          </cell>
        </row>
        <row r="58">
          <cell r="IA58">
            <v>0</v>
          </cell>
          <cell r="IB58">
            <v>0</v>
          </cell>
        </row>
        <row r="59">
          <cell r="IA59">
            <v>0</v>
          </cell>
          <cell r="IB59">
            <v>0</v>
          </cell>
        </row>
        <row r="60">
          <cell r="IA60">
            <v>0</v>
          </cell>
          <cell r="IB60">
            <v>0</v>
          </cell>
        </row>
        <row r="61">
          <cell r="IA61">
            <v>0</v>
          </cell>
          <cell r="IB61">
            <v>0</v>
          </cell>
        </row>
        <row r="62">
          <cell r="IA62">
            <v>0</v>
          </cell>
          <cell r="IB62">
            <v>0</v>
          </cell>
        </row>
        <row r="63">
          <cell r="IA63">
            <v>0</v>
          </cell>
          <cell r="IB63">
            <v>0</v>
          </cell>
        </row>
        <row r="64">
          <cell r="IA64">
            <v>0</v>
          </cell>
          <cell r="IB64">
            <v>0</v>
          </cell>
        </row>
        <row r="65">
          <cell r="IA65">
            <v>0</v>
          </cell>
          <cell r="IB65">
            <v>0</v>
          </cell>
        </row>
        <row r="66">
          <cell r="IA66">
            <v>0</v>
          </cell>
          <cell r="IB66">
            <v>0</v>
          </cell>
        </row>
        <row r="67">
          <cell r="IA67">
            <v>0</v>
          </cell>
          <cell r="IB67">
            <v>0</v>
          </cell>
        </row>
        <row r="68">
          <cell r="IA68">
            <v>0</v>
          </cell>
          <cell r="IB68">
            <v>0</v>
          </cell>
        </row>
        <row r="69">
          <cell r="IA69">
            <v>0</v>
          </cell>
          <cell r="IB69">
            <v>0</v>
          </cell>
        </row>
        <row r="70">
          <cell r="IA70">
            <v>0</v>
          </cell>
          <cell r="IB70">
            <v>0</v>
          </cell>
        </row>
        <row r="71">
          <cell r="IA71">
            <v>0</v>
          </cell>
          <cell r="IB71">
            <v>0</v>
          </cell>
        </row>
        <row r="72">
          <cell r="IA72">
            <v>0</v>
          </cell>
          <cell r="IB72">
            <v>0</v>
          </cell>
        </row>
        <row r="73">
          <cell r="IA73">
            <v>0</v>
          </cell>
          <cell r="IB73">
            <v>0</v>
          </cell>
        </row>
        <row r="74">
          <cell r="IA74">
            <v>0</v>
          </cell>
          <cell r="IB74">
            <v>0</v>
          </cell>
        </row>
        <row r="75">
          <cell r="IA75">
            <v>0</v>
          </cell>
          <cell r="IB75">
            <v>0</v>
          </cell>
        </row>
        <row r="76">
          <cell r="IA76">
            <v>0</v>
          </cell>
          <cell r="IB76">
            <v>0</v>
          </cell>
        </row>
        <row r="77">
          <cell r="IA77">
            <v>0</v>
          </cell>
          <cell r="IB77">
            <v>0</v>
          </cell>
        </row>
        <row r="78">
          <cell r="IA78">
            <v>0</v>
          </cell>
          <cell r="IB78">
            <v>0</v>
          </cell>
        </row>
        <row r="79"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8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IA49">
            <v>0</v>
          </cell>
          <cell r="IB49">
            <v>0</v>
          </cell>
        </row>
        <row r="50">
          <cell r="IA50">
            <v>0</v>
          </cell>
          <cell r="IB50">
            <v>0</v>
          </cell>
        </row>
        <row r="51">
          <cell r="IA51">
            <v>0</v>
          </cell>
          <cell r="IB51">
            <v>0</v>
          </cell>
        </row>
        <row r="52">
          <cell r="IA52">
            <v>0</v>
          </cell>
          <cell r="IB52">
            <v>0</v>
          </cell>
        </row>
        <row r="53">
          <cell r="IA53">
            <v>0</v>
          </cell>
          <cell r="IB53">
            <v>0</v>
          </cell>
        </row>
        <row r="54">
          <cell r="IA54">
            <v>0</v>
          </cell>
          <cell r="IB54">
            <v>0</v>
          </cell>
        </row>
        <row r="55">
          <cell r="IA55">
            <v>0</v>
          </cell>
          <cell r="IB55">
            <v>0</v>
          </cell>
        </row>
        <row r="56">
          <cell r="IA56">
            <v>0</v>
          </cell>
          <cell r="IB56">
            <v>0</v>
          </cell>
        </row>
        <row r="57">
          <cell r="IA57">
            <v>0</v>
          </cell>
          <cell r="IB57">
            <v>0</v>
          </cell>
        </row>
        <row r="58">
          <cell r="IA58">
            <v>0</v>
          </cell>
          <cell r="IB58">
            <v>0</v>
          </cell>
        </row>
        <row r="59">
          <cell r="IA59">
            <v>0</v>
          </cell>
          <cell r="IB59">
            <v>0</v>
          </cell>
        </row>
        <row r="60">
          <cell r="IA60">
            <v>0</v>
          </cell>
          <cell r="IB60">
            <v>0</v>
          </cell>
        </row>
        <row r="61">
          <cell r="IA61">
            <v>0</v>
          </cell>
          <cell r="IB61">
            <v>0</v>
          </cell>
        </row>
        <row r="62">
          <cell r="IA62">
            <v>0</v>
          </cell>
          <cell r="IB62">
            <v>0</v>
          </cell>
        </row>
        <row r="63">
          <cell r="IA63">
            <v>0</v>
          </cell>
          <cell r="IB63">
            <v>0</v>
          </cell>
        </row>
        <row r="64">
          <cell r="IA64">
            <v>0</v>
          </cell>
          <cell r="IB64">
            <v>0</v>
          </cell>
        </row>
        <row r="65">
          <cell r="IA65">
            <v>0</v>
          </cell>
          <cell r="IB65">
            <v>0</v>
          </cell>
        </row>
        <row r="66">
          <cell r="IA66">
            <v>0</v>
          </cell>
          <cell r="IB66">
            <v>0</v>
          </cell>
        </row>
        <row r="67">
          <cell r="IA67">
            <v>0</v>
          </cell>
          <cell r="IB67">
            <v>0</v>
          </cell>
        </row>
        <row r="68">
          <cell r="IA68">
            <v>0</v>
          </cell>
          <cell r="IB68">
            <v>0</v>
          </cell>
        </row>
        <row r="69">
          <cell r="IA69">
            <v>0</v>
          </cell>
          <cell r="IB69">
            <v>0</v>
          </cell>
        </row>
        <row r="70">
          <cell r="IA70">
            <v>0</v>
          </cell>
          <cell r="IB70">
            <v>0</v>
          </cell>
        </row>
        <row r="71">
          <cell r="IA71">
            <v>0</v>
          </cell>
          <cell r="IB71">
            <v>0</v>
          </cell>
        </row>
        <row r="72">
          <cell r="IA72">
            <v>0</v>
          </cell>
          <cell r="IB72">
            <v>0</v>
          </cell>
        </row>
        <row r="73">
          <cell r="IA73">
            <v>0</v>
          </cell>
          <cell r="IB73">
            <v>0</v>
          </cell>
        </row>
        <row r="74">
          <cell r="IA74">
            <v>0</v>
          </cell>
          <cell r="IB74">
            <v>0</v>
          </cell>
        </row>
        <row r="75">
          <cell r="IA75">
            <v>0</v>
          </cell>
          <cell r="IB75">
            <v>0</v>
          </cell>
        </row>
        <row r="76">
          <cell r="IA76">
            <v>0</v>
          </cell>
          <cell r="IB76">
            <v>0</v>
          </cell>
        </row>
        <row r="77">
          <cell r="IA77">
            <v>0</v>
          </cell>
          <cell r="IB77">
            <v>0</v>
          </cell>
        </row>
        <row r="78">
          <cell r="IA78">
            <v>0</v>
          </cell>
          <cell r="IB78">
            <v>0</v>
          </cell>
        </row>
        <row r="79"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CB-1"/>
      <sheetName val="CB-2"/>
      <sheetName val="CB-3"/>
      <sheetName val="CB-4"/>
      <sheetName val="CB-5"/>
      <sheetName val="CB-6"/>
      <sheetName val="CB-7"/>
      <sheetName val="CB-8"/>
      <sheetName val="CB-9"/>
      <sheetName val="CB-10"/>
      <sheetName val="CB-11"/>
      <sheetName val="CB-12"/>
      <sheetName val="CB-13"/>
      <sheetName val="CB-14"/>
      <sheetName val="CB-15"/>
      <sheetName val="CB-16"/>
      <sheetName val="CB-17"/>
      <sheetName val="CB-18"/>
      <sheetName val="CB-19"/>
      <sheetName val="CB-20"/>
      <sheetName val="CB-21"/>
      <sheetName val="CB-22"/>
      <sheetName val="CB-23"/>
      <sheetName val="CB-24"/>
    </sheetNames>
    <sheetDataSet>
      <sheetData sheetId="0"/>
      <sheetData sheetId="1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2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3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4">
        <row r="11">
          <cell r="AT11">
            <v>0</v>
          </cell>
          <cell r="AU11">
            <v>1638.8700492673875</v>
          </cell>
          <cell r="BP11">
            <v>0</v>
          </cell>
          <cell r="BQ11">
            <v>1089.3211337897499</v>
          </cell>
          <cell r="CL11">
            <v>0</v>
          </cell>
          <cell r="CM11">
            <v>0</v>
          </cell>
          <cell r="IA11">
            <v>0</v>
          </cell>
          <cell r="IB11">
            <v>17025000</v>
          </cell>
        </row>
        <row r="12">
          <cell r="AT12">
            <v>0</v>
          </cell>
          <cell r="AU12">
            <v>461.28095207626848</v>
          </cell>
          <cell r="BP12">
            <v>0</v>
          </cell>
          <cell r="BQ12">
            <v>290.48563567726666</v>
          </cell>
          <cell r="CL12">
            <v>0</v>
          </cell>
          <cell r="CM12">
            <v>0</v>
          </cell>
          <cell r="IA12">
            <v>0</v>
          </cell>
          <cell r="IB12">
            <v>4540000</v>
          </cell>
        </row>
        <row r="13">
          <cell r="AT13">
            <v>0</v>
          </cell>
          <cell r="AU13">
            <v>454.20834488593141</v>
          </cell>
          <cell r="BP13">
            <v>0</v>
          </cell>
          <cell r="BQ13">
            <v>484.14272612877767</v>
          </cell>
          <cell r="CL13">
            <v>0</v>
          </cell>
          <cell r="CM13">
            <v>0</v>
          </cell>
          <cell r="IA13">
            <v>0</v>
          </cell>
          <cell r="IB13">
            <v>7566666.666666667</v>
          </cell>
        </row>
        <row r="14">
          <cell r="AT14">
            <v>0</v>
          </cell>
          <cell r="AU14">
            <v>735.03600038146101</v>
          </cell>
          <cell r="BP14">
            <v>0</v>
          </cell>
          <cell r="BQ14">
            <v>811.79668128933815</v>
          </cell>
          <cell r="CL14">
            <v>0</v>
          </cell>
          <cell r="CM14">
            <v>0</v>
          </cell>
          <cell r="IA14">
            <v>0</v>
          </cell>
          <cell r="IB14">
            <v>12768750</v>
          </cell>
        </row>
        <row r="15">
          <cell r="AT15">
            <v>0</v>
          </cell>
          <cell r="AU15">
            <v>477.7879124365482</v>
          </cell>
          <cell r="BP15">
            <v>0</v>
          </cell>
          <cell r="BQ15">
            <v>540.13324873096451</v>
          </cell>
          <cell r="CL15">
            <v>0</v>
          </cell>
          <cell r="CM15">
            <v>0</v>
          </cell>
          <cell r="IA15">
            <v>0</v>
          </cell>
          <cell r="IB15">
            <v>8512500</v>
          </cell>
        </row>
        <row r="16">
          <cell r="AT16">
            <v>0</v>
          </cell>
          <cell r="AU16">
            <v>439.62862318840581</v>
          </cell>
          <cell r="BP16">
            <v>0</v>
          </cell>
          <cell r="BQ16">
            <v>405.82093821510301</v>
          </cell>
          <cell r="CL16">
            <v>0</v>
          </cell>
          <cell r="CM16">
            <v>0</v>
          </cell>
          <cell r="IA16">
            <v>0</v>
          </cell>
          <cell r="IB16">
            <v>6384375</v>
          </cell>
        </row>
        <row r="17">
          <cell r="AT17">
            <v>0</v>
          </cell>
          <cell r="AU17">
            <v>524.25799904489008</v>
          </cell>
          <cell r="BP17">
            <v>0</v>
          </cell>
          <cell r="BQ17">
            <v>406.51862464183381</v>
          </cell>
          <cell r="CL17">
            <v>0</v>
          </cell>
          <cell r="CM17">
            <v>0</v>
          </cell>
          <cell r="IA17">
            <v>0</v>
          </cell>
          <cell r="IB17">
            <v>6384375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395.84088596323858</v>
          </cell>
          <cell r="BP20">
            <v>0</v>
          </cell>
          <cell r="BQ20">
            <v>270.70215607708451</v>
          </cell>
          <cell r="CL20">
            <v>0</v>
          </cell>
          <cell r="CM20">
            <v>0</v>
          </cell>
          <cell r="IA20">
            <v>0</v>
          </cell>
          <cell r="IB20">
            <v>4256250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47.533333333333331</v>
          </cell>
        </row>
        <row r="49">
          <cell r="AT49">
            <v>0</v>
          </cell>
          <cell r="AU49">
            <v>1586</v>
          </cell>
          <cell r="IA49">
            <v>0</v>
          </cell>
          <cell r="IB49">
            <v>25613900</v>
          </cell>
        </row>
        <row r="50">
          <cell r="AT50">
            <v>0</v>
          </cell>
          <cell r="AU50">
            <v>446.40000000000003</v>
          </cell>
          <cell r="IA50">
            <v>0</v>
          </cell>
          <cell r="IB50">
            <v>7209360</v>
          </cell>
        </row>
        <row r="51">
          <cell r="AT51">
            <v>0</v>
          </cell>
          <cell r="AU51">
            <v>439.55555555555554</v>
          </cell>
          <cell r="IA51">
            <v>0</v>
          </cell>
          <cell r="IB51">
            <v>7098822.222222222</v>
          </cell>
        </row>
        <row r="52">
          <cell r="AT52">
            <v>0</v>
          </cell>
          <cell r="AU52">
            <v>715.875</v>
          </cell>
          <cell r="IA52">
            <v>0</v>
          </cell>
          <cell r="IB52">
            <v>11561381.25</v>
          </cell>
        </row>
        <row r="53">
          <cell r="AT53">
            <v>0</v>
          </cell>
          <cell r="AU53">
            <v>466.25</v>
          </cell>
          <cell r="IA53">
            <v>0</v>
          </cell>
          <cell r="IB53">
            <v>7529937.5</v>
          </cell>
        </row>
        <row r="54">
          <cell r="AT54">
            <v>0</v>
          </cell>
          <cell r="AU54">
            <v>428.25000000000006</v>
          </cell>
          <cell r="IA54">
            <v>0</v>
          </cell>
          <cell r="IB54">
            <v>6916237.5</v>
          </cell>
        </row>
        <row r="55">
          <cell r="AT55">
            <v>0</v>
          </cell>
          <cell r="AU55">
            <v>509.81249999999994</v>
          </cell>
          <cell r="IA55">
            <v>0</v>
          </cell>
          <cell r="IB55">
            <v>8233471.875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385.375</v>
          </cell>
          <cell r="IA58">
            <v>0</v>
          </cell>
          <cell r="IB58">
            <v>6223806.25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5">
        <row r="11">
          <cell r="AT11">
            <v>0</v>
          </cell>
          <cell r="AU11">
            <v>35.133405848102882</v>
          </cell>
          <cell r="BP11">
            <v>0</v>
          </cell>
          <cell r="BQ11">
            <v>277.26235417066567</v>
          </cell>
          <cell r="CL11">
            <v>0</v>
          </cell>
          <cell r="CM11">
            <v>0</v>
          </cell>
          <cell r="IA11">
            <v>0</v>
          </cell>
          <cell r="IB11">
            <v>4333333.333333333</v>
          </cell>
        </row>
        <row r="12">
          <cell r="AT12">
            <v>0</v>
          </cell>
          <cell r="AU12">
            <v>35.133405848102882</v>
          </cell>
          <cell r="BP12">
            <v>0</v>
          </cell>
          <cell r="BQ12">
            <v>207.94676562799927</v>
          </cell>
          <cell r="CL12">
            <v>0</v>
          </cell>
          <cell r="CM12">
            <v>0</v>
          </cell>
          <cell r="IA12">
            <v>0</v>
          </cell>
          <cell r="IB12">
            <v>3250000</v>
          </cell>
        </row>
        <row r="13">
          <cell r="AT13">
            <v>0</v>
          </cell>
          <cell r="AU13">
            <v>63.240130526585197</v>
          </cell>
          <cell r="BP13">
            <v>0</v>
          </cell>
          <cell r="BQ13">
            <v>374.30417813039867</v>
          </cell>
          <cell r="CL13">
            <v>0</v>
          </cell>
          <cell r="CM13">
            <v>0</v>
          </cell>
          <cell r="IA13">
            <v>0</v>
          </cell>
          <cell r="IB13">
            <v>5850000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60.972398477157356</v>
          </cell>
          <cell r="BP15">
            <v>0</v>
          </cell>
          <cell r="BQ15">
            <v>206.21827411167513</v>
          </cell>
          <cell r="CL15">
            <v>0</v>
          </cell>
          <cell r="CM15">
            <v>0</v>
          </cell>
          <cell r="IA15">
            <v>0</v>
          </cell>
          <cell r="IB15">
            <v>3250000</v>
          </cell>
        </row>
        <row r="16">
          <cell r="AT16">
            <v>0</v>
          </cell>
          <cell r="AU16">
            <v>52.35507246376811</v>
          </cell>
          <cell r="BP16">
            <v>0</v>
          </cell>
          <cell r="BQ16">
            <v>206.58530383930841</v>
          </cell>
          <cell r="CL16">
            <v>0</v>
          </cell>
          <cell r="CM16">
            <v>0</v>
          </cell>
          <cell r="IA16">
            <v>0</v>
          </cell>
          <cell r="IB16">
            <v>3250000</v>
          </cell>
        </row>
        <row r="17">
          <cell r="AT17">
            <v>0</v>
          </cell>
          <cell r="AU17">
            <v>23.308924970816086</v>
          </cell>
          <cell r="BP17">
            <v>0</v>
          </cell>
          <cell r="BQ17">
            <v>91.973539920053767</v>
          </cell>
          <cell r="CL17">
            <v>0</v>
          </cell>
          <cell r="CM17">
            <v>0</v>
          </cell>
          <cell r="IA17">
            <v>0</v>
          </cell>
          <cell r="IB17">
            <v>1444444.4444444443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17.461680340901864</v>
          </cell>
          <cell r="BP19">
            <v>0</v>
          </cell>
          <cell r="BQ19">
            <v>206.70355530115117</v>
          </cell>
          <cell r="CL19">
            <v>0</v>
          </cell>
          <cell r="CM19">
            <v>0</v>
          </cell>
          <cell r="IA19">
            <v>0</v>
          </cell>
          <cell r="IB19">
            <v>3250000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28.709288299155617</v>
          </cell>
          <cell r="BP21">
            <v>0</v>
          </cell>
          <cell r="BQ21">
            <v>412.67221128817226</v>
          </cell>
          <cell r="CL21">
            <v>0</v>
          </cell>
          <cell r="CM21">
            <v>0</v>
          </cell>
          <cell r="IA21">
            <v>0</v>
          </cell>
          <cell r="IB21">
            <v>6500000</v>
          </cell>
        </row>
        <row r="22">
          <cell r="AT22">
            <v>0</v>
          </cell>
          <cell r="AU22">
            <v>26.974713518542007</v>
          </cell>
          <cell r="BP22">
            <v>0</v>
          </cell>
          <cell r="BQ22">
            <v>274.85305932597572</v>
          </cell>
          <cell r="CL22">
            <v>0</v>
          </cell>
          <cell r="CM22">
            <v>0</v>
          </cell>
          <cell r="IA22">
            <v>0</v>
          </cell>
          <cell r="IB22">
            <v>4333333.333333333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27.13823835960266</v>
          </cell>
          <cell r="BP25">
            <v>0</v>
          </cell>
          <cell r="BQ25">
            <v>276.5192606300385</v>
          </cell>
          <cell r="CL25">
            <v>0</v>
          </cell>
          <cell r="CM25">
            <v>0</v>
          </cell>
          <cell r="IA25">
            <v>0</v>
          </cell>
          <cell r="IB25">
            <v>4333333.333333333</v>
          </cell>
        </row>
        <row r="26">
          <cell r="AT26">
            <v>0</v>
          </cell>
          <cell r="AU26">
            <v>58.22697977155255</v>
          </cell>
          <cell r="BP26">
            <v>0</v>
          </cell>
          <cell r="BQ26">
            <v>207.38944547252888</v>
          </cell>
          <cell r="CL26">
            <v>0</v>
          </cell>
          <cell r="CM26">
            <v>0</v>
          </cell>
          <cell r="IA26">
            <v>0</v>
          </cell>
          <cell r="IB26">
            <v>3250000</v>
          </cell>
        </row>
        <row r="27">
          <cell r="AT27">
            <v>0</v>
          </cell>
          <cell r="AU27">
            <v>56.337608746516914</v>
          </cell>
          <cell r="BP27">
            <v>0</v>
          </cell>
          <cell r="BQ27">
            <v>138.25963031501925</v>
          </cell>
          <cell r="CL27">
            <v>0</v>
          </cell>
          <cell r="CM27">
            <v>0</v>
          </cell>
          <cell r="IA27">
            <v>0</v>
          </cell>
          <cell r="IB27">
            <v>2166666.6666666665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11.605689768139836</v>
          </cell>
          <cell r="BP29">
            <v>0</v>
          </cell>
          <cell r="BQ29">
            <v>137.38296028575655</v>
          </cell>
          <cell r="CL29">
            <v>0</v>
          </cell>
          <cell r="CM29">
            <v>0</v>
          </cell>
          <cell r="IA29">
            <v>0</v>
          </cell>
          <cell r="IB29">
            <v>2166666.6666666665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80.378630378630362</v>
          </cell>
          <cell r="BP31">
            <v>0</v>
          </cell>
          <cell r="BQ31">
            <v>409.50040950040949</v>
          </cell>
          <cell r="CL31">
            <v>0</v>
          </cell>
          <cell r="CM31">
            <v>0</v>
          </cell>
          <cell r="IA31">
            <v>0</v>
          </cell>
          <cell r="IB31">
            <v>6500000</v>
          </cell>
        </row>
        <row r="32">
          <cell r="AT32">
            <v>0</v>
          </cell>
          <cell r="AU32">
            <v>69.121349446122863</v>
          </cell>
          <cell r="BP32">
            <v>0</v>
          </cell>
          <cell r="BQ32">
            <v>545.48506210137623</v>
          </cell>
          <cell r="CL32">
            <v>0</v>
          </cell>
          <cell r="CM32">
            <v>0</v>
          </cell>
          <cell r="IA32">
            <v>0</v>
          </cell>
          <cell r="IB32">
            <v>8666666.666666666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43.200843403826788</v>
          </cell>
          <cell r="BP34">
            <v>0</v>
          </cell>
          <cell r="BQ34">
            <v>340.92816381336019</v>
          </cell>
          <cell r="CL34">
            <v>0</v>
          </cell>
          <cell r="CM34">
            <v>0</v>
          </cell>
          <cell r="IA34">
            <v>0</v>
          </cell>
          <cell r="IB34">
            <v>5416666.666666667</v>
          </cell>
        </row>
        <row r="35">
          <cell r="AT35">
            <v>0</v>
          </cell>
          <cell r="AU35">
            <v>23.098603398956758</v>
          </cell>
          <cell r="BP35">
            <v>0</v>
          </cell>
          <cell r="BQ35">
            <v>273.43092714117449</v>
          </cell>
          <cell r="CL35">
            <v>0</v>
          </cell>
          <cell r="CM35">
            <v>0</v>
          </cell>
          <cell r="IA35">
            <v>0</v>
          </cell>
          <cell r="IB35">
            <v>4333333.333333333</v>
          </cell>
        </row>
        <row r="36">
          <cell r="AT36">
            <v>0</v>
          </cell>
          <cell r="AU36">
            <v>23.145338054291013</v>
          </cell>
          <cell r="BP36">
            <v>0</v>
          </cell>
          <cell r="BQ36">
            <v>273.98415107064574</v>
          </cell>
          <cell r="CL36">
            <v>0</v>
          </cell>
          <cell r="CM36">
            <v>0</v>
          </cell>
          <cell r="IA36">
            <v>0</v>
          </cell>
          <cell r="IB36">
            <v>4333333.333333333</v>
          </cell>
        </row>
        <row r="37">
          <cell r="AT37">
            <v>0</v>
          </cell>
          <cell r="AU37">
            <v>23.084037499474505</v>
          </cell>
          <cell r="BP37">
            <v>0</v>
          </cell>
          <cell r="BQ37">
            <v>273.25850254340605</v>
          </cell>
          <cell r="CL37">
            <v>0</v>
          </cell>
          <cell r="CM37">
            <v>0</v>
          </cell>
          <cell r="IA37">
            <v>0</v>
          </cell>
          <cell r="IB37">
            <v>4333333.333333333</v>
          </cell>
        </row>
        <row r="38">
          <cell r="AT38">
            <v>0</v>
          </cell>
          <cell r="AU38">
            <v>40.18420942583532</v>
          </cell>
          <cell r="BP38">
            <v>0</v>
          </cell>
          <cell r="BQ38">
            <v>135.90933801697821</v>
          </cell>
          <cell r="CL38">
            <v>0</v>
          </cell>
          <cell r="CM38">
            <v>0</v>
          </cell>
          <cell r="IA38">
            <v>0</v>
          </cell>
          <cell r="IB38">
            <v>2166666.6666666665</v>
          </cell>
        </row>
        <row r="39">
          <cell r="AT39">
            <v>0</v>
          </cell>
          <cell r="AU39">
            <v>17.255357928477153</v>
          </cell>
          <cell r="BP39">
            <v>0</v>
          </cell>
          <cell r="BQ39">
            <v>136.17413529424087</v>
          </cell>
          <cell r="CL39">
            <v>0</v>
          </cell>
          <cell r="CM39">
            <v>0</v>
          </cell>
          <cell r="IA39">
            <v>0</v>
          </cell>
          <cell r="IB39">
            <v>2166666.6666666665</v>
          </cell>
        </row>
        <row r="40">
          <cell r="AT40">
            <v>0</v>
          </cell>
          <cell r="AU40">
            <v>31.634822868874785</v>
          </cell>
          <cell r="BP40">
            <v>0</v>
          </cell>
          <cell r="BQ40">
            <v>68.087067647120435</v>
          </cell>
          <cell r="CL40">
            <v>0</v>
          </cell>
          <cell r="CM40">
            <v>0</v>
          </cell>
          <cell r="IA40">
            <v>0</v>
          </cell>
          <cell r="IB40">
            <v>1083333.3333333333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159.46666666666667</v>
          </cell>
        </row>
        <row r="49">
          <cell r="AT49">
            <v>0</v>
          </cell>
          <cell r="AU49">
            <v>34</v>
          </cell>
          <cell r="IA49">
            <v>0</v>
          </cell>
          <cell r="IB49">
            <v>549100</v>
          </cell>
        </row>
        <row r="50">
          <cell r="AT50">
            <v>0</v>
          </cell>
          <cell r="AU50">
            <v>34</v>
          </cell>
          <cell r="IA50">
            <v>0</v>
          </cell>
          <cell r="IB50">
            <v>549100</v>
          </cell>
        </row>
        <row r="51">
          <cell r="AT51">
            <v>0</v>
          </cell>
          <cell r="AU51">
            <v>61.2</v>
          </cell>
          <cell r="IA51">
            <v>0</v>
          </cell>
          <cell r="IB51">
            <v>988380.00000000012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59.5</v>
          </cell>
          <cell r="IA53">
            <v>0</v>
          </cell>
          <cell r="IB53">
            <v>960925</v>
          </cell>
        </row>
        <row r="54">
          <cell r="AT54">
            <v>0</v>
          </cell>
          <cell r="AU54">
            <v>51</v>
          </cell>
          <cell r="IA54">
            <v>0</v>
          </cell>
          <cell r="IB54">
            <v>823650</v>
          </cell>
        </row>
        <row r="55">
          <cell r="AT55">
            <v>0</v>
          </cell>
          <cell r="AU55">
            <v>22.666666666666664</v>
          </cell>
          <cell r="IA55">
            <v>0</v>
          </cell>
          <cell r="IB55">
            <v>366066.66666666663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17</v>
          </cell>
          <cell r="IA57">
            <v>0</v>
          </cell>
          <cell r="IB57">
            <v>274550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28.000000000000004</v>
          </cell>
          <cell r="IA59">
            <v>0</v>
          </cell>
          <cell r="IB59">
            <v>452200</v>
          </cell>
        </row>
        <row r="60">
          <cell r="AT60">
            <v>0</v>
          </cell>
          <cell r="AU60">
            <v>26.333333333333332</v>
          </cell>
          <cell r="IA60">
            <v>0</v>
          </cell>
          <cell r="IB60">
            <v>425283.33333333331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26.333333333333332</v>
          </cell>
          <cell r="IA63">
            <v>0</v>
          </cell>
          <cell r="IB63">
            <v>425283.33333333331</v>
          </cell>
        </row>
        <row r="64">
          <cell r="AT64">
            <v>0</v>
          </cell>
          <cell r="AU64">
            <v>56.500000000000007</v>
          </cell>
          <cell r="IA64">
            <v>0</v>
          </cell>
          <cell r="IB64">
            <v>912475</v>
          </cell>
        </row>
        <row r="65">
          <cell r="AT65">
            <v>0</v>
          </cell>
          <cell r="AU65">
            <v>54.666666666666664</v>
          </cell>
          <cell r="IA65">
            <v>0</v>
          </cell>
          <cell r="IB65">
            <v>882866.66666666663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11.333333333333334</v>
          </cell>
          <cell r="IA67">
            <v>0</v>
          </cell>
          <cell r="IB67">
            <v>183033.33333333334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78.999999999999986</v>
          </cell>
          <cell r="IA69">
            <v>0</v>
          </cell>
          <cell r="IB69">
            <v>1275850</v>
          </cell>
        </row>
        <row r="70">
          <cell r="AT70">
            <v>0</v>
          </cell>
          <cell r="AU70">
            <v>68</v>
          </cell>
          <cell r="IA70">
            <v>0</v>
          </cell>
          <cell r="IB70">
            <v>1098200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42.5</v>
          </cell>
          <cell r="IA72">
            <v>0</v>
          </cell>
          <cell r="IB72">
            <v>686375</v>
          </cell>
        </row>
        <row r="73">
          <cell r="AT73">
            <v>0</v>
          </cell>
          <cell r="AU73">
            <v>22.666666666666668</v>
          </cell>
          <cell r="IA73">
            <v>0</v>
          </cell>
          <cell r="IB73">
            <v>366066.66666666669</v>
          </cell>
        </row>
        <row r="74">
          <cell r="AT74">
            <v>0</v>
          </cell>
          <cell r="AU74">
            <v>22.666666666666668</v>
          </cell>
          <cell r="IA74">
            <v>0</v>
          </cell>
          <cell r="IB74">
            <v>366066.66666666669</v>
          </cell>
        </row>
        <row r="75">
          <cell r="AT75">
            <v>0</v>
          </cell>
          <cell r="AU75">
            <v>22.666666666666668</v>
          </cell>
          <cell r="IA75">
            <v>0</v>
          </cell>
          <cell r="IB75">
            <v>366066.66666666669</v>
          </cell>
        </row>
        <row r="76">
          <cell r="AT76">
            <v>0</v>
          </cell>
          <cell r="AU76">
            <v>39.666666666666664</v>
          </cell>
          <cell r="IA76">
            <v>0</v>
          </cell>
          <cell r="IB76">
            <v>640616.66666666663</v>
          </cell>
        </row>
        <row r="77">
          <cell r="AT77">
            <v>0</v>
          </cell>
          <cell r="AU77">
            <v>17</v>
          </cell>
          <cell r="IA77">
            <v>0</v>
          </cell>
          <cell r="IB77">
            <v>274550</v>
          </cell>
        </row>
        <row r="78">
          <cell r="AT78">
            <v>0</v>
          </cell>
          <cell r="AU78">
            <v>31.166666666666668</v>
          </cell>
          <cell r="IA78">
            <v>0</v>
          </cell>
          <cell r="IB78">
            <v>503341.66666666669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6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497.49495522764539</v>
          </cell>
          <cell r="AU37">
            <v>0</v>
          </cell>
          <cell r="BP37">
            <v>402.00529701097236</v>
          </cell>
          <cell r="BQ37">
            <v>0</v>
          </cell>
          <cell r="CL37">
            <v>0</v>
          </cell>
          <cell r="CM37">
            <v>0</v>
          </cell>
          <cell r="IA37">
            <v>6375000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6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488.50000000000006</v>
          </cell>
          <cell r="AU75">
            <v>0</v>
          </cell>
          <cell r="IA75">
            <v>7889275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7">
        <row r="11">
          <cell r="AT11">
            <v>0</v>
          </cell>
          <cell r="AU11">
            <v>1530.3698253247169</v>
          </cell>
          <cell r="BP11">
            <v>0</v>
          </cell>
          <cell r="BQ11">
            <v>1089.3211337897499</v>
          </cell>
          <cell r="CL11">
            <v>0</v>
          </cell>
          <cell r="CM11">
            <v>0</v>
          </cell>
          <cell r="IA11">
            <v>0</v>
          </cell>
          <cell r="IB11">
            <v>17025000</v>
          </cell>
        </row>
        <row r="12">
          <cell r="AT12">
            <v>0</v>
          </cell>
          <cell r="AU12">
            <v>1508.1531128031224</v>
          </cell>
          <cell r="BP12">
            <v>0</v>
          </cell>
          <cell r="BQ12">
            <v>1089.3211337897499</v>
          </cell>
          <cell r="CL12">
            <v>0</v>
          </cell>
          <cell r="CM12">
            <v>0</v>
          </cell>
          <cell r="IA12">
            <v>0</v>
          </cell>
          <cell r="IB12">
            <v>17025000</v>
          </cell>
        </row>
        <row r="13">
          <cell r="AT13">
            <v>0</v>
          </cell>
          <cell r="AU13">
            <v>1412.0529144538996</v>
          </cell>
          <cell r="BP13">
            <v>0</v>
          </cell>
          <cell r="BQ13">
            <v>1089.3211337897499</v>
          </cell>
          <cell r="CL13">
            <v>0</v>
          </cell>
          <cell r="CM13">
            <v>0</v>
          </cell>
          <cell r="IA13">
            <v>0</v>
          </cell>
          <cell r="IB13">
            <v>17025000</v>
          </cell>
        </row>
        <row r="14">
          <cell r="AT14">
            <v>0</v>
          </cell>
          <cell r="AU14">
            <v>1467.2483946849766</v>
          </cell>
          <cell r="BP14">
            <v>0</v>
          </cell>
          <cell r="BQ14">
            <v>1082.3955750524508</v>
          </cell>
          <cell r="CL14">
            <v>0</v>
          </cell>
          <cell r="CM14">
            <v>0</v>
          </cell>
          <cell r="IA14">
            <v>0</v>
          </cell>
          <cell r="IB14">
            <v>17025000</v>
          </cell>
        </row>
        <row r="15">
          <cell r="AT15">
            <v>0</v>
          </cell>
          <cell r="AU15">
            <v>1180.3937535250986</v>
          </cell>
          <cell r="BP15">
            <v>0</v>
          </cell>
          <cell r="BQ15">
            <v>840.2072758037225</v>
          </cell>
          <cell r="CL15">
            <v>0</v>
          </cell>
          <cell r="CM15">
            <v>0</v>
          </cell>
          <cell r="IA15">
            <v>0</v>
          </cell>
          <cell r="IB15">
            <v>13241666.666666664</v>
          </cell>
        </row>
        <row r="16">
          <cell r="AT16">
            <v>0</v>
          </cell>
          <cell r="AU16">
            <v>1598.2840177133653</v>
          </cell>
          <cell r="BP16">
            <v>0</v>
          </cell>
          <cell r="BQ16">
            <v>1262.5540300025425</v>
          </cell>
          <cell r="CL16">
            <v>0</v>
          </cell>
          <cell r="CM16">
            <v>0</v>
          </cell>
          <cell r="IA16">
            <v>0</v>
          </cell>
          <cell r="IB16">
            <v>19862500</v>
          </cell>
        </row>
        <row r="17">
          <cell r="AT17">
            <v>0</v>
          </cell>
          <cell r="AU17">
            <v>2060.0976334500688</v>
          </cell>
          <cell r="BP17">
            <v>0</v>
          </cell>
          <cell r="BQ17">
            <v>1445.3995542820758</v>
          </cell>
          <cell r="CL17">
            <v>0</v>
          </cell>
          <cell r="CM17">
            <v>0</v>
          </cell>
          <cell r="IA17">
            <v>0</v>
          </cell>
          <cell r="IB17">
            <v>22700000</v>
          </cell>
        </row>
        <row r="18">
          <cell r="AT18">
            <v>0</v>
          </cell>
          <cell r="AU18">
            <v>1440.0750492908478</v>
          </cell>
          <cell r="BP18">
            <v>0</v>
          </cell>
          <cell r="BQ18">
            <v>1082.808624308338</v>
          </cell>
          <cell r="CL18">
            <v>0</v>
          </cell>
          <cell r="CM18">
            <v>0</v>
          </cell>
          <cell r="IA18">
            <v>0</v>
          </cell>
          <cell r="IB18">
            <v>17025000</v>
          </cell>
        </row>
        <row r="19">
          <cell r="AT19">
            <v>0</v>
          </cell>
          <cell r="AU19">
            <v>1574.1191248489472</v>
          </cell>
          <cell r="BP19">
            <v>0</v>
          </cell>
          <cell r="BQ19">
            <v>1082.808624308338</v>
          </cell>
          <cell r="CL19">
            <v>0</v>
          </cell>
          <cell r="CM19">
            <v>0</v>
          </cell>
          <cell r="IA19">
            <v>0</v>
          </cell>
          <cell r="IB19">
            <v>17025000</v>
          </cell>
        </row>
        <row r="20">
          <cell r="AT20">
            <v>0</v>
          </cell>
          <cell r="AU20">
            <v>508.61423816489645</v>
          </cell>
          <cell r="BP20">
            <v>0</v>
          </cell>
          <cell r="BQ20">
            <v>360.93620810277935</v>
          </cell>
          <cell r="CL20">
            <v>0</v>
          </cell>
          <cell r="CM20">
            <v>0</v>
          </cell>
          <cell r="IA20">
            <v>0</v>
          </cell>
          <cell r="IB20">
            <v>5675000</v>
          </cell>
        </row>
        <row r="21">
          <cell r="AT21">
            <v>0</v>
          </cell>
          <cell r="AU21">
            <v>1394.4511459589867</v>
          </cell>
          <cell r="BP21">
            <v>0</v>
          </cell>
          <cell r="BQ21">
            <v>1080.8837534124818</v>
          </cell>
          <cell r="CL21">
            <v>0</v>
          </cell>
          <cell r="CM21">
            <v>0</v>
          </cell>
          <cell r="IA21">
            <v>0</v>
          </cell>
          <cell r="IB21">
            <v>17025000</v>
          </cell>
        </row>
        <row r="22">
          <cell r="AT22">
            <v>0</v>
          </cell>
          <cell r="AU22">
            <v>890.84845025159609</v>
          </cell>
          <cell r="BP22">
            <v>0</v>
          </cell>
          <cell r="BQ22">
            <v>719.90359000380568</v>
          </cell>
          <cell r="CL22">
            <v>0</v>
          </cell>
          <cell r="CM22">
            <v>0</v>
          </cell>
          <cell r="IA22">
            <v>0</v>
          </cell>
          <cell r="IB22">
            <v>11350000</v>
          </cell>
        </row>
        <row r="23">
          <cell r="AT23">
            <v>0</v>
          </cell>
          <cell r="AU23">
            <v>1287.7178030303028</v>
          </cell>
          <cell r="BP23">
            <v>0</v>
          </cell>
          <cell r="BQ23">
            <v>1074.810606060606</v>
          </cell>
          <cell r="CL23">
            <v>0</v>
          </cell>
          <cell r="CM23">
            <v>0</v>
          </cell>
          <cell r="IA23">
            <v>0</v>
          </cell>
          <cell r="IB23">
            <v>17025000</v>
          </cell>
        </row>
        <row r="24">
          <cell r="AT24">
            <v>0</v>
          </cell>
          <cell r="AU24">
            <v>1321.3357011479673</v>
          </cell>
          <cell r="BP24">
            <v>0</v>
          </cell>
          <cell r="BQ24">
            <v>1079.7868966829453</v>
          </cell>
          <cell r="CL24">
            <v>0</v>
          </cell>
          <cell r="CM24">
            <v>0</v>
          </cell>
          <cell r="IA24">
            <v>0</v>
          </cell>
          <cell r="IB24">
            <v>17025000</v>
          </cell>
        </row>
        <row r="25">
          <cell r="AT25">
            <v>0</v>
          </cell>
          <cell r="AU25">
            <v>1408.2684576606471</v>
          </cell>
          <cell r="BP25">
            <v>0</v>
          </cell>
          <cell r="BQ25">
            <v>1086.401633590709</v>
          </cell>
          <cell r="CL25">
            <v>0</v>
          </cell>
          <cell r="CM25">
            <v>0</v>
          </cell>
          <cell r="IA25">
            <v>0</v>
          </cell>
          <cell r="IB25">
            <v>17025000</v>
          </cell>
        </row>
        <row r="26">
          <cell r="AT26">
            <v>0</v>
          </cell>
          <cell r="AU26">
            <v>1460.8273243570927</v>
          </cell>
          <cell r="BP26">
            <v>0</v>
          </cell>
          <cell r="BQ26">
            <v>1086.401633590709</v>
          </cell>
          <cell r="CL26">
            <v>0</v>
          </cell>
          <cell r="CM26">
            <v>0</v>
          </cell>
          <cell r="IA26">
            <v>0</v>
          </cell>
          <cell r="IB26">
            <v>17025000</v>
          </cell>
        </row>
        <row r="27">
          <cell r="AT27">
            <v>0</v>
          </cell>
          <cell r="AU27">
            <v>1577.7965669070254</v>
          </cell>
          <cell r="BP27">
            <v>0</v>
          </cell>
          <cell r="BQ27">
            <v>1086.401633590709</v>
          </cell>
          <cell r="CL27">
            <v>0</v>
          </cell>
          <cell r="CM27">
            <v>0</v>
          </cell>
          <cell r="IA27">
            <v>0</v>
          </cell>
          <cell r="IB27">
            <v>17025000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195.33333333333331</v>
          </cell>
        </row>
        <row r="49">
          <cell r="AT49">
            <v>0</v>
          </cell>
          <cell r="AU49">
            <v>1481</v>
          </cell>
          <cell r="IA49">
            <v>0</v>
          </cell>
          <cell r="IB49">
            <v>23918150</v>
          </cell>
        </row>
        <row r="50">
          <cell r="AT50">
            <v>0</v>
          </cell>
          <cell r="AU50">
            <v>1459.5</v>
          </cell>
          <cell r="IA50">
            <v>0</v>
          </cell>
          <cell r="IB50">
            <v>23570925</v>
          </cell>
        </row>
        <row r="51">
          <cell r="AT51">
            <v>0</v>
          </cell>
          <cell r="AU51">
            <v>1366.4999999999998</v>
          </cell>
          <cell r="IA51">
            <v>0</v>
          </cell>
          <cell r="IB51">
            <v>22068975</v>
          </cell>
        </row>
        <row r="52">
          <cell r="AT52">
            <v>0</v>
          </cell>
          <cell r="AU52">
            <v>1428.9999999999998</v>
          </cell>
          <cell r="IA52">
            <v>0</v>
          </cell>
          <cell r="IB52">
            <v>23078350</v>
          </cell>
        </row>
        <row r="53">
          <cell r="AT53">
            <v>0</v>
          </cell>
          <cell r="AU53">
            <v>1151.8888888888889</v>
          </cell>
          <cell r="IA53">
            <v>0</v>
          </cell>
          <cell r="IB53">
            <v>18603005.555555552</v>
          </cell>
        </row>
        <row r="54">
          <cell r="AT54">
            <v>0</v>
          </cell>
          <cell r="AU54">
            <v>1556.9166666666665</v>
          </cell>
          <cell r="IA54">
            <v>0</v>
          </cell>
          <cell r="IB54">
            <v>25144204.166666664</v>
          </cell>
        </row>
        <row r="55">
          <cell r="AT55">
            <v>0</v>
          </cell>
          <cell r="AU55">
            <v>2003.3333333333333</v>
          </cell>
          <cell r="IA55">
            <v>0</v>
          </cell>
          <cell r="IB55">
            <v>32353833.333333332</v>
          </cell>
        </row>
        <row r="56">
          <cell r="AT56">
            <v>0</v>
          </cell>
          <cell r="AU56">
            <v>1402</v>
          </cell>
          <cell r="IA56">
            <v>0</v>
          </cell>
          <cell r="IB56">
            <v>22642300</v>
          </cell>
        </row>
        <row r="57">
          <cell r="AT57">
            <v>0</v>
          </cell>
          <cell r="AU57">
            <v>1532.4999999999998</v>
          </cell>
          <cell r="IA57">
            <v>0</v>
          </cell>
          <cell r="IB57">
            <v>24749875</v>
          </cell>
        </row>
        <row r="58">
          <cell r="AT58">
            <v>0</v>
          </cell>
          <cell r="AU58">
            <v>495.16666666666669</v>
          </cell>
          <cell r="IA58">
            <v>0</v>
          </cell>
          <cell r="IB58">
            <v>7996941.666666667</v>
          </cell>
        </row>
        <row r="59">
          <cell r="AT59">
            <v>0</v>
          </cell>
          <cell r="AU59">
            <v>1359.9999999999998</v>
          </cell>
          <cell r="IA59">
            <v>0</v>
          </cell>
          <cell r="IB59">
            <v>21964000</v>
          </cell>
        </row>
        <row r="60">
          <cell r="AT60">
            <v>0</v>
          </cell>
          <cell r="AU60">
            <v>869.66666666666663</v>
          </cell>
          <cell r="IA60">
            <v>0</v>
          </cell>
          <cell r="IB60">
            <v>14045116.666666666</v>
          </cell>
        </row>
        <row r="61">
          <cell r="AT61">
            <v>0</v>
          </cell>
          <cell r="AU61">
            <v>1262.9999999999998</v>
          </cell>
          <cell r="IA61">
            <v>0</v>
          </cell>
          <cell r="IB61">
            <v>20397450</v>
          </cell>
        </row>
        <row r="62">
          <cell r="AT62">
            <v>0</v>
          </cell>
          <cell r="AU62">
            <v>1289.9999999999998</v>
          </cell>
          <cell r="IA62">
            <v>0</v>
          </cell>
          <cell r="IB62">
            <v>20833500</v>
          </cell>
        </row>
        <row r="63">
          <cell r="AT63">
            <v>0</v>
          </cell>
          <cell r="AU63">
            <v>1366.5000000000002</v>
          </cell>
          <cell r="IA63">
            <v>0</v>
          </cell>
          <cell r="IB63">
            <v>22068975</v>
          </cell>
        </row>
        <row r="64">
          <cell r="AT64">
            <v>0</v>
          </cell>
          <cell r="AU64">
            <v>1417.5</v>
          </cell>
          <cell r="IA64">
            <v>0</v>
          </cell>
          <cell r="IB64">
            <v>22892625</v>
          </cell>
        </row>
        <row r="65">
          <cell r="AT65">
            <v>0</v>
          </cell>
          <cell r="AU65">
            <v>1530.9999999999998</v>
          </cell>
          <cell r="IA65">
            <v>0</v>
          </cell>
          <cell r="IB65">
            <v>24725650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8">
        <row r="11">
          <cell r="AT11">
            <v>0</v>
          </cell>
          <cell r="AU11">
            <v>188.75594514470961</v>
          </cell>
          <cell r="BP11">
            <v>0</v>
          </cell>
          <cell r="BQ11">
            <v>194.08364791946596</v>
          </cell>
          <cell r="CL11">
            <v>0</v>
          </cell>
          <cell r="CM11">
            <v>0</v>
          </cell>
          <cell r="IA11">
            <v>0</v>
          </cell>
          <cell r="IB11">
            <v>3033333.3333333335</v>
          </cell>
        </row>
        <row r="12">
          <cell r="AT12">
            <v>0</v>
          </cell>
          <cell r="AU12">
            <v>194.13790069742146</v>
          </cell>
          <cell r="BP12">
            <v>0</v>
          </cell>
          <cell r="BQ12">
            <v>145.56273593959946</v>
          </cell>
          <cell r="CL12">
            <v>0</v>
          </cell>
          <cell r="CM12">
            <v>0</v>
          </cell>
          <cell r="IA12">
            <v>0</v>
          </cell>
          <cell r="IB12">
            <v>2275000</v>
          </cell>
        </row>
        <row r="13">
          <cell r="AT13">
            <v>0</v>
          </cell>
          <cell r="AU13">
            <v>532.16776505214659</v>
          </cell>
          <cell r="BP13">
            <v>0</v>
          </cell>
          <cell r="BQ13">
            <v>388.16729583893192</v>
          </cell>
          <cell r="CL13">
            <v>0</v>
          </cell>
          <cell r="CM13">
            <v>0</v>
          </cell>
          <cell r="IA13">
            <v>0</v>
          </cell>
          <cell r="IB13">
            <v>6066666.666666667</v>
          </cell>
        </row>
        <row r="14">
          <cell r="AT14">
            <v>0</v>
          </cell>
          <cell r="AU14">
            <v>365.01525843982449</v>
          </cell>
          <cell r="BP14">
            <v>0</v>
          </cell>
          <cell r="BQ14">
            <v>433.91188251001336</v>
          </cell>
          <cell r="CL14">
            <v>0</v>
          </cell>
          <cell r="CM14">
            <v>0</v>
          </cell>
          <cell r="IA14">
            <v>0</v>
          </cell>
          <cell r="IB14">
            <v>6825000</v>
          </cell>
        </row>
        <row r="15">
          <cell r="AT15">
            <v>0</v>
          </cell>
          <cell r="AU15">
            <v>314.85326776649748</v>
          </cell>
          <cell r="BP15">
            <v>0</v>
          </cell>
          <cell r="BQ15">
            <v>288.70558375634516</v>
          </cell>
          <cell r="CL15">
            <v>0</v>
          </cell>
          <cell r="CM15">
            <v>0</v>
          </cell>
          <cell r="IA15">
            <v>0</v>
          </cell>
          <cell r="IB15">
            <v>4550000</v>
          </cell>
        </row>
        <row r="16">
          <cell r="AT16">
            <v>0</v>
          </cell>
          <cell r="AU16">
            <v>193.40579710144925</v>
          </cell>
          <cell r="BP16">
            <v>0</v>
          </cell>
          <cell r="BQ16">
            <v>173.53165522501908</v>
          </cell>
          <cell r="CL16">
            <v>0</v>
          </cell>
          <cell r="CM16">
            <v>0</v>
          </cell>
          <cell r="IA16">
            <v>0</v>
          </cell>
          <cell r="IB16">
            <v>2729999.9999999995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111.53220335389767</v>
          </cell>
          <cell r="BP20">
            <v>0</v>
          </cell>
          <cell r="BQ20">
            <v>96.461659140537222</v>
          </cell>
          <cell r="CL20">
            <v>0</v>
          </cell>
          <cell r="CM20">
            <v>0</v>
          </cell>
          <cell r="IA20">
            <v>0</v>
          </cell>
          <cell r="IB20">
            <v>1516666.6666666667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323.93210502949199</v>
          </cell>
          <cell r="BP24">
            <v>0</v>
          </cell>
          <cell r="BQ24">
            <v>288.57740851144797</v>
          </cell>
          <cell r="CL24">
            <v>0</v>
          </cell>
          <cell r="CM24">
            <v>0</v>
          </cell>
          <cell r="IA24">
            <v>0</v>
          </cell>
          <cell r="IB24">
            <v>4550000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444.51747389020051</v>
          </cell>
          <cell r="BP27">
            <v>0</v>
          </cell>
          <cell r="BQ27">
            <v>387.12696488205393</v>
          </cell>
          <cell r="CL27">
            <v>0</v>
          </cell>
          <cell r="CM27">
            <v>0</v>
          </cell>
          <cell r="IA27">
            <v>0</v>
          </cell>
          <cell r="IB27">
            <v>6066666.666666667</v>
          </cell>
        </row>
        <row r="28">
          <cell r="AT28">
            <v>0</v>
          </cell>
          <cell r="AU28">
            <v>1423.6971359316196</v>
          </cell>
          <cell r="BP28">
            <v>0</v>
          </cell>
          <cell r="BQ28">
            <v>1160.9364036486572</v>
          </cell>
          <cell r="CL28">
            <v>0</v>
          </cell>
          <cell r="CM28">
            <v>0</v>
          </cell>
          <cell r="IA28">
            <v>0</v>
          </cell>
          <cell r="IB28">
            <v>18200000</v>
          </cell>
        </row>
        <row r="29">
          <cell r="AT29">
            <v>0</v>
          </cell>
          <cell r="AU29">
            <v>1319.9765392175514</v>
          </cell>
          <cell r="BP29">
            <v>0</v>
          </cell>
          <cell r="BQ29">
            <v>1154.0168664003552</v>
          </cell>
          <cell r="CL29">
            <v>0</v>
          </cell>
          <cell r="CM29">
            <v>0</v>
          </cell>
          <cell r="IA29">
            <v>0</v>
          </cell>
          <cell r="IB29">
            <v>18200000</v>
          </cell>
        </row>
        <row r="30">
          <cell r="AT30">
            <v>0</v>
          </cell>
          <cell r="AU30">
            <v>1450.0411861614498</v>
          </cell>
          <cell r="BP30">
            <v>0</v>
          </cell>
          <cell r="BQ30">
            <v>1153.2125205930806</v>
          </cell>
          <cell r="CL30">
            <v>0</v>
          </cell>
          <cell r="CM30">
            <v>0</v>
          </cell>
          <cell r="IA30">
            <v>0</v>
          </cell>
          <cell r="IB30">
            <v>18200000</v>
          </cell>
        </row>
        <row r="31">
          <cell r="AT31">
            <v>0</v>
          </cell>
          <cell r="AU31">
            <v>1659.4626094626092</v>
          </cell>
          <cell r="BP31">
            <v>0</v>
          </cell>
          <cell r="BQ31">
            <v>1146.6011466011466</v>
          </cell>
          <cell r="CL31">
            <v>0</v>
          </cell>
          <cell r="CM31">
            <v>0</v>
          </cell>
          <cell r="IA31">
            <v>0</v>
          </cell>
          <cell r="IB31">
            <v>18200000</v>
          </cell>
        </row>
        <row r="32">
          <cell r="AT32">
            <v>0</v>
          </cell>
          <cell r="AU32">
            <v>1450.5318479355487</v>
          </cell>
          <cell r="BP32">
            <v>0</v>
          </cell>
          <cell r="BQ32">
            <v>1145.5186304128902</v>
          </cell>
          <cell r="CL32">
            <v>0</v>
          </cell>
          <cell r="CM32">
            <v>0</v>
          </cell>
          <cell r="IA32">
            <v>0</v>
          </cell>
          <cell r="IB32">
            <v>18200000</v>
          </cell>
        </row>
        <row r="33">
          <cell r="AT33">
            <v>0</v>
          </cell>
          <cell r="AU33">
            <v>1635.5331067472307</v>
          </cell>
          <cell r="BP33">
            <v>0</v>
          </cell>
          <cell r="BQ33">
            <v>1145.5186304128902</v>
          </cell>
          <cell r="CL33">
            <v>0</v>
          </cell>
          <cell r="CM33">
            <v>0</v>
          </cell>
          <cell r="IA33">
            <v>0</v>
          </cell>
          <cell r="IB33">
            <v>18200000</v>
          </cell>
        </row>
        <row r="34">
          <cell r="AT34">
            <v>0</v>
          </cell>
          <cell r="AU34">
            <v>360.74116034463469</v>
          </cell>
          <cell r="BP34">
            <v>0</v>
          </cell>
          <cell r="BQ34">
            <v>254.5596956473089</v>
          </cell>
          <cell r="CL34">
            <v>0</v>
          </cell>
          <cell r="CM34">
            <v>0</v>
          </cell>
          <cell r="IA34">
            <v>0</v>
          </cell>
          <cell r="IB34">
            <v>4044444.444444444</v>
          </cell>
        </row>
        <row r="35">
          <cell r="AT35">
            <v>0</v>
          </cell>
          <cell r="AU35">
            <v>417.24683100566489</v>
          </cell>
          <cell r="BP35">
            <v>0</v>
          </cell>
          <cell r="BQ35">
            <v>319.00274833137024</v>
          </cell>
          <cell r="CL35">
            <v>0</v>
          </cell>
          <cell r="CM35">
            <v>0</v>
          </cell>
          <cell r="IA35">
            <v>0</v>
          </cell>
          <cell r="IB35">
            <v>5055555.555555555</v>
          </cell>
        </row>
        <row r="36">
          <cell r="AT36">
            <v>0</v>
          </cell>
          <cell r="AU36">
            <v>367.37551284212884</v>
          </cell>
          <cell r="BP36">
            <v>0</v>
          </cell>
          <cell r="BQ36">
            <v>255.71854099926932</v>
          </cell>
          <cell r="CL36">
            <v>0</v>
          </cell>
          <cell r="CM36">
            <v>0</v>
          </cell>
          <cell r="IA36">
            <v>0</v>
          </cell>
          <cell r="IB36">
            <v>4044444.444444444</v>
          </cell>
        </row>
        <row r="37">
          <cell r="AT37">
            <v>0</v>
          </cell>
          <cell r="AU37">
            <v>171.77239668726614</v>
          </cell>
          <cell r="BP37">
            <v>0</v>
          </cell>
          <cell r="BQ37">
            <v>127.52063452025614</v>
          </cell>
          <cell r="CL37">
            <v>0</v>
          </cell>
          <cell r="CM37">
            <v>0</v>
          </cell>
          <cell r="IA37">
            <v>0</v>
          </cell>
          <cell r="IB37">
            <v>2022222.222222222</v>
          </cell>
        </row>
        <row r="38">
          <cell r="AT38">
            <v>0</v>
          </cell>
          <cell r="AU38">
            <v>279.60105382009789</v>
          </cell>
          <cell r="BP38">
            <v>0</v>
          </cell>
          <cell r="BQ38">
            <v>190.2730732237695</v>
          </cell>
          <cell r="CL38">
            <v>0</v>
          </cell>
          <cell r="CM38">
            <v>0</v>
          </cell>
          <cell r="IA38">
            <v>0</v>
          </cell>
          <cell r="IB38">
            <v>3033333.3333333335</v>
          </cell>
        </row>
        <row r="39">
          <cell r="AT39">
            <v>0</v>
          </cell>
          <cell r="AU39">
            <v>858.03113150231502</v>
          </cell>
          <cell r="BP39">
            <v>0</v>
          </cell>
          <cell r="BQ39">
            <v>762.57515764774882</v>
          </cell>
          <cell r="CL39">
            <v>0</v>
          </cell>
          <cell r="CM39">
            <v>0</v>
          </cell>
          <cell r="IA39">
            <v>0</v>
          </cell>
          <cell r="IB39">
            <v>12133333.333333334</v>
          </cell>
        </row>
        <row r="40">
          <cell r="AT40">
            <v>0</v>
          </cell>
          <cell r="AU40">
            <v>82.385875599689953</v>
          </cell>
          <cell r="BP40">
            <v>0</v>
          </cell>
          <cell r="BQ40">
            <v>190.64378941193721</v>
          </cell>
          <cell r="CL40">
            <v>0</v>
          </cell>
          <cell r="CM40">
            <v>0</v>
          </cell>
          <cell r="IA40">
            <v>0</v>
          </cell>
          <cell r="IB40">
            <v>3033333.3333333335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237.6</v>
          </cell>
        </row>
        <row r="49">
          <cell r="AT49">
            <v>0</v>
          </cell>
          <cell r="AU49">
            <v>182.66666666666666</v>
          </cell>
          <cell r="IA49">
            <v>0</v>
          </cell>
          <cell r="IB49">
            <v>2950066.6666666665</v>
          </cell>
        </row>
        <row r="50">
          <cell r="AT50">
            <v>0</v>
          </cell>
          <cell r="AU50">
            <v>187.875</v>
          </cell>
          <cell r="IA50">
            <v>0</v>
          </cell>
          <cell r="IB50">
            <v>3034181.25</v>
          </cell>
        </row>
        <row r="51">
          <cell r="AT51">
            <v>0</v>
          </cell>
          <cell r="AU51">
            <v>515</v>
          </cell>
          <cell r="IA51">
            <v>0</v>
          </cell>
          <cell r="IB51">
            <v>8317250</v>
          </cell>
        </row>
        <row r="52">
          <cell r="AT52">
            <v>0</v>
          </cell>
          <cell r="AU52">
            <v>355.5</v>
          </cell>
          <cell r="IA52">
            <v>0</v>
          </cell>
          <cell r="IB52">
            <v>5741325</v>
          </cell>
        </row>
        <row r="53">
          <cell r="AT53">
            <v>0</v>
          </cell>
          <cell r="AU53">
            <v>307.25000000000006</v>
          </cell>
          <cell r="IA53">
            <v>0</v>
          </cell>
          <cell r="IB53">
            <v>4962087.5</v>
          </cell>
        </row>
        <row r="54">
          <cell r="AT54">
            <v>0</v>
          </cell>
          <cell r="AU54">
            <v>188.4</v>
          </cell>
          <cell r="IA54">
            <v>0</v>
          </cell>
          <cell r="IB54">
            <v>3042660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108.58333333333333</v>
          </cell>
          <cell r="IA58">
            <v>0</v>
          </cell>
          <cell r="IB58">
            <v>1753620.8333333333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316.25</v>
          </cell>
          <cell r="IA62">
            <v>0</v>
          </cell>
          <cell r="IB62">
            <v>5107437.5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431.33333333333331</v>
          </cell>
          <cell r="IA65">
            <v>0</v>
          </cell>
          <cell r="IB65">
            <v>6966033.333333333</v>
          </cell>
        </row>
        <row r="66">
          <cell r="AT66">
            <v>0</v>
          </cell>
          <cell r="AU66">
            <v>1382.0000000000002</v>
          </cell>
          <cell r="IA66">
            <v>0</v>
          </cell>
          <cell r="IB66">
            <v>22319300</v>
          </cell>
        </row>
        <row r="67">
          <cell r="AT67">
            <v>0</v>
          </cell>
          <cell r="AU67">
            <v>1289.0000000000002</v>
          </cell>
          <cell r="IA67">
            <v>0</v>
          </cell>
          <cell r="IB67">
            <v>20817350</v>
          </cell>
        </row>
        <row r="68">
          <cell r="AT68">
            <v>0</v>
          </cell>
          <cell r="AU68">
            <v>1417</v>
          </cell>
          <cell r="IA68">
            <v>0</v>
          </cell>
          <cell r="IB68">
            <v>22884550</v>
          </cell>
        </row>
        <row r="69">
          <cell r="AT69">
            <v>0</v>
          </cell>
          <cell r="AU69">
            <v>1630.9999999999998</v>
          </cell>
          <cell r="IA69">
            <v>0</v>
          </cell>
          <cell r="IB69">
            <v>26340650</v>
          </cell>
        </row>
        <row r="70">
          <cell r="AT70">
            <v>0</v>
          </cell>
          <cell r="AU70">
            <v>1426.9999999999998</v>
          </cell>
          <cell r="IA70">
            <v>0</v>
          </cell>
          <cell r="IB70">
            <v>23046050</v>
          </cell>
        </row>
        <row r="71">
          <cell r="AT71">
            <v>0</v>
          </cell>
          <cell r="AU71">
            <v>1609</v>
          </cell>
          <cell r="IA71">
            <v>0</v>
          </cell>
          <cell r="IB71">
            <v>25985350</v>
          </cell>
        </row>
        <row r="72">
          <cell r="AT72">
            <v>0</v>
          </cell>
          <cell r="AU72">
            <v>354.88888888888891</v>
          </cell>
          <cell r="IA72">
            <v>0</v>
          </cell>
          <cell r="IB72">
            <v>5731455.555555556</v>
          </cell>
        </row>
        <row r="73">
          <cell r="AT73">
            <v>0</v>
          </cell>
          <cell r="AU73">
            <v>409.4444444444444</v>
          </cell>
          <cell r="IA73">
            <v>0</v>
          </cell>
          <cell r="IB73">
            <v>6612527.7777777771</v>
          </cell>
        </row>
        <row r="74">
          <cell r="AT74">
            <v>0</v>
          </cell>
          <cell r="AU74">
            <v>359.77777777777771</v>
          </cell>
          <cell r="IA74">
            <v>0</v>
          </cell>
          <cell r="IB74">
            <v>5810411.1111111101</v>
          </cell>
        </row>
        <row r="75">
          <cell r="AT75">
            <v>0</v>
          </cell>
          <cell r="AU75">
            <v>168.66666666666666</v>
          </cell>
          <cell r="IA75">
            <v>0</v>
          </cell>
          <cell r="IB75">
            <v>2723966.6666666665</v>
          </cell>
        </row>
        <row r="76">
          <cell r="AT76">
            <v>0</v>
          </cell>
          <cell r="AU76">
            <v>276</v>
          </cell>
          <cell r="IA76">
            <v>0</v>
          </cell>
          <cell r="IB76">
            <v>4457400</v>
          </cell>
        </row>
        <row r="77">
          <cell r="AT77">
            <v>0</v>
          </cell>
          <cell r="AU77">
            <v>845.33333333333337</v>
          </cell>
          <cell r="IA77">
            <v>0</v>
          </cell>
          <cell r="IB77">
            <v>13652133.333333334</v>
          </cell>
        </row>
        <row r="78">
          <cell r="AT78">
            <v>0</v>
          </cell>
          <cell r="AU78">
            <v>81.166666666666671</v>
          </cell>
          <cell r="IA78">
            <v>0</v>
          </cell>
          <cell r="IB78">
            <v>1310841.6666666667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9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10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11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12">
        <row r="11">
          <cell r="AT11">
            <v>0</v>
          </cell>
          <cell r="AU11">
            <v>315.68398489986561</v>
          </cell>
          <cell r="BP11">
            <v>0</v>
          </cell>
          <cell r="BQ11">
            <v>495.87305649753665</v>
          </cell>
          <cell r="CL11">
            <v>0</v>
          </cell>
          <cell r="CM11">
            <v>0</v>
          </cell>
          <cell r="IA11">
            <v>0</v>
          </cell>
          <cell r="IB11">
            <v>7750000</v>
          </cell>
        </row>
        <row r="12">
          <cell r="AT12">
            <v>0</v>
          </cell>
          <cell r="AU12">
            <v>109.8780045641649</v>
          </cell>
          <cell r="BP12">
            <v>0</v>
          </cell>
          <cell r="BQ12">
            <v>165.29101883251221</v>
          </cell>
          <cell r="CL12">
            <v>0</v>
          </cell>
          <cell r="CM12">
            <v>0</v>
          </cell>
          <cell r="IA12">
            <v>0</v>
          </cell>
          <cell r="IB12">
            <v>2583333.3333333335</v>
          </cell>
        </row>
        <row r="13">
          <cell r="AT13">
            <v>0</v>
          </cell>
          <cell r="AU13">
            <v>716.30240436226097</v>
          </cell>
          <cell r="BP13">
            <v>0</v>
          </cell>
          <cell r="BQ13">
            <v>633.61557219129679</v>
          </cell>
          <cell r="CL13">
            <v>0</v>
          </cell>
          <cell r="CM13">
            <v>0</v>
          </cell>
          <cell r="IA13">
            <v>0</v>
          </cell>
          <cell r="IB13">
            <v>9902777.777777778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436.54187817258878</v>
          </cell>
          <cell r="BP15">
            <v>0</v>
          </cell>
          <cell r="BQ15">
            <v>491.75126903553297</v>
          </cell>
          <cell r="CL15">
            <v>0</v>
          </cell>
          <cell r="CM15">
            <v>0</v>
          </cell>
          <cell r="IA15">
            <v>0</v>
          </cell>
          <cell r="IB15">
            <v>7750000</v>
          </cell>
        </row>
        <row r="16">
          <cell r="AT16">
            <v>0</v>
          </cell>
          <cell r="AU16">
            <v>447.58454106280186</v>
          </cell>
          <cell r="BP16">
            <v>0</v>
          </cell>
          <cell r="BQ16">
            <v>656.83532502754474</v>
          </cell>
          <cell r="CL16">
            <v>0</v>
          </cell>
          <cell r="CM16">
            <v>0</v>
          </cell>
          <cell r="IA16">
            <v>0</v>
          </cell>
          <cell r="IB16">
            <v>10333333.333333334</v>
          </cell>
        </row>
        <row r="17">
          <cell r="AT17">
            <v>0</v>
          </cell>
          <cell r="AU17">
            <v>214.15074816937283</v>
          </cell>
          <cell r="BP17">
            <v>0</v>
          </cell>
          <cell r="BQ17">
            <v>246.73670805475959</v>
          </cell>
          <cell r="CL17">
            <v>0</v>
          </cell>
          <cell r="CM17">
            <v>0</v>
          </cell>
          <cell r="IA17">
            <v>0</v>
          </cell>
          <cell r="IB17">
            <v>3875000</v>
          </cell>
        </row>
        <row r="18">
          <cell r="AT18">
            <v>0</v>
          </cell>
          <cell r="AU18">
            <v>318.93245563823695</v>
          </cell>
          <cell r="BP18">
            <v>0</v>
          </cell>
          <cell r="BQ18">
            <v>369.68135851936654</v>
          </cell>
          <cell r="CL18">
            <v>0</v>
          </cell>
          <cell r="CM18">
            <v>0</v>
          </cell>
          <cell r="IA18">
            <v>0</v>
          </cell>
          <cell r="IB18">
            <v>5812500</v>
          </cell>
        </row>
        <row r="19">
          <cell r="AT19">
            <v>0</v>
          </cell>
          <cell r="AU19">
            <v>271.34081706205347</v>
          </cell>
          <cell r="BP19">
            <v>0</v>
          </cell>
          <cell r="BQ19">
            <v>410.75706502151837</v>
          </cell>
          <cell r="CL19">
            <v>0</v>
          </cell>
          <cell r="CM19">
            <v>0</v>
          </cell>
          <cell r="IA19">
            <v>0</v>
          </cell>
          <cell r="IB19">
            <v>6458333.333333333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361.04162678408096</v>
          </cell>
          <cell r="BP25">
            <v>0</v>
          </cell>
          <cell r="BQ25">
            <v>329.69604152043053</v>
          </cell>
          <cell r="CL25">
            <v>0</v>
          </cell>
          <cell r="CM25">
            <v>0</v>
          </cell>
          <cell r="IA25">
            <v>0</v>
          </cell>
          <cell r="IB25">
            <v>5166666.666666667</v>
          </cell>
        </row>
        <row r="26">
          <cell r="AT26">
            <v>0</v>
          </cell>
          <cell r="AU26">
            <v>231.10442856231253</v>
          </cell>
          <cell r="BP26">
            <v>0</v>
          </cell>
          <cell r="BQ26">
            <v>247.27203114032287</v>
          </cell>
          <cell r="CL26">
            <v>0</v>
          </cell>
          <cell r="CM26">
            <v>0</v>
          </cell>
          <cell r="IA26">
            <v>0</v>
          </cell>
          <cell r="IB26">
            <v>3875000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535.94458081570997</v>
          </cell>
          <cell r="BP32">
            <v>0</v>
          </cell>
          <cell r="BQ32">
            <v>731.6842900302114</v>
          </cell>
          <cell r="CL32">
            <v>0</v>
          </cell>
          <cell r="CM32">
            <v>0</v>
          </cell>
          <cell r="IA32">
            <v>0</v>
          </cell>
          <cell r="IB32">
            <v>11625000</v>
          </cell>
        </row>
        <row r="33">
          <cell r="AT33">
            <v>0</v>
          </cell>
          <cell r="AU33">
            <v>170.09273246055724</v>
          </cell>
          <cell r="BP33">
            <v>0</v>
          </cell>
          <cell r="BQ33">
            <v>162.59650889560257</v>
          </cell>
          <cell r="CL33">
            <v>0</v>
          </cell>
          <cell r="CM33">
            <v>0</v>
          </cell>
          <cell r="IA33">
            <v>0</v>
          </cell>
          <cell r="IB33">
            <v>2583333.3333333335</v>
          </cell>
        </row>
        <row r="34">
          <cell r="AT34">
            <v>0</v>
          </cell>
          <cell r="AU34">
            <v>252.59787260825783</v>
          </cell>
          <cell r="BP34">
            <v>0</v>
          </cell>
          <cell r="BQ34">
            <v>243.89476334340384</v>
          </cell>
          <cell r="CL34">
            <v>0</v>
          </cell>
          <cell r="CM34">
            <v>0</v>
          </cell>
          <cell r="IA34">
            <v>0</v>
          </cell>
          <cell r="IB34">
            <v>3875000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418.05870853827719</v>
          </cell>
          <cell r="BP37">
            <v>0</v>
          </cell>
          <cell r="BQ37">
            <v>488.71232185647631</v>
          </cell>
          <cell r="CL37">
            <v>0</v>
          </cell>
          <cell r="CM37">
            <v>0</v>
          </cell>
          <cell r="IA37">
            <v>0</v>
          </cell>
          <cell r="IB37">
            <v>7750000</v>
          </cell>
        </row>
        <row r="38">
          <cell r="AT38">
            <v>0</v>
          </cell>
          <cell r="AU38">
            <v>383.94492535440975</v>
          </cell>
          <cell r="BP38">
            <v>0</v>
          </cell>
          <cell r="BQ38">
            <v>486.13724752226818</v>
          </cell>
          <cell r="CL38">
            <v>0</v>
          </cell>
          <cell r="CM38">
            <v>0</v>
          </cell>
          <cell r="IA38">
            <v>0</v>
          </cell>
          <cell r="IB38">
            <v>7750000</v>
          </cell>
        </row>
        <row r="39">
          <cell r="AT39">
            <v>0</v>
          </cell>
          <cell r="AU39">
            <v>114.69737917164225</v>
          </cell>
          <cell r="BP39">
            <v>0</v>
          </cell>
          <cell r="BQ39">
            <v>108.24097933644788</v>
          </cell>
          <cell r="CL39">
            <v>0</v>
          </cell>
          <cell r="CM39">
            <v>0</v>
          </cell>
          <cell r="IA39">
            <v>0</v>
          </cell>
          <cell r="IB39">
            <v>1722222.222222222</v>
          </cell>
        </row>
        <row r="40">
          <cell r="AT40">
            <v>0</v>
          </cell>
          <cell r="AU40">
            <v>102.34795634047724</v>
          </cell>
          <cell r="BP40">
            <v>0</v>
          </cell>
          <cell r="BQ40">
            <v>162.36146900467182</v>
          </cell>
          <cell r="CL40">
            <v>0</v>
          </cell>
          <cell r="CM40">
            <v>0</v>
          </cell>
          <cell r="IA40">
            <v>0</v>
          </cell>
          <cell r="IB40">
            <v>2583333.3333333335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156.99999999999997</v>
          </cell>
        </row>
        <row r="49">
          <cell r="AT49">
            <v>0</v>
          </cell>
          <cell r="AU49">
            <v>305.5</v>
          </cell>
          <cell r="IA49">
            <v>0</v>
          </cell>
          <cell r="IB49">
            <v>4933825</v>
          </cell>
        </row>
        <row r="50">
          <cell r="AT50">
            <v>0</v>
          </cell>
          <cell r="AU50">
            <v>106.33333333333333</v>
          </cell>
          <cell r="IA50">
            <v>0</v>
          </cell>
          <cell r="IB50">
            <v>1717283.3333333333</v>
          </cell>
        </row>
        <row r="51">
          <cell r="AT51">
            <v>0</v>
          </cell>
          <cell r="AU51">
            <v>693.19444444444446</v>
          </cell>
          <cell r="IA51">
            <v>0</v>
          </cell>
          <cell r="IB51">
            <v>11195090.277777778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425.99999999999994</v>
          </cell>
          <cell r="IA53">
            <v>0</v>
          </cell>
          <cell r="IB53">
            <v>6879900</v>
          </cell>
        </row>
        <row r="54">
          <cell r="AT54">
            <v>0</v>
          </cell>
          <cell r="AU54">
            <v>436</v>
          </cell>
          <cell r="IA54">
            <v>0</v>
          </cell>
          <cell r="IB54">
            <v>7041400</v>
          </cell>
        </row>
        <row r="55">
          <cell r="AT55">
            <v>0</v>
          </cell>
          <cell r="AU55">
            <v>208.25000000000003</v>
          </cell>
          <cell r="IA55">
            <v>0</v>
          </cell>
          <cell r="IB55">
            <v>3363237.5</v>
          </cell>
        </row>
        <row r="56">
          <cell r="AT56">
            <v>0</v>
          </cell>
          <cell r="AU56">
            <v>310.5</v>
          </cell>
          <cell r="IA56">
            <v>0</v>
          </cell>
          <cell r="IB56">
            <v>5014575</v>
          </cell>
        </row>
        <row r="57">
          <cell r="AT57">
            <v>0</v>
          </cell>
          <cell r="AU57">
            <v>264.16666666666669</v>
          </cell>
          <cell r="IA57">
            <v>0</v>
          </cell>
          <cell r="IB57">
            <v>4266291.666666667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350.33333333333331</v>
          </cell>
          <cell r="IA63">
            <v>0</v>
          </cell>
          <cell r="IB63">
            <v>5657883.333333333</v>
          </cell>
        </row>
        <row r="64">
          <cell r="AT64">
            <v>0</v>
          </cell>
          <cell r="AU64">
            <v>224.25</v>
          </cell>
          <cell r="IA64">
            <v>0</v>
          </cell>
          <cell r="IB64">
            <v>3621637.5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527.25</v>
          </cell>
          <cell r="IA70">
            <v>0</v>
          </cell>
          <cell r="IB70">
            <v>8515087.5</v>
          </cell>
        </row>
        <row r="71">
          <cell r="AT71">
            <v>0</v>
          </cell>
          <cell r="AU71">
            <v>167.33333333333334</v>
          </cell>
          <cell r="IA71">
            <v>0</v>
          </cell>
          <cell r="IB71">
            <v>2702433.3333333335</v>
          </cell>
        </row>
        <row r="72">
          <cell r="AT72">
            <v>0</v>
          </cell>
          <cell r="AU72">
            <v>248.50000000000003</v>
          </cell>
          <cell r="IA72">
            <v>0</v>
          </cell>
          <cell r="IB72">
            <v>4013275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410.5</v>
          </cell>
          <cell r="IA75">
            <v>0</v>
          </cell>
          <cell r="IB75">
            <v>6629575</v>
          </cell>
        </row>
        <row r="76">
          <cell r="AT76">
            <v>0</v>
          </cell>
          <cell r="AU76">
            <v>379</v>
          </cell>
          <cell r="IA76">
            <v>0</v>
          </cell>
          <cell r="IB76">
            <v>6120850</v>
          </cell>
        </row>
        <row r="77">
          <cell r="AT77">
            <v>0</v>
          </cell>
          <cell r="AU77">
            <v>112.99999999999999</v>
          </cell>
          <cell r="IA77">
            <v>0</v>
          </cell>
          <cell r="IB77">
            <v>1824950</v>
          </cell>
        </row>
        <row r="78">
          <cell r="AT78">
            <v>0</v>
          </cell>
          <cell r="AU78">
            <v>100.83333333333333</v>
          </cell>
          <cell r="IA78">
            <v>0</v>
          </cell>
          <cell r="IB78">
            <v>1628458.3333333333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13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14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15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16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17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IA49">
            <v>0</v>
          </cell>
          <cell r="IB49">
            <v>0</v>
          </cell>
        </row>
        <row r="50">
          <cell r="IA50">
            <v>0</v>
          </cell>
          <cell r="IB50">
            <v>0</v>
          </cell>
        </row>
        <row r="51">
          <cell r="IA51">
            <v>0</v>
          </cell>
          <cell r="IB51">
            <v>0</v>
          </cell>
        </row>
        <row r="52">
          <cell r="IA52">
            <v>0</v>
          </cell>
          <cell r="IB52">
            <v>0</v>
          </cell>
        </row>
        <row r="53">
          <cell r="IA53">
            <v>0</v>
          </cell>
          <cell r="IB53">
            <v>0</v>
          </cell>
        </row>
        <row r="54">
          <cell r="IA54">
            <v>0</v>
          </cell>
          <cell r="IB54">
            <v>0</v>
          </cell>
        </row>
        <row r="55">
          <cell r="IA55">
            <v>0</v>
          </cell>
          <cell r="IB55">
            <v>0</v>
          </cell>
        </row>
        <row r="56">
          <cell r="IA56">
            <v>0</v>
          </cell>
          <cell r="IB56">
            <v>0</v>
          </cell>
        </row>
        <row r="57">
          <cell r="IA57">
            <v>0</v>
          </cell>
          <cell r="IB57">
            <v>0</v>
          </cell>
        </row>
        <row r="58">
          <cell r="IA58">
            <v>0</v>
          </cell>
          <cell r="IB58">
            <v>0</v>
          </cell>
        </row>
        <row r="59">
          <cell r="IA59">
            <v>0</v>
          </cell>
          <cell r="IB59">
            <v>0</v>
          </cell>
        </row>
        <row r="60">
          <cell r="IA60">
            <v>0</v>
          </cell>
          <cell r="IB60">
            <v>0</v>
          </cell>
        </row>
        <row r="61">
          <cell r="IA61">
            <v>0</v>
          </cell>
          <cell r="IB61">
            <v>0</v>
          </cell>
        </row>
        <row r="62">
          <cell r="IA62">
            <v>0</v>
          </cell>
          <cell r="IB62">
            <v>0</v>
          </cell>
        </row>
        <row r="63">
          <cell r="IA63">
            <v>0</v>
          </cell>
          <cell r="IB63">
            <v>0</v>
          </cell>
        </row>
        <row r="64">
          <cell r="IA64">
            <v>0</v>
          </cell>
          <cell r="IB64">
            <v>0</v>
          </cell>
        </row>
        <row r="65">
          <cell r="IA65">
            <v>0</v>
          </cell>
          <cell r="IB65">
            <v>0</v>
          </cell>
        </row>
        <row r="66">
          <cell r="IA66">
            <v>0</v>
          </cell>
          <cell r="IB66">
            <v>0</v>
          </cell>
        </row>
        <row r="67">
          <cell r="IA67">
            <v>0</v>
          </cell>
          <cell r="IB67">
            <v>0</v>
          </cell>
        </row>
        <row r="68">
          <cell r="IA68">
            <v>0</v>
          </cell>
          <cell r="IB68">
            <v>0</v>
          </cell>
        </row>
        <row r="69">
          <cell r="IA69">
            <v>0</v>
          </cell>
          <cell r="IB69">
            <v>0</v>
          </cell>
        </row>
        <row r="70">
          <cell r="IA70">
            <v>0</v>
          </cell>
          <cell r="IB70">
            <v>0</v>
          </cell>
        </row>
        <row r="71">
          <cell r="IA71">
            <v>0</v>
          </cell>
          <cell r="IB71">
            <v>0</v>
          </cell>
        </row>
        <row r="72">
          <cell r="IA72">
            <v>0</v>
          </cell>
          <cell r="IB72">
            <v>0</v>
          </cell>
        </row>
        <row r="73">
          <cell r="IA73">
            <v>0</v>
          </cell>
          <cell r="IB73">
            <v>0</v>
          </cell>
        </row>
        <row r="74">
          <cell r="IA74">
            <v>0</v>
          </cell>
          <cell r="IB74">
            <v>0</v>
          </cell>
        </row>
        <row r="75">
          <cell r="IA75">
            <v>0</v>
          </cell>
          <cell r="IB75">
            <v>0</v>
          </cell>
        </row>
        <row r="76">
          <cell r="IA76">
            <v>0</v>
          </cell>
          <cell r="IB76">
            <v>0</v>
          </cell>
        </row>
        <row r="77">
          <cell r="IA77">
            <v>0</v>
          </cell>
          <cell r="IB77">
            <v>0</v>
          </cell>
        </row>
        <row r="78">
          <cell r="IA78">
            <v>0</v>
          </cell>
          <cell r="IB78">
            <v>0</v>
          </cell>
        </row>
        <row r="79"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18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IA49">
            <v>0</v>
          </cell>
          <cell r="IB49">
            <v>0</v>
          </cell>
        </row>
        <row r="50">
          <cell r="IA50">
            <v>0</v>
          </cell>
          <cell r="IB50">
            <v>0</v>
          </cell>
        </row>
        <row r="51">
          <cell r="IA51">
            <v>0</v>
          </cell>
          <cell r="IB51">
            <v>0</v>
          </cell>
        </row>
        <row r="52">
          <cell r="IA52">
            <v>0</v>
          </cell>
          <cell r="IB52">
            <v>0</v>
          </cell>
        </row>
        <row r="53">
          <cell r="IA53">
            <v>0</v>
          </cell>
          <cell r="IB53">
            <v>0</v>
          </cell>
        </row>
        <row r="54">
          <cell r="IA54">
            <v>0</v>
          </cell>
          <cell r="IB54">
            <v>0</v>
          </cell>
        </row>
        <row r="55">
          <cell r="IA55">
            <v>0</v>
          </cell>
          <cell r="IB55">
            <v>0</v>
          </cell>
        </row>
        <row r="56">
          <cell r="IA56">
            <v>0</v>
          </cell>
          <cell r="IB56">
            <v>0</v>
          </cell>
        </row>
        <row r="57">
          <cell r="IA57">
            <v>0</v>
          </cell>
          <cell r="IB57">
            <v>0</v>
          </cell>
        </row>
        <row r="58">
          <cell r="IA58">
            <v>0</v>
          </cell>
          <cell r="IB58">
            <v>0</v>
          </cell>
        </row>
        <row r="59">
          <cell r="IA59">
            <v>0</v>
          </cell>
          <cell r="IB59">
            <v>0</v>
          </cell>
        </row>
        <row r="60">
          <cell r="IA60">
            <v>0</v>
          </cell>
          <cell r="IB60">
            <v>0</v>
          </cell>
        </row>
        <row r="61">
          <cell r="IA61">
            <v>0</v>
          </cell>
          <cell r="IB61">
            <v>0</v>
          </cell>
        </row>
        <row r="62">
          <cell r="IA62">
            <v>0</v>
          </cell>
          <cell r="IB62">
            <v>0</v>
          </cell>
        </row>
        <row r="63">
          <cell r="IA63">
            <v>0</v>
          </cell>
          <cell r="IB63">
            <v>0</v>
          </cell>
        </row>
        <row r="64">
          <cell r="IA64">
            <v>0</v>
          </cell>
          <cell r="IB64">
            <v>0</v>
          </cell>
        </row>
        <row r="65">
          <cell r="IA65">
            <v>0</v>
          </cell>
          <cell r="IB65">
            <v>0</v>
          </cell>
        </row>
        <row r="66">
          <cell r="IA66">
            <v>0</v>
          </cell>
          <cell r="IB66">
            <v>0</v>
          </cell>
        </row>
        <row r="67">
          <cell r="IA67">
            <v>0</v>
          </cell>
          <cell r="IB67">
            <v>0</v>
          </cell>
        </row>
        <row r="68">
          <cell r="IA68">
            <v>0</v>
          </cell>
          <cell r="IB68">
            <v>0</v>
          </cell>
        </row>
        <row r="69">
          <cell r="IA69">
            <v>0</v>
          </cell>
          <cell r="IB69">
            <v>0</v>
          </cell>
        </row>
        <row r="70">
          <cell r="IA70">
            <v>0</v>
          </cell>
          <cell r="IB70">
            <v>0</v>
          </cell>
        </row>
        <row r="71">
          <cell r="IA71">
            <v>0</v>
          </cell>
          <cell r="IB71">
            <v>0</v>
          </cell>
        </row>
        <row r="72">
          <cell r="IA72">
            <v>0</v>
          </cell>
          <cell r="IB72">
            <v>0</v>
          </cell>
        </row>
        <row r="73">
          <cell r="IA73">
            <v>0</v>
          </cell>
          <cell r="IB73">
            <v>0</v>
          </cell>
        </row>
        <row r="74">
          <cell r="IA74">
            <v>0</v>
          </cell>
          <cell r="IB74">
            <v>0</v>
          </cell>
        </row>
        <row r="75">
          <cell r="IA75">
            <v>0</v>
          </cell>
          <cell r="IB75">
            <v>0</v>
          </cell>
        </row>
        <row r="76">
          <cell r="IA76">
            <v>0</v>
          </cell>
          <cell r="IB76">
            <v>0</v>
          </cell>
        </row>
        <row r="77">
          <cell r="IA77">
            <v>0</v>
          </cell>
          <cell r="IB77">
            <v>0</v>
          </cell>
        </row>
        <row r="78">
          <cell r="IA78">
            <v>0</v>
          </cell>
          <cell r="IB78">
            <v>0</v>
          </cell>
        </row>
        <row r="79"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19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IA49">
            <v>0</v>
          </cell>
          <cell r="IB49">
            <v>0</v>
          </cell>
        </row>
        <row r="50">
          <cell r="IA50">
            <v>0</v>
          </cell>
          <cell r="IB50">
            <v>0</v>
          </cell>
        </row>
        <row r="51">
          <cell r="IA51">
            <v>0</v>
          </cell>
          <cell r="IB51">
            <v>0</v>
          </cell>
        </row>
        <row r="52">
          <cell r="IA52">
            <v>0</v>
          </cell>
          <cell r="IB52">
            <v>0</v>
          </cell>
        </row>
        <row r="53">
          <cell r="IA53">
            <v>0</v>
          </cell>
          <cell r="IB53">
            <v>0</v>
          </cell>
        </row>
        <row r="54">
          <cell r="IA54">
            <v>0</v>
          </cell>
          <cell r="IB54">
            <v>0</v>
          </cell>
        </row>
        <row r="55">
          <cell r="IA55">
            <v>0</v>
          </cell>
          <cell r="IB55">
            <v>0</v>
          </cell>
        </row>
        <row r="56">
          <cell r="IA56">
            <v>0</v>
          </cell>
          <cell r="IB56">
            <v>0</v>
          </cell>
        </row>
        <row r="57">
          <cell r="IA57">
            <v>0</v>
          </cell>
          <cell r="IB57">
            <v>0</v>
          </cell>
        </row>
        <row r="58">
          <cell r="IA58">
            <v>0</v>
          </cell>
          <cell r="IB58">
            <v>0</v>
          </cell>
        </row>
        <row r="59">
          <cell r="IA59">
            <v>0</v>
          </cell>
          <cell r="IB59">
            <v>0</v>
          </cell>
        </row>
        <row r="60">
          <cell r="IA60">
            <v>0</v>
          </cell>
          <cell r="IB60">
            <v>0</v>
          </cell>
        </row>
        <row r="61">
          <cell r="IA61">
            <v>0</v>
          </cell>
          <cell r="IB61">
            <v>0</v>
          </cell>
        </row>
        <row r="62">
          <cell r="IA62">
            <v>0</v>
          </cell>
          <cell r="IB62">
            <v>0</v>
          </cell>
        </row>
        <row r="63">
          <cell r="IA63">
            <v>0</v>
          </cell>
          <cell r="IB63">
            <v>0</v>
          </cell>
        </row>
        <row r="64">
          <cell r="IA64">
            <v>0</v>
          </cell>
          <cell r="IB64">
            <v>0</v>
          </cell>
        </row>
        <row r="65">
          <cell r="IA65">
            <v>0</v>
          </cell>
          <cell r="IB65">
            <v>0</v>
          </cell>
        </row>
        <row r="66">
          <cell r="IA66">
            <v>0</v>
          </cell>
          <cell r="IB66">
            <v>0</v>
          </cell>
        </row>
        <row r="67">
          <cell r="IA67">
            <v>0</v>
          </cell>
          <cell r="IB67">
            <v>0</v>
          </cell>
        </row>
        <row r="68">
          <cell r="IA68">
            <v>0</v>
          </cell>
          <cell r="IB68">
            <v>0</v>
          </cell>
        </row>
        <row r="69">
          <cell r="IA69">
            <v>0</v>
          </cell>
          <cell r="IB69">
            <v>0</v>
          </cell>
        </row>
        <row r="70">
          <cell r="IA70">
            <v>0</v>
          </cell>
          <cell r="IB70">
            <v>0</v>
          </cell>
        </row>
        <row r="71">
          <cell r="IA71">
            <v>0</v>
          </cell>
          <cell r="IB71">
            <v>0</v>
          </cell>
        </row>
        <row r="72">
          <cell r="IA72">
            <v>0</v>
          </cell>
          <cell r="IB72">
            <v>0</v>
          </cell>
        </row>
        <row r="73">
          <cell r="IA73">
            <v>0</v>
          </cell>
          <cell r="IB73">
            <v>0</v>
          </cell>
        </row>
        <row r="74">
          <cell r="IA74">
            <v>0</v>
          </cell>
          <cell r="IB74">
            <v>0</v>
          </cell>
        </row>
        <row r="75">
          <cell r="IA75">
            <v>0</v>
          </cell>
          <cell r="IB75">
            <v>0</v>
          </cell>
        </row>
        <row r="76">
          <cell r="IA76">
            <v>0</v>
          </cell>
          <cell r="IB76">
            <v>0</v>
          </cell>
        </row>
        <row r="77">
          <cell r="IA77">
            <v>0</v>
          </cell>
          <cell r="IB77">
            <v>0</v>
          </cell>
        </row>
        <row r="78">
          <cell r="IA78">
            <v>0</v>
          </cell>
          <cell r="IB78">
            <v>0</v>
          </cell>
        </row>
        <row r="79"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20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IA49">
            <v>0</v>
          </cell>
          <cell r="IB49">
            <v>0</v>
          </cell>
        </row>
        <row r="50">
          <cell r="IA50">
            <v>0</v>
          </cell>
          <cell r="IB50">
            <v>0</v>
          </cell>
        </row>
        <row r="51">
          <cell r="IA51">
            <v>0</v>
          </cell>
          <cell r="IB51">
            <v>0</v>
          </cell>
        </row>
        <row r="52">
          <cell r="IA52">
            <v>0</v>
          </cell>
          <cell r="IB52">
            <v>0</v>
          </cell>
        </row>
        <row r="53">
          <cell r="IA53">
            <v>0</v>
          </cell>
          <cell r="IB53">
            <v>0</v>
          </cell>
        </row>
        <row r="54">
          <cell r="IA54">
            <v>0</v>
          </cell>
          <cell r="IB54">
            <v>0</v>
          </cell>
        </row>
        <row r="55">
          <cell r="IA55">
            <v>0</v>
          </cell>
          <cell r="IB55">
            <v>0</v>
          </cell>
        </row>
        <row r="56">
          <cell r="IA56">
            <v>0</v>
          </cell>
          <cell r="IB56">
            <v>0</v>
          </cell>
        </row>
        <row r="57">
          <cell r="IA57">
            <v>0</v>
          </cell>
          <cell r="IB57">
            <v>0</v>
          </cell>
        </row>
        <row r="58">
          <cell r="IA58">
            <v>0</v>
          </cell>
          <cell r="IB58">
            <v>0</v>
          </cell>
        </row>
        <row r="59">
          <cell r="IA59">
            <v>0</v>
          </cell>
          <cell r="IB59">
            <v>0</v>
          </cell>
        </row>
        <row r="60">
          <cell r="IA60">
            <v>0</v>
          </cell>
          <cell r="IB60">
            <v>0</v>
          </cell>
        </row>
        <row r="61">
          <cell r="IA61">
            <v>0</v>
          </cell>
          <cell r="IB61">
            <v>0</v>
          </cell>
        </row>
        <row r="62">
          <cell r="IA62">
            <v>0</v>
          </cell>
          <cell r="IB62">
            <v>0</v>
          </cell>
        </row>
        <row r="63">
          <cell r="IA63">
            <v>0</v>
          </cell>
          <cell r="IB63">
            <v>0</v>
          </cell>
        </row>
        <row r="64">
          <cell r="IA64">
            <v>0</v>
          </cell>
          <cell r="IB64">
            <v>0</v>
          </cell>
        </row>
        <row r="65">
          <cell r="IA65">
            <v>0</v>
          </cell>
          <cell r="IB65">
            <v>0</v>
          </cell>
        </row>
        <row r="66">
          <cell r="IA66">
            <v>0</v>
          </cell>
          <cell r="IB66">
            <v>0</v>
          </cell>
        </row>
        <row r="67">
          <cell r="IA67">
            <v>0</v>
          </cell>
          <cell r="IB67">
            <v>0</v>
          </cell>
        </row>
        <row r="68">
          <cell r="IA68">
            <v>0</v>
          </cell>
          <cell r="IB68">
            <v>0</v>
          </cell>
        </row>
        <row r="69">
          <cell r="IA69">
            <v>0</v>
          </cell>
          <cell r="IB69">
            <v>0</v>
          </cell>
        </row>
        <row r="70">
          <cell r="IA70">
            <v>0</v>
          </cell>
          <cell r="IB70">
            <v>0</v>
          </cell>
        </row>
        <row r="71">
          <cell r="IA71">
            <v>0</v>
          </cell>
          <cell r="IB71">
            <v>0</v>
          </cell>
        </row>
        <row r="72">
          <cell r="IA72">
            <v>0</v>
          </cell>
          <cell r="IB72">
            <v>0</v>
          </cell>
        </row>
        <row r="73">
          <cell r="IA73">
            <v>0</v>
          </cell>
          <cell r="IB73">
            <v>0</v>
          </cell>
        </row>
        <row r="74">
          <cell r="IA74">
            <v>0</v>
          </cell>
          <cell r="IB74">
            <v>0</v>
          </cell>
        </row>
        <row r="75">
          <cell r="IA75">
            <v>0</v>
          </cell>
          <cell r="IB75">
            <v>0</v>
          </cell>
        </row>
        <row r="76">
          <cell r="IA76">
            <v>0</v>
          </cell>
          <cell r="IB76">
            <v>0</v>
          </cell>
        </row>
        <row r="77">
          <cell r="IA77">
            <v>0</v>
          </cell>
          <cell r="IB77">
            <v>0</v>
          </cell>
        </row>
        <row r="78">
          <cell r="IA78">
            <v>0</v>
          </cell>
          <cell r="IB78">
            <v>0</v>
          </cell>
        </row>
        <row r="79"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21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IA49">
            <v>0</v>
          </cell>
          <cell r="IB49">
            <v>0</v>
          </cell>
        </row>
        <row r="50">
          <cell r="IA50">
            <v>0</v>
          </cell>
          <cell r="IB50">
            <v>0</v>
          </cell>
        </row>
        <row r="51">
          <cell r="IA51">
            <v>0</v>
          </cell>
          <cell r="IB51">
            <v>0</v>
          </cell>
        </row>
        <row r="52">
          <cell r="IA52">
            <v>0</v>
          </cell>
          <cell r="IB52">
            <v>0</v>
          </cell>
        </row>
        <row r="53">
          <cell r="IA53">
            <v>0</v>
          </cell>
          <cell r="IB53">
            <v>0</v>
          </cell>
        </row>
        <row r="54">
          <cell r="IA54">
            <v>0</v>
          </cell>
          <cell r="IB54">
            <v>0</v>
          </cell>
        </row>
        <row r="55">
          <cell r="IA55">
            <v>0</v>
          </cell>
          <cell r="IB55">
            <v>0</v>
          </cell>
        </row>
        <row r="56">
          <cell r="IA56">
            <v>0</v>
          </cell>
          <cell r="IB56">
            <v>0</v>
          </cell>
        </row>
        <row r="57">
          <cell r="IA57">
            <v>0</v>
          </cell>
          <cell r="IB57">
            <v>0</v>
          </cell>
        </row>
        <row r="58">
          <cell r="IA58">
            <v>0</v>
          </cell>
          <cell r="IB58">
            <v>0</v>
          </cell>
        </row>
        <row r="59">
          <cell r="IA59">
            <v>0</v>
          </cell>
          <cell r="IB59">
            <v>0</v>
          </cell>
        </row>
        <row r="60">
          <cell r="IA60">
            <v>0</v>
          </cell>
          <cell r="IB60">
            <v>0</v>
          </cell>
        </row>
        <row r="61">
          <cell r="IA61">
            <v>0</v>
          </cell>
          <cell r="IB61">
            <v>0</v>
          </cell>
        </row>
        <row r="62">
          <cell r="IA62">
            <v>0</v>
          </cell>
          <cell r="IB62">
            <v>0</v>
          </cell>
        </row>
        <row r="63">
          <cell r="IA63">
            <v>0</v>
          </cell>
          <cell r="IB63">
            <v>0</v>
          </cell>
        </row>
        <row r="64">
          <cell r="IA64">
            <v>0</v>
          </cell>
          <cell r="IB64">
            <v>0</v>
          </cell>
        </row>
        <row r="65">
          <cell r="IA65">
            <v>0</v>
          </cell>
          <cell r="IB65">
            <v>0</v>
          </cell>
        </row>
        <row r="66">
          <cell r="IA66">
            <v>0</v>
          </cell>
          <cell r="IB66">
            <v>0</v>
          </cell>
        </row>
        <row r="67">
          <cell r="IA67">
            <v>0</v>
          </cell>
          <cell r="IB67">
            <v>0</v>
          </cell>
        </row>
        <row r="68">
          <cell r="IA68">
            <v>0</v>
          </cell>
          <cell r="IB68">
            <v>0</v>
          </cell>
        </row>
        <row r="69">
          <cell r="IA69">
            <v>0</v>
          </cell>
          <cell r="IB69">
            <v>0</v>
          </cell>
        </row>
        <row r="70">
          <cell r="IA70">
            <v>0</v>
          </cell>
          <cell r="IB70">
            <v>0</v>
          </cell>
        </row>
        <row r="71">
          <cell r="IA71">
            <v>0</v>
          </cell>
          <cell r="IB71">
            <v>0</v>
          </cell>
        </row>
        <row r="72">
          <cell r="IA72">
            <v>0</v>
          </cell>
          <cell r="IB72">
            <v>0</v>
          </cell>
        </row>
        <row r="73">
          <cell r="IA73">
            <v>0</v>
          </cell>
          <cell r="IB73">
            <v>0</v>
          </cell>
        </row>
        <row r="74">
          <cell r="IA74">
            <v>0</v>
          </cell>
          <cell r="IB74">
            <v>0</v>
          </cell>
        </row>
        <row r="75">
          <cell r="IA75">
            <v>0</v>
          </cell>
          <cell r="IB75">
            <v>0</v>
          </cell>
        </row>
        <row r="76">
          <cell r="IA76">
            <v>0</v>
          </cell>
          <cell r="IB76">
            <v>0</v>
          </cell>
        </row>
        <row r="77">
          <cell r="IA77">
            <v>0</v>
          </cell>
          <cell r="IB77">
            <v>0</v>
          </cell>
        </row>
        <row r="78">
          <cell r="IA78">
            <v>0</v>
          </cell>
          <cell r="IB78">
            <v>0</v>
          </cell>
        </row>
        <row r="79"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22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IA49">
            <v>0</v>
          </cell>
          <cell r="IB49">
            <v>0</v>
          </cell>
        </row>
        <row r="50">
          <cell r="IA50">
            <v>0</v>
          </cell>
          <cell r="IB50">
            <v>0</v>
          </cell>
        </row>
        <row r="51">
          <cell r="IA51">
            <v>0</v>
          </cell>
          <cell r="IB51">
            <v>0</v>
          </cell>
        </row>
        <row r="52">
          <cell r="IA52">
            <v>0</v>
          </cell>
          <cell r="IB52">
            <v>0</v>
          </cell>
        </row>
        <row r="53">
          <cell r="IA53">
            <v>0</v>
          </cell>
          <cell r="IB53">
            <v>0</v>
          </cell>
        </row>
        <row r="54">
          <cell r="IA54">
            <v>0</v>
          </cell>
          <cell r="IB54">
            <v>0</v>
          </cell>
        </row>
        <row r="55">
          <cell r="IA55">
            <v>0</v>
          </cell>
          <cell r="IB55">
            <v>0</v>
          </cell>
        </row>
        <row r="56">
          <cell r="IA56">
            <v>0</v>
          </cell>
          <cell r="IB56">
            <v>0</v>
          </cell>
        </row>
        <row r="57">
          <cell r="IA57">
            <v>0</v>
          </cell>
          <cell r="IB57">
            <v>0</v>
          </cell>
        </row>
        <row r="58">
          <cell r="IA58">
            <v>0</v>
          </cell>
          <cell r="IB58">
            <v>0</v>
          </cell>
        </row>
        <row r="59">
          <cell r="IA59">
            <v>0</v>
          </cell>
          <cell r="IB59">
            <v>0</v>
          </cell>
        </row>
        <row r="60">
          <cell r="IA60">
            <v>0</v>
          </cell>
          <cell r="IB60">
            <v>0</v>
          </cell>
        </row>
        <row r="61">
          <cell r="IA61">
            <v>0</v>
          </cell>
          <cell r="IB61">
            <v>0</v>
          </cell>
        </row>
        <row r="62">
          <cell r="IA62">
            <v>0</v>
          </cell>
          <cell r="IB62">
            <v>0</v>
          </cell>
        </row>
        <row r="63">
          <cell r="IA63">
            <v>0</v>
          </cell>
          <cell r="IB63">
            <v>0</v>
          </cell>
        </row>
        <row r="64">
          <cell r="IA64">
            <v>0</v>
          </cell>
          <cell r="IB64">
            <v>0</v>
          </cell>
        </row>
        <row r="65">
          <cell r="IA65">
            <v>0</v>
          </cell>
          <cell r="IB65">
            <v>0</v>
          </cell>
        </row>
        <row r="66">
          <cell r="IA66">
            <v>0</v>
          </cell>
          <cell r="IB66">
            <v>0</v>
          </cell>
        </row>
        <row r="67">
          <cell r="IA67">
            <v>0</v>
          </cell>
          <cell r="IB67">
            <v>0</v>
          </cell>
        </row>
        <row r="68">
          <cell r="IA68">
            <v>0</v>
          </cell>
          <cell r="IB68">
            <v>0</v>
          </cell>
        </row>
        <row r="69">
          <cell r="IA69">
            <v>0</v>
          </cell>
          <cell r="IB69">
            <v>0</v>
          </cell>
        </row>
        <row r="70">
          <cell r="IA70">
            <v>0</v>
          </cell>
          <cell r="IB70">
            <v>0</v>
          </cell>
        </row>
        <row r="71">
          <cell r="IA71">
            <v>0</v>
          </cell>
          <cell r="IB71">
            <v>0</v>
          </cell>
        </row>
        <row r="72">
          <cell r="IA72">
            <v>0</v>
          </cell>
          <cell r="IB72">
            <v>0</v>
          </cell>
        </row>
        <row r="73">
          <cell r="IA73">
            <v>0</v>
          </cell>
          <cell r="IB73">
            <v>0</v>
          </cell>
        </row>
        <row r="74">
          <cell r="IA74">
            <v>0</v>
          </cell>
          <cell r="IB74">
            <v>0</v>
          </cell>
        </row>
        <row r="75">
          <cell r="IA75">
            <v>0</v>
          </cell>
          <cell r="IB75">
            <v>0</v>
          </cell>
        </row>
        <row r="76">
          <cell r="IA76">
            <v>0</v>
          </cell>
          <cell r="IB76">
            <v>0</v>
          </cell>
        </row>
        <row r="77">
          <cell r="IA77">
            <v>0</v>
          </cell>
          <cell r="IB77">
            <v>0</v>
          </cell>
        </row>
        <row r="78">
          <cell r="IA78">
            <v>0</v>
          </cell>
          <cell r="IB78">
            <v>0</v>
          </cell>
        </row>
        <row r="79"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23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IA49">
            <v>0</v>
          </cell>
          <cell r="IB49">
            <v>0</v>
          </cell>
        </row>
        <row r="50">
          <cell r="IA50">
            <v>0</v>
          </cell>
          <cell r="IB50">
            <v>0</v>
          </cell>
        </row>
        <row r="51">
          <cell r="IA51">
            <v>0</v>
          </cell>
          <cell r="IB51">
            <v>0</v>
          </cell>
        </row>
        <row r="52">
          <cell r="IA52">
            <v>0</v>
          </cell>
          <cell r="IB52">
            <v>0</v>
          </cell>
        </row>
        <row r="53">
          <cell r="IA53">
            <v>0</v>
          </cell>
          <cell r="IB53">
            <v>0</v>
          </cell>
        </row>
        <row r="54">
          <cell r="IA54">
            <v>0</v>
          </cell>
          <cell r="IB54">
            <v>0</v>
          </cell>
        </row>
        <row r="55">
          <cell r="IA55">
            <v>0</v>
          </cell>
          <cell r="IB55">
            <v>0</v>
          </cell>
        </row>
        <row r="56">
          <cell r="IA56">
            <v>0</v>
          </cell>
          <cell r="IB56">
            <v>0</v>
          </cell>
        </row>
        <row r="57">
          <cell r="IA57">
            <v>0</v>
          </cell>
          <cell r="IB57">
            <v>0</v>
          </cell>
        </row>
        <row r="58">
          <cell r="IA58">
            <v>0</v>
          </cell>
          <cell r="IB58">
            <v>0</v>
          </cell>
        </row>
        <row r="59">
          <cell r="IA59">
            <v>0</v>
          </cell>
          <cell r="IB59">
            <v>0</v>
          </cell>
        </row>
        <row r="60">
          <cell r="IA60">
            <v>0</v>
          </cell>
          <cell r="IB60">
            <v>0</v>
          </cell>
        </row>
        <row r="61">
          <cell r="IA61">
            <v>0</v>
          </cell>
          <cell r="IB61">
            <v>0</v>
          </cell>
        </row>
        <row r="62">
          <cell r="IA62">
            <v>0</v>
          </cell>
          <cell r="IB62">
            <v>0</v>
          </cell>
        </row>
        <row r="63">
          <cell r="IA63">
            <v>0</v>
          </cell>
          <cell r="IB63">
            <v>0</v>
          </cell>
        </row>
        <row r="64">
          <cell r="IA64">
            <v>0</v>
          </cell>
          <cell r="IB64">
            <v>0</v>
          </cell>
        </row>
        <row r="65">
          <cell r="IA65">
            <v>0</v>
          </cell>
          <cell r="IB65">
            <v>0</v>
          </cell>
        </row>
        <row r="66">
          <cell r="IA66">
            <v>0</v>
          </cell>
          <cell r="IB66">
            <v>0</v>
          </cell>
        </row>
        <row r="67">
          <cell r="IA67">
            <v>0</v>
          </cell>
          <cell r="IB67">
            <v>0</v>
          </cell>
        </row>
        <row r="68">
          <cell r="IA68">
            <v>0</v>
          </cell>
          <cell r="IB68">
            <v>0</v>
          </cell>
        </row>
        <row r="69">
          <cell r="IA69">
            <v>0</v>
          </cell>
          <cell r="IB69">
            <v>0</v>
          </cell>
        </row>
        <row r="70">
          <cell r="IA70">
            <v>0</v>
          </cell>
          <cell r="IB70">
            <v>0</v>
          </cell>
        </row>
        <row r="71">
          <cell r="IA71">
            <v>0</v>
          </cell>
          <cell r="IB71">
            <v>0</v>
          </cell>
        </row>
        <row r="72">
          <cell r="IA72">
            <v>0</v>
          </cell>
          <cell r="IB72">
            <v>0</v>
          </cell>
        </row>
        <row r="73">
          <cell r="IA73">
            <v>0</v>
          </cell>
          <cell r="IB73">
            <v>0</v>
          </cell>
        </row>
        <row r="74">
          <cell r="IA74">
            <v>0</v>
          </cell>
          <cell r="IB74">
            <v>0</v>
          </cell>
        </row>
        <row r="75">
          <cell r="IA75">
            <v>0</v>
          </cell>
          <cell r="IB75">
            <v>0</v>
          </cell>
        </row>
        <row r="76">
          <cell r="IA76">
            <v>0</v>
          </cell>
          <cell r="IB76">
            <v>0</v>
          </cell>
        </row>
        <row r="77">
          <cell r="IA77">
            <v>0</v>
          </cell>
          <cell r="IB77">
            <v>0</v>
          </cell>
        </row>
        <row r="78">
          <cell r="IA78">
            <v>0</v>
          </cell>
          <cell r="IB78">
            <v>0</v>
          </cell>
        </row>
        <row r="79"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24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IA49">
            <v>0</v>
          </cell>
          <cell r="IB49">
            <v>0</v>
          </cell>
        </row>
        <row r="50">
          <cell r="IA50">
            <v>0</v>
          </cell>
          <cell r="IB50">
            <v>0</v>
          </cell>
        </row>
        <row r="51">
          <cell r="IA51">
            <v>0</v>
          </cell>
          <cell r="IB51">
            <v>0</v>
          </cell>
        </row>
        <row r="52">
          <cell r="IA52">
            <v>0</v>
          </cell>
          <cell r="IB52">
            <v>0</v>
          </cell>
        </row>
        <row r="53">
          <cell r="IA53">
            <v>0</v>
          </cell>
          <cell r="IB53">
            <v>0</v>
          </cell>
        </row>
        <row r="54">
          <cell r="IA54">
            <v>0</v>
          </cell>
          <cell r="IB54">
            <v>0</v>
          </cell>
        </row>
        <row r="55">
          <cell r="IA55">
            <v>0</v>
          </cell>
          <cell r="IB55">
            <v>0</v>
          </cell>
        </row>
        <row r="56">
          <cell r="IA56">
            <v>0</v>
          </cell>
          <cell r="IB56">
            <v>0</v>
          </cell>
        </row>
        <row r="57">
          <cell r="IA57">
            <v>0</v>
          </cell>
          <cell r="IB57">
            <v>0</v>
          </cell>
        </row>
        <row r="58">
          <cell r="IA58">
            <v>0</v>
          </cell>
          <cell r="IB58">
            <v>0</v>
          </cell>
        </row>
        <row r="59">
          <cell r="IA59">
            <v>0</v>
          </cell>
          <cell r="IB59">
            <v>0</v>
          </cell>
        </row>
        <row r="60">
          <cell r="IA60">
            <v>0</v>
          </cell>
          <cell r="IB60">
            <v>0</v>
          </cell>
        </row>
        <row r="61">
          <cell r="IA61">
            <v>0</v>
          </cell>
          <cell r="IB61">
            <v>0</v>
          </cell>
        </row>
        <row r="62">
          <cell r="IA62">
            <v>0</v>
          </cell>
          <cell r="IB62">
            <v>0</v>
          </cell>
        </row>
        <row r="63">
          <cell r="IA63">
            <v>0</v>
          </cell>
          <cell r="IB63">
            <v>0</v>
          </cell>
        </row>
        <row r="64">
          <cell r="IA64">
            <v>0</v>
          </cell>
          <cell r="IB64">
            <v>0</v>
          </cell>
        </row>
        <row r="65">
          <cell r="IA65">
            <v>0</v>
          </cell>
          <cell r="IB65">
            <v>0</v>
          </cell>
        </row>
        <row r="66">
          <cell r="IA66">
            <v>0</v>
          </cell>
          <cell r="IB66">
            <v>0</v>
          </cell>
        </row>
        <row r="67">
          <cell r="IA67">
            <v>0</v>
          </cell>
          <cell r="IB67">
            <v>0</v>
          </cell>
        </row>
        <row r="68">
          <cell r="IA68">
            <v>0</v>
          </cell>
          <cell r="IB68">
            <v>0</v>
          </cell>
        </row>
        <row r="69">
          <cell r="IA69">
            <v>0</v>
          </cell>
          <cell r="IB69">
            <v>0</v>
          </cell>
        </row>
        <row r="70">
          <cell r="IA70">
            <v>0</v>
          </cell>
          <cell r="IB70">
            <v>0</v>
          </cell>
        </row>
        <row r="71">
          <cell r="IA71">
            <v>0</v>
          </cell>
          <cell r="IB71">
            <v>0</v>
          </cell>
        </row>
        <row r="72">
          <cell r="IA72">
            <v>0</v>
          </cell>
          <cell r="IB72">
            <v>0</v>
          </cell>
        </row>
        <row r="73">
          <cell r="IA73">
            <v>0</v>
          </cell>
          <cell r="IB73">
            <v>0</v>
          </cell>
        </row>
        <row r="74">
          <cell r="IA74">
            <v>0</v>
          </cell>
          <cell r="IB74">
            <v>0</v>
          </cell>
        </row>
        <row r="75">
          <cell r="IA75">
            <v>0</v>
          </cell>
          <cell r="IB75">
            <v>0</v>
          </cell>
        </row>
        <row r="76">
          <cell r="IA76">
            <v>0</v>
          </cell>
          <cell r="IB76">
            <v>0</v>
          </cell>
        </row>
        <row r="77">
          <cell r="IA77">
            <v>0</v>
          </cell>
          <cell r="IB77">
            <v>0</v>
          </cell>
        </row>
        <row r="78">
          <cell r="IA78">
            <v>0</v>
          </cell>
          <cell r="IB78">
            <v>0</v>
          </cell>
        </row>
        <row r="79"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LCT-1"/>
      <sheetName val="LCT-2"/>
      <sheetName val="LCT-3"/>
      <sheetName val="LCT-4"/>
      <sheetName val="LCT-5"/>
      <sheetName val="LCT-6"/>
      <sheetName val="LCT-7"/>
      <sheetName val="LCT-8"/>
    </sheetNames>
    <sheetDataSet>
      <sheetData sheetId="0"/>
      <sheetData sheetId="1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2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3">
        <row r="11">
          <cell r="AT11">
            <v>0</v>
          </cell>
          <cell r="AU11">
            <v>698.53477509757499</v>
          </cell>
          <cell r="BP11">
            <v>0</v>
          </cell>
          <cell r="BQ11">
            <v>975.7502079467655</v>
          </cell>
          <cell r="CL11">
            <v>0</v>
          </cell>
          <cell r="CM11">
            <v>0</v>
          </cell>
          <cell r="IA11">
            <v>0</v>
          </cell>
          <cell r="IB11">
            <v>15250000</v>
          </cell>
        </row>
        <row r="12">
          <cell r="AT12">
            <v>0</v>
          </cell>
          <cell r="AU12">
            <v>1853.8038262204875</v>
          </cell>
          <cell r="BP12">
            <v>0</v>
          </cell>
          <cell r="BQ12">
            <v>975.7502079467655</v>
          </cell>
          <cell r="CL12">
            <v>0</v>
          </cell>
          <cell r="CM12">
            <v>0</v>
          </cell>
          <cell r="IA12">
            <v>0</v>
          </cell>
          <cell r="IB12">
            <v>15250000</v>
          </cell>
        </row>
        <row r="13">
          <cell r="AT13">
            <v>0</v>
          </cell>
          <cell r="AU13">
            <v>1079.8355620961033</v>
          </cell>
          <cell r="BP13">
            <v>0</v>
          </cell>
          <cell r="BQ13">
            <v>975.7502079467655</v>
          </cell>
          <cell r="CL13">
            <v>0</v>
          </cell>
          <cell r="CM13">
            <v>0</v>
          </cell>
          <cell r="IA13">
            <v>0</v>
          </cell>
          <cell r="IB13">
            <v>15250000</v>
          </cell>
        </row>
        <row r="14">
          <cell r="AT14">
            <v>0</v>
          </cell>
          <cell r="AU14">
            <v>1895.409752686121</v>
          </cell>
          <cell r="BP14">
            <v>0</v>
          </cell>
          <cell r="BQ14">
            <v>969.54669718354637</v>
          </cell>
          <cell r="CL14">
            <v>0</v>
          </cell>
          <cell r="CM14">
            <v>0</v>
          </cell>
          <cell r="IA14">
            <v>0</v>
          </cell>
          <cell r="IB14">
            <v>15250000</v>
          </cell>
        </row>
        <row r="15">
          <cell r="AT15">
            <v>0</v>
          </cell>
          <cell r="AU15">
            <v>327.91878172588832</v>
          </cell>
          <cell r="BP15">
            <v>0</v>
          </cell>
          <cell r="BQ15">
            <v>967.63959390862931</v>
          </cell>
          <cell r="CL15">
            <v>0</v>
          </cell>
          <cell r="CM15">
            <v>0</v>
          </cell>
          <cell r="IA15">
            <v>0</v>
          </cell>
          <cell r="IB15">
            <v>15250000</v>
          </cell>
        </row>
        <row r="16">
          <cell r="AT16">
            <v>0</v>
          </cell>
          <cell r="AU16">
            <v>251.50966183574877</v>
          </cell>
          <cell r="BP16">
            <v>0</v>
          </cell>
          <cell r="BQ16">
            <v>969.3618103229087</v>
          </cell>
          <cell r="CL16">
            <v>0</v>
          </cell>
          <cell r="CM16">
            <v>0</v>
          </cell>
          <cell r="IA16">
            <v>0</v>
          </cell>
          <cell r="IB16">
            <v>15250000</v>
          </cell>
        </row>
        <row r="17">
          <cell r="AT17">
            <v>0</v>
          </cell>
          <cell r="AU17">
            <v>329.06717605858012</v>
          </cell>
          <cell r="BP17">
            <v>0</v>
          </cell>
          <cell r="BQ17">
            <v>971.02833492518312</v>
          </cell>
          <cell r="CL17">
            <v>0</v>
          </cell>
          <cell r="CM17">
            <v>0</v>
          </cell>
          <cell r="IA17">
            <v>0</v>
          </cell>
          <cell r="IB17">
            <v>15250000</v>
          </cell>
        </row>
        <row r="18">
          <cell r="AT18">
            <v>0</v>
          </cell>
          <cell r="AU18">
            <v>953.2023150798193</v>
          </cell>
          <cell r="BP18">
            <v>0</v>
          </cell>
          <cell r="BQ18">
            <v>969.91668256694027</v>
          </cell>
          <cell r="CL18">
            <v>0</v>
          </cell>
          <cell r="CM18">
            <v>0</v>
          </cell>
          <cell r="IA18">
            <v>0</v>
          </cell>
          <cell r="IB18">
            <v>15250000</v>
          </cell>
        </row>
        <row r="19">
          <cell r="AT19">
            <v>0</v>
          </cell>
          <cell r="AU19">
            <v>1743.0865610888504</v>
          </cell>
          <cell r="BP19">
            <v>0</v>
          </cell>
          <cell r="BQ19">
            <v>969.91668256694027</v>
          </cell>
          <cell r="CL19">
            <v>0</v>
          </cell>
          <cell r="CM19">
            <v>0</v>
          </cell>
          <cell r="IA19">
            <v>0</v>
          </cell>
          <cell r="IB19">
            <v>15250000</v>
          </cell>
        </row>
        <row r="20">
          <cell r="AT20">
            <v>0</v>
          </cell>
          <cell r="AU20">
            <v>996.34293709851795</v>
          </cell>
          <cell r="BP20">
            <v>0</v>
          </cell>
          <cell r="BQ20">
            <v>969.91668256694027</v>
          </cell>
          <cell r="CL20">
            <v>0</v>
          </cell>
          <cell r="CM20">
            <v>0</v>
          </cell>
          <cell r="IA20">
            <v>0</v>
          </cell>
          <cell r="IB20">
            <v>15250000</v>
          </cell>
        </row>
        <row r="21">
          <cell r="AT21">
            <v>0</v>
          </cell>
          <cell r="AU21">
            <v>1343.1845597104948</v>
          </cell>
          <cell r="BP21">
            <v>0</v>
          </cell>
          <cell r="BQ21">
            <v>968.19249571455782</v>
          </cell>
          <cell r="CL21">
            <v>0</v>
          </cell>
          <cell r="CM21">
            <v>0</v>
          </cell>
          <cell r="IA21">
            <v>0</v>
          </cell>
          <cell r="IB21">
            <v>15250000</v>
          </cell>
        </row>
        <row r="22">
          <cell r="AT22">
            <v>0</v>
          </cell>
          <cell r="AU22">
            <v>1180.058353418749</v>
          </cell>
          <cell r="BP22">
            <v>0</v>
          </cell>
          <cell r="BQ22">
            <v>967.27134339718384</v>
          </cell>
          <cell r="CL22">
            <v>0</v>
          </cell>
          <cell r="CM22">
            <v>0</v>
          </cell>
          <cell r="IA22">
            <v>0</v>
          </cell>
          <cell r="IB22">
            <v>15250000</v>
          </cell>
        </row>
        <row r="23">
          <cell r="AT23">
            <v>0</v>
          </cell>
          <cell r="AU23">
            <v>249.79482323232324</v>
          </cell>
          <cell r="BP23">
            <v>0</v>
          </cell>
          <cell r="BQ23">
            <v>962.75252525252529</v>
          </cell>
          <cell r="CL23">
            <v>0</v>
          </cell>
          <cell r="CM23">
            <v>0</v>
          </cell>
          <cell r="IA23">
            <v>0</v>
          </cell>
          <cell r="IB23">
            <v>15250000</v>
          </cell>
        </row>
        <row r="24">
          <cell r="AT24">
            <v>0</v>
          </cell>
          <cell r="AU24">
            <v>250.95135409399381</v>
          </cell>
          <cell r="BP24">
            <v>0</v>
          </cell>
          <cell r="BQ24">
            <v>967.20999556034758</v>
          </cell>
          <cell r="CL24">
            <v>0</v>
          </cell>
          <cell r="CM24">
            <v>0</v>
          </cell>
          <cell r="IA24">
            <v>0</v>
          </cell>
          <cell r="IB24">
            <v>15250000</v>
          </cell>
        </row>
        <row r="25">
          <cell r="AT25">
            <v>0</v>
          </cell>
          <cell r="AU25">
            <v>547.23055325122834</v>
          </cell>
          <cell r="BP25">
            <v>0</v>
          </cell>
          <cell r="BQ25">
            <v>973.13509029417401</v>
          </cell>
          <cell r="CL25">
            <v>0</v>
          </cell>
          <cell r="CM25">
            <v>0</v>
          </cell>
          <cell r="IA25">
            <v>0</v>
          </cell>
          <cell r="IB25">
            <v>15250000</v>
          </cell>
        </row>
        <row r="26">
          <cell r="AT26">
            <v>0</v>
          </cell>
          <cell r="AU26">
            <v>1799.3682598430219</v>
          </cell>
          <cell r="BP26">
            <v>0</v>
          </cell>
          <cell r="BQ26">
            <v>973.13509029417401</v>
          </cell>
          <cell r="CL26">
            <v>0</v>
          </cell>
          <cell r="CM26">
            <v>0</v>
          </cell>
          <cell r="IA26">
            <v>0</v>
          </cell>
          <cell r="IB26">
            <v>15250000</v>
          </cell>
        </row>
        <row r="27">
          <cell r="AT27">
            <v>0</v>
          </cell>
          <cell r="AU27">
            <v>1412.906004722098</v>
          </cell>
          <cell r="BP27">
            <v>0</v>
          </cell>
          <cell r="BQ27">
            <v>973.13509029417401</v>
          </cell>
          <cell r="CL27">
            <v>0</v>
          </cell>
          <cell r="CM27">
            <v>0</v>
          </cell>
          <cell r="IA27">
            <v>0</v>
          </cell>
          <cell r="IB27">
            <v>15250000</v>
          </cell>
        </row>
        <row r="28">
          <cell r="AT28">
            <v>0</v>
          </cell>
          <cell r="AU28">
            <v>1900.6665816163804</v>
          </cell>
          <cell r="BP28">
            <v>0</v>
          </cell>
          <cell r="BQ28">
            <v>972.76264591439701</v>
          </cell>
          <cell r="CL28">
            <v>0</v>
          </cell>
          <cell r="CM28">
            <v>0</v>
          </cell>
          <cell r="IA28">
            <v>0</v>
          </cell>
          <cell r="IB28">
            <v>15250000</v>
          </cell>
        </row>
        <row r="29">
          <cell r="AT29">
            <v>0</v>
          </cell>
          <cell r="AU29">
            <v>526.35216536681253</v>
          </cell>
          <cell r="BP29">
            <v>0</v>
          </cell>
          <cell r="BQ29">
            <v>966.96468201128653</v>
          </cell>
          <cell r="CL29">
            <v>0</v>
          </cell>
          <cell r="CM29">
            <v>0</v>
          </cell>
          <cell r="IA29">
            <v>0</v>
          </cell>
          <cell r="IB29">
            <v>15250000</v>
          </cell>
        </row>
        <row r="30">
          <cell r="AT30">
            <v>0</v>
          </cell>
          <cell r="AU30">
            <v>250.71283740970728</v>
          </cell>
          <cell r="BP30">
            <v>0</v>
          </cell>
          <cell r="BQ30">
            <v>966.29071093650998</v>
          </cell>
          <cell r="CL30">
            <v>0</v>
          </cell>
          <cell r="CM30">
            <v>0</v>
          </cell>
          <cell r="IA30">
            <v>0</v>
          </cell>
          <cell r="IB30">
            <v>15250000</v>
          </cell>
        </row>
        <row r="31">
          <cell r="AT31">
            <v>0</v>
          </cell>
          <cell r="AU31">
            <v>872.97297297297291</v>
          </cell>
          <cell r="BP31">
            <v>0</v>
          </cell>
          <cell r="BQ31">
            <v>960.75096075096064</v>
          </cell>
          <cell r="CL31">
            <v>0</v>
          </cell>
          <cell r="CM31">
            <v>0</v>
          </cell>
          <cell r="IA31">
            <v>0</v>
          </cell>
          <cell r="IB31">
            <v>15250000</v>
          </cell>
        </row>
        <row r="32">
          <cell r="AT32">
            <v>0</v>
          </cell>
          <cell r="AU32">
            <v>1841.8806646525679</v>
          </cell>
          <cell r="BP32">
            <v>0</v>
          </cell>
          <cell r="BQ32">
            <v>959.84390735146019</v>
          </cell>
          <cell r="CL32">
            <v>0</v>
          </cell>
          <cell r="CM32">
            <v>0</v>
          </cell>
          <cell r="IA32">
            <v>0</v>
          </cell>
          <cell r="IB32">
            <v>15250000</v>
          </cell>
        </row>
        <row r="33">
          <cell r="AT33">
            <v>0</v>
          </cell>
          <cell r="AU33">
            <v>512.31117824773412</v>
          </cell>
          <cell r="BP33">
            <v>0</v>
          </cell>
          <cell r="BQ33">
            <v>959.84390735146019</v>
          </cell>
          <cell r="CL33">
            <v>0</v>
          </cell>
          <cell r="CM33">
            <v>0</v>
          </cell>
          <cell r="IA33">
            <v>0</v>
          </cell>
          <cell r="IB33">
            <v>15250000</v>
          </cell>
        </row>
        <row r="34">
          <cell r="AT34">
            <v>0</v>
          </cell>
          <cell r="AU34">
            <v>1478.993580060423</v>
          </cell>
          <cell r="BP34">
            <v>0</v>
          </cell>
          <cell r="BQ34">
            <v>959.84390735146019</v>
          </cell>
          <cell r="CL34">
            <v>0</v>
          </cell>
          <cell r="CM34">
            <v>0</v>
          </cell>
          <cell r="IA34">
            <v>0</v>
          </cell>
          <cell r="IB34">
            <v>15250000</v>
          </cell>
        </row>
        <row r="35">
          <cell r="AT35">
            <v>0</v>
          </cell>
          <cell r="AU35">
            <v>1309.4870015143867</v>
          </cell>
          <cell r="BP35">
            <v>0</v>
          </cell>
          <cell r="BQ35">
            <v>962.26653205451794</v>
          </cell>
          <cell r="CL35">
            <v>0</v>
          </cell>
          <cell r="CM35">
            <v>0</v>
          </cell>
          <cell r="IA35">
            <v>0</v>
          </cell>
          <cell r="IB35">
            <v>15250000</v>
          </cell>
        </row>
        <row r="36">
          <cell r="AT36">
            <v>0</v>
          </cell>
          <cell r="AU36">
            <v>351.26454223571068</v>
          </cell>
          <cell r="BP36">
            <v>0</v>
          </cell>
          <cell r="BQ36">
            <v>964.21345472938799</v>
          </cell>
          <cell r="CL36">
            <v>0</v>
          </cell>
          <cell r="CM36">
            <v>0</v>
          </cell>
          <cell r="IA36">
            <v>0</v>
          </cell>
          <cell r="IB36">
            <v>15250000</v>
          </cell>
        </row>
        <row r="37">
          <cell r="AT37">
            <v>687.42905788876283</v>
          </cell>
          <cell r="AU37">
            <v>0</v>
          </cell>
          <cell r="BP37">
            <v>961.65973010467906</v>
          </cell>
          <cell r="BQ37">
            <v>0</v>
          </cell>
          <cell r="CL37">
            <v>0</v>
          </cell>
          <cell r="CM37">
            <v>0</v>
          </cell>
          <cell r="IA37">
            <v>15250000</v>
          </cell>
          <cell r="IB37">
            <v>0</v>
          </cell>
        </row>
        <row r="38">
          <cell r="AT38">
            <v>645.31112783841434</v>
          </cell>
          <cell r="AU38">
            <v>0</v>
          </cell>
          <cell r="BP38">
            <v>956.59264835026977</v>
          </cell>
          <cell r="BQ38">
            <v>0</v>
          </cell>
          <cell r="CL38">
            <v>0</v>
          </cell>
          <cell r="CM38">
            <v>0</v>
          </cell>
          <cell r="IA38">
            <v>15250000</v>
          </cell>
          <cell r="IB38">
            <v>0</v>
          </cell>
        </row>
        <row r="39">
          <cell r="AT39">
            <v>744.01043303375025</v>
          </cell>
          <cell r="AU39">
            <v>0</v>
          </cell>
          <cell r="BP39">
            <v>958.45641380177233</v>
          </cell>
          <cell r="BQ39">
            <v>0</v>
          </cell>
          <cell r="CL39">
            <v>0</v>
          </cell>
          <cell r="CM39">
            <v>0</v>
          </cell>
          <cell r="IA39">
            <v>15250000</v>
          </cell>
          <cell r="IB39">
            <v>0</v>
          </cell>
        </row>
        <row r="40">
          <cell r="AT40">
            <v>761.26579096222736</v>
          </cell>
          <cell r="AU40">
            <v>0</v>
          </cell>
          <cell r="BP40">
            <v>958.45641380177233</v>
          </cell>
          <cell r="BQ40">
            <v>0</v>
          </cell>
          <cell r="CL40">
            <v>0</v>
          </cell>
          <cell r="CM40">
            <v>0</v>
          </cell>
          <cell r="IA40">
            <v>15250000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96</v>
          </cell>
          <cell r="GF42">
            <v>624</v>
          </cell>
        </row>
        <row r="49">
          <cell r="AT49">
            <v>0</v>
          </cell>
          <cell r="AU49">
            <v>676</v>
          </cell>
          <cell r="IA49">
            <v>0</v>
          </cell>
          <cell r="IB49">
            <v>10917400</v>
          </cell>
        </row>
        <row r="50">
          <cell r="AT50">
            <v>0</v>
          </cell>
          <cell r="AU50">
            <v>1794</v>
          </cell>
          <cell r="IA50">
            <v>0</v>
          </cell>
          <cell r="IB50">
            <v>28973100</v>
          </cell>
        </row>
        <row r="51">
          <cell r="AT51">
            <v>0</v>
          </cell>
          <cell r="AU51">
            <v>1045</v>
          </cell>
          <cell r="IA51">
            <v>0</v>
          </cell>
          <cell r="IB51">
            <v>16876750</v>
          </cell>
        </row>
        <row r="52">
          <cell r="AT52">
            <v>0</v>
          </cell>
          <cell r="AU52">
            <v>1846</v>
          </cell>
          <cell r="IA52">
            <v>0</v>
          </cell>
          <cell r="IB52">
            <v>29812900</v>
          </cell>
        </row>
        <row r="53">
          <cell r="AT53">
            <v>0</v>
          </cell>
          <cell r="AU53">
            <v>320</v>
          </cell>
          <cell r="IA53">
            <v>0</v>
          </cell>
          <cell r="IB53">
            <v>5168000</v>
          </cell>
        </row>
        <row r="54">
          <cell r="AT54">
            <v>0</v>
          </cell>
          <cell r="AU54">
            <v>245</v>
          </cell>
          <cell r="IA54">
            <v>0</v>
          </cell>
          <cell r="IB54">
            <v>3956750</v>
          </cell>
        </row>
        <row r="55">
          <cell r="AT55">
            <v>0</v>
          </cell>
          <cell r="AU55">
            <v>320.00000000000006</v>
          </cell>
          <cell r="IA55">
            <v>0</v>
          </cell>
          <cell r="IB55">
            <v>5168000</v>
          </cell>
        </row>
        <row r="56">
          <cell r="AT56">
            <v>0</v>
          </cell>
          <cell r="AU56">
            <v>928</v>
          </cell>
          <cell r="IA56">
            <v>0</v>
          </cell>
          <cell r="IB56">
            <v>14987200</v>
          </cell>
        </row>
        <row r="57">
          <cell r="AT57">
            <v>0</v>
          </cell>
          <cell r="AU57">
            <v>1696.9999999999998</v>
          </cell>
          <cell r="IA57">
            <v>0</v>
          </cell>
          <cell r="IB57">
            <v>27406550</v>
          </cell>
        </row>
        <row r="58">
          <cell r="AT58">
            <v>0</v>
          </cell>
          <cell r="AU58">
            <v>969.99999999999989</v>
          </cell>
          <cell r="IA58">
            <v>0</v>
          </cell>
          <cell r="IB58">
            <v>15665500</v>
          </cell>
        </row>
        <row r="59">
          <cell r="AT59">
            <v>0</v>
          </cell>
          <cell r="AU59">
            <v>1310.0000000000002</v>
          </cell>
          <cell r="IA59">
            <v>0</v>
          </cell>
          <cell r="IB59">
            <v>21156500</v>
          </cell>
        </row>
        <row r="60">
          <cell r="AT60">
            <v>0</v>
          </cell>
          <cell r="AU60">
            <v>1152</v>
          </cell>
          <cell r="IA60">
            <v>0</v>
          </cell>
          <cell r="IB60">
            <v>18604800</v>
          </cell>
        </row>
        <row r="61">
          <cell r="AT61">
            <v>0</v>
          </cell>
          <cell r="AU61">
            <v>245.00000000000003</v>
          </cell>
          <cell r="IA61">
            <v>0</v>
          </cell>
          <cell r="IB61">
            <v>3956750</v>
          </cell>
        </row>
        <row r="62">
          <cell r="AT62">
            <v>0</v>
          </cell>
          <cell r="AU62">
            <v>245</v>
          </cell>
          <cell r="IA62">
            <v>0</v>
          </cell>
          <cell r="IB62">
            <v>3956750</v>
          </cell>
        </row>
        <row r="63">
          <cell r="AT63">
            <v>0</v>
          </cell>
          <cell r="AU63">
            <v>531</v>
          </cell>
          <cell r="IA63">
            <v>0</v>
          </cell>
          <cell r="IB63">
            <v>8575650</v>
          </cell>
        </row>
        <row r="64">
          <cell r="AT64">
            <v>0</v>
          </cell>
          <cell r="AU64">
            <v>1745.9999999999998</v>
          </cell>
          <cell r="IA64">
            <v>0</v>
          </cell>
          <cell r="IB64">
            <v>28197900</v>
          </cell>
        </row>
        <row r="65">
          <cell r="AT65">
            <v>0</v>
          </cell>
          <cell r="AU65">
            <v>1371</v>
          </cell>
          <cell r="IA65">
            <v>0</v>
          </cell>
          <cell r="IB65">
            <v>22141650</v>
          </cell>
        </row>
        <row r="66">
          <cell r="AT66">
            <v>0</v>
          </cell>
          <cell r="AU66">
            <v>1844.9999999999998</v>
          </cell>
          <cell r="IA66">
            <v>0</v>
          </cell>
          <cell r="IB66">
            <v>29796750</v>
          </cell>
        </row>
        <row r="67">
          <cell r="AT67">
            <v>0</v>
          </cell>
          <cell r="AU67">
            <v>514</v>
          </cell>
          <cell r="IA67">
            <v>0</v>
          </cell>
          <cell r="IB67">
            <v>8301100</v>
          </cell>
        </row>
        <row r="68">
          <cell r="AT68">
            <v>0</v>
          </cell>
          <cell r="AU68">
            <v>245</v>
          </cell>
          <cell r="IA68">
            <v>0</v>
          </cell>
          <cell r="IB68">
            <v>3956750</v>
          </cell>
        </row>
        <row r="69">
          <cell r="AT69">
            <v>0</v>
          </cell>
          <cell r="AU69">
            <v>858</v>
          </cell>
          <cell r="IA69">
            <v>0</v>
          </cell>
          <cell r="IB69">
            <v>13856700</v>
          </cell>
        </row>
        <row r="70">
          <cell r="AT70">
            <v>0</v>
          </cell>
          <cell r="AU70">
            <v>1812</v>
          </cell>
          <cell r="IA70">
            <v>0</v>
          </cell>
          <cell r="IB70">
            <v>29263800</v>
          </cell>
        </row>
        <row r="71">
          <cell r="AT71">
            <v>0</v>
          </cell>
          <cell r="AU71">
            <v>503.99999999999994</v>
          </cell>
          <cell r="IA71">
            <v>0</v>
          </cell>
          <cell r="IB71">
            <v>8139600</v>
          </cell>
        </row>
        <row r="72">
          <cell r="AT72">
            <v>0</v>
          </cell>
          <cell r="AU72">
            <v>1455</v>
          </cell>
          <cell r="IA72">
            <v>0</v>
          </cell>
          <cell r="IB72">
            <v>23498250</v>
          </cell>
        </row>
        <row r="73">
          <cell r="AT73">
            <v>0</v>
          </cell>
          <cell r="AU73">
            <v>1285</v>
          </cell>
          <cell r="IA73">
            <v>0</v>
          </cell>
          <cell r="IB73">
            <v>20752750</v>
          </cell>
        </row>
        <row r="74">
          <cell r="AT74">
            <v>0</v>
          </cell>
          <cell r="AU74">
            <v>344</v>
          </cell>
          <cell r="IA74">
            <v>0</v>
          </cell>
          <cell r="IB74">
            <v>5555600</v>
          </cell>
        </row>
        <row r="75">
          <cell r="AT75">
            <v>675</v>
          </cell>
          <cell r="AU75">
            <v>0</v>
          </cell>
          <cell r="IA75">
            <v>10901250</v>
          </cell>
          <cell r="IB75">
            <v>0</v>
          </cell>
        </row>
        <row r="76">
          <cell r="AT76">
            <v>637</v>
          </cell>
          <cell r="AU76">
            <v>0</v>
          </cell>
          <cell r="IA76">
            <v>10287550</v>
          </cell>
          <cell r="IB76">
            <v>0</v>
          </cell>
        </row>
        <row r="77">
          <cell r="AT77">
            <v>733</v>
          </cell>
          <cell r="AU77">
            <v>0</v>
          </cell>
          <cell r="IA77">
            <v>11837950</v>
          </cell>
          <cell r="IB77">
            <v>0</v>
          </cell>
        </row>
        <row r="78">
          <cell r="AT78">
            <v>750</v>
          </cell>
          <cell r="AU78">
            <v>0</v>
          </cell>
          <cell r="IA78">
            <v>12112500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4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5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6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7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8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TB-1"/>
      <sheetName val="TB-2"/>
      <sheetName val="TB-3"/>
      <sheetName val="TB-4"/>
      <sheetName val="TB-5"/>
      <sheetName val="TB-6"/>
      <sheetName val="TB-7"/>
      <sheetName val="TB-8"/>
      <sheetName val="TB-9"/>
      <sheetName val="TB-10"/>
    </sheetNames>
    <sheetDataSet>
      <sheetData sheetId="0"/>
      <sheetData sheetId="1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2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3">
        <row r="11">
          <cell r="AT11">
            <v>0</v>
          </cell>
          <cell r="AU11">
            <v>355.46740034551158</v>
          </cell>
          <cell r="BP11">
            <v>0</v>
          </cell>
          <cell r="BQ11">
            <v>607.84439183569009</v>
          </cell>
          <cell r="CL11">
            <v>0</v>
          </cell>
          <cell r="CM11">
            <v>0</v>
          </cell>
          <cell r="IA11">
            <v>0</v>
          </cell>
          <cell r="IB11">
            <v>9500000</v>
          </cell>
        </row>
        <row r="12">
          <cell r="AT12">
            <v>0</v>
          </cell>
          <cell r="AU12">
            <v>322.40066542964996</v>
          </cell>
          <cell r="BP12">
            <v>0</v>
          </cell>
          <cell r="BQ12">
            <v>607.84439183569009</v>
          </cell>
          <cell r="CL12">
            <v>0</v>
          </cell>
          <cell r="CM12">
            <v>0</v>
          </cell>
          <cell r="IA12">
            <v>0</v>
          </cell>
          <cell r="IB12">
            <v>9500000</v>
          </cell>
        </row>
        <row r="13">
          <cell r="AT13">
            <v>0</v>
          </cell>
          <cell r="AU13">
            <v>651.00134365602401</v>
          </cell>
          <cell r="BP13">
            <v>0</v>
          </cell>
          <cell r="BQ13">
            <v>607.84439183569009</v>
          </cell>
          <cell r="CL13">
            <v>0</v>
          </cell>
          <cell r="CM13">
            <v>0</v>
          </cell>
          <cell r="IA13">
            <v>0</v>
          </cell>
          <cell r="IB13">
            <v>9500000</v>
          </cell>
        </row>
        <row r="14">
          <cell r="AT14">
            <v>0</v>
          </cell>
          <cell r="AU14">
            <v>349.10038781867883</v>
          </cell>
          <cell r="BP14">
            <v>0</v>
          </cell>
          <cell r="BQ14">
            <v>603.97990972089769</v>
          </cell>
          <cell r="CL14">
            <v>0</v>
          </cell>
          <cell r="CM14">
            <v>0</v>
          </cell>
          <cell r="IA14">
            <v>0</v>
          </cell>
          <cell r="IB14">
            <v>9500000</v>
          </cell>
        </row>
        <row r="15">
          <cell r="AT15">
            <v>0</v>
          </cell>
          <cell r="AU15">
            <v>326.89403553299491</v>
          </cell>
          <cell r="BP15">
            <v>0</v>
          </cell>
          <cell r="BQ15">
            <v>602.79187817258878</v>
          </cell>
          <cell r="CL15">
            <v>0</v>
          </cell>
          <cell r="CM15">
            <v>0</v>
          </cell>
          <cell r="IA15">
            <v>0</v>
          </cell>
          <cell r="IB15">
            <v>9500000</v>
          </cell>
        </row>
        <row r="16">
          <cell r="AT16">
            <v>0</v>
          </cell>
          <cell r="AU16">
            <v>602.59661835748784</v>
          </cell>
          <cell r="BP16">
            <v>0</v>
          </cell>
          <cell r="BQ16">
            <v>603.86473429951695</v>
          </cell>
          <cell r="CL16">
            <v>0</v>
          </cell>
          <cell r="CM16">
            <v>0</v>
          </cell>
          <cell r="IA16">
            <v>0</v>
          </cell>
          <cell r="IB16">
            <v>9500000</v>
          </cell>
        </row>
        <row r="17">
          <cell r="AT17">
            <v>0</v>
          </cell>
          <cell r="AU17">
            <v>304.38713785418656</v>
          </cell>
          <cell r="BP17">
            <v>0</v>
          </cell>
          <cell r="BQ17">
            <v>604.9028971665075</v>
          </cell>
          <cell r="CL17">
            <v>0</v>
          </cell>
          <cell r="CM17">
            <v>0</v>
          </cell>
          <cell r="IA17">
            <v>0</v>
          </cell>
          <cell r="IB17">
            <v>9500000</v>
          </cell>
        </row>
        <row r="18">
          <cell r="AT18">
            <v>0</v>
          </cell>
          <cell r="AU18">
            <v>558.77377090885966</v>
          </cell>
          <cell r="BP18">
            <v>0</v>
          </cell>
          <cell r="BQ18">
            <v>604.21039241874962</v>
          </cell>
          <cell r="CL18">
            <v>0</v>
          </cell>
          <cell r="CM18">
            <v>0</v>
          </cell>
          <cell r="IA18">
            <v>0</v>
          </cell>
          <cell r="IB18">
            <v>9500000</v>
          </cell>
        </row>
        <row r="19">
          <cell r="AT19">
            <v>0</v>
          </cell>
          <cell r="AU19">
            <v>293.76709279399603</v>
          </cell>
          <cell r="BP19">
            <v>0</v>
          </cell>
          <cell r="BQ19">
            <v>604.21039241874962</v>
          </cell>
          <cell r="CL19">
            <v>0</v>
          </cell>
          <cell r="CM19">
            <v>0</v>
          </cell>
          <cell r="IA19">
            <v>0</v>
          </cell>
          <cell r="IB19">
            <v>9500000</v>
          </cell>
        </row>
        <row r="20">
          <cell r="AT20">
            <v>0</v>
          </cell>
          <cell r="AU20">
            <v>572.12682058131395</v>
          </cell>
          <cell r="BP20">
            <v>0</v>
          </cell>
          <cell r="BQ20">
            <v>604.21039241874962</v>
          </cell>
          <cell r="CL20">
            <v>0</v>
          </cell>
          <cell r="CM20">
            <v>0</v>
          </cell>
          <cell r="IA20">
            <v>0</v>
          </cell>
          <cell r="IB20">
            <v>9500000</v>
          </cell>
        </row>
        <row r="21">
          <cell r="AT21">
            <v>0</v>
          </cell>
          <cell r="AU21">
            <v>302.47285886610371</v>
          </cell>
          <cell r="BP21">
            <v>0</v>
          </cell>
          <cell r="BQ21">
            <v>603.13630880579012</v>
          </cell>
          <cell r="CL21">
            <v>0</v>
          </cell>
          <cell r="CM21">
            <v>0</v>
          </cell>
          <cell r="IA21">
            <v>0</v>
          </cell>
          <cell r="IB21">
            <v>9500000</v>
          </cell>
        </row>
        <row r="22">
          <cell r="AT22">
            <v>0</v>
          </cell>
          <cell r="AU22">
            <v>322.67220601293923</v>
          </cell>
          <cell r="BP22">
            <v>0</v>
          </cell>
          <cell r="BQ22">
            <v>602.5624762146391</v>
          </cell>
          <cell r="CL22">
            <v>0</v>
          </cell>
          <cell r="CM22">
            <v>0</v>
          </cell>
          <cell r="IA22">
            <v>0</v>
          </cell>
          <cell r="IB22">
            <v>9500000</v>
          </cell>
        </row>
        <row r="23">
          <cell r="AT23">
            <v>0</v>
          </cell>
          <cell r="AU23">
            <v>307.91035353535352</v>
          </cell>
          <cell r="BP23">
            <v>0</v>
          </cell>
          <cell r="BQ23">
            <v>599.74747474747471</v>
          </cell>
          <cell r="CL23">
            <v>0</v>
          </cell>
          <cell r="CM23">
            <v>0</v>
          </cell>
          <cell r="IA23">
            <v>0</v>
          </cell>
          <cell r="IB23">
            <v>9500000</v>
          </cell>
        </row>
        <row r="24">
          <cell r="AT24">
            <v>0</v>
          </cell>
          <cell r="AU24">
            <v>328.79748842519189</v>
          </cell>
          <cell r="BP24">
            <v>0</v>
          </cell>
          <cell r="BQ24">
            <v>602.52425952939689</v>
          </cell>
          <cell r="CL24">
            <v>0</v>
          </cell>
          <cell r="CM24">
            <v>0</v>
          </cell>
          <cell r="IA24">
            <v>0</v>
          </cell>
          <cell r="IB24">
            <v>9500000</v>
          </cell>
        </row>
        <row r="25">
          <cell r="AT25">
            <v>0</v>
          </cell>
          <cell r="AU25">
            <v>351.42301065662684</v>
          </cell>
          <cell r="BP25">
            <v>0</v>
          </cell>
          <cell r="BQ25">
            <v>606.21530215046903</v>
          </cell>
          <cell r="CL25">
            <v>0</v>
          </cell>
          <cell r="CM25">
            <v>0</v>
          </cell>
          <cell r="IA25">
            <v>0</v>
          </cell>
          <cell r="IB25">
            <v>9500000</v>
          </cell>
        </row>
        <row r="26">
          <cell r="AT26">
            <v>0</v>
          </cell>
          <cell r="AU26">
            <v>563.71960946972115</v>
          </cell>
          <cell r="BP26">
            <v>0</v>
          </cell>
          <cell r="BQ26">
            <v>606.21530215046903</v>
          </cell>
          <cell r="CL26">
            <v>0</v>
          </cell>
          <cell r="CM26">
            <v>0</v>
          </cell>
          <cell r="IA26">
            <v>0</v>
          </cell>
          <cell r="IB26">
            <v>9500000</v>
          </cell>
        </row>
        <row r="27">
          <cell r="AT27">
            <v>0</v>
          </cell>
          <cell r="AU27">
            <v>344.2090485610363</v>
          </cell>
          <cell r="BP27">
            <v>0</v>
          </cell>
          <cell r="BQ27">
            <v>606.21530215046903</v>
          </cell>
          <cell r="CL27">
            <v>0</v>
          </cell>
          <cell r="CM27">
            <v>0</v>
          </cell>
          <cell r="IA27">
            <v>0</v>
          </cell>
          <cell r="IB27">
            <v>9500000</v>
          </cell>
        </row>
        <row r="28">
          <cell r="AT28">
            <v>0</v>
          </cell>
          <cell r="AU28">
            <v>328.62473687567774</v>
          </cell>
          <cell r="BP28">
            <v>0</v>
          </cell>
          <cell r="BQ28">
            <v>605.98328761880464</v>
          </cell>
          <cell r="CL28">
            <v>0</v>
          </cell>
          <cell r="CM28">
            <v>0</v>
          </cell>
          <cell r="IA28">
            <v>0</v>
          </cell>
          <cell r="IB28">
            <v>9500000</v>
          </cell>
        </row>
        <row r="29">
          <cell r="AT29">
            <v>0</v>
          </cell>
          <cell r="AU29">
            <v>317.44974954029544</v>
          </cell>
          <cell r="BP29">
            <v>0</v>
          </cell>
          <cell r="BQ29">
            <v>602.37144125293264</v>
          </cell>
          <cell r="CL29">
            <v>0</v>
          </cell>
          <cell r="CM29">
            <v>0</v>
          </cell>
          <cell r="IA29">
            <v>0</v>
          </cell>
          <cell r="IB29">
            <v>9500000</v>
          </cell>
        </row>
        <row r="30">
          <cell r="AT30">
            <v>0</v>
          </cell>
          <cell r="AU30">
            <v>318.25180585477131</v>
          </cell>
          <cell r="BP30">
            <v>0</v>
          </cell>
          <cell r="BQ30">
            <v>601.95159041946522</v>
          </cell>
          <cell r="CL30">
            <v>0</v>
          </cell>
          <cell r="CM30">
            <v>0</v>
          </cell>
          <cell r="IA30">
            <v>0</v>
          </cell>
          <cell r="IB30">
            <v>9500000</v>
          </cell>
        </row>
        <row r="31">
          <cell r="AT31">
            <v>0</v>
          </cell>
          <cell r="AU31">
            <v>324.56687456687456</v>
          </cell>
          <cell r="BP31">
            <v>0</v>
          </cell>
          <cell r="BQ31">
            <v>598.50059850059847</v>
          </cell>
          <cell r="CL31">
            <v>0</v>
          </cell>
          <cell r="CM31">
            <v>0</v>
          </cell>
          <cell r="IA31">
            <v>0</v>
          </cell>
          <cell r="IB31">
            <v>9500000</v>
          </cell>
        </row>
        <row r="32">
          <cell r="AT32">
            <v>0</v>
          </cell>
          <cell r="AU32">
            <v>290.71626384692854</v>
          </cell>
          <cell r="BP32">
            <v>0</v>
          </cell>
          <cell r="BQ32">
            <v>597.93554884189325</v>
          </cell>
          <cell r="CL32">
            <v>0</v>
          </cell>
          <cell r="CM32">
            <v>0</v>
          </cell>
          <cell r="IA32">
            <v>0</v>
          </cell>
          <cell r="IB32">
            <v>9500000</v>
          </cell>
        </row>
        <row r="33">
          <cell r="AT33">
            <v>0</v>
          </cell>
          <cell r="AU33">
            <v>290.71626384692854</v>
          </cell>
          <cell r="BP33">
            <v>0</v>
          </cell>
          <cell r="BQ33">
            <v>597.93554884189325</v>
          </cell>
          <cell r="CL33">
            <v>0</v>
          </cell>
          <cell r="CM33">
            <v>0</v>
          </cell>
          <cell r="IA33">
            <v>0</v>
          </cell>
          <cell r="IB33">
            <v>9500000</v>
          </cell>
        </row>
        <row r="34">
          <cell r="AT34">
            <v>556.02026686807665</v>
          </cell>
          <cell r="AU34">
            <v>0</v>
          </cell>
          <cell r="BP34">
            <v>597.93554884189325</v>
          </cell>
          <cell r="BQ34">
            <v>0</v>
          </cell>
          <cell r="CL34">
            <v>0</v>
          </cell>
          <cell r="CM34">
            <v>0</v>
          </cell>
          <cell r="IA34">
            <v>9500000</v>
          </cell>
          <cell r="IB34">
            <v>0</v>
          </cell>
        </row>
        <row r="35">
          <cell r="AT35">
            <v>227.24949520444221</v>
          </cell>
          <cell r="AU35">
            <v>0</v>
          </cell>
          <cell r="BP35">
            <v>599.444724886421</v>
          </cell>
          <cell r="BQ35">
            <v>0</v>
          </cell>
          <cell r="CL35">
            <v>0</v>
          </cell>
          <cell r="CM35">
            <v>0</v>
          </cell>
          <cell r="IA35">
            <v>9500000</v>
          </cell>
          <cell r="IB35">
            <v>0</v>
          </cell>
        </row>
        <row r="36">
          <cell r="AT36">
            <v>227.70928174001011</v>
          </cell>
          <cell r="AU36">
            <v>0</v>
          </cell>
          <cell r="BP36">
            <v>600.6575619625695</v>
          </cell>
          <cell r="BQ36">
            <v>0</v>
          </cell>
          <cell r="CL36">
            <v>0</v>
          </cell>
          <cell r="CM36">
            <v>0</v>
          </cell>
          <cell r="IA36">
            <v>9500000</v>
          </cell>
          <cell r="IB36">
            <v>0</v>
          </cell>
        </row>
        <row r="37">
          <cell r="AT37">
            <v>672.15285660234588</v>
          </cell>
          <cell r="AU37">
            <v>0</v>
          </cell>
          <cell r="BP37">
            <v>599.06671711439026</v>
          </cell>
          <cell r="BQ37">
            <v>0</v>
          </cell>
          <cell r="CL37">
            <v>0</v>
          </cell>
          <cell r="CM37">
            <v>0</v>
          </cell>
          <cell r="IA37">
            <v>9500000</v>
          </cell>
          <cell r="IB37">
            <v>0</v>
          </cell>
        </row>
        <row r="38">
          <cell r="AT38">
            <v>238.06611466566304</v>
          </cell>
          <cell r="AU38">
            <v>0</v>
          </cell>
          <cell r="BP38">
            <v>595.91017438213521</v>
          </cell>
          <cell r="BQ38">
            <v>0</v>
          </cell>
          <cell r="CL38">
            <v>0</v>
          </cell>
          <cell r="CM38">
            <v>0</v>
          </cell>
          <cell r="IA38">
            <v>9500000</v>
          </cell>
          <cell r="IB38">
            <v>0</v>
          </cell>
        </row>
        <row r="39">
          <cell r="AT39">
            <v>319.73163220413551</v>
          </cell>
          <cell r="AU39">
            <v>0</v>
          </cell>
          <cell r="BP39">
            <v>597.07120859782538</v>
          </cell>
          <cell r="BQ39">
            <v>0</v>
          </cell>
          <cell r="CL39">
            <v>0</v>
          </cell>
          <cell r="CM39">
            <v>0</v>
          </cell>
          <cell r="IA39">
            <v>9500000</v>
          </cell>
          <cell r="IB39">
            <v>0</v>
          </cell>
        </row>
        <row r="40">
          <cell r="AT40">
            <v>368.45264282571804</v>
          </cell>
          <cell r="AU40">
            <v>0</v>
          </cell>
          <cell r="BP40">
            <v>597.07120859782538</v>
          </cell>
          <cell r="BQ40">
            <v>0</v>
          </cell>
          <cell r="CL40">
            <v>0</v>
          </cell>
          <cell r="CM40">
            <v>0</v>
          </cell>
          <cell r="IA40">
            <v>9500000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168</v>
          </cell>
          <cell r="GF42">
            <v>552</v>
          </cell>
        </row>
        <row r="49">
          <cell r="AT49">
            <v>0</v>
          </cell>
          <cell r="AU49">
            <v>344.00000000000006</v>
          </cell>
          <cell r="IA49">
            <v>0</v>
          </cell>
          <cell r="IB49">
            <v>5555600</v>
          </cell>
        </row>
        <row r="50">
          <cell r="AT50">
            <v>0</v>
          </cell>
          <cell r="AU50">
            <v>311.99999999999994</v>
          </cell>
          <cell r="IA50">
            <v>0</v>
          </cell>
          <cell r="IB50">
            <v>5038800</v>
          </cell>
        </row>
        <row r="51">
          <cell r="AT51">
            <v>0</v>
          </cell>
          <cell r="AU51">
            <v>630</v>
          </cell>
          <cell r="IA51">
            <v>0</v>
          </cell>
          <cell r="IB51">
            <v>10174500</v>
          </cell>
        </row>
        <row r="52">
          <cell r="AT52">
            <v>0</v>
          </cell>
          <cell r="AU52">
            <v>339.99999999999994</v>
          </cell>
          <cell r="IA52">
            <v>0</v>
          </cell>
          <cell r="IB52">
            <v>5491000</v>
          </cell>
        </row>
        <row r="53">
          <cell r="AT53">
            <v>0</v>
          </cell>
          <cell r="AU53">
            <v>319</v>
          </cell>
          <cell r="IA53">
            <v>0</v>
          </cell>
          <cell r="IB53">
            <v>5151850</v>
          </cell>
        </row>
        <row r="54">
          <cell r="AT54">
            <v>0</v>
          </cell>
          <cell r="AU54">
            <v>587</v>
          </cell>
          <cell r="IA54">
            <v>0</v>
          </cell>
          <cell r="IB54">
            <v>9480050</v>
          </cell>
        </row>
        <row r="55">
          <cell r="AT55">
            <v>0</v>
          </cell>
          <cell r="AU55">
            <v>296</v>
          </cell>
          <cell r="IA55">
            <v>0</v>
          </cell>
          <cell r="IB55">
            <v>4780400</v>
          </cell>
        </row>
        <row r="56">
          <cell r="AT56">
            <v>0</v>
          </cell>
          <cell r="AU56">
            <v>544</v>
          </cell>
          <cell r="IA56">
            <v>0</v>
          </cell>
          <cell r="IB56">
            <v>8785600</v>
          </cell>
        </row>
        <row r="57">
          <cell r="AT57">
            <v>0</v>
          </cell>
          <cell r="AU57">
            <v>286</v>
          </cell>
          <cell r="IA57">
            <v>0</v>
          </cell>
          <cell r="IB57">
            <v>4618900</v>
          </cell>
        </row>
        <row r="58">
          <cell r="AT58">
            <v>0</v>
          </cell>
          <cell r="AU58">
            <v>557</v>
          </cell>
          <cell r="IA58">
            <v>0</v>
          </cell>
          <cell r="IB58">
            <v>8995550</v>
          </cell>
        </row>
        <row r="59">
          <cell r="AT59">
            <v>0</v>
          </cell>
          <cell r="AU59">
            <v>294.99999999999994</v>
          </cell>
          <cell r="IA59">
            <v>0</v>
          </cell>
          <cell r="IB59">
            <v>4764250</v>
          </cell>
        </row>
        <row r="60">
          <cell r="AT60">
            <v>0</v>
          </cell>
          <cell r="AU60">
            <v>315</v>
          </cell>
          <cell r="IA60">
            <v>0</v>
          </cell>
          <cell r="IB60">
            <v>5087250</v>
          </cell>
        </row>
        <row r="61">
          <cell r="AT61">
            <v>0</v>
          </cell>
          <cell r="AU61">
            <v>302</v>
          </cell>
          <cell r="IA61">
            <v>0</v>
          </cell>
          <cell r="IB61">
            <v>4877300</v>
          </cell>
        </row>
        <row r="62">
          <cell r="AT62">
            <v>0</v>
          </cell>
          <cell r="AU62">
            <v>321</v>
          </cell>
          <cell r="IA62">
            <v>0</v>
          </cell>
          <cell r="IB62">
            <v>5184150</v>
          </cell>
        </row>
        <row r="63">
          <cell r="AT63">
            <v>0</v>
          </cell>
          <cell r="AU63">
            <v>341</v>
          </cell>
          <cell r="IA63">
            <v>0</v>
          </cell>
          <cell r="IB63">
            <v>5507150</v>
          </cell>
        </row>
        <row r="64">
          <cell r="AT64">
            <v>0</v>
          </cell>
          <cell r="AU64">
            <v>547</v>
          </cell>
          <cell r="IA64">
            <v>0</v>
          </cell>
          <cell r="IB64">
            <v>8834050</v>
          </cell>
        </row>
        <row r="65">
          <cell r="AT65">
            <v>0</v>
          </cell>
          <cell r="AU65">
            <v>334</v>
          </cell>
          <cell r="IA65">
            <v>0</v>
          </cell>
          <cell r="IB65">
            <v>5394100</v>
          </cell>
        </row>
        <row r="66">
          <cell r="AT66">
            <v>0</v>
          </cell>
          <cell r="AU66">
            <v>319</v>
          </cell>
          <cell r="IA66">
            <v>0</v>
          </cell>
          <cell r="IB66">
            <v>5151850</v>
          </cell>
        </row>
        <row r="67">
          <cell r="AT67">
            <v>0</v>
          </cell>
          <cell r="AU67">
            <v>309.99999999999994</v>
          </cell>
          <cell r="IA67">
            <v>0</v>
          </cell>
          <cell r="IB67">
            <v>5006500</v>
          </cell>
        </row>
        <row r="68">
          <cell r="AT68">
            <v>0</v>
          </cell>
          <cell r="AU68">
            <v>311</v>
          </cell>
          <cell r="IA68">
            <v>0</v>
          </cell>
          <cell r="IB68">
            <v>5022650</v>
          </cell>
        </row>
        <row r="69">
          <cell r="AT69">
            <v>0</v>
          </cell>
          <cell r="AU69">
            <v>319</v>
          </cell>
          <cell r="IA69">
            <v>0</v>
          </cell>
          <cell r="IB69">
            <v>5151850</v>
          </cell>
        </row>
        <row r="70">
          <cell r="AT70">
            <v>0</v>
          </cell>
          <cell r="AU70">
            <v>286.00000000000006</v>
          </cell>
          <cell r="IA70">
            <v>0</v>
          </cell>
          <cell r="IB70">
            <v>4618900</v>
          </cell>
        </row>
        <row r="71">
          <cell r="AT71">
            <v>0</v>
          </cell>
          <cell r="AU71">
            <v>286.00000000000006</v>
          </cell>
          <cell r="IA71">
            <v>0</v>
          </cell>
          <cell r="IB71">
            <v>4618900</v>
          </cell>
        </row>
        <row r="72">
          <cell r="AT72">
            <v>547.00000000000011</v>
          </cell>
          <cell r="AU72">
            <v>0</v>
          </cell>
          <cell r="IA72">
            <v>8834050</v>
          </cell>
          <cell r="IB72">
            <v>0</v>
          </cell>
        </row>
        <row r="73">
          <cell r="AT73">
            <v>223</v>
          </cell>
          <cell r="AU73">
            <v>0</v>
          </cell>
          <cell r="IA73">
            <v>3601450</v>
          </cell>
          <cell r="IB73">
            <v>0</v>
          </cell>
        </row>
        <row r="74">
          <cell r="AT74">
            <v>223</v>
          </cell>
          <cell r="AU74">
            <v>0</v>
          </cell>
          <cell r="IA74">
            <v>3601450</v>
          </cell>
          <cell r="IB74">
            <v>0</v>
          </cell>
        </row>
        <row r="75">
          <cell r="AT75">
            <v>660</v>
          </cell>
          <cell r="AU75">
            <v>0</v>
          </cell>
          <cell r="IA75">
            <v>10659000</v>
          </cell>
          <cell r="IB75">
            <v>0</v>
          </cell>
        </row>
        <row r="76">
          <cell r="AT76">
            <v>235</v>
          </cell>
          <cell r="AU76">
            <v>0</v>
          </cell>
          <cell r="IA76">
            <v>3795250</v>
          </cell>
          <cell r="IB76">
            <v>0</v>
          </cell>
        </row>
        <row r="77">
          <cell r="AT77">
            <v>315</v>
          </cell>
          <cell r="AU77">
            <v>0</v>
          </cell>
          <cell r="IA77">
            <v>5087250</v>
          </cell>
          <cell r="IB77">
            <v>0</v>
          </cell>
        </row>
        <row r="78">
          <cell r="AT78">
            <v>363</v>
          </cell>
          <cell r="AU78">
            <v>0</v>
          </cell>
          <cell r="IA78">
            <v>5862450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4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221.07201568032374</v>
          </cell>
          <cell r="AU36">
            <v>0</v>
          </cell>
          <cell r="BP36">
            <v>300.32878098128475</v>
          </cell>
          <cell r="BQ36">
            <v>0</v>
          </cell>
          <cell r="CL36">
            <v>0</v>
          </cell>
          <cell r="CM36">
            <v>0</v>
          </cell>
          <cell r="IA36">
            <v>4750000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12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216.50000000000003</v>
          </cell>
          <cell r="AU74">
            <v>0</v>
          </cell>
          <cell r="IA74">
            <v>3496475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5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6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7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8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9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10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DSV-1"/>
      <sheetName val="DSV-2"/>
      <sheetName val="DSV-3"/>
    </sheetNames>
    <sheetDataSet>
      <sheetData sheetId="0"/>
      <sheetData sheetId="1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2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3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TUB-1"/>
      <sheetName val="TUB-2"/>
    </sheetNames>
    <sheetDataSet>
      <sheetData sheetId="0"/>
      <sheetData sheetId="1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2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Barge-1"/>
      <sheetName val="Barge-2"/>
      <sheetName val="Barge-3"/>
      <sheetName val="Barge-4"/>
    </sheetNames>
    <sheetDataSet>
      <sheetData sheetId="0"/>
      <sheetData sheetId="1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2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3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  <sheetData sheetId="4">
        <row r="11">
          <cell r="AT11">
            <v>0</v>
          </cell>
          <cell r="AU11">
            <v>0</v>
          </cell>
          <cell r="BP11">
            <v>0</v>
          </cell>
          <cell r="BQ11">
            <v>0</v>
          </cell>
          <cell r="CL11">
            <v>0</v>
          </cell>
          <cell r="CM11">
            <v>0</v>
          </cell>
          <cell r="IA11">
            <v>0</v>
          </cell>
          <cell r="IB11">
            <v>0</v>
          </cell>
        </row>
        <row r="12">
          <cell r="AT12">
            <v>0</v>
          </cell>
          <cell r="AU12">
            <v>0</v>
          </cell>
          <cell r="BP12">
            <v>0</v>
          </cell>
          <cell r="BQ12">
            <v>0</v>
          </cell>
          <cell r="CL12">
            <v>0</v>
          </cell>
          <cell r="CM12">
            <v>0</v>
          </cell>
          <cell r="IA12">
            <v>0</v>
          </cell>
          <cell r="IB12">
            <v>0</v>
          </cell>
        </row>
        <row r="13">
          <cell r="AT13">
            <v>0</v>
          </cell>
          <cell r="AU13">
            <v>0</v>
          </cell>
          <cell r="BP13">
            <v>0</v>
          </cell>
          <cell r="BQ13">
            <v>0</v>
          </cell>
          <cell r="CL13">
            <v>0</v>
          </cell>
          <cell r="CM13">
            <v>0</v>
          </cell>
          <cell r="IA13">
            <v>0</v>
          </cell>
          <cell r="IB13">
            <v>0</v>
          </cell>
        </row>
        <row r="14">
          <cell r="AT14">
            <v>0</v>
          </cell>
          <cell r="AU14">
            <v>0</v>
          </cell>
          <cell r="BP14">
            <v>0</v>
          </cell>
          <cell r="BQ14">
            <v>0</v>
          </cell>
          <cell r="CL14">
            <v>0</v>
          </cell>
          <cell r="CM14">
            <v>0</v>
          </cell>
          <cell r="IA14">
            <v>0</v>
          </cell>
          <cell r="IB14">
            <v>0</v>
          </cell>
        </row>
        <row r="15">
          <cell r="AT15">
            <v>0</v>
          </cell>
          <cell r="AU15">
            <v>0</v>
          </cell>
          <cell r="BP15">
            <v>0</v>
          </cell>
          <cell r="BQ15">
            <v>0</v>
          </cell>
          <cell r="CL15">
            <v>0</v>
          </cell>
          <cell r="CM15">
            <v>0</v>
          </cell>
          <cell r="IA15">
            <v>0</v>
          </cell>
          <cell r="IB15">
            <v>0</v>
          </cell>
        </row>
        <row r="16">
          <cell r="AT16">
            <v>0</v>
          </cell>
          <cell r="AU16">
            <v>0</v>
          </cell>
          <cell r="BP16">
            <v>0</v>
          </cell>
          <cell r="BQ16">
            <v>0</v>
          </cell>
          <cell r="CL16">
            <v>0</v>
          </cell>
          <cell r="CM16">
            <v>0</v>
          </cell>
          <cell r="IA16">
            <v>0</v>
          </cell>
          <cell r="IB16">
            <v>0</v>
          </cell>
        </row>
        <row r="17">
          <cell r="AT17">
            <v>0</v>
          </cell>
          <cell r="AU17">
            <v>0</v>
          </cell>
          <cell r="BP17">
            <v>0</v>
          </cell>
          <cell r="BQ17">
            <v>0</v>
          </cell>
          <cell r="CL17">
            <v>0</v>
          </cell>
          <cell r="CM17">
            <v>0</v>
          </cell>
          <cell r="IA17">
            <v>0</v>
          </cell>
          <cell r="IB17">
            <v>0</v>
          </cell>
        </row>
        <row r="18">
          <cell r="AT18">
            <v>0</v>
          </cell>
          <cell r="AU18">
            <v>0</v>
          </cell>
          <cell r="BP18">
            <v>0</v>
          </cell>
          <cell r="BQ18">
            <v>0</v>
          </cell>
          <cell r="CL18">
            <v>0</v>
          </cell>
          <cell r="CM18">
            <v>0</v>
          </cell>
          <cell r="IA18">
            <v>0</v>
          </cell>
          <cell r="IB18">
            <v>0</v>
          </cell>
        </row>
        <row r="19">
          <cell r="AT19">
            <v>0</v>
          </cell>
          <cell r="AU19">
            <v>0</v>
          </cell>
          <cell r="BP19">
            <v>0</v>
          </cell>
          <cell r="BQ19">
            <v>0</v>
          </cell>
          <cell r="CL19">
            <v>0</v>
          </cell>
          <cell r="CM19">
            <v>0</v>
          </cell>
          <cell r="IA19">
            <v>0</v>
          </cell>
          <cell r="IB19">
            <v>0</v>
          </cell>
        </row>
        <row r="20">
          <cell r="AT20">
            <v>0</v>
          </cell>
          <cell r="AU20">
            <v>0</v>
          </cell>
          <cell r="BP20">
            <v>0</v>
          </cell>
          <cell r="BQ20">
            <v>0</v>
          </cell>
          <cell r="CL20">
            <v>0</v>
          </cell>
          <cell r="CM20">
            <v>0</v>
          </cell>
          <cell r="IA20">
            <v>0</v>
          </cell>
          <cell r="IB20">
            <v>0</v>
          </cell>
        </row>
        <row r="21">
          <cell r="AT21">
            <v>0</v>
          </cell>
          <cell r="AU21">
            <v>0</v>
          </cell>
          <cell r="BP21">
            <v>0</v>
          </cell>
          <cell r="BQ21">
            <v>0</v>
          </cell>
          <cell r="CL21">
            <v>0</v>
          </cell>
          <cell r="CM21">
            <v>0</v>
          </cell>
          <cell r="IA21">
            <v>0</v>
          </cell>
          <cell r="IB21">
            <v>0</v>
          </cell>
        </row>
        <row r="22">
          <cell r="AT22">
            <v>0</v>
          </cell>
          <cell r="AU22">
            <v>0</v>
          </cell>
          <cell r="BP22">
            <v>0</v>
          </cell>
          <cell r="BQ22">
            <v>0</v>
          </cell>
          <cell r="CL22">
            <v>0</v>
          </cell>
          <cell r="CM22">
            <v>0</v>
          </cell>
          <cell r="IA22">
            <v>0</v>
          </cell>
          <cell r="IB22">
            <v>0</v>
          </cell>
        </row>
        <row r="23">
          <cell r="AT23">
            <v>0</v>
          </cell>
          <cell r="AU23">
            <v>0</v>
          </cell>
          <cell r="BP23">
            <v>0</v>
          </cell>
          <cell r="BQ23">
            <v>0</v>
          </cell>
          <cell r="CL23">
            <v>0</v>
          </cell>
          <cell r="CM23">
            <v>0</v>
          </cell>
          <cell r="IA23">
            <v>0</v>
          </cell>
          <cell r="IB23">
            <v>0</v>
          </cell>
        </row>
        <row r="24">
          <cell r="AT24">
            <v>0</v>
          </cell>
          <cell r="AU24">
            <v>0</v>
          </cell>
          <cell r="BP24">
            <v>0</v>
          </cell>
          <cell r="BQ24">
            <v>0</v>
          </cell>
          <cell r="CL24">
            <v>0</v>
          </cell>
          <cell r="CM24">
            <v>0</v>
          </cell>
          <cell r="IA24">
            <v>0</v>
          </cell>
          <cell r="IB24">
            <v>0</v>
          </cell>
        </row>
        <row r="25">
          <cell r="AT25">
            <v>0</v>
          </cell>
          <cell r="AU25">
            <v>0</v>
          </cell>
          <cell r="BP25">
            <v>0</v>
          </cell>
          <cell r="BQ25">
            <v>0</v>
          </cell>
          <cell r="CL25">
            <v>0</v>
          </cell>
          <cell r="CM25">
            <v>0</v>
          </cell>
          <cell r="IA25">
            <v>0</v>
          </cell>
          <cell r="IB25">
            <v>0</v>
          </cell>
        </row>
        <row r="26">
          <cell r="AT26">
            <v>0</v>
          </cell>
          <cell r="AU26">
            <v>0</v>
          </cell>
          <cell r="BP26">
            <v>0</v>
          </cell>
          <cell r="BQ26">
            <v>0</v>
          </cell>
          <cell r="CL26">
            <v>0</v>
          </cell>
          <cell r="CM26">
            <v>0</v>
          </cell>
          <cell r="IA26">
            <v>0</v>
          </cell>
          <cell r="IB26">
            <v>0</v>
          </cell>
        </row>
        <row r="27">
          <cell r="AT27">
            <v>0</v>
          </cell>
          <cell r="AU27">
            <v>0</v>
          </cell>
          <cell r="BP27">
            <v>0</v>
          </cell>
          <cell r="BQ27">
            <v>0</v>
          </cell>
          <cell r="CL27">
            <v>0</v>
          </cell>
          <cell r="CM27">
            <v>0</v>
          </cell>
          <cell r="IA27">
            <v>0</v>
          </cell>
          <cell r="IB27">
            <v>0</v>
          </cell>
        </row>
        <row r="28">
          <cell r="AT28">
            <v>0</v>
          </cell>
          <cell r="AU28">
            <v>0</v>
          </cell>
          <cell r="BP28">
            <v>0</v>
          </cell>
          <cell r="BQ28">
            <v>0</v>
          </cell>
          <cell r="CL28">
            <v>0</v>
          </cell>
          <cell r="CM28">
            <v>0</v>
          </cell>
          <cell r="IA28">
            <v>0</v>
          </cell>
          <cell r="IB28">
            <v>0</v>
          </cell>
        </row>
        <row r="29">
          <cell r="AT29">
            <v>0</v>
          </cell>
          <cell r="AU29">
            <v>0</v>
          </cell>
          <cell r="BP29">
            <v>0</v>
          </cell>
          <cell r="BQ29">
            <v>0</v>
          </cell>
          <cell r="CL29">
            <v>0</v>
          </cell>
          <cell r="CM29">
            <v>0</v>
          </cell>
          <cell r="IA29">
            <v>0</v>
          </cell>
          <cell r="IB29">
            <v>0</v>
          </cell>
        </row>
        <row r="30">
          <cell r="AT30">
            <v>0</v>
          </cell>
          <cell r="AU30">
            <v>0</v>
          </cell>
          <cell r="BP30">
            <v>0</v>
          </cell>
          <cell r="BQ30">
            <v>0</v>
          </cell>
          <cell r="CL30">
            <v>0</v>
          </cell>
          <cell r="CM30">
            <v>0</v>
          </cell>
          <cell r="IA30">
            <v>0</v>
          </cell>
          <cell r="IB30">
            <v>0</v>
          </cell>
        </row>
        <row r="31">
          <cell r="AT31">
            <v>0</v>
          </cell>
          <cell r="AU31">
            <v>0</v>
          </cell>
          <cell r="BP31">
            <v>0</v>
          </cell>
          <cell r="BQ31">
            <v>0</v>
          </cell>
          <cell r="CL31">
            <v>0</v>
          </cell>
          <cell r="CM31">
            <v>0</v>
          </cell>
          <cell r="IA31">
            <v>0</v>
          </cell>
          <cell r="IB31">
            <v>0</v>
          </cell>
        </row>
        <row r="32">
          <cell r="AT32">
            <v>0</v>
          </cell>
          <cell r="AU32">
            <v>0</v>
          </cell>
          <cell r="BP32">
            <v>0</v>
          </cell>
          <cell r="BQ32">
            <v>0</v>
          </cell>
          <cell r="CL32">
            <v>0</v>
          </cell>
          <cell r="CM32">
            <v>0</v>
          </cell>
          <cell r="IA32">
            <v>0</v>
          </cell>
          <cell r="IB32">
            <v>0</v>
          </cell>
        </row>
        <row r="33">
          <cell r="AT33">
            <v>0</v>
          </cell>
          <cell r="AU33">
            <v>0</v>
          </cell>
          <cell r="BP33">
            <v>0</v>
          </cell>
          <cell r="BQ33">
            <v>0</v>
          </cell>
          <cell r="CL33">
            <v>0</v>
          </cell>
          <cell r="CM33">
            <v>0</v>
          </cell>
          <cell r="IA33">
            <v>0</v>
          </cell>
          <cell r="IB33">
            <v>0</v>
          </cell>
        </row>
        <row r="34">
          <cell r="AT34">
            <v>0</v>
          </cell>
          <cell r="AU34">
            <v>0</v>
          </cell>
          <cell r="BP34">
            <v>0</v>
          </cell>
          <cell r="BQ34">
            <v>0</v>
          </cell>
          <cell r="CL34">
            <v>0</v>
          </cell>
          <cell r="CM34">
            <v>0</v>
          </cell>
          <cell r="IA34">
            <v>0</v>
          </cell>
          <cell r="IB34">
            <v>0</v>
          </cell>
        </row>
        <row r="35">
          <cell r="AT35">
            <v>0</v>
          </cell>
          <cell r="AU35">
            <v>0</v>
          </cell>
          <cell r="BP35">
            <v>0</v>
          </cell>
          <cell r="BQ35">
            <v>0</v>
          </cell>
          <cell r="CL35">
            <v>0</v>
          </cell>
          <cell r="CM35">
            <v>0</v>
          </cell>
          <cell r="IA35">
            <v>0</v>
          </cell>
          <cell r="IB35">
            <v>0</v>
          </cell>
        </row>
        <row r="36">
          <cell r="AT36">
            <v>0</v>
          </cell>
          <cell r="AU36">
            <v>0</v>
          </cell>
          <cell r="BP36">
            <v>0</v>
          </cell>
          <cell r="BQ36">
            <v>0</v>
          </cell>
          <cell r="CL36">
            <v>0</v>
          </cell>
          <cell r="CM36">
            <v>0</v>
          </cell>
          <cell r="IA36">
            <v>0</v>
          </cell>
          <cell r="IB36">
            <v>0</v>
          </cell>
        </row>
        <row r="37">
          <cell r="AT37">
            <v>0</v>
          </cell>
          <cell r="AU37">
            <v>0</v>
          </cell>
          <cell r="BP37">
            <v>0</v>
          </cell>
          <cell r="BQ37">
            <v>0</v>
          </cell>
          <cell r="CL37">
            <v>0</v>
          </cell>
          <cell r="CM37">
            <v>0</v>
          </cell>
          <cell r="IA37">
            <v>0</v>
          </cell>
          <cell r="IB37">
            <v>0</v>
          </cell>
        </row>
        <row r="38">
          <cell r="AT38">
            <v>0</v>
          </cell>
          <cell r="AU38">
            <v>0</v>
          </cell>
          <cell r="BP38">
            <v>0</v>
          </cell>
          <cell r="BQ38">
            <v>0</v>
          </cell>
          <cell r="CL38">
            <v>0</v>
          </cell>
          <cell r="CM38">
            <v>0</v>
          </cell>
          <cell r="IA38">
            <v>0</v>
          </cell>
          <cell r="IB38">
            <v>0</v>
          </cell>
        </row>
        <row r="39">
          <cell r="AT39">
            <v>0</v>
          </cell>
          <cell r="AU39">
            <v>0</v>
          </cell>
          <cell r="BP39">
            <v>0</v>
          </cell>
          <cell r="BQ39">
            <v>0</v>
          </cell>
          <cell r="CL39">
            <v>0</v>
          </cell>
          <cell r="CM39">
            <v>0</v>
          </cell>
          <cell r="IA39">
            <v>0</v>
          </cell>
          <cell r="IB39">
            <v>0</v>
          </cell>
        </row>
        <row r="40">
          <cell r="AT40">
            <v>0</v>
          </cell>
          <cell r="AU40">
            <v>0</v>
          </cell>
          <cell r="BP40">
            <v>0</v>
          </cell>
          <cell r="BQ40">
            <v>0</v>
          </cell>
          <cell r="CL40">
            <v>0</v>
          </cell>
          <cell r="CM40">
            <v>0</v>
          </cell>
          <cell r="IA40">
            <v>0</v>
          </cell>
          <cell r="IB40">
            <v>0</v>
          </cell>
        </row>
        <row r="41">
          <cell r="AT41">
            <v>0</v>
          </cell>
          <cell r="AU41">
            <v>0</v>
          </cell>
          <cell r="BP41">
            <v>0</v>
          </cell>
          <cell r="BQ41">
            <v>0</v>
          </cell>
          <cell r="CL41">
            <v>0</v>
          </cell>
          <cell r="CM41">
            <v>0</v>
          </cell>
          <cell r="IA41">
            <v>0</v>
          </cell>
          <cell r="IB41">
            <v>0</v>
          </cell>
        </row>
        <row r="42">
          <cell r="GE42">
            <v>0</v>
          </cell>
          <cell r="GF42">
            <v>0</v>
          </cell>
        </row>
        <row r="49">
          <cell r="AT49">
            <v>0</v>
          </cell>
          <cell r="AU49">
            <v>0</v>
          </cell>
          <cell r="IA49">
            <v>0</v>
          </cell>
          <cell r="IB49">
            <v>0</v>
          </cell>
        </row>
        <row r="50">
          <cell r="AT50">
            <v>0</v>
          </cell>
          <cell r="AU50">
            <v>0</v>
          </cell>
          <cell r="IA50">
            <v>0</v>
          </cell>
          <cell r="IB50">
            <v>0</v>
          </cell>
        </row>
        <row r="51">
          <cell r="AT51">
            <v>0</v>
          </cell>
          <cell r="AU51">
            <v>0</v>
          </cell>
          <cell r="IA51">
            <v>0</v>
          </cell>
          <cell r="IB51">
            <v>0</v>
          </cell>
        </row>
        <row r="52">
          <cell r="AT52">
            <v>0</v>
          </cell>
          <cell r="AU52">
            <v>0</v>
          </cell>
          <cell r="IA52">
            <v>0</v>
          </cell>
          <cell r="IB52">
            <v>0</v>
          </cell>
        </row>
        <row r="53">
          <cell r="AT53">
            <v>0</v>
          </cell>
          <cell r="AU53">
            <v>0</v>
          </cell>
          <cell r="IA53">
            <v>0</v>
          </cell>
          <cell r="IB53">
            <v>0</v>
          </cell>
        </row>
        <row r="54">
          <cell r="AT54">
            <v>0</v>
          </cell>
          <cell r="AU54">
            <v>0</v>
          </cell>
          <cell r="IA54">
            <v>0</v>
          </cell>
          <cell r="IB54">
            <v>0</v>
          </cell>
        </row>
        <row r="55">
          <cell r="AT55">
            <v>0</v>
          </cell>
          <cell r="AU55">
            <v>0</v>
          </cell>
          <cell r="IA55">
            <v>0</v>
          </cell>
          <cell r="IB55">
            <v>0</v>
          </cell>
        </row>
        <row r="56">
          <cell r="AT56">
            <v>0</v>
          </cell>
          <cell r="AU56">
            <v>0</v>
          </cell>
          <cell r="IA56">
            <v>0</v>
          </cell>
          <cell r="IB56">
            <v>0</v>
          </cell>
        </row>
        <row r="57">
          <cell r="AT57">
            <v>0</v>
          </cell>
          <cell r="AU57">
            <v>0</v>
          </cell>
          <cell r="IA57">
            <v>0</v>
          </cell>
          <cell r="IB57">
            <v>0</v>
          </cell>
        </row>
        <row r="58">
          <cell r="AT58">
            <v>0</v>
          </cell>
          <cell r="AU58">
            <v>0</v>
          </cell>
          <cell r="IA58">
            <v>0</v>
          </cell>
          <cell r="IB58">
            <v>0</v>
          </cell>
        </row>
        <row r="59">
          <cell r="AT59">
            <v>0</v>
          </cell>
          <cell r="AU59">
            <v>0</v>
          </cell>
          <cell r="IA59">
            <v>0</v>
          </cell>
          <cell r="IB59">
            <v>0</v>
          </cell>
        </row>
        <row r="60">
          <cell r="AT60">
            <v>0</v>
          </cell>
          <cell r="AU60">
            <v>0</v>
          </cell>
          <cell r="IA60">
            <v>0</v>
          </cell>
          <cell r="IB60">
            <v>0</v>
          </cell>
        </row>
        <row r="61">
          <cell r="AT61">
            <v>0</v>
          </cell>
          <cell r="AU61">
            <v>0</v>
          </cell>
          <cell r="IA61">
            <v>0</v>
          </cell>
          <cell r="IB61">
            <v>0</v>
          </cell>
        </row>
        <row r="62">
          <cell r="AT62">
            <v>0</v>
          </cell>
          <cell r="AU62">
            <v>0</v>
          </cell>
          <cell r="IA62">
            <v>0</v>
          </cell>
          <cell r="IB62">
            <v>0</v>
          </cell>
        </row>
        <row r="63">
          <cell r="AT63">
            <v>0</v>
          </cell>
          <cell r="AU63">
            <v>0</v>
          </cell>
          <cell r="IA63">
            <v>0</v>
          </cell>
          <cell r="IB63">
            <v>0</v>
          </cell>
        </row>
        <row r="64">
          <cell r="AT64">
            <v>0</v>
          </cell>
          <cell r="AU64">
            <v>0</v>
          </cell>
          <cell r="IA64">
            <v>0</v>
          </cell>
          <cell r="IB64">
            <v>0</v>
          </cell>
        </row>
        <row r="65">
          <cell r="AT65">
            <v>0</v>
          </cell>
          <cell r="AU65">
            <v>0</v>
          </cell>
          <cell r="IA65">
            <v>0</v>
          </cell>
          <cell r="IB65">
            <v>0</v>
          </cell>
        </row>
        <row r="66">
          <cell r="AT66">
            <v>0</v>
          </cell>
          <cell r="AU66">
            <v>0</v>
          </cell>
          <cell r="IA66">
            <v>0</v>
          </cell>
          <cell r="IB66">
            <v>0</v>
          </cell>
        </row>
        <row r="67">
          <cell r="AT67">
            <v>0</v>
          </cell>
          <cell r="AU67">
            <v>0</v>
          </cell>
          <cell r="IA67">
            <v>0</v>
          </cell>
          <cell r="IB67">
            <v>0</v>
          </cell>
        </row>
        <row r="68">
          <cell r="AT68">
            <v>0</v>
          </cell>
          <cell r="AU68">
            <v>0</v>
          </cell>
          <cell r="IA68">
            <v>0</v>
          </cell>
          <cell r="IB68">
            <v>0</v>
          </cell>
        </row>
        <row r="69">
          <cell r="AT69">
            <v>0</v>
          </cell>
          <cell r="AU69">
            <v>0</v>
          </cell>
          <cell r="IA69">
            <v>0</v>
          </cell>
          <cell r="IB69">
            <v>0</v>
          </cell>
        </row>
        <row r="70">
          <cell r="AT70">
            <v>0</v>
          </cell>
          <cell r="AU70">
            <v>0</v>
          </cell>
          <cell r="IA70">
            <v>0</v>
          </cell>
          <cell r="IB70">
            <v>0</v>
          </cell>
        </row>
        <row r="71">
          <cell r="AT71">
            <v>0</v>
          </cell>
          <cell r="AU71">
            <v>0</v>
          </cell>
          <cell r="IA71">
            <v>0</v>
          </cell>
          <cell r="IB71">
            <v>0</v>
          </cell>
        </row>
        <row r="72">
          <cell r="AT72">
            <v>0</v>
          </cell>
          <cell r="AU72">
            <v>0</v>
          </cell>
          <cell r="IA72">
            <v>0</v>
          </cell>
          <cell r="IB72">
            <v>0</v>
          </cell>
        </row>
        <row r="73">
          <cell r="AT73">
            <v>0</v>
          </cell>
          <cell r="AU73">
            <v>0</v>
          </cell>
          <cell r="IA73">
            <v>0</v>
          </cell>
          <cell r="IB73">
            <v>0</v>
          </cell>
        </row>
        <row r="74">
          <cell r="AT74">
            <v>0</v>
          </cell>
          <cell r="AU74">
            <v>0</v>
          </cell>
          <cell r="IA74">
            <v>0</v>
          </cell>
          <cell r="IB74">
            <v>0</v>
          </cell>
        </row>
        <row r="75">
          <cell r="AT75">
            <v>0</v>
          </cell>
          <cell r="AU75">
            <v>0</v>
          </cell>
          <cell r="IA75">
            <v>0</v>
          </cell>
          <cell r="IB75">
            <v>0</v>
          </cell>
        </row>
        <row r="76">
          <cell r="AT76">
            <v>0</v>
          </cell>
          <cell r="AU76">
            <v>0</v>
          </cell>
          <cell r="IA76">
            <v>0</v>
          </cell>
          <cell r="IB76">
            <v>0</v>
          </cell>
        </row>
        <row r="77">
          <cell r="AT77">
            <v>0</v>
          </cell>
          <cell r="AU77">
            <v>0</v>
          </cell>
          <cell r="IA77">
            <v>0</v>
          </cell>
          <cell r="IB77">
            <v>0</v>
          </cell>
        </row>
        <row r="78">
          <cell r="AT78">
            <v>0</v>
          </cell>
          <cell r="AU78">
            <v>0</v>
          </cell>
          <cell r="IA78">
            <v>0</v>
          </cell>
          <cell r="IB78">
            <v>0</v>
          </cell>
        </row>
        <row r="79">
          <cell r="AT79">
            <v>0</v>
          </cell>
          <cell r="AU79">
            <v>0</v>
          </cell>
          <cell r="IA79">
            <v>0</v>
          </cell>
          <cell r="IB79">
            <v>0</v>
          </cell>
        </row>
        <row r="82">
          <cell r="IA82">
            <v>0</v>
          </cell>
          <cell r="IB82">
            <v>0</v>
          </cell>
        </row>
        <row r="83">
          <cell r="IA83">
            <v>0</v>
          </cell>
          <cell r="IB83">
            <v>0</v>
          </cell>
        </row>
        <row r="84">
          <cell r="IA84">
            <v>0</v>
          </cell>
          <cell r="IB84">
            <v>0</v>
          </cell>
        </row>
        <row r="85">
          <cell r="IA85">
            <v>0</v>
          </cell>
          <cell r="IB85">
            <v>0</v>
          </cell>
        </row>
        <row r="86">
          <cell r="IA86">
            <v>0</v>
          </cell>
          <cell r="IB86">
            <v>0</v>
          </cell>
        </row>
        <row r="87">
          <cell r="IA87">
            <v>0</v>
          </cell>
          <cell r="IB87">
            <v>0</v>
          </cell>
        </row>
        <row r="88">
          <cell r="IA88">
            <v>0</v>
          </cell>
          <cell r="IB88">
            <v>0</v>
          </cell>
        </row>
        <row r="89">
          <cell r="IA89">
            <v>0</v>
          </cell>
          <cell r="IB89">
            <v>0</v>
          </cell>
        </row>
        <row r="90">
          <cell r="IA90">
            <v>0</v>
          </cell>
          <cell r="IB90">
            <v>0</v>
          </cell>
        </row>
        <row r="91">
          <cell r="IA91">
            <v>0</v>
          </cell>
          <cell r="IB91">
            <v>0</v>
          </cell>
        </row>
        <row r="92">
          <cell r="IA92">
            <v>0</v>
          </cell>
          <cell r="IB92">
            <v>0</v>
          </cell>
        </row>
        <row r="93">
          <cell r="IA93">
            <v>0</v>
          </cell>
          <cell r="IB93">
            <v>0</v>
          </cell>
        </row>
        <row r="94">
          <cell r="IA94">
            <v>0</v>
          </cell>
          <cell r="IB94">
            <v>0</v>
          </cell>
        </row>
        <row r="95">
          <cell r="IA95">
            <v>0</v>
          </cell>
          <cell r="IB95">
            <v>0</v>
          </cell>
        </row>
        <row r="96">
          <cell r="IA96">
            <v>0</v>
          </cell>
          <cell r="IB96">
            <v>0</v>
          </cell>
        </row>
        <row r="97">
          <cell r="IA97">
            <v>0</v>
          </cell>
          <cell r="IB97">
            <v>0</v>
          </cell>
        </row>
        <row r="98">
          <cell r="IA98">
            <v>0</v>
          </cell>
          <cell r="IB98">
            <v>0</v>
          </cell>
        </row>
        <row r="99">
          <cell r="IA99">
            <v>0</v>
          </cell>
          <cell r="IB99">
            <v>0</v>
          </cell>
        </row>
        <row r="100">
          <cell r="IA100">
            <v>0</v>
          </cell>
          <cell r="IB100">
            <v>0</v>
          </cell>
        </row>
        <row r="101">
          <cell r="IA101">
            <v>0</v>
          </cell>
          <cell r="IB101">
            <v>0</v>
          </cell>
        </row>
        <row r="102">
          <cell r="IA102">
            <v>0</v>
          </cell>
          <cell r="IB102">
            <v>0</v>
          </cell>
        </row>
        <row r="103">
          <cell r="IA103">
            <v>0</v>
          </cell>
          <cell r="IB103">
            <v>0</v>
          </cell>
        </row>
        <row r="104">
          <cell r="IA104">
            <v>0</v>
          </cell>
          <cell r="IB104">
            <v>0</v>
          </cell>
        </row>
        <row r="105">
          <cell r="IA105">
            <v>0</v>
          </cell>
          <cell r="IB105">
            <v>0</v>
          </cell>
        </row>
        <row r="106">
          <cell r="IA106">
            <v>0</v>
          </cell>
          <cell r="IB106">
            <v>0</v>
          </cell>
        </row>
        <row r="107">
          <cell r="IA107">
            <v>0</v>
          </cell>
          <cell r="IB107">
            <v>0</v>
          </cell>
        </row>
        <row r="108">
          <cell r="IA108">
            <v>0</v>
          </cell>
          <cell r="IB108">
            <v>0</v>
          </cell>
        </row>
        <row r="109">
          <cell r="IA109">
            <v>0</v>
          </cell>
          <cell r="IB109">
            <v>0</v>
          </cell>
        </row>
        <row r="110">
          <cell r="IA110">
            <v>0</v>
          </cell>
          <cell r="IB110">
            <v>0</v>
          </cell>
        </row>
        <row r="111">
          <cell r="IA111">
            <v>0</v>
          </cell>
          <cell r="IB111">
            <v>0</v>
          </cell>
        </row>
        <row r="112">
          <cell r="IA112">
            <v>0</v>
          </cell>
          <cell r="IB11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R1152"/>
  <sheetViews>
    <sheetView zoomScaleNormal="100" zoomScaleSheetLayoutView="100" workbookViewId="0"/>
  </sheetViews>
  <sheetFormatPr defaultColWidth="9.109375" defaultRowHeight="13.2" x14ac:dyDescent="0.25"/>
  <cols>
    <col min="1" max="1" width="16.44140625" style="1" customWidth="1"/>
    <col min="2" max="2" width="2.109375" style="1" customWidth="1"/>
    <col min="3" max="3" width="19.109375" style="1" customWidth="1"/>
    <col min="4" max="4" width="1.88671875" style="1" customWidth="1"/>
    <col min="5" max="5" width="19.109375" style="1" customWidth="1"/>
    <col min="6" max="6" width="1.88671875" style="1" customWidth="1"/>
    <col min="7" max="7" width="19.109375" style="1" customWidth="1"/>
    <col min="8" max="8" width="1.88671875" style="1" customWidth="1"/>
    <col min="9" max="9" width="19.109375" style="1" customWidth="1"/>
    <col min="10" max="10" width="8.88671875" style="1" customWidth="1"/>
    <col min="11" max="11" width="1.44140625" style="1" customWidth="1"/>
    <col min="12" max="12" width="11.44140625" style="1" customWidth="1"/>
    <col min="13" max="13" width="8.88671875" style="1" customWidth="1"/>
    <col min="14" max="17" width="10" style="1" customWidth="1"/>
    <col min="18" max="19" width="3.44140625" style="14" customWidth="1"/>
    <col min="20" max="20" width="13.88671875" style="14" bestFit="1" customWidth="1"/>
    <col min="21" max="21" width="1.88671875" style="14" customWidth="1"/>
    <col min="22" max="22" width="20.88671875" style="14" customWidth="1"/>
    <col min="23" max="23" width="1.88671875" style="14" customWidth="1"/>
    <col min="24" max="24" width="20.88671875" style="14" customWidth="1"/>
    <col min="25" max="25" width="1.88671875" style="14" customWidth="1"/>
    <col min="26" max="26" width="20.88671875" style="14" customWidth="1"/>
    <col min="27" max="27" width="1.88671875" style="14" customWidth="1"/>
    <col min="28" max="28" width="20.88671875" style="14" customWidth="1"/>
    <col min="29" max="29" width="9.109375" style="14"/>
    <col min="30" max="30" width="1.88671875" style="14" customWidth="1"/>
    <col min="31" max="122" width="9.109375" style="14"/>
    <col min="123" max="16384" width="9.109375" style="1"/>
  </cols>
  <sheetData>
    <row r="1" spans="1:122" ht="16.2" customHeight="1" x14ac:dyDescent="0.25">
      <c r="A1" s="41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0"/>
      <c r="T1" s="52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30"/>
    </row>
    <row r="2" spans="1:122" ht="16.2" customHeight="1" x14ac:dyDescent="0.25">
      <c r="A2" s="4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T2" s="52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</row>
    <row r="3" spans="1:122" s="3" customFormat="1" ht="12.3" customHeight="1" x14ac:dyDescent="0.25">
      <c r="A3" s="43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15"/>
      <c r="S3" s="15"/>
      <c r="T3" s="55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</row>
    <row r="4" spans="1:122" s="3" customFormat="1" ht="13.2" customHeight="1" x14ac:dyDescent="0.25">
      <c r="A4" s="4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15"/>
      <c r="S4" s="15"/>
      <c r="T4" s="55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</row>
    <row r="5" spans="1:122" s="3" customFormat="1" ht="28.5" customHeight="1" x14ac:dyDescent="0.25">
      <c r="A5" s="43"/>
      <c r="B5" s="31"/>
      <c r="C5" s="31"/>
      <c r="D5" s="31"/>
      <c r="E5" s="31"/>
      <c r="F5" s="31"/>
      <c r="G5" s="31"/>
      <c r="H5" s="31"/>
      <c r="I5" s="31"/>
      <c r="J5" s="31"/>
      <c r="K5" s="31"/>
      <c r="L5" s="172" t="str">
        <f>[1]Control!AU10</f>
        <v>25 Nov - 24 Dec 2025</v>
      </c>
      <c r="M5" s="172"/>
      <c r="N5" s="172"/>
      <c r="O5" s="172"/>
      <c r="P5" s="172"/>
      <c r="Q5" s="31"/>
      <c r="R5" s="15"/>
      <c r="S5" s="15"/>
      <c r="T5" s="55"/>
      <c r="U5" s="31"/>
      <c r="V5" s="31"/>
      <c r="W5" s="31"/>
      <c r="X5" s="31"/>
      <c r="Y5" s="31"/>
      <c r="Z5" s="31"/>
      <c r="AA5" s="31"/>
      <c r="AB5" s="31"/>
      <c r="AC5" s="31"/>
      <c r="AD5" s="31"/>
      <c r="AE5" s="172" t="str">
        <f>[1]Control!AU10</f>
        <v>25 Nov - 24 Dec 2025</v>
      </c>
      <c r="AF5" s="172"/>
      <c r="AG5" s="172"/>
      <c r="AH5" s="172"/>
      <c r="AI5" s="172"/>
      <c r="AJ5" s="31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</row>
    <row r="6" spans="1:122" s="5" customFormat="1" ht="16.2" customHeight="1" thickBot="1" x14ac:dyDescent="0.3">
      <c r="A6" s="30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16"/>
      <c r="S6" s="16"/>
      <c r="T6" s="30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</row>
    <row r="7" spans="1:122" s="7" customFormat="1" ht="36.75" customHeight="1" thickBot="1" x14ac:dyDescent="0.3">
      <c r="A7" s="38"/>
      <c r="B7" s="6"/>
      <c r="C7" s="48" t="s">
        <v>2</v>
      </c>
      <c r="D7" s="6"/>
      <c r="E7" s="48" t="s">
        <v>0</v>
      </c>
      <c r="F7" s="6"/>
      <c r="G7" s="48" t="s">
        <v>4</v>
      </c>
      <c r="H7" s="6"/>
      <c r="I7" s="48" t="s">
        <v>1</v>
      </c>
      <c r="J7" s="48" t="s">
        <v>7</v>
      </c>
      <c r="K7" s="6"/>
      <c r="L7" s="49" t="s">
        <v>6</v>
      </c>
      <c r="M7" s="49" t="s">
        <v>7</v>
      </c>
      <c r="N7" s="6"/>
      <c r="O7" s="6"/>
      <c r="P7" s="6"/>
      <c r="Q7" s="6"/>
      <c r="R7" s="17"/>
      <c r="S7" s="17"/>
      <c r="T7" s="168"/>
      <c r="U7" s="6"/>
      <c r="V7" s="48" t="s">
        <v>2</v>
      </c>
      <c r="W7" s="6"/>
      <c r="X7" s="48" t="s">
        <v>0</v>
      </c>
      <c r="Y7" s="6"/>
      <c r="Z7" s="48" t="s">
        <v>4</v>
      </c>
      <c r="AA7" s="6"/>
      <c r="AB7" s="48" t="s">
        <v>1</v>
      </c>
      <c r="AC7" s="48" t="s">
        <v>7</v>
      </c>
      <c r="AD7" s="6"/>
      <c r="AE7" s="49" t="s">
        <v>6</v>
      </c>
      <c r="AF7" s="49" t="s">
        <v>7</v>
      </c>
      <c r="AG7" s="6"/>
      <c r="AH7" s="6"/>
      <c r="AI7" s="6"/>
      <c r="AJ7" s="6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</row>
    <row r="8" spans="1:122" s="5" customFormat="1" ht="13.95" customHeight="1" thickBot="1" x14ac:dyDescent="0.3">
      <c r="A8" s="39"/>
      <c r="B8" s="4"/>
      <c r="C8" s="4"/>
      <c r="D8" s="4"/>
      <c r="E8" s="4"/>
      <c r="F8" s="4"/>
      <c r="G8" s="4"/>
      <c r="H8" s="4"/>
      <c r="I8" s="4"/>
      <c r="J8" s="4"/>
      <c r="K8" s="4"/>
      <c r="L8" s="173" t="s">
        <v>8</v>
      </c>
      <c r="M8" s="173"/>
      <c r="N8" s="4"/>
      <c r="O8" s="4"/>
      <c r="P8" s="4"/>
      <c r="Q8" s="4"/>
      <c r="R8" s="16"/>
      <c r="S8" s="16"/>
      <c r="T8" s="169"/>
      <c r="U8" s="4"/>
      <c r="V8" s="4"/>
      <c r="W8" s="4"/>
      <c r="X8" s="4"/>
      <c r="Y8" s="4"/>
      <c r="Z8" s="4"/>
      <c r="AA8" s="4"/>
      <c r="AB8" s="4"/>
      <c r="AC8" s="4"/>
      <c r="AD8" s="4"/>
      <c r="AE8" s="173" t="s">
        <v>8</v>
      </c>
      <c r="AF8" s="173"/>
      <c r="AG8" s="4"/>
      <c r="AH8" s="4"/>
      <c r="AI8" s="4"/>
      <c r="AJ8" s="4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</row>
    <row r="9" spans="1:122" s="10" customFormat="1" ht="20.7" customHeight="1" thickBot="1" x14ac:dyDescent="0.3">
      <c r="A9" s="45" t="s">
        <v>19</v>
      </c>
      <c r="B9" s="46"/>
      <c r="C9" s="154">
        <f>Distribute!C42</f>
        <v>45728.78964597029</v>
      </c>
      <c r="D9" s="155"/>
      <c r="E9" s="154">
        <f>Distribute!D42</f>
        <v>25643.065991587904</v>
      </c>
      <c r="F9" s="155"/>
      <c r="G9" s="154">
        <f>Distribute!E42</f>
        <v>0</v>
      </c>
      <c r="H9" s="156"/>
      <c r="I9" s="157">
        <f>SUM(C9,E9,G9)</f>
        <v>71371.855637558197</v>
      </c>
      <c r="J9" s="19">
        <f>(I9/I21)*100%</f>
        <v>0.24732299835997715</v>
      </c>
      <c r="K9" s="9"/>
      <c r="L9" s="127">
        <f>'[2]AHTS-1'!GE42+'[2]AHTS-2'!GE42+'[2]AHTS-3'!GE42+'[2]AHTS-4'!GE42+'[2]AHTS-5'!GE42+'[2]AHTS-6'!GE42+'[2]AHTS-7'!GE42+'[2]AHTS-8'!GE42+'[3]CB-1'!GE42+'[3]CB-2'!GE42+'[3]CB-3'!GE42+'[3]CB-4'!GE42+'[3]CB-5'!GE42+'[3]CB-6'!GE42+'[3]CB-7'!GE42+'[3]CB-8'!GE42+'[3]CB-9'!GE42+'[3]CB-10'!GE42+'[3]CB-11'!GE42+'[3]CB-12'!GE42+'[3]CB-13'!GE42+'[3]CB-14'!GE42+'[3]CB-15'!GE42+'[3]CB-16'!GE42+'[3]CB-17'!GE42+'[3]CB-18'!GE42+'[3]CB-19'!GE42+'[3]CB-20'!GE42+'[3]CB-21'!GE42+'[3]CB-22'!GE42+'[3]CB-23'!GE42+'[3]CB-24'!GE42+'[4]LCT-1'!GE42+'[4]LCT-2'!GE42+'[4]LCT-3'!GE42+'[4]LCT-4'!GE42+'[4]LCT-5'!GE42+'[4]LCT-6'!GE42+'[4]LCT-7'!GE42+'[4]LCT-8'!GE42+'[5]TB-1'!GE42+'[5]TB-2'!GE42+'[5]TB-3'!GE42+'[5]TB-4'!GE42+'[5]TB-5'!GE42+'[5]TB-6'!GE42+'[5]TB-7'!GE42+'[5]TB-8'!GE42+'[5]TB-9'!GE42+'[5]TB-10'!GE42+'[6]DSV-1'!GE42+'[6]DSV-2'!GE42+'[6]DSV-3'!GE42+'[7]TUB-1'!GE42+'[7]TUB-2'!GE42+'[8]Barge-1'!GE42+'[8]Barge-2'!GE42+'[8]Barge-3'!GE42+'[8]Barge-4'!GE42</f>
        <v>402</v>
      </c>
      <c r="M9" s="19">
        <f>(L9/L21)*100%</f>
        <v>0.1617554354386577</v>
      </c>
      <c r="N9" s="8"/>
      <c r="O9" s="8"/>
      <c r="P9" s="8"/>
      <c r="Q9" s="8"/>
      <c r="R9" s="18"/>
      <c r="S9" s="18"/>
      <c r="T9" s="170" t="s">
        <v>21</v>
      </c>
      <c r="U9" s="46"/>
      <c r="V9" s="142">
        <f>Distribute!W42</f>
        <v>725280350</v>
      </c>
      <c r="W9" s="47"/>
      <c r="X9" s="142">
        <f>Distribute!X42</f>
        <v>407125000</v>
      </c>
      <c r="Y9" s="47"/>
      <c r="Z9" s="142">
        <f>Distribute!Y42</f>
        <v>0</v>
      </c>
      <c r="AA9" s="9"/>
      <c r="AB9" s="143">
        <f>SUM(V9,X9,Z9)</f>
        <v>1132405350</v>
      </c>
      <c r="AC9" s="19">
        <f>(AB9/AB21)*100%</f>
        <v>0.24880435286184183</v>
      </c>
      <c r="AD9" s="9"/>
      <c r="AE9" s="127">
        <f>'[2]AHTS-1'!GE42+'[2]AHTS-2'!GE42+'[2]AHTS-3'!GE42+'[2]AHTS-4'!GE42+'[2]AHTS-5'!GE42+'[2]AHTS-6'!GE42+'[2]AHTS-7'!GE42+'[2]AHTS-8'!GE42+'[3]CB-1'!GE42+'[3]CB-2'!GE42+'[3]CB-3'!GE42+'[3]CB-4'!GE42+'[3]CB-5'!GE42+'[3]CB-6'!GE42+'[3]CB-7'!GE42+'[3]CB-8'!GE42+'[3]CB-9'!GE42+'[3]CB-10'!GE42+'[3]CB-11'!GE42+'[3]CB-12'!GE42+'[3]CB-13'!GE42+'[3]CB-14'!GE42+'[3]CB-15'!GE42+'[3]CB-16'!GE42+'[3]CB-17'!GE42+'[3]CB-18'!GE42+'[3]CB-19'!GE42+'[3]CB-20'!GE42+'[3]CB-21'!GE42+'[3]CB-22'!GE42+'[3]CB-23'!GE42+'[3]CB-24'!GE42+'[4]LCT-1'!GE42+'[4]LCT-2'!GE42+'[4]LCT-3'!GE42+'[4]LCT-4'!GE42+'[4]LCT-5'!GE42+'[4]LCT-6'!GE42+'[4]LCT-7'!GE42+'[4]LCT-8'!GE42+'[5]TB-1'!GE42+'[5]TB-2'!GE42+'[5]TB-3'!GE42+'[5]TB-4'!GE42+'[5]TB-5'!GE42+'[5]TB-6'!GE42+'[5]TB-7'!GE42+'[5]TB-8'!GE42+'[5]TB-9'!GE42+'[5]TB-10'!GE42+'[6]DSV-1'!GE42+'[6]DSV-2'!GE42+'[6]DSV-3'!GE42+'[7]TUB-1'!GE42+'[7]TUB-2'!GE42+'[8]Barge-1'!GE42+'[8]Barge-2'!GE42+'[8]Barge-3'!GE42+'[8]Barge-4'!GE42</f>
        <v>402</v>
      </c>
      <c r="AF9" s="19">
        <f>(AE9/AE21)*100%</f>
        <v>0.1902298216003912</v>
      </c>
      <c r="AG9" s="8"/>
      <c r="AH9" s="8"/>
      <c r="AI9" s="8"/>
      <c r="AJ9" s="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</row>
    <row r="10" spans="1:122" s="10" customFormat="1" ht="13.95" customHeight="1" thickBot="1" x14ac:dyDescent="0.3">
      <c r="A10" s="45"/>
      <c r="B10" s="8"/>
      <c r="C10" s="156"/>
      <c r="D10" s="156"/>
      <c r="E10" s="156"/>
      <c r="F10" s="156"/>
      <c r="G10" s="156"/>
      <c r="H10" s="156"/>
      <c r="I10" s="156"/>
      <c r="J10" s="21"/>
      <c r="K10" s="8"/>
      <c r="L10" s="20"/>
      <c r="M10" s="21"/>
      <c r="N10" s="8"/>
      <c r="O10" s="8"/>
      <c r="P10" s="8"/>
      <c r="Q10" s="8"/>
      <c r="R10" s="18"/>
      <c r="S10" s="18"/>
      <c r="T10" s="170"/>
      <c r="U10" s="8"/>
      <c r="V10" s="9"/>
      <c r="W10" s="9"/>
      <c r="X10" s="9"/>
      <c r="Y10" s="9"/>
      <c r="Z10" s="9"/>
      <c r="AA10" s="9"/>
      <c r="AB10" s="9"/>
      <c r="AC10" s="21"/>
      <c r="AD10" s="8"/>
      <c r="AE10" s="20"/>
      <c r="AF10" s="21"/>
      <c r="AG10" s="8"/>
      <c r="AH10" s="8"/>
      <c r="AI10" s="8"/>
      <c r="AJ10" s="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</row>
    <row r="11" spans="1:122" s="10" customFormat="1" ht="20.7" customHeight="1" thickBot="1" x14ac:dyDescent="0.3">
      <c r="A11" s="45" t="s">
        <v>20</v>
      </c>
      <c r="B11" s="8"/>
      <c r="C11" s="154">
        <f>Distribute!F42</f>
        <v>117224.79752341917</v>
      </c>
      <c r="D11" s="156"/>
      <c r="E11" s="154">
        <f>Distribute!G42</f>
        <v>99980.85928562854</v>
      </c>
      <c r="F11" s="156"/>
      <c r="G11" s="154">
        <f>Distribute!H42</f>
        <v>0</v>
      </c>
      <c r="H11" s="156"/>
      <c r="I11" s="157">
        <f>SUM(C11,E11,G11)</f>
        <v>217205.65680904771</v>
      </c>
      <c r="J11" s="19">
        <f>(I11/I21)*100%</f>
        <v>0.75267700164002294</v>
      </c>
      <c r="K11" s="8"/>
      <c r="L11" s="44">
        <f>'[2]AHTS-1'!GF42+'[2]AHTS-2'!GF42+'[2]AHTS-3'!GF42+'[2]AHTS-4'!GF42+'[2]AHTS-5'!GF42+'[2]AHTS-6'!GF42+'[2]AHTS-7'!GF42+'[2]AHTS-8'!GF42+'[3]CB-1'!GF42+'[3]CB-2'!GF42+'[3]CB-3'!GF42+'[3]CB-4'!GF42+'[3]CB-5'!GF42+'[3]CB-6'!GF42+'[3]CB-7'!GF42+'[3]CB-8'!GF42+'[3]CB-9'!GF42+'[3]CB-10'!GF42+'[3]CB-11'!GF42+'[3]CB-12'!GF42+'[3]CB-13'!GF42+'[3]CB-14'!GF42+'[3]CB-15'!GF42+'[3]CB-16'!GF42+'[3]CB-17'!GF42+'[3]CB-18'!GF42+'[3]CB-19'!GF42+'[3]CB-20'!GF42+'[3]CB-21'!GF42+'[3]CB-22'!GF42+'[3]CB-23'!GF42+'[3]CB-24'!GF42+'[4]LCT-1'!GF42+'[4]LCT-2'!GF42+'[4]LCT-3'!GF42+'[4]LCT-4'!GF42+'[4]LCT-5'!GF42+'[4]LCT-6'!GF42+'[4]LCT-7'!GF42+'[4]LCT-8'!GF42+'[5]TB-1'!GF42+'[5]TB-2'!GF42+'[5]TB-3'!GF42+'[5]TB-4'!GF42+'[5]TB-5'!GF42+'[5]TB-6'!GF42+'[5]TB-7'!GF42+'[5]TB-8'!GF42+'[5]TB-9'!GF42+'[5]TB-10'!GF42+'[6]DSV-1'!GF42+'[6]DSV-2'!GF42+'[6]DSV-3'!GF42+'[7]TUB-1'!GF42+'[7]TUB-2'!GF42+'[8]Barge-1'!GF42+'[8]Barge-2'!GF42+'[8]Barge-3'!GF42+'[8]Barge-4'!GF42</f>
        <v>2083.2333333333331</v>
      </c>
      <c r="M11" s="19">
        <f>(L11/L21)*100%</f>
        <v>0.83824456456134233</v>
      </c>
      <c r="N11" s="8"/>
      <c r="O11" s="8"/>
      <c r="P11" s="8"/>
      <c r="Q11" s="8"/>
      <c r="R11" s="18"/>
      <c r="S11" s="18"/>
      <c r="T11" s="170" t="s">
        <v>20</v>
      </c>
      <c r="U11" s="8"/>
      <c r="V11" s="142">
        <f>Distribute!Z42</f>
        <v>1844666525.6249998</v>
      </c>
      <c r="W11" s="9"/>
      <c r="X11" s="142">
        <f>Distribute!AA42</f>
        <v>1574316944.4444447</v>
      </c>
      <c r="Y11" s="9"/>
      <c r="Z11" s="142">
        <f>Distribute!AB42</f>
        <v>0</v>
      </c>
      <c r="AA11" s="9"/>
      <c r="AB11" s="143">
        <f>SUM(V11,X11,Z11)</f>
        <v>3418983470.0694447</v>
      </c>
      <c r="AC11" s="19">
        <f>(AB11/AB21)*100%</f>
        <v>0.75119564713815823</v>
      </c>
      <c r="AD11" s="8"/>
      <c r="AE11" s="44">
        <f>'[2]AHTS-1'!GF42+'[2]AHTS-2'!GF42+'[2]AHTS-3'!GF42+'[2]AHTS-4'!GF42+'[2]AHTS-5'!GF42+'[2]AHTS-6'!GF42+'[2]AHTS-7'!GF42+'[2]AHTS-8'!GF42+'[3]CB-1'!GF42+'[3]CB-2'!GF42+'[3]CB-3'!GF42+'[3]CB-4'!GF42+'[3]CB-5'!GF42+'[3]CB-6'!GF42+'[3]CB-7'!GF42+'[3]CB-8'!GF42+'[3]CB-9'!GF42+'[3]CB-10'!GF42+'[3]CB-11'!GF42+'[3]CB-12'!GF42+'[3]CB-13'!GF42+'[3]CB-14'!GF42+'[3]CB-15'!GF42+'[3]CB-16'!GF42+'[3]CB-17'!GF42+'[3]CB-18'!GF42+'[3]CB-19'!GF42+'[3]CB-20'!GF42+'[3]CB-21'!GF42+'[3]CB-22'!GF42+'[3]CB-23'!GF42+'[3]CB-24'!GF42+'[4]LCT-1'!GF42+'[4]LCT-2'!GF42+'[4]LCT-3'!GF42+'[4]LCT-4'!GF42+'[4]LCT-5'!GF42+'[4]LCT-6'!GF42+'[4]LCT-7'!GF42+'[4]LCT-8'!GF42+'[5]TB-1'!GE42+'[5]TB-2'!GE42+'[5]TB-3'!GE42+'[5]TB-4'!GE42+'[5]TB-5'!GE42+'[5]TB-6'!GE42+'[5]TB-7'!GE42+'[5]TB-8'!GE42+'[5]TB-9'!GE42+'[5]TB-10'!GE42+'[6]DSV-1'!GF42+'[6]DSV-2'!GF42+'[6]DSV-3'!GF42+'[7]TUB-1'!GF42+'[7]TUB-2'!GF42+'[8]Barge-1'!GF42+'[8]Barge-2'!GF42+'[8]Barge-3'!GF42+'[8]Barge-4'!GF42</f>
        <v>1711.2333333333331</v>
      </c>
      <c r="AF11" s="19">
        <f>(AE11/AE21)*100%</f>
        <v>0.80977017839960874</v>
      </c>
      <c r="AG11" s="8"/>
      <c r="AH11" s="8"/>
      <c r="AI11" s="8"/>
      <c r="AJ11" s="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</row>
    <row r="12" spans="1:122" s="10" customFormat="1" ht="13.95" customHeight="1" x14ac:dyDescent="0.25">
      <c r="A12" s="40"/>
      <c r="B12" s="8"/>
      <c r="C12" s="156"/>
      <c r="D12" s="156"/>
      <c r="E12" s="156"/>
      <c r="F12" s="156"/>
      <c r="G12" s="156"/>
      <c r="H12" s="156"/>
      <c r="I12" s="156"/>
      <c r="J12" s="21"/>
      <c r="K12" s="8"/>
      <c r="L12" s="20"/>
      <c r="M12" s="21"/>
      <c r="N12" s="8"/>
      <c r="O12" s="8"/>
      <c r="P12" s="8"/>
      <c r="Q12" s="8"/>
      <c r="R12" s="18"/>
      <c r="S12" s="18"/>
      <c r="T12" s="171"/>
      <c r="U12" s="8"/>
      <c r="V12" s="9"/>
      <c r="W12" s="9"/>
      <c r="X12" s="9"/>
      <c r="Y12" s="9"/>
      <c r="Z12" s="9"/>
      <c r="AA12" s="9"/>
      <c r="AB12" s="9"/>
      <c r="AC12" s="21"/>
      <c r="AD12" s="8"/>
      <c r="AE12" s="20"/>
      <c r="AF12" s="21"/>
      <c r="AG12" s="8"/>
      <c r="AH12" s="8"/>
      <c r="AI12" s="8"/>
      <c r="AJ12" s="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</row>
    <row r="13" spans="1:122" s="10" customFormat="1" ht="13.95" customHeight="1" x14ac:dyDescent="0.25">
      <c r="A13" s="40"/>
      <c r="B13" s="8"/>
      <c r="C13" s="156"/>
      <c r="D13" s="156"/>
      <c r="E13" s="156"/>
      <c r="F13" s="156"/>
      <c r="G13" s="156"/>
      <c r="H13" s="156"/>
      <c r="I13" s="156"/>
      <c r="J13" s="23"/>
      <c r="K13" s="8"/>
      <c r="L13" s="22"/>
      <c r="M13" s="23"/>
      <c r="N13" s="8"/>
      <c r="O13" s="8"/>
      <c r="P13" s="8"/>
      <c r="Q13" s="8"/>
      <c r="R13" s="18"/>
      <c r="S13" s="18"/>
      <c r="T13" s="171"/>
      <c r="U13" s="8"/>
      <c r="V13" s="9"/>
      <c r="W13" s="9"/>
      <c r="X13" s="9"/>
      <c r="Y13" s="9"/>
      <c r="Z13" s="9"/>
      <c r="AA13" s="9"/>
      <c r="AB13" s="9"/>
      <c r="AC13" s="23"/>
      <c r="AD13" s="8"/>
      <c r="AE13" s="22"/>
      <c r="AF13" s="23"/>
      <c r="AG13" s="8"/>
      <c r="AH13" s="8"/>
      <c r="AI13" s="8"/>
      <c r="AJ13" s="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</row>
    <row r="14" spans="1:122" s="10" customFormat="1" ht="13.95" customHeight="1" x14ac:dyDescent="0.25">
      <c r="A14" s="40"/>
      <c r="B14" s="8"/>
      <c r="C14" s="156"/>
      <c r="D14" s="156"/>
      <c r="E14" s="156"/>
      <c r="F14" s="156"/>
      <c r="G14" s="156"/>
      <c r="H14" s="156"/>
      <c r="I14" s="156"/>
      <c r="J14" s="21"/>
      <c r="K14" s="8"/>
      <c r="L14" s="20"/>
      <c r="M14" s="21"/>
      <c r="N14" s="8"/>
      <c r="O14" s="8"/>
      <c r="P14" s="8"/>
      <c r="Q14" s="8"/>
      <c r="R14" s="18"/>
      <c r="S14" s="18"/>
      <c r="T14" s="171"/>
      <c r="U14" s="8"/>
      <c r="V14" s="9"/>
      <c r="W14" s="9"/>
      <c r="X14" s="9"/>
      <c r="Y14" s="9"/>
      <c r="Z14" s="9"/>
      <c r="AA14" s="9"/>
      <c r="AB14" s="9"/>
      <c r="AC14" s="21"/>
      <c r="AD14" s="8"/>
      <c r="AE14" s="20"/>
      <c r="AF14" s="21"/>
      <c r="AG14" s="8"/>
      <c r="AH14" s="8"/>
      <c r="AI14" s="8"/>
      <c r="AJ14" s="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</row>
    <row r="15" spans="1:122" s="10" customFormat="1" ht="13.95" customHeight="1" x14ac:dyDescent="0.25">
      <c r="A15" s="40"/>
      <c r="B15" s="8"/>
      <c r="C15" s="156"/>
      <c r="D15" s="156"/>
      <c r="E15" s="156"/>
      <c r="F15" s="156"/>
      <c r="G15" s="156"/>
      <c r="H15" s="156"/>
      <c r="I15" s="156"/>
      <c r="J15" s="23"/>
      <c r="K15" s="8"/>
      <c r="L15" s="22"/>
      <c r="M15" s="23"/>
      <c r="N15" s="8"/>
      <c r="O15" s="8"/>
      <c r="P15" s="8"/>
      <c r="Q15" s="8"/>
      <c r="R15" s="18"/>
      <c r="S15" s="18"/>
      <c r="T15" s="171"/>
      <c r="U15" s="8"/>
      <c r="V15" s="9"/>
      <c r="W15" s="9"/>
      <c r="X15" s="9"/>
      <c r="Y15" s="9"/>
      <c r="Z15" s="9"/>
      <c r="AA15" s="9"/>
      <c r="AB15" s="9"/>
      <c r="AC15" s="23"/>
      <c r="AD15" s="8"/>
      <c r="AE15" s="22"/>
      <c r="AF15" s="23"/>
      <c r="AG15" s="8"/>
      <c r="AH15" s="8"/>
      <c r="AI15" s="8"/>
      <c r="AJ15" s="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</row>
    <row r="16" spans="1:122" s="10" customFormat="1" ht="13.95" customHeight="1" x14ac:dyDescent="0.25">
      <c r="A16" s="40"/>
      <c r="B16" s="8"/>
      <c r="C16" s="156"/>
      <c r="D16" s="156"/>
      <c r="E16" s="156"/>
      <c r="F16" s="156"/>
      <c r="G16" s="156"/>
      <c r="H16" s="156"/>
      <c r="I16" s="156"/>
      <c r="J16" s="21"/>
      <c r="K16" s="8"/>
      <c r="L16" s="20"/>
      <c r="M16" s="21"/>
      <c r="N16" s="8"/>
      <c r="O16" s="8"/>
      <c r="P16" s="8"/>
      <c r="Q16" s="8"/>
      <c r="R16" s="18"/>
      <c r="S16" s="18"/>
      <c r="T16" s="171"/>
      <c r="U16" s="8"/>
      <c r="V16" s="9"/>
      <c r="W16" s="9"/>
      <c r="X16" s="9"/>
      <c r="Y16" s="9"/>
      <c r="Z16" s="9"/>
      <c r="AA16" s="9"/>
      <c r="AB16" s="9"/>
      <c r="AC16" s="21"/>
      <c r="AD16" s="8"/>
      <c r="AE16" s="20"/>
      <c r="AF16" s="21"/>
      <c r="AG16" s="8"/>
      <c r="AH16" s="8"/>
      <c r="AI16" s="8"/>
      <c r="AJ16" s="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</row>
    <row r="17" spans="1:122" s="10" customFormat="1" ht="13.95" customHeight="1" x14ac:dyDescent="0.25">
      <c r="A17" s="40"/>
      <c r="B17" s="8"/>
      <c r="C17" s="156"/>
      <c r="D17" s="156"/>
      <c r="E17" s="156"/>
      <c r="F17" s="156"/>
      <c r="G17" s="156"/>
      <c r="H17" s="156"/>
      <c r="I17" s="156"/>
      <c r="J17" s="23"/>
      <c r="K17" s="8"/>
      <c r="L17" s="22"/>
      <c r="M17" s="23"/>
      <c r="N17" s="8"/>
      <c r="O17" s="8"/>
      <c r="P17" s="8"/>
      <c r="Q17" s="8"/>
      <c r="R17" s="18"/>
      <c r="S17" s="18"/>
      <c r="T17" s="171"/>
      <c r="U17" s="8"/>
      <c r="V17" s="9"/>
      <c r="W17" s="9"/>
      <c r="X17" s="9"/>
      <c r="Y17" s="9"/>
      <c r="Z17" s="9"/>
      <c r="AA17" s="9"/>
      <c r="AB17" s="9"/>
      <c r="AC17" s="23"/>
      <c r="AD17" s="8"/>
      <c r="AE17" s="22"/>
      <c r="AF17" s="23"/>
      <c r="AG17" s="8"/>
      <c r="AH17" s="8"/>
      <c r="AI17" s="8"/>
      <c r="AJ17" s="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</row>
    <row r="18" spans="1:122" s="10" customFormat="1" ht="13.95" customHeight="1" x14ac:dyDescent="0.25">
      <c r="A18" s="40"/>
      <c r="B18" s="8"/>
      <c r="C18" s="156"/>
      <c r="D18" s="156"/>
      <c r="E18" s="156"/>
      <c r="F18" s="156"/>
      <c r="G18" s="156"/>
      <c r="H18" s="156"/>
      <c r="I18" s="156"/>
      <c r="J18" s="21"/>
      <c r="K18" s="8"/>
      <c r="L18" s="20"/>
      <c r="M18" s="21"/>
      <c r="N18" s="8"/>
      <c r="O18" s="8"/>
      <c r="P18" s="8"/>
      <c r="Q18" s="8"/>
      <c r="R18" s="18"/>
      <c r="S18" s="18"/>
      <c r="T18" s="171"/>
      <c r="U18" s="8"/>
      <c r="V18" s="9"/>
      <c r="W18" s="9"/>
      <c r="X18" s="9"/>
      <c r="Y18" s="9"/>
      <c r="Z18" s="9"/>
      <c r="AA18" s="9"/>
      <c r="AB18" s="9"/>
      <c r="AC18" s="21"/>
      <c r="AD18" s="8"/>
      <c r="AE18" s="20"/>
      <c r="AF18" s="21"/>
      <c r="AG18" s="8"/>
      <c r="AH18" s="8"/>
      <c r="AI18" s="8"/>
      <c r="AJ18" s="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</row>
    <row r="19" spans="1:122" s="10" customFormat="1" ht="13.95" customHeight="1" x14ac:dyDescent="0.25">
      <c r="A19" s="40"/>
      <c r="B19" s="8"/>
      <c r="C19" s="156"/>
      <c r="D19" s="156"/>
      <c r="E19" s="156"/>
      <c r="F19" s="156"/>
      <c r="G19" s="156"/>
      <c r="H19" s="156"/>
      <c r="I19" s="156"/>
      <c r="J19" s="23"/>
      <c r="K19" s="8"/>
      <c r="L19" s="22"/>
      <c r="M19" s="23"/>
      <c r="N19" s="8"/>
      <c r="O19" s="8"/>
      <c r="P19" s="8"/>
      <c r="Q19" s="8"/>
      <c r="R19" s="18"/>
      <c r="S19" s="18"/>
      <c r="T19" s="171"/>
      <c r="U19" s="8"/>
      <c r="V19" s="9"/>
      <c r="W19" s="9"/>
      <c r="X19" s="9"/>
      <c r="Y19" s="9"/>
      <c r="Z19" s="9"/>
      <c r="AA19" s="9"/>
      <c r="AB19" s="9"/>
      <c r="AC19" s="23"/>
      <c r="AD19" s="8"/>
      <c r="AE19" s="22"/>
      <c r="AF19" s="23"/>
      <c r="AG19" s="8"/>
      <c r="AH19" s="8"/>
      <c r="AI19" s="8"/>
      <c r="AJ19" s="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</row>
    <row r="20" spans="1:122" s="3" customFormat="1" ht="13.95" customHeight="1" thickBot="1" x14ac:dyDescent="0.3">
      <c r="A20" s="32"/>
      <c r="B20" s="2"/>
      <c r="C20" s="158"/>
      <c r="D20" s="158"/>
      <c r="E20" s="158"/>
      <c r="F20" s="158"/>
      <c r="G20" s="158"/>
      <c r="H20" s="158"/>
      <c r="I20" s="158"/>
      <c r="J20" s="2"/>
      <c r="K20" s="2"/>
      <c r="L20" s="2"/>
      <c r="M20" s="2"/>
      <c r="N20" s="2"/>
      <c r="O20" s="2"/>
      <c r="P20" s="2"/>
      <c r="Q20" s="2"/>
      <c r="R20" s="15"/>
      <c r="S20" s="15"/>
      <c r="T20" s="31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</row>
    <row r="21" spans="1:122" s="3" customFormat="1" ht="22.65" customHeight="1" thickBot="1" x14ac:dyDescent="0.3">
      <c r="A21" s="45" t="s">
        <v>3</v>
      </c>
      <c r="B21" s="2"/>
      <c r="C21" s="157">
        <f>SUM(C9:C20)</f>
        <v>162953.58716938947</v>
      </c>
      <c r="D21" s="156"/>
      <c r="E21" s="157">
        <f>SUM(E9:E20)</f>
        <v>125623.92527721645</v>
      </c>
      <c r="F21" s="156"/>
      <c r="G21" s="157">
        <f>SUM(G9:G20)</f>
        <v>0</v>
      </c>
      <c r="H21" s="156"/>
      <c r="I21" s="157">
        <f>SUM(I9,I11)</f>
        <v>288577.51244660589</v>
      </c>
      <c r="J21" s="24">
        <f>SUM(J9,J11)</f>
        <v>1</v>
      </c>
      <c r="K21" s="2"/>
      <c r="L21" s="128">
        <f>SUM(L9,L11)</f>
        <v>2485.2333333333331</v>
      </c>
      <c r="M21" s="24">
        <f>SUM(M9,M11)</f>
        <v>1</v>
      </c>
      <c r="N21" s="2"/>
      <c r="O21" s="2"/>
      <c r="P21" s="2"/>
      <c r="Q21" s="2"/>
      <c r="R21" s="15"/>
      <c r="S21" s="15"/>
      <c r="T21" s="170" t="s">
        <v>3</v>
      </c>
      <c r="U21" s="2"/>
      <c r="V21" s="143">
        <f>SUM(V9:V20)</f>
        <v>2569946875.625</v>
      </c>
      <c r="W21" s="9"/>
      <c r="X21" s="143">
        <f>SUM(X9:X20)</f>
        <v>1981441944.4444447</v>
      </c>
      <c r="Y21" s="9"/>
      <c r="Z21" s="143">
        <f>SUM(Z9:Z20)</f>
        <v>0</v>
      </c>
      <c r="AA21" s="9"/>
      <c r="AB21" s="143">
        <f>SUM(AB9,AB11)</f>
        <v>4551388820.0694447</v>
      </c>
      <c r="AC21" s="24">
        <f>SUM(AC9,AC11)</f>
        <v>1</v>
      </c>
      <c r="AD21" s="2"/>
      <c r="AE21" s="128">
        <f>SUM(AE9,AE11)</f>
        <v>2113.2333333333331</v>
      </c>
      <c r="AF21" s="24">
        <f>SUM(AF9,AF11)</f>
        <v>1</v>
      </c>
      <c r="AG21" s="2"/>
      <c r="AH21" s="2"/>
      <c r="AI21" s="2"/>
      <c r="AJ21" s="2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</row>
    <row r="22" spans="1:122" s="3" customFormat="1" ht="6.45" customHeight="1" x14ac:dyDescent="0.25">
      <c r="A22" s="3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15"/>
      <c r="S22" s="15"/>
      <c r="T22" s="31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</row>
    <row r="23" spans="1:122" s="3" customFormat="1" ht="6.3" customHeight="1" x14ac:dyDescent="0.25">
      <c r="A23" s="32"/>
      <c r="B23" s="2"/>
      <c r="C23" s="2"/>
      <c r="D23" s="13"/>
      <c r="E23" s="13"/>
      <c r="F23" s="2"/>
      <c r="G23" s="2"/>
      <c r="H23" s="2"/>
      <c r="I23" s="2"/>
      <c r="J23" s="2"/>
      <c r="K23" s="2"/>
      <c r="L23" s="27"/>
      <c r="M23" s="25"/>
      <c r="N23" s="25"/>
      <c r="O23" s="25"/>
      <c r="P23" s="2"/>
      <c r="Q23" s="2"/>
      <c r="R23" s="15"/>
      <c r="S23" s="15"/>
      <c r="T23" s="31"/>
      <c r="U23" s="2"/>
      <c r="V23" s="2"/>
      <c r="W23" s="13"/>
      <c r="X23" s="13"/>
      <c r="Y23" s="2"/>
      <c r="Z23" s="2"/>
      <c r="AA23" s="2"/>
      <c r="AB23" s="2"/>
      <c r="AC23" s="2"/>
      <c r="AD23" s="2"/>
      <c r="AE23" s="27"/>
      <c r="AF23" s="25"/>
      <c r="AG23" s="25"/>
      <c r="AH23" s="25"/>
      <c r="AI23" s="2"/>
      <c r="AJ23" s="2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</row>
    <row r="24" spans="1:122" s="3" customFormat="1" ht="7.5" customHeight="1" x14ac:dyDescent="0.25">
      <c r="A24" s="3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5"/>
      <c r="S24" s="15"/>
      <c r="T24" s="31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</row>
    <row r="25" spans="1:122" s="3" customFormat="1" ht="15" customHeight="1" x14ac:dyDescent="0.25">
      <c r="A25" s="32"/>
      <c r="B25" s="2"/>
      <c r="C25" s="2"/>
      <c r="D25" s="28"/>
      <c r="E25" s="25" t="s">
        <v>5</v>
      </c>
      <c r="F25" s="2"/>
      <c r="G25" s="2"/>
      <c r="H25" s="2"/>
      <c r="I25" s="103" t="s">
        <v>16</v>
      </c>
      <c r="J25" s="2"/>
      <c r="K25" s="2"/>
      <c r="L25" s="2"/>
      <c r="M25" s="26"/>
      <c r="N25" s="26"/>
      <c r="O25" s="26" t="s">
        <v>9</v>
      </c>
      <c r="P25" s="13"/>
      <c r="Q25" s="13"/>
      <c r="R25" s="144"/>
      <c r="S25" s="144"/>
      <c r="T25" s="31"/>
      <c r="U25" s="2"/>
      <c r="V25" s="2"/>
      <c r="W25" s="28"/>
      <c r="X25" s="25" t="s">
        <v>5</v>
      </c>
      <c r="Y25" s="2"/>
      <c r="Z25" s="2"/>
      <c r="AA25" s="2"/>
      <c r="AB25" s="103" t="s">
        <v>16</v>
      </c>
      <c r="AC25" s="2"/>
      <c r="AD25" s="2"/>
      <c r="AE25" s="2"/>
      <c r="AF25" s="26"/>
      <c r="AG25" s="26"/>
      <c r="AH25" s="26" t="s">
        <v>9</v>
      </c>
      <c r="AI25" s="13"/>
      <c r="AJ25" s="13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</row>
    <row r="26" spans="1:122" s="3" customFormat="1" ht="7.5" customHeight="1" x14ac:dyDescent="0.25">
      <c r="A26" s="32"/>
      <c r="B26" s="2"/>
      <c r="C26" s="2"/>
      <c r="D26" s="11"/>
      <c r="E26" s="1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5"/>
      <c r="S26" s="15"/>
      <c r="T26" s="31"/>
      <c r="U26" s="2"/>
      <c r="V26" s="2"/>
      <c r="W26" s="11"/>
      <c r="X26" s="1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</row>
    <row r="27" spans="1:122" s="3" customFormat="1" ht="20.7" customHeight="1" x14ac:dyDescent="0.25">
      <c r="A27" s="32"/>
      <c r="B27" s="31"/>
      <c r="C27" s="31"/>
      <c r="D27" s="33"/>
      <c r="E27" s="34"/>
      <c r="F27" s="34"/>
      <c r="G27" s="34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15"/>
      <c r="S27" s="15"/>
      <c r="T27" s="31"/>
      <c r="U27" s="31"/>
      <c r="V27" s="31"/>
      <c r="W27" s="33"/>
      <c r="X27" s="34"/>
      <c r="Y27" s="34"/>
      <c r="Z27" s="34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</row>
    <row r="28" spans="1:122" s="3" customFormat="1" ht="20.7" customHeight="1" x14ac:dyDescent="0.25">
      <c r="A28" s="32"/>
      <c r="B28" s="31"/>
      <c r="C28" s="31"/>
      <c r="D28" s="35"/>
      <c r="E28" s="36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15"/>
      <c r="S28" s="15"/>
      <c r="T28" s="31"/>
      <c r="U28" s="31"/>
      <c r="V28" s="31"/>
      <c r="W28" s="35"/>
      <c r="X28" s="36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</row>
    <row r="29" spans="1:122" s="3" customFormat="1" ht="20.7" customHeight="1" x14ac:dyDescent="0.25">
      <c r="A29" s="32"/>
      <c r="B29" s="31"/>
      <c r="C29" s="31"/>
      <c r="D29" s="35"/>
      <c r="E29" s="36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</row>
    <row r="30" spans="1:122" s="3" customFormat="1" ht="20.7" customHeight="1" x14ac:dyDescent="0.25">
      <c r="A30" s="32"/>
      <c r="B30" s="31"/>
      <c r="C30" s="31"/>
      <c r="D30" s="35"/>
      <c r="E30" s="36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</row>
    <row r="31" spans="1:122" s="3" customFormat="1" ht="20.7" customHeight="1" x14ac:dyDescent="0.25">
      <c r="A31" s="32"/>
      <c r="B31" s="31"/>
      <c r="C31" s="31"/>
      <c r="D31" s="35"/>
      <c r="E31" s="36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</row>
    <row r="32" spans="1:122" s="3" customFormat="1" ht="20.7" customHeight="1" x14ac:dyDescent="0.25">
      <c r="A32" s="32"/>
      <c r="B32" s="31"/>
      <c r="C32" s="31"/>
      <c r="D32" s="35"/>
      <c r="E32" s="36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</row>
    <row r="33" spans="1:122" s="3" customFormat="1" ht="18.75" customHeight="1" x14ac:dyDescent="0.25">
      <c r="A33" s="32"/>
      <c r="B33" s="31"/>
      <c r="C33" s="31"/>
      <c r="D33" s="35"/>
      <c r="E33" s="36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</row>
    <row r="34" spans="1:122" s="3" customFormat="1" ht="18.75" customHeight="1" x14ac:dyDescent="0.25">
      <c r="A34" s="32"/>
      <c r="B34" s="31"/>
      <c r="C34" s="31"/>
      <c r="D34" s="35"/>
      <c r="E34" s="36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</row>
    <row r="35" spans="1:122" s="3" customFormat="1" ht="17.850000000000001" customHeight="1" x14ac:dyDescent="0.25">
      <c r="A35" s="32"/>
      <c r="B35" s="31"/>
      <c r="C35" s="31"/>
      <c r="D35" s="35"/>
      <c r="E35" s="36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</row>
    <row r="36" spans="1:122" s="3" customFormat="1" ht="17.850000000000001" customHeight="1" x14ac:dyDescent="0.25">
      <c r="A36" s="32"/>
      <c r="B36" s="31"/>
      <c r="C36" s="31"/>
      <c r="D36" s="35"/>
      <c r="E36" s="36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</row>
    <row r="37" spans="1:122" s="3" customFormat="1" ht="17.850000000000001" customHeight="1" x14ac:dyDescent="0.25">
      <c r="A37" s="32"/>
      <c r="B37" s="31"/>
      <c r="C37" s="31"/>
      <c r="D37" s="35"/>
      <c r="E37" s="36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</row>
    <row r="38" spans="1:122" s="3" customFormat="1" ht="17.850000000000001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1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</row>
    <row r="39" spans="1:122" s="3" customFormat="1" ht="17.850000000000001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1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</row>
    <row r="40" spans="1:122" s="3" customFormat="1" ht="17.850000000000001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1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</row>
    <row r="41" spans="1:122" s="3" customFormat="1" ht="17.850000000000001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1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</row>
    <row r="42" spans="1:122" s="3" customFormat="1" ht="17.850000000000001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1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</row>
    <row r="43" spans="1:122" s="3" customFormat="1" ht="17.850000000000001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1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</row>
    <row r="44" spans="1:122" s="15" customFormat="1" ht="17.850000000000001" customHeight="1" x14ac:dyDescent="0.25">
      <c r="A44" s="138" t="str">
        <f>L5</f>
        <v>25 Nov - 24 Dec 2025</v>
      </c>
      <c r="B44" s="139"/>
      <c r="C44" s="135" t="s">
        <v>17</v>
      </c>
    </row>
    <row r="45" spans="1:122" s="15" customFormat="1" ht="17.850000000000001" customHeight="1" x14ac:dyDescent="0.25">
      <c r="A45" s="139" t="str">
        <f>A9</f>
        <v>SOUTH _OSF</v>
      </c>
      <c r="B45" s="139"/>
      <c r="C45" s="140">
        <f>Distribute!C82</f>
        <v>44909</v>
      </c>
    </row>
    <row r="46" spans="1:122" s="15" customFormat="1" ht="17.850000000000001" customHeight="1" x14ac:dyDescent="0.25">
      <c r="A46" s="139" t="str">
        <f>A11</f>
        <v>NORTH_OSF</v>
      </c>
      <c r="B46" s="139"/>
      <c r="C46" s="140">
        <f>Distribute!F82</f>
        <v>114220.83749999998</v>
      </c>
    </row>
    <row r="47" spans="1:122" s="15" customFormat="1" ht="17.850000000000001" customHeight="1" x14ac:dyDescent="0.25">
      <c r="A47" s="137" t="s">
        <v>18</v>
      </c>
      <c r="B47" s="139"/>
      <c r="C47" s="141">
        <f>SUM(C45:C46)</f>
        <v>159129.83749999997</v>
      </c>
    </row>
    <row r="48" spans="1:122" s="15" customFormat="1" ht="17.850000000000001" customHeight="1" x14ac:dyDescent="0.25"/>
    <row r="49" s="15" customFormat="1" ht="17.850000000000001" customHeight="1" x14ac:dyDescent="0.25"/>
    <row r="50" s="15" customFormat="1" ht="17.850000000000001" customHeight="1" x14ac:dyDescent="0.25"/>
    <row r="51" s="15" customFormat="1" ht="17.850000000000001" customHeight="1" x14ac:dyDescent="0.25"/>
    <row r="52" s="15" customFormat="1" ht="17.850000000000001" customHeight="1" x14ac:dyDescent="0.25"/>
    <row r="53" s="15" customFormat="1" ht="17.850000000000001" customHeight="1" x14ac:dyDescent="0.25"/>
    <row r="54" s="15" customFormat="1" ht="17.850000000000001" customHeight="1" x14ac:dyDescent="0.25"/>
    <row r="55" s="15" customFormat="1" ht="17.850000000000001" customHeight="1" x14ac:dyDescent="0.25"/>
    <row r="56" s="15" customFormat="1" ht="17.850000000000001" customHeight="1" x14ac:dyDescent="0.25"/>
    <row r="57" s="15" customFormat="1" ht="17.850000000000001" customHeight="1" x14ac:dyDescent="0.25"/>
    <row r="58" s="15" customFormat="1" ht="17.850000000000001" customHeight="1" x14ac:dyDescent="0.25"/>
    <row r="59" s="15" customFormat="1" ht="17.850000000000001" customHeight="1" x14ac:dyDescent="0.25"/>
    <row r="60" s="15" customFormat="1" ht="17.850000000000001" customHeight="1" x14ac:dyDescent="0.25"/>
    <row r="61" s="15" customFormat="1" ht="17.850000000000001" customHeight="1" x14ac:dyDescent="0.25"/>
    <row r="62" s="15" customFormat="1" ht="17.850000000000001" customHeight="1" x14ac:dyDescent="0.25"/>
    <row r="63" s="15" customFormat="1" ht="17.850000000000001" customHeight="1" x14ac:dyDescent="0.25"/>
    <row r="64" s="15" customFormat="1" ht="17.850000000000001" customHeight="1" x14ac:dyDescent="0.25"/>
    <row r="65" s="15" customFormat="1" ht="17.850000000000001" customHeight="1" x14ac:dyDescent="0.25"/>
    <row r="66" s="15" customFormat="1" ht="17.850000000000001" customHeight="1" x14ac:dyDescent="0.25"/>
    <row r="67" s="15" customFormat="1" ht="17.850000000000001" customHeight="1" x14ac:dyDescent="0.25"/>
    <row r="68" s="15" customFormat="1" ht="17.850000000000001" customHeight="1" x14ac:dyDescent="0.25"/>
    <row r="69" s="15" customFormat="1" ht="17.850000000000001" customHeight="1" x14ac:dyDescent="0.25"/>
    <row r="70" s="15" customFormat="1" ht="17.850000000000001" customHeight="1" x14ac:dyDescent="0.25"/>
    <row r="71" s="15" customFormat="1" ht="17.850000000000001" customHeight="1" x14ac:dyDescent="0.25"/>
    <row r="72" s="15" customFormat="1" ht="17.850000000000001" customHeight="1" x14ac:dyDescent="0.25"/>
    <row r="73" s="15" customFormat="1" ht="17.850000000000001" customHeight="1" x14ac:dyDescent="0.25"/>
    <row r="74" s="15" customFormat="1" ht="17.850000000000001" customHeight="1" x14ac:dyDescent="0.25"/>
    <row r="75" s="15" customFormat="1" ht="17.850000000000001" customHeight="1" x14ac:dyDescent="0.25"/>
    <row r="76" s="15" customFormat="1" ht="17.850000000000001" customHeight="1" x14ac:dyDescent="0.25"/>
    <row r="77" s="15" customFormat="1" ht="17.850000000000001" customHeight="1" x14ac:dyDescent="0.25"/>
    <row r="78" s="15" customFormat="1" ht="17.850000000000001" customHeight="1" x14ac:dyDescent="0.25"/>
    <row r="79" s="15" customFormat="1" ht="17.850000000000001" customHeight="1" x14ac:dyDescent="0.25"/>
    <row r="80" s="15" customFormat="1" ht="17.850000000000001" customHeight="1" x14ac:dyDescent="0.25"/>
    <row r="81" s="15" customFormat="1" ht="17.850000000000001" customHeight="1" x14ac:dyDescent="0.25"/>
    <row r="82" s="15" customFormat="1" ht="17.850000000000001" customHeight="1" x14ac:dyDescent="0.25"/>
    <row r="83" s="15" customFormat="1" ht="17.850000000000001" customHeight="1" x14ac:dyDescent="0.25"/>
    <row r="84" s="15" customFormat="1" ht="17.850000000000001" customHeight="1" x14ac:dyDescent="0.25"/>
    <row r="85" s="15" customFormat="1" ht="17.850000000000001" customHeight="1" x14ac:dyDescent="0.25"/>
    <row r="86" s="15" customFormat="1" ht="17.850000000000001" customHeight="1" x14ac:dyDescent="0.25"/>
    <row r="87" s="15" customFormat="1" ht="17.850000000000001" customHeight="1" x14ac:dyDescent="0.25"/>
    <row r="88" s="15" customFormat="1" ht="17.850000000000001" customHeight="1" x14ac:dyDescent="0.25"/>
    <row r="89" s="15" customFormat="1" ht="17.850000000000001" customHeight="1" x14ac:dyDescent="0.25"/>
    <row r="90" s="15" customFormat="1" ht="17.850000000000001" customHeight="1" x14ac:dyDescent="0.25"/>
    <row r="91" s="15" customFormat="1" ht="17.850000000000001" customHeight="1" x14ac:dyDescent="0.25"/>
    <row r="92" s="15" customFormat="1" ht="17.850000000000001" customHeight="1" x14ac:dyDescent="0.25"/>
    <row r="93" s="15" customFormat="1" ht="17.850000000000001" customHeight="1" x14ac:dyDescent="0.25"/>
    <row r="94" s="15" customFormat="1" ht="17.850000000000001" customHeight="1" x14ac:dyDescent="0.25"/>
    <row r="95" s="15" customFormat="1" ht="17.850000000000001" customHeight="1" x14ac:dyDescent="0.25"/>
    <row r="96" s="15" customFormat="1" ht="17.850000000000001" customHeight="1" x14ac:dyDescent="0.25"/>
    <row r="97" s="15" customFormat="1" ht="17.850000000000001" customHeight="1" x14ac:dyDescent="0.25"/>
    <row r="98" s="15" customFormat="1" ht="17.850000000000001" customHeight="1" x14ac:dyDescent="0.25"/>
    <row r="99" s="15" customFormat="1" ht="17.850000000000001" customHeight="1" x14ac:dyDescent="0.25"/>
    <row r="100" s="15" customFormat="1" ht="17.850000000000001" customHeight="1" x14ac:dyDescent="0.25"/>
    <row r="101" s="15" customFormat="1" ht="17.850000000000001" customHeight="1" x14ac:dyDescent="0.25"/>
    <row r="102" s="15" customFormat="1" ht="17.850000000000001" customHeight="1" x14ac:dyDescent="0.25"/>
    <row r="103" s="15" customFormat="1" ht="17.850000000000001" customHeight="1" x14ac:dyDescent="0.25"/>
    <row r="104" s="15" customFormat="1" ht="17.850000000000001" customHeight="1" x14ac:dyDescent="0.25"/>
    <row r="105" s="15" customFormat="1" ht="17.850000000000001" customHeight="1" x14ac:dyDescent="0.25"/>
    <row r="106" s="15" customFormat="1" ht="17.850000000000001" customHeight="1" x14ac:dyDescent="0.25"/>
    <row r="107" s="14" customFormat="1" x14ac:dyDescent="0.25"/>
    <row r="108" s="14" customFormat="1" x14ac:dyDescent="0.25"/>
    <row r="109" s="14" customFormat="1" x14ac:dyDescent="0.25"/>
    <row r="110" s="14" customFormat="1" x14ac:dyDescent="0.25"/>
    <row r="111" s="14" customFormat="1" x14ac:dyDescent="0.25"/>
    <row r="112" s="14" customFormat="1" x14ac:dyDescent="0.25"/>
    <row r="113" s="14" customFormat="1" x14ac:dyDescent="0.25"/>
    <row r="114" s="14" customFormat="1" x14ac:dyDescent="0.25"/>
    <row r="115" s="14" customFormat="1" x14ac:dyDescent="0.25"/>
    <row r="116" s="14" customFormat="1" x14ac:dyDescent="0.25"/>
    <row r="117" s="14" customFormat="1" x14ac:dyDescent="0.25"/>
    <row r="118" s="14" customFormat="1" x14ac:dyDescent="0.25"/>
    <row r="119" s="14" customFormat="1" x14ac:dyDescent="0.25"/>
    <row r="120" s="14" customFormat="1" x14ac:dyDescent="0.25"/>
    <row r="121" s="14" customFormat="1" x14ac:dyDescent="0.25"/>
    <row r="122" s="14" customFormat="1" x14ac:dyDescent="0.25"/>
    <row r="123" s="14" customFormat="1" x14ac:dyDescent="0.25"/>
    <row r="124" s="14" customFormat="1" x14ac:dyDescent="0.25"/>
    <row r="125" s="14" customFormat="1" x14ac:dyDescent="0.25"/>
    <row r="126" s="14" customFormat="1" x14ac:dyDescent="0.25"/>
    <row r="127" s="14" customFormat="1" x14ac:dyDescent="0.25"/>
    <row r="128" s="14" customFormat="1" x14ac:dyDescent="0.25"/>
    <row r="129" s="14" customFormat="1" x14ac:dyDescent="0.25"/>
    <row r="130" s="14" customFormat="1" x14ac:dyDescent="0.25"/>
    <row r="131" s="14" customFormat="1" x14ac:dyDescent="0.25"/>
    <row r="132" s="14" customFormat="1" x14ac:dyDescent="0.25"/>
    <row r="133" s="14" customFormat="1" x14ac:dyDescent="0.25"/>
    <row r="134" s="14" customFormat="1" x14ac:dyDescent="0.25"/>
    <row r="135" s="14" customFormat="1" x14ac:dyDescent="0.25"/>
    <row r="136" s="14" customFormat="1" x14ac:dyDescent="0.25"/>
    <row r="137" s="14" customFormat="1" x14ac:dyDescent="0.25"/>
    <row r="138" s="14" customFormat="1" x14ac:dyDescent="0.25"/>
    <row r="139" s="14" customFormat="1" x14ac:dyDescent="0.25"/>
    <row r="140" s="14" customFormat="1" x14ac:dyDescent="0.25"/>
    <row r="141" s="14" customFormat="1" x14ac:dyDescent="0.25"/>
    <row r="142" s="14" customFormat="1" x14ac:dyDescent="0.25"/>
    <row r="143" s="14" customFormat="1" x14ac:dyDescent="0.25"/>
    <row r="144" s="14" customFormat="1" x14ac:dyDescent="0.25"/>
    <row r="145" s="14" customFormat="1" x14ac:dyDescent="0.25"/>
    <row r="146" s="14" customFormat="1" x14ac:dyDescent="0.25"/>
    <row r="147" s="14" customFormat="1" x14ac:dyDescent="0.25"/>
    <row r="148" s="14" customFormat="1" x14ac:dyDescent="0.25"/>
    <row r="149" s="14" customFormat="1" x14ac:dyDescent="0.25"/>
    <row r="150" s="14" customFormat="1" x14ac:dyDescent="0.25"/>
    <row r="151" s="14" customFormat="1" x14ac:dyDescent="0.25"/>
    <row r="152" s="14" customFormat="1" x14ac:dyDescent="0.25"/>
    <row r="153" s="14" customFormat="1" x14ac:dyDescent="0.25"/>
    <row r="154" s="14" customFormat="1" x14ac:dyDescent="0.25"/>
    <row r="155" s="14" customFormat="1" x14ac:dyDescent="0.25"/>
    <row r="156" s="14" customFormat="1" x14ac:dyDescent="0.25"/>
    <row r="157" s="14" customFormat="1" x14ac:dyDescent="0.25"/>
    <row r="158" s="14" customFormat="1" x14ac:dyDescent="0.25"/>
    <row r="159" s="14" customFormat="1" x14ac:dyDescent="0.25"/>
    <row r="160" s="14" customFormat="1" x14ac:dyDescent="0.25"/>
    <row r="161" s="14" customFormat="1" x14ac:dyDescent="0.25"/>
    <row r="162" s="14" customFormat="1" x14ac:dyDescent="0.25"/>
    <row r="163" s="14" customFormat="1" x14ac:dyDescent="0.25"/>
    <row r="164" s="14" customFormat="1" x14ac:dyDescent="0.25"/>
    <row r="165" s="14" customFormat="1" x14ac:dyDescent="0.25"/>
    <row r="166" s="14" customFormat="1" x14ac:dyDescent="0.25"/>
    <row r="167" s="14" customFormat="1" x14ac:dyDescent="0.25"/>
    <row r="168" s="14" customFormat="1" x14ac:dyDescent="0.25"/>
    <row r="169" s="14" customFormat="1" x14ac:dyDescent="0.25"/>
    <row r="170" s="14" customFormat="1" x14ac:dyDescent="0.25"/>
    <row r="171" s="14" customFormat="1" x14ac:dyDescent="0.25"/>
    <row r="172" s="14" customFormat="1" x14ac:dyDescent="0.25"/>
    <row r="173" s="14" customFormat="1" x14ac:dyDescent="0.25"/>
    <row r="174" s="14" customFormat="1" x14ac:dyDescent="0.25"/>
    <row r="175" s="14" customFormat="1" x14ac:dyDescent="0.25"/>
    <row r="176" s="14" customFormat="1" x14ac:dyDescent="0.25"/>
    <row r="177" s="14" customFormat="1" x14ac:dyDescent="0.25"/>
    <row r="178" s="14" customFormat="1" x14ac:dyDescent="0.25"/>
    <row r="179" s="14" customFormat="1" x14ac:dyDescent="0.25"/>
    <row r="180" s="14" customFormat="1" x14ac:dyDescent="0.25"/>
    <row r="181" s="14" customFormat="1" x14ac:dyDescent="0.25"/>
    <row r="182" s="14" customFormat="1" x14ac:dyDescent="0.25"/>
    <row r="183" s="14" customFormat="1" x14ac:dyDescent="0.25"/>
    <row r="184" s="14" customFormat="1" x14ac:dyDescent="0.25"/>
    <row r="185" s="14" customFormat="1" x14ac:dyDescent="0.25"/>
    <row r="186" s="14" customFormat="1" x14ac:dyDescent="0.25"/>
    <row r="187" s="14" customFormat="1" x14ac:dyDescent="0.25"/>
    <row r="188" s="14" customFormat="1" x14ac:dyDescent="0.25"/>
    <row r="189" s="14" customFormat="1" x14ac:dyDescent="0.25"/>
    <row r="190" s="14" customFormat="1" x14ac:dyDescent="0.25"/>
    <row r="191" s="14" customFormat="1" x14ac:dyDescent="0.25"/>
    <row r="192" s="14" customFormat="1" x14ac:dyDescent="0.25"/>
    <row r="193" s="14" customFormat="1" x14ac:dyDescent="0.25"/>
    <row r="194" s="14" customFormat="1" x14ac:dyDescent="0.25"/>
    <row r="195" s="14" customFormat="1" x14ac:dyDescent="0.25"/>
    <row r="196" s="14" customFormat="1" x14ac:dyDescent="0.25"/>
    <row r="197" s="14" customFormat="1" x14ac:dyDescent="0.25"/>
    <row r="198" s="14" customFormat="1" x14ac:dyDescent="0.25"/>
    <row r="199" s="14" customFormat="1" x14ac:dyDescent="0.25"/>
    <row r="200" s="14" customFormat="1" x14ac:dyDescent="0.25"/>
    <row r="201" s="14" customFormat="1" x14ac:dyDescent="0.25"/>
    <row r="202" s="14" customFormat="1" x14ac:dyDescent="0.25"/>
    <row r="203" s="14" customFormat="1" x14ac:dyDescent="0.25"/>
    <row r="204" s="14" customFormat="1" x14ac:dyDescent="0.25"/>
    <row r="205" s="14" customFormat="1" x14ac:dyDescent="0.25"/>
    <row r="206" s="14" customFormat="1" x14ac:dyDescent="0.25"/>
    <row r="207" s="14" customFormat="1" x14ac:dyDescent="0.25"/>
    <row r="208" s="14" customFormat="1" x14ac:dyDescent="0.25"/>
    <row r="209" s="14" customFormat="1" x14ac:dyDescent="0.25"/>
    <row r="210" s="14" customFormat="1" x14ac:dyDescent="0.25"/>
    <row r="211" s="14" customFormat="1" x14ac:dyDescent="0.25"/>
    <row r="212" s="14" customFormat="1" x14ac:dyDescent="0.25"/>
    <row r="213" s="14" customFormat="1" x14ac:dyDescent="0.25"/>
    <row r="214" s="14" customFormat="1" x14ac:dyDescent="0.25"/>
    <row r="215" s="14" customFormat="1" x14ac:dyDescent="0.25"/>
    <row r="216" s="14" customFormat="1" x14ac:dyDescent="0.25"/>
    <row r="217" s="14" customFormat="1" x14ac:dyDescent="0.25"/>
    <row r="218" s="14" customFormat="1" x14ac:dyDescent="0.25"/>
    <row r="219" s="14" customFormat="1" x14ac:dyDescent="0.25"/>
    <row r="220" s="14" customFormat="1" x14ac:dyDescent="0.25"/>
    <row r="221" s="14" customFormat="1" x14ac:dyDescent="0.25"/>
    <row r="222" s="14" customFormat="1" x14ac:dyDescent="0.25"/>
    <row r="223" s="14" customFormat="1" x14ac:dyDescent="0.25"/>
    <row r="224" s="14" customFormat="1" x14ac:dyDescent="0.25"/>
    <row r="225" s="14" customFormat="1" x14ac:dyDescent="0.25"/>
    <row r="226" s="14" customFormat="1" x14ac:dyDescent="0.25"/>
    <row r="227" s="14" customFormat="1" x14ac:dyDescent="0.25"/>
    <row r="228" s="14" customFormat="1" x14ac:dyDescent="0.25"/>
    <row r="229" s="14" customFormat="1" x14ac:dyDescent="0.25"/>
    <row r="230" s="14" customFormat="1" x14ac:dyDescent="0.25"/>
    <row r="231" s="14" customFormat="1" x14ac:dyDescent="0.25"/>
    <row r="232" s="14" customFormat="1" x14ac:dyDescent="0.25"/>
    <row r="233" s="14" customFormat="1" x14ac:dyDescent="0.25"/>
    <row r="234" s="14" customFormat="1" x14ac:dyDescent="0.25"/>
    <row r="235" s="14" customFormat="1" x14ac:dyDescent="0.25"/>
    <row r="236" s="14" customFormat="1" x14ac:dyDescent="0.25"/>
    <row r="237" s="14" customFormat="1" x14ac:dyDescent="0.25"/>
    <row r="238" s="14" customFormat="1" x14ac:dyDescent="0.25"/>
    <row r="239" s="14" customFormat="1" x14ac:dyDescent="0.25"/>
    <row r="240" s="14" customFormat="1" x14ac:dyDescent="0.25"/>
    <row r="241" s="14" customFormat="1" x14ac:dyDescent="0.25"/>
    <row r="242" s="14" customFormat="1" x14ac:dyDescent="0.25"/>
    <row r="243" s="14" customFormat="1" x14ac:dyDescent="0.25"/>
    <row r="244" s="14" customFormat="1" x14ac:dyDescent="0.25"/>
    <row r="245" s="14" customFormat="1" x14ac:dyDescent="0.25"/>
    <row r="246" s="14" customFormat="1" x14ac:dyDescent="0.25"/>
    <row r="247" s="14" customFormat="1" x14ac:dyDescent="0.25"/>
    <row r="248" s="14" customFormat="1" x14ac:dyDescent="0.25"/>
    <row r="249" s="14" customFormat="1" x14ac:dyDescent="0.25"/>
    <row r="250" s="14" customFormat="1" x14ac:dyDescent="0.25"/>
    <row r="251" s="14" customFormat="1" x14ac:dyDescent="0.25"/>
    <row r="252" s="14" customFormat="1" x14ac:dyDescent="0.25"/>
    <row r="253" s="14" customFormat="1" x14ac:dyDescent="0.25"/>
    <row r="254" s="14" customFormat="1" x14ac:dyDescent="0.25"/>
    <row r="255" s="14" customFormat="1" x14ac:dyDescent="0.25"/>
    <row r="256" s="14" customFormat="1" x14ac:dyDescent="0.25"/>
    <row r="257" s="14" customFormat="1" x14ac:dyDescent="0.25"/>
    <row r="258" s="14" customFormat="1" x14ac:dyDescent="0.25"/>
    <row r="259" s="14" customFormat="1" x14ac:dyDescent="0.25"/>
    <row r="260" s="14" customFormat="1" x14ac:dyDescent="0.25"/>
    <row r="261" s="14" customFormat="1" x14ac:dyDescent="0.25"/>
    <row r="262" s="14" customFormat="1" x14ac:dyDescent="0.25"/>
    <row r="263" s="14" customFormat="1" x14ac:dyDescent="0.25"/>
    <row r="264" s="14" customFormat="1" x14ac:dyDescent="0.25"/>
    <row r="265" s="14" customFormat="1" x14ac:dyDescent="0.25"/>
    <row r="266" s="14" customFormat="1" x14ac:dyDescent="0.25"/>
    <row r="267" s="14" customFormat="1" x14ac:dyDescent="0.25"/>
    <row r="268" s="14" customFormat="1" x14ac:dyDescent="0.25"/>
    <row r="269" s="14" customFormat="1" x14ac:dyDescent="0.25"/>
    <row r="270" s="14" customFormat="1" x14ac:dyDescent="0.25"/>
    <row r="271" s="14" customFormat="1" x14ac:dyDescent="0.25"/>
    <row r="272" s="14" customFormat="1" x14ac:dyDescent="0.25"/>
    <row r="273" s="14" customFormat="1" x14ac:dyDescent="0.25"/>
    <row r="274" s="14" customFormat="1" x14ac:dyDescent="0.25"/>
    <row r="275" s="14" customFormat="1" x14ac:dyDescent="0.25"/>
    <row r="276" s="14" customFormat="1" x14ac:dyDescent="0.25"/>
    <row r="277" s="14" customFormat="1" x14ac:dyDescent="0.25"/>
    <row r="278" s="14" customFormat="1" x14ac:dyDescent="0.25"/>
    <row r="279" s="14" customFormat="1" x14ac:dyDescent="0.25"/>
    <row r="280" s="14" customFormat="1" x14ac:dyDescent="0.25"/>
    <row r="281" s="14" customFormat="1" x14ac:dyDescent="0.25"/>
    <row r="282" s="14" customFormat="1" x14ac:dyDescent="0.25"/>
    <row r="283" s="14" customFormat="1" x14ac:dyDescent="0.25"/>
    <row r="284" s="14" customFormat="1" x14ac:dyDescent="0.25"/>
    <row r="285" s="14" customFormat="1" x14ac:dyDescent="0.25"/>
    <row r="286" s="14" customFormat="1" x14ac:dyDescent="0.25"/>
    <row r="287" s="14" customFormat="1" x14ac:dyDescent="0.25"/>
    <row r="288" s="14" customFormat="1" x14ac:dyDescent="0.25"/>
    <row r="289" s="14" customFormat="1" x14ac:dyDescent="0.25"/>
    <row r="290" s="14" customFormat="1" x14ac:dyDescent="0.25"/>
    <row r="291" s="14" customFormat="1" x14ac:dyDescent="0.25"/>
    <row r="292" s="14" customFormat="1" x14ac:dyDescent="0.25"/>
    <row r="293" s="14" customFormat="1" x14ac:dyDescent="0.25"/>
    <row r="294" s="14" customFormat="1" x14ac:dyDescent="0.25"/>
    <row r="295" s="14" customFormat="1" x14ac:dyDescent="0.25"/>
    <row r="296" s="14" customFormat="1" x14ac:dyDescent="0.25"/>
    <row r="297" s="14" customFormat="1" x14ac:dyDescent="0.25"/>
    <row r="298" s="14" customFormat="1" x14ac:dyDescent="0.25"/>
    <row r="299" s="14" customFormat="1" x14ac:dyDescent="0.25"/>
    <row r="300" s="14" customFormat="1" x14ac:dyDescent="0.25"/>
    <row r="301" s="14" customFormat="1" x14ac:dyDescent="0.25"/>
    <row r="302" s="14" customFormat="1" x14ac:dyDescent="0.25"/>
    <row r="303" s="14" customFormat="1" x14ac:dyDescent="0.25"/>
    <row r="304" s="14" customFormat="1" x14ac:dyDescent="0.25"/>
    <row r="305" s="14" customFormat="1" x14ac:dyDescent="0.25"/>
    <row r="306" s="14" customFormat="1" x14ac:dyDescent="0.25"/>
    <row r="307" s="14" customFormat="1" x14ac:dyDescent="0.25"/>
    <row r="308" s="14" customFormat="1" x14ac:dyDescent="0.25"/>
    <row r="309" s="14" customFormat="1" x14ac:dyDescent="0.25"/>
    <row r="310" s="14" customFormat="1" x14ac:dyDescent="0.25"/>
    <row r="311" s="14" customFormat="1" x14ac:dyDescent="0.25"/>
    <row r="312" s="14" customFormat="1" x14ac:dyDescent="0.25"/>
    <row r="313" s="14" customFormat="1" x14ac:dyDescent="0.25"/>
    <row r="314" s="14" customFormat="1" x14ac:dyDescent="0.25"/>
    <row r="315" s="14" customFormat="1" x14ac:dyDescent="0.25"/>
    <row r="316" s="14" customFormat="1" x14ac:dyDescent="0.25"/>
    <row r="317" s="14" customFormat="1" x14ac:dyDescent="0.25"/>
    <row r="318" s="14" customFormat="1" x14ac:dyDescent="0.25"/>
    <row r="319" s="14" customFormat="1" x14ac:dyDescent="0.25"/>
    <row r="320" s="14" customFormat="1" x14ac:dyDescent="0.25"/>
    <row r="321" s="14" customFormat="1" x14ac:dyDescent="0.25"/>
    <row r="322" s="14" customFormat="1" x14ac:dyDescent="0.25"/>
    <row r="323" s="14" customFormat="1" x14ac:dyDescent="0.25"/>
    <row r="324" s="14" customFormat="1" x14ac:dyDescent="0.25"/>
    <row r="325" s="14" customFormat="1" x14ac:dyDescent="0.25"/>
    <row r="326" s="14" customFormat="1" x14ac:dyDescent="0.25"/>
    <row r="327" s="14" customFormat="1" x14ac:dyDescent="0.25"/>
    <row r="328" s="14" customFormat="1" x14ac:dyDescent="0.25"/>
    <row r="329" s="14" customFormat="1" x14ac:dyDescent="0.25"/>
    <row r="330" s="14" customFormat="1" x14ac:dyDescent="0.25"/>
    <row r="331" s="14" customFormat="1" x14ac:dyDescent="0.25"/>
    <row r="332" s="14" customFormat="1" x14ac:dyDescent="0.25"/>
    <row r="333" s="14" customFormat="1" x14ac:dyDescent="0.25"/>
    <row r="334" s="14" customFormat="1" x14ac:dyDescent="0.25"/>
    <row r="335" s="14" customFormat="1" x14ac:dyDescent="0.25"/>
    <row r="336" s="14" customFormat="1" x14ac:dyDescent="0.25"/>
    <row r="337" s="14" customFormat="1" x14ac:dyDescent="0.25"/>
    <row r="338" s="14" customFormat="1" x14ac:dyDescent="0.25"/>
    <row r="339" s="14" customFormat="1" x14ac:dyDescent="0.25"/>
    <row r="340" s="14" customFormat="1" x14ac:dyDescent="0.25"/>
    <row r="341" s="14" customFormat="1" x14ac:dyDescent="0.25"/>
    <row r="342" s="14" customFormat="1" x14ac:dyDescent="0.25"/>
    <row r="343" s="14" customFormat="1" x14ac:dyDescent="0.25"/>
    <row r="344" s="14" customFormat="1" x14ac:dyDescent="0.25"/>
    <row r="345" s="14" customFormat="1" x14ac:dyDescent="0.25"/>
    <row r="346" s="14" customFormat="1" x14ac:dyDescent="0.25"/>
    <row r="347" s="14" customFormat="1" x14ac:dyDescent="0.25"/>
    <row r="348" s="14" customFormat="1" x14ac:dyDescent="0.25"/>
    <row r="349" s="14" customFormat="1" x14ac:dyDescent="0.25"/>
    <row r="350" s="14" customFormat="1" x14ac:dyDescent="0.25"/>
    <row r="351" s="14" customFormat="1" x14ac:dyDescent="0.25"/>
    <row r="352" s="14" customFormat="1" x14ac:dyDescent="0.25"/>
    <row r="353" s="14" customFormat="1" x14ac:dyDescent="0.25"/>
    <row r="354" s="14" customFormat="1" x14ac:dyDescent="0.25"/>
    <row r="355" s="14" customFormat="1" x14ac:dyDescent="0.25"/>
    <row r="356" s="14" customFormat="1" x14ac:dyDescent="0.25"/>
    <row r="357" s="14" customFormat="1" x14ac:dyDescent="0.25"/>
    <row r="358" s="14" customFormat="1" x14ac:dyDescent="0.25"/>
    <row r="359" s="14" customFormat="1" x14ac:dyDescent="0.25"/>
    <row r="360" s="14" customFormat="1" x14ac:dyDescent="0.25"/>
    <row r="361" s="14" customFormat="1" x14ac:dyDescent="0.25"/>
    <row r="362" s="14" customFormat="1" x14ac:dyDescent="0.25"/>
    <row r="363" s="14" customFormat="1" x14ac:dyDescent="0.25"/>
    <row r="364" s="14" customFormat="1" x14ac:dyDescent="0.25"/>
    <row r="365" s="14" customFormat="1" x14ac:dyDescent="0.25"/>
    <row r="366" s="14" customFormat="1" x14ac:dyDescent="0.25"/>
    <row r="367" s="14" customFormat="1" x14ac:dyDescent="0.25"/>
    <row r="368" s="14" customFormat="1" x14ac:dyDescent="0.25"/>
    <row r="369" s="14" customFormat="1" x14ac:dyDescent="0.25"/>
    <row r="370" s="14" customFormat="1" x14ac:dyDescent="0.25"/>
    <row r="371" s="14" customFormat="1" x14ac:dyDescent="0.25"/>
    <row r="372" s="14" customFormat="1" x14ac:dyDescent="0.25"/>
    <row r="373" s="14" customFormat="1" x14ac:dyDescent="0.25"/>
    <row r="374" s="14" customFormat="1" x14ac:dyDescent="0.25"/>
    <row r="375" s="14" customFormat="1" x14ac:dyDescent="0.25"/>
    <row r="376" s="14" customFormat="1" x14ac:dyDescent="0.25"/>
    <row r="377" s="14" customFormat="1" x14ac:dyDescent="0.25"/>
    <row r="378" s="14" customFormat="1" x14ac:dyDescent="0.25"/>
    <row r="379" s="14" customFormat="1" x14ac:dyDescent="0.25"/>
    <row r="380" s="14" customFormat="1" x14ac:dyDescent="0.25"/>
    <row r="381" s="14" customFormat="1" x14ac:dyDescent="0.25"/>
    <row r="382" s="14" customFormat="1" x14ac:dyDescent="0.25"/>
    <row r="383" s="14" customFormat="1" x14ac:dyDescent="0.25"/>
    <row r="384" s="14" customFormat="1" x14ac:dyDescent="0.25"/>
    <row r="385" s="14" customFormat="1" x14ac:dyDescent="0.25"/>
    <row r="386" s="14" customFormat="1" x14ac:dyDescent="0.25"/>
    <row r="387" s="14" customFormat="1" x14ac:dyDescent="0.25"/>
    <row r="388" s="14" customFormat="1" x14ac:dyDescent="0.25"/>
    <row r="389" s="14" customFormat="1" x14ac:dyDescent="0.25"/>
    <row r="390" s="14" customFormat="1" x14ac:dyDescent="0.25"/>
    <row r="391" s="14" customFormat="1" x14ac:dyDescent="0.25"/>
    <row r="392" s="14" customFormat="1" x14ac:dyDescent="0.25"/>
    <row r="393" s="14" customFormat="1" x14ac:dyDescent="0.25"/>
    <row r="394" s="14" customFormat="1" x14ac:dyDescent="0.25"/>
    <row r="395" s="14" customFormat="1" x14ac:dyDescent="0.25"/>
    <row r="396" s="14" customFormat="1" x14ac:dyDescent="0.25"/>
    <row r="397" s="14" customFormat="1" x14ac:dyDescent="0.25"/>
    <row r="398" s="14" customFormat="1" x14ac:dyDescent="0.25"/>
    <row r="399" s="14" customFormat="1" x14ac:dyDescent="0.25"/>
    <row r="400" s="14" customFormat="1" x14ac:dyDescent="0.25"/>
    <row r="401" s="14" customFormat="1" x14ac:dyDescent="0.25"/>
    <row r="402" s="14" customFormat="1" x14ac:dyDescent="0.25"/>
    <row r="403" s="14" customFormat="1" x14ac:dyDescent="0.25"/>
    <row r="404" s="14" customFormat="1" x14ac:dyDescent="0.25"/>
    <row r="405" s="14" customFormat="1" x14ac:dyDescent="0.25"/>
    <row r="406" s="14" customFormat="1" x14ac:dyDescent="0.25"/>
    <row r="407" s="14" customFormat="1" x14ac:dyDescent="0.25"/>
    <row r="408" s="14" customFormat="1" x14ac:dyDescent="0.25"/>
    <row r="409" s="14" customFormat="1" x14ac:dyDescent="0.25"/>
    <row r="410" s="14" customFormat="1" x14ac:dyDescent="0.25"/>
    <row r="411" s="14" customFormat="1" x14ac:dyDescent="0.25"/>
    <row r="412" s="14" customFormat="1" x14ac:dyDescent="0.25"/>
    <row r="413" s="14" customFormat="1" x14ac:dyDescent="0.25"/>
    <row r="414" s="14" customFormat="1" x14ac:dyDescent="0.25"/>
    <row r="415" s="14" customFormat="1" x14ac:dyDescent="0.25"/>
    <row r="416" s="14" customFormat="1" x14ac:dyDescent="0.25"/>
    <row r="417" s="14" customFormat="1" x14ac:dyDescent="0.25"/>
    <row r="418" s="14" customFormat="1" x14ac:dyDescent="0.25"/>
    <row r="419" s="14" customFormat="1" x14ac:dyDescent="0.25"/>
    <row r="420" s="14" customFormat="1" x14ac:dyDescent="0.25"/>
    <row r="421" s="14" customFormat="1" x14ac:dyDescent="0.25"/>
    <row r="422" s="14" customFormat="1" x14ac:dyDescent="0.25"/>
    <row r="423" s="14" customFormat="1" x14ac:dyDescent="0.25"/>
    <row r="424" s="14" customFormat="1" x14ac:dyDescent="0.25"/>
    <row r="425" s="14" customFormat="1" x14ac:dyDescent="0.25"/>
    <row r="426" s="14" customFormat="1" x14ac:dyDescent="0.25"/>
    <row r="427" s="14" customFormat="1" x14ac:dyDescent="0.25"/>
    <row r="428" s="14" customFormat="1" x14ac:dyDescent="0.25"/>
    <row r="429" s="14" customFormat="1" x14ac:dyDescent="0.25"/>
    <row r="430" s="14" customFormat="1" x14ac:dyDescent="0.25"/>
    <row r="431" s="14" customFormat="1" x14ac:dyDescent="0.25"/>
    <row r="432" s="14" customFormat="1" x14ac:dyDescent="0.25"/>
    <row r="433" s="14" customFormat="1" x14ac:dyDescent="0.25"/>
    <row r="434" s="14" customFormat="1" x14ac:dyDescent="0.25"/>
    <row r="435" s="14" customFormat="1" x14ac:dyDescent="0.25"/>
    <row r="436" s="14" customFormat="1" x14ac:dyDescent="0.25"/>
    <row r="437" s="14" customFormat="1" x14ac:dyDescent="0.25"/>
    <row r="438" s="14" customFormat="1" x14ac:dyDescent="0.25"/>
    <row r="439" s="14" customFormat="1" x14ac:dyDescent="0.25"/>
    <row r="440" s="14" customFormat="1" x14ac:dyDescent="0.25"/>
    <row r="441" s="14" customFormat="1" x14ac:dyDescent="0.25"/>
    <row r="442" s="14" customFormat="1" x14ac:dyDescent="0.25"/>
    <row r="443" s="14" customFormat="1" x14ac:dyDescent="0.25"/>
    <row r="444" s="14" customFormat="1" x14ac:dyDescent="0.25"/>
    <row r="445" s="14" customFormat="1" x14ac:dyDescent="0.25"/>
    <row r="446" s="14" customFormat="1" x14ac:dyDescent="0.25"/>
    <row r="447" s="14" customFormat="1" x14ac:dyDescent="0.25"/>
    <row r="448" s="14" customFormat="1" x14ac:dyDescent="0.25"/>
    <row r="449" s="14" customFormat="1" x14ac:dyDescent="0.25"/>
    <row r="450" s="14" customFormat="1" x14ac:dyDescent="0.25"/>
    <row r="451" s="14" customFormat="1" x14ac:dyDescent="0.25"/>
    <row r="452" s="14" customFormat="1" x14ac:dyDescent="0.25"/>
    <row r="453" s="14" customFormat="1" x14ac:dyDescent="0.25"/>
    <row r="454" s="14" customFormat="1" x14ac:dyDescent="0.25"/>
    <row r="455" s="14" customFormat="1" x14ac:dyDescent="0.25"/>
    <row r="456" s="14" customFormat="1" x14ac:dyDescent="0.25"/>
    <row r="457" s="14" customFormat="1" x14ac:dyDescent="0.25"/>
    <row r="458" s="14" customFormat="1" x14ac:dyDescent="0.25"/>
    <row r="459" s="14" customFormat="1" x14ac:dyDescent="0.25"/>
    <row r="460" s="14" customFormat="1" x14ac:dyDescent="0.25"/>
    <row r="461" s="14" customFormat="1" x14ac:dyDescent="0.25"/>
    <row r="462" s="14" customFormat="1" x14ac:dyDescent="0.25"/>
    <row r="463" s="14" customFormat="1" x14ac:dyDescent="0.25"/>
    <row r="464" s="14" customFormat="1" x14ac:dyDescent="0.25"/>
    <row r="465" s="14" customFormat="1" x14ac:dyDescent="0.25"/>
    <row r="466" s="14" customFormat="1" x14ac:dyDescent="0.25"/>
    <row r="467" s="14" customFormat="1" x14ac:dyDescent="0.25"/>
    <row r="468" s="14" customFormat="1" x14ac:dyDescent="0.25"/>
    <row r="469" s="14" customFormat="1" x14ac:dyDescent="0.25"/>
    <row r="470" s="14" customFormat="1" x14ac:dyDescent="0.25"/>
    <row r="471" s="14" customFormat="1" x14ac:dyDescent="0.25"/>
    <row r="472" s="14" customFormat="1" x14ac:dyDescent="0.25"/>
    <row r="473" s="14" customFormat="1" x14ac:dyDescent="0.25"/>
    <row r="474" s="14" customFormat="1" x14ac:dyDescent="0.25"/>
    <row r="475" s="14" customFormat="1" x14ac:dyDescent="0.25"/>
    <row r="476" s="14" customFormat="1" x14ac:dyDescent="0.25"/>
    <row r="477" s="14" customFormat="1" x14ac:dyDescent="0.25"/>
    <row r="478" s="14" customFormat="1" x14ac:dyDescent="0.25"/>
    <row r="479" s="14" customFormat="1" x14ac:dyDescent="0.25"/>
    <row r="480" s="14" customFormat="1" x14ac:dyDescent="0.25"/>
    <row r="481" s="14" customFormat="1" x14ac:dyDescent="0.25"/>
    <row r="482" s="14" customFormat="1" x14ac:dyDescent="0.25"/>
    <row r="483" s="14" customFormat="1" x14ac:dyDescent="0.25"/>
    <row r="484" s="14" customFormat="1" x14ac:dyDescent="0.25"/>
    <row r="485" s="14" customFormat="1" x14ac:dyDescent="0.25"/>
    <row r="486" s="14" customFormat="1" x14ac:dyDescent="0.25"/>
    <row r="487" s="14" customFormat="1" x14ac:dyDescent="0.25"/>
    <row r="488" s="14" customFormat="1" x14ac:dyDescent="0.25"/>
    <row r="489" s="14" customFormat="1" x14ac:dyDescent="0.25"/>
    <row r="490" s="14" customFormat="1" x14ac:dyDescent="0.25"/>
    <row r="491" s="14" customFormat="1" x14ac:dyDescent="0.25"/>
    <row r="492" s="14" customFormat="1" x14ac:dyDescent="0.25"/>
    <row r="493" s="14" customFormat="1" x14ac:dyDescent="0.25"/>
    <row r="494" s="14" customFormat="1" x14ac:dyDescent="0.25"/>
    <row r="495" s="14" customFormat="1" x14ac:dyDescent="0.25"/>
    <row r="496" s="14" customFormat="1" x14ac:dyDescent="0.25"/>
    <row r="497" s="14" customFormat="1" x14ac:dyDescent="0.25"/>
    <row r="498" s="14" customFormat="1" x14ac:dyDescent="0.25"/>
    <row r="499" s="14" customFormat="1" x14ac:dyDescent="0.25"/>
    <row r="500" s="14" customFormat="1" x14ac:dyDescent="0.25"/>
    <row r="501" s="14" customFormat="1" x14ac:dyDescent="0.25"/>
    <row r="502" s="14" customFormat="1" x14ac:dyDescent="0.25"/>
    <row r="503" s="14" customFormat="1" x14ac:dyDescent="0.25"/>
    <row r="504" s="14" customFormat="1" x14ac:dyDescent="0.25"/>
    <row r="505" s="14" customFormat="1" x14ac:dyDescent="0.25"/>
    <row r="506" s="14" customFormat="1" x14ac:dyDescent="0.25"/>
    <row r="507" s="14" customFormat="1" x14ac:dyDescent="0.25"/>
    <row r="508" s="14" customFormat="1" x14ac:dyDescent="0.25"/>
    <row r="509" s="14" customFormat="1" x14ac:dyDescent="0.25"/>
    <row r="510" s="14" customFormat="1" x14ac:dyDescent="0.25"/>
    <row r="511" s="14" customFormat="1" x14ac:dyDescent="0.25"/>
    <row r="512" s="14" customFormat="1" x14ac:dyDescent="0.25"/>
    <row r="513" s="14" customFormat="1" x14ac:dyDescent="0.25"/>
    <row r="514" s="14" customFormat="1" x14ac:dyDescent="0.25"/>
    <row r="515" s="14" customFormat="1" x14ac:dyDescent="0.25"/>
    <row r="516" s="14" customFormat="1" x14ac:dyDescent="0.25"/>
    <row r="517" s="14" customFormat="1" x14ac:dyDescent="0.25"/>
    <row r="518" s="14" customFormat="1" x14ac:dyDescent="0.25"/>
    <row r="519" s="14" customFormat="1" x14ac:dyDescent="0.25"/>
    <row r="520" s="14" customFormat="1" x14ac:dyDescent="0.25"/>
    <row r="521" s="14" customFormat="1" x14ac:dyDescent="0.25"/>
    <row r="522" s="14" customFormat="1" x14ac:dyDescent="0.25"/>
    <row r="523" s="14" customFormat="1" x14ac:dyDescent="0.25"/>
    <row r="524" s="14" customFormat="1" x14ac:dyDescent="0.25"/>
    <row r="525" s="14" customFormat="1" x14ac:dyDescent="0.25"/>
    <row r="526" s="14" customFormat="1" x14ac:dyDescent="0.25"/>
    <row r="527" s="14" customFormat="1" x14ac:dyDescent="0.25"/>
    <row r="528" s="14" customFormat="1" x14ac:dyDescent="0.25"/>
    <row r="529" s="14" customFormat="1" x14ac:dyDescent="0.25"/>
    <row r="530" s="14" customFormat="1" x14ac:dyDescent="0.25"/>
    <row r="531" s="14" customFormat="1" x14ac:dyDescent="0.25"/>
    <row r="532" s="14" customFormat="1" x14ac:dyDescent="0.25"/>
    <row r="533" s="14" customFormat="1" x14ac:dyDescent="0.25"/>
    <row r="534" s="14" customFormat="1" x14ac:dyDescent="0.25"/>
    <row r="535" s="14" customFormat="1" x14ac:dyDescent="0.25"/>
    <row r="536" s="14" customFormat="1" x14ac:dyDescent="0.25"/>
    <row r="537" s="14" customFormat="1" x14ac:dyDescent="0.25"/>
    <row r="538" s="14" customFormat="1" x14ac:dyDescent="0.25"/>
    <row r="539" s="14" customFormat="1" x14ac:dyDescent="0.25"/>
    <row r="540" s="14" customFormat="1" x14ac:dyDescent="0.25"/>
    <row r="541" s="14" customFormat="1" x14ac:dyDescent="0.25"/>
    <row r="542" s="14" customFormat="1" x14ac:dyDescent="0.25"/>
    <row r="543" s="14" customFormat="1" x14ac:dyDescent="0.25"/>
    <row r="544" s="14" customFormat="1" x14ac:dyDescent="0.25"/>
    <row r="545" s="14" customFormat="1" x14ac:dyDescent="0.25"/>
    <row r="546" s="14" customFormat="1" x14ac:dyDescent="0.25"/>
    <row r="547" s="14" customFormat="1" x14ac:dyDescent="0.25"/>
    <row r="548" s="14" customFormat="1" x14ac:dyDescent="0.25"/>
    <row r="549" s="14" customFormat="1" x14ac:dyDescent="0.25"/>
    <row r="550" s="14" customFormat="1" x14ac:dyDescent="0.25"/>
    <row r="551" s="14" customFormat="1" x14ac:dyDescent="0.25"/>
    <row r="552" s="14" customFormat="1" x14ac:dyDescent="0.25"/>
    <row r="553" s="14" customFormat="1" x14ac:dyDescent="0.25"/>
    <row r="554" s="14" customFormat="1" x14ac:dyDescent="0.25"/>
    <row r="555" s="14" customFormat="1" x14ac:dyDescent="0.25"/>
    <row r="556" s="14" customFormat="1" x14ac:dyDescent="0.25"/>
    <row r="557" s="14" customFormat="1" x14ac:dyDescent="0.25"/>
    <row r="558" s="14" customFormat="1" x14ac:dyDescent="0.25"/>
    <row r="559" s="14" customFormat="1" x14ac:dyDescent="0.25"/>
    <row r="560" s="14" customFormat="1" x14ac:dyDescent="0.25"/>
    <row r="561" s="14" customFormat="1" x14ac:dyDescent="0.25"/>
    <row r="562" s="14" customFormat="1" x14ac:dyDescent="0.25"/>
    <row r="563" s="14" customFormat="1" x14ac:dyDescent="0.25"/>
    <row r="564" s="14" customFormat="1" x14ac:dyDescent="0.25"/>
    <row r="565" s="14" customFormat="1" x14ac:dyDescent="0.25"/>
    <row r="566" s="14" customFormat="1" x14ac:dyDescent="0.25"/>
    <row r="567" s="14" customFormat="1" x14ac:dyDescent="0.25"/>
    <row r="568" s="14" customFormat="1" x14ac:dyDescent="0.25"/>
    <row r="569" s="14" customFormat="1" x14ac:dyDescent="0.25"/>
    <row r="570" s="14" customFormat="1" x14ac:dyDescent="0.25"/>
    <row r="571" s="14" customFormat="1" x14ac:dyDescent="0.25"/>
    <row r="572" s="14" customFormat="1" x14ac:dyDescent="0.25"/>
    <row r="573" s="14" customFormat="1" x14ac:dyDescent="0.25"/>
    <row r="574" s="14" customFormat="1" x14ac:dyDescent="0.25"/>
    <row r="575" s="14" customFormat="1" x14ac:dyDescent="0.25"/>
    <row r="576" s="14" customFormat="1" x14ac:dyDescent="0.25"/>
    <row r="577" s="14" customFormat="1" x14ac:dyDescent="0.25"/>
    <row r="578" s="14" customFormat="1" x14ac:dyDescent="0.25"/>
    <row r="579" s="14" customFormat="1" x14ac:dyDescent="0.25"/>
    <row r="580" s="14" customFormat="1" x14ac:dyDescent="0.25"/>
    <row r="581" s="14" customFormat="1" x14ac:dyDescent="0.25"/>
    <row r="582" s="14" customFormat="1" x14ac:dyDescent="0.25"/>
    <row r="583" s="14" customFormat="1" x14ac:dyDescent="0.25"/>
    <row r="584" s="14" customFormat="1" x14ac:dyDescent="0.25"/>
    <row r="585" s="14" customFormat="1" x14ac:dyDescent="0.25"/>
    <row r="586" s="14" customFormat="1" x14ac:dyDescent="0.25"/>
    <row r="587" s="14" customFormat="1" x14ac:dyDescent="0.25"/>
    <row r="588" s="14" customFormat="1" x14ac:dyDescent="0.25"/>
    <row r="589" s="14" customFormat="1" x14ac:dyDescent="0.25"/>
    <row r="590" s="14" customFormat="1" x14ac:dyDescent="0.25"/>
    <row r="591" s="14" customFormat="1" x14ac:dyDescent="0.25"/>
    <row r="592" s="14" customFormat="1" x14ac:dyDescent="0.25"/>
    <row r="593" s="14" customFormat="1" x14ac:dyDescent="0.25"/>
    <row r="594" s="14" customFormat="1" x14ac:dyDescent="0.25"/>
    <row r="595" s="14" customFormat="1" x14ac:dyDescent="0.25"/>
    <row r="596" s="14" customFormat="1" x14ac:dyDescent="0.25"/>
    <row r="597" s="14" customFormat="1" x14ac:dyDescent="0.25"/>
    <row r="598" s="14" customFormat="1" x14ac:dyDescent="0.25"/>
    <row r="599" s="14" customFormat="1" x14ac:dyDescent="0.25"/>
    <row r="600" s="14" customFormat="1" x14ac:dyDescent="0.25"/>
    <row r="601" s="14" customFormat="1" x14ac:dyDescent="0.25"/>
    <row r="602" s="14" customFormat="1" x14ac:dyDescent="0.25"/>
    <row r="603" s="14" customFormat="1" x14ac:dyDescent="0.25"/>
    <row r="604" s="14" customFormat="1" x14ac:dyDescent="0.25"/>
    <row r="605" s="14" customFormat="1" x14ac:dyDescent="0.25"/>
    <row r="606" s="14" customFormat="1" x14ac:dyDescent="0.25"/>
    <row r="607" s="14" customFormat="1" x14ac:dyDescent="0.25"/>
    <row r="608" s="14" customFormat="1" x14ac:dyDescent="0.25"/>
    <row r="609" s="14" customFormat="1" x14ac:dyDescent="0.25"/>
    <row r="610" s="14" customFormat="1" x14ac:dyDescent="0.25"/>
    <row r="611" s="14" customFormat="1" x14ac:dyDescent="0.25"/>
    <row r="612" s="14" customFormat="1" x14ac:dyDescent="0.25"/>
    <row r="613" s="14" customFormat="1" x14ac:dyDescent="0.25"/>
    <row r="614" s="14" customFormat="1" x14ac:dyDescent="0.25"/>
    <row r="615" s="14" customFormat="1" x14ac:dyDescent="0.25"/>
    <row r="616" s="14" customFormat="1" x14ac:dyDescent="0.25"/>
    <row r="617" s="14" customFormat="1" x14ac:dyDescent="0.25"/>
    <row r="618" s="14" customFormat="1" x14ac:dyDescent="0.25"/>
    <row r="619" s="14" customFormat="1" x14ac:dyDescent="0.25"/>
    <row r="620" s="14" customFormat="1" x14ac:dyDescent="0.25"/>
    <row r="621" s="14" customFormat="1" x14ac:dyDescent="0.25"/>
    <row r="622" s="14" customFormat="1" x14ac:dyDescent="0.25"/>
    <row r="623" s="14" customFormat="1" x14ac:dyDescent="0.25"/>
    <row r="624" s="14" customFormat="1" x14ac:dyDescent="0.25"/>
    <row r="625" s="14" customFormat="1" x14ac:dyDescent="0.25"/>
    <row r="626" s="14" customFormat="1" x14ac:dyDescent="0.25"/>
    <row r="627" s="14" customFormat="1" x14ac:dyDescent="0.25"/>
    <row r="628" s="14" customFormat="1" x14ac:dyDescent="0.25"/>
    <row r="629" s="14" customFormat="1" x14ac:dyDescent="0.25"/>
    <row r="630" s="14" customFormat="1" x14ac:dyDescent="0.25"/>
    <row r="631" s="14" customFormat="1" x14ac:dyDescent="0.25"/>
    <row r="632" s="14" customFormat="1" x14ac:dyDescent="0.25"/>
    <row r="633" s="14" customFormat="1" x14ac:dyDescent="0.25"/>
    <row r="634" s="14" customFormat="1" x14ac:dyDescent="0.25"/>
    <row r="635" s="14" customFormat="1" x14ac:dyDescent="0.25"/>
    <row r="636" s="14" customFormat="1" x14ac:dyDescent="0.25"/>
    <row r="637" s="14" customFormat="1" x14ac:dyDescent="0.25"/>
    <row r="638" s="14" customFormat="1" x14ac:dyDescent="0.25"/>
    <row r="639" s="14" customFormat="1" x14ac:dyDescent="0.25"/>
    <row r="640" s="14" customFormat="1" x14ac:dyDescent="0.25"/>
    <row r="641" s="14" customFormat="1" x14ac:dyDescent="0.25"/>
    <row r="642" s="14" customFormat="1" x14ac:dyDescent="0.25"/>
    <row r="643" s="14" customFormat="1" x14ac:dyDescent="0.25"/>
    <row r="644" s="14" customFormat="1" x14ac:dyDescent="0.25"/>
    <row r="645" s="14" customFormat="1" x14ac:dyDescent="0.25"/>
    <row r="646" s="14" customFormat="1" x14ac:dyDescent="0.25"/>
    <row r="647" s="14" customFormat="1" x14ac:dyDescent="0.25"/>
    <row r="648" s="14" customFormat="1" x14ac:dyDescent="0.25"/>
    <row r="649" s="14" customFormat="1" x14ac:dyDescent="0.25"/>
    <row r="650" s="14" customFormat="1" x14ac:dyDescent="0.25"/>
    <row r="651" s="14" customFormat="1" x14ac:dyDescent="0.25"/>
    <row r="652" s="14" customFormat="1" x14ac:dyDescent="0.25"/>
    <row r="653" s="14" customFormat="1" x14ac:dyDescent="0.25"/>
    <row r="654" s="14" customFormat="1" x14ac:dyDescent="0.25"/>
    <row r="655" s="14" customFormat="1" x14ac:dyDescent="0.25"/>
    <row r="656" s="14" customFormat="1" x14ac:dyDescent="0.25"/>
    <row r="657" s="14" customFormat="1" x14ac:dyDescent="0.25"/>
    <row r="658" s="14" customFormat="1" x14ac:dyDescent="0.25"/>
    <row r="659" s="14" customFormat="1" x14ac:dyDescent="0.25"/>
    <row r="660" s="14" customFormat="1" x14ac:dyDescent="0.25"/>
    <row r="661" s="14" customFormat="1" x14ac:dyDescent="0.25"/>
    <row r="662" s="14" customFormat="1" x14ac:dyDescent="0.25"/>
    <row r="663" s="14" customFormat="1" x14ac:dyDescent="0.25"/>
    <row r="664" s="14" customFormat="1" x14ac:dyDescent="0.25"/>
    <row r="665" s="14" customFormat="1" x14ac:dyDescent="0.25"/>
    <row r="666" s="14" customFormat="1" x14ac:dyDescent="0.25"/>
    <row r="667" s="14" customFormat="1" x14ac:dyDescent="0.25"/>
    <row r="668" s="14" customFormat="1" x14ac:dyDescent="0.25"/>
    <row r="669" s="14" customFormat="1" x14ac:dyDescent="0.25"/>
    <row r="670" s="14" customFormat="1" x14ac:dyDescent="0.25"/>
    <row r="671" s="14" customFormat="1" x14ac:dyDescent="0.25"/>
    <row r="672" s="14" customFormat="1" x14ac:dyDescent="0.25"/>
    <row r="673" s="14" customFormat="1" x14ac:dyDescent="0.25"/>
    <row r="674" s="14" customFormat="1" x14ac:dyDescent="0.25"/>
    <row r="675" s="14" customFormat="1" x14ac:dyDescent="0.25"/>
    <row r="676" s="14" customFormat="1" x14ac:dyDescent="0.25"/>
    <row r="677" s="14" customFormat="1" x14ac:dyDescent="0.25"/>
    <row r="678" s="14" customFormat="1" x14ac:dyDescent="0.25"/>
    <row r="679" s="14" customFormat="1" x14ac:dyDescent="0.25"/>
    <row r="680" s="14" customFormat="1" x14ac:dyDescent="0.25"/>
    <row r="681" s="14" customFormat="1" x14ac:dyDescent="0.25"/>
    <row r="682" s="14" customFormat="1" x14ac:dyDescent="0.25"/>
    <row r="683" s="14" customFormat="1" x14ac:dyDescent="0.25"/>
    <row r="684" s="14" customFormat="1" x14ac:dyDescent="0.25"/>
    <row r="685" s="14" customFormat="1" x14ac:dyDescent="0.25"/>
    <row r="686" s="14" customFormat="1" x14ac:dyDescent="0.25"/>
    <row r="687" s="14" customFormat="1" x14ac:dyDescent="0.25"/>
    <row r="688" s="14" customFormat="1" x14ac:dyDescent="0.25"/>
    <row r="689" s="14" customFormat="1" x14ac:dyDescent="0.25"/>
    <row r="690" s="14" customFormat="1" x14ac:dyDescent="0.25"/>
    <row r="691" s="14" customFormat="1" x14ac:dyDescent="0.25"/>
    <row r="692" s="14" customFormat="1" x14ac:dyDescent="0.25"/>
    <row r="693" s="14" customFormat="1" x14ac:dyDescent="0.25"/>
    <row r="694" s="14" customFormat="1" x14ac:dyDescent="0.25"/>
    <row r="695" s="14" customFormat="1" x14ac:dyDescent="0.25"/>
    <row r="696" s="14" customFormat="1" x14ac:dyDescent="0.25"/>
    <row r="697" s="14" customFormat="1" x14ac:dyDescent="0.25"/>
    <row r="698" s="14" customFormat="1" x14ac:dyDescent="0.25"/>
    <row r="699" s="14" customFormat="1" x14ac:dyDescent="0.25"/>
    <row r="700" s="14" customFormat="1" x14ac:dyDescent="0.25"/>
    <row r="701" s="14" customFormat="1" x14ac:dyDescent="0.25"/>
    <row r="702" s="14" customFormat="1" x14ac:dyDescent="0.25"/>
    <row r="703" s="14" customFormat="1" x14ac:dyDescent="0.25"/>
    <row r="704" s="14" customFormat="1" x14ac:dyDescent="0.25"/>
    <row r="705" s="14" customFormat="1" x14ac:dyDescent="0.25"/>
    <row r="706" s="14" customFormat="1" x14ac:dyDescent="0.25"/>
    <row r="707" s="14" customFormat="1" x14ac:dyDescent="0.25"/>
    <row r="708" s="14" customFormat="1" x14ac:dyDescent="0.25"/>
    <row r="709" s="14" customFormat="1" x14ac:dyDescent="0.25"/>
    <row r="710" s="14" customFormat="1" x14ac:dyDescent="0.25"/>
    <row r="711" s="14" customFormat="1" x14ac:dyDescent="0.25"/>
    <row r="712" s="14" customFormat="1" x14ac:dyDescent="0.25"/>
    <row r="713" s="14" customFormat="1" x14ac:dyDescent="0.25"/>
    <row r="714" s="14" customFormat="1" x14ac:dyDescent="0.25"/>
    <row r="715" s="14" customFormat="1" x14ac:dyDescent="0.25"/>
    <row r="716" s="14" customFormat="1" x14ac:dyDescent="0.25"/>
    <row r="717" s="14" customFormat="1" x14ac:dyDescent="0.25"/>
    <row r="718" s="14" customFormat="1" x14ac:dyDescent="0.25"/>
    <row r="719" s="14" customFormat="1" x14ac:dyDescent="0.25"/>
    <row r="720" s="14" customFormat="1" x14ac:dyDescent="0.25"/>
    <row r="721" s="14" customFormat="1" x14ac:dyDescent="0.25"/>
    <row r="722" s="14" customFormat="1" x14ac:dyDescent="0.25"/>
    <row r="723" s="14" customFormat="1" x14ac:dyDescent="0.25"/>
    <row r="724" s="14" customFormat="1" x14ac:dyDescent="0.25"/>
    <row r="725" s="14" customFormat="1" x14ac:dyDescent="0.25"/>
    <row r="726" s="14" customFormat="1" x14ac:dyDescent="0.25"/>
    <row r="727" s="14" customFormat="1" x14ac:dyDescent="0.25"/>
    <row r="728" s="14" customFormat="1" x14ac:dyDescent="0.25"/>
    <row r="729" s="14" customFormat="1" x14ac:dyDescent="0.25"/>
    <row r="730" s="14" customFormat="1" x14ac:dyDescent="0.25"/>
    <row r="731" s="14" customFormat="1" x14ac:dyDescent="0.25"/>
    <row r="732" s="14" customFormat="1" x14ac:dyDescent="0.25"/>
    <row r="733" s="14" customFormat="1" x14ac:dyDescent="0.25"/>
    <row r="734" s="14" customFormat="1" x14ac:dyDescent="0.25"/>
    <row r="735" s="14" customFormat="1" x14ac:dyDescent="0.25"/>
    <row r="736" s="14" customFormat="1" x14ac:dyDescent="0.25"/>
    <row r="737" s="14" customFormat="1" x14ac:dyDescent="0.25"/>
    <row r="738" s="14" customFormat="1" x14ac:dyDescent="0.25"/>
    <row r="739" s="14" customFormat="1" x14ac:dyDescent="0.25"/>
    <row r="740" s="14" customFormat="1" x14ac:dyDescent="0.25"/>
    <row r="741" s="14" customFormat="1" x14ac:dyDescent="0.25"/>
    <row r="742" s="14" customFormat="1" x14ac:dyDescent="0.25"/>
    <row r="743" s="14" customFormat="1" x14ac:dyDescent="0.25"/>
    <row r="744" s="14" customFormat="1" x14ac:dyDescent="0.25"/>
    <row r="745" s="14" customFormat="1" x14ac:dyDescent="0.25"/>
    <row r="746" s="14" customFormat="1" x14ac:dyDescent="0.25"/>
    <row r="747" s="14" customFormat="1" x14ac:dyDescent="0.25"/>
    <row r="748" s="14" customFormat="1" x14ac:dyDescent="0.25"/>
    <row r="749" s="14" customFormat="1" x14ac:dyDescent="0.25"/>
    <row r="750" s="14" customFormat="1" x14ac:dyDescent="0.25"/>
    <row r="751" s="14" customFormat="1" x14ac:dyDescent="0.25"/>
    <row r="752" s="14" customFormat="1" x14ac:dyDescent="0.25"/>
    <row r="753" s="14" customFormat="1" x14ac:dyDescent="0.25"/>
    <row r="754" s="14" customFormat="1" x14ac:dyDescent="0.25"/>
    <row r="755" s="14" customFormat="1" x14ac:dyDescent="0.25"/>
    <row r="756" s="14" customFormat="1" x14ac:dyDescent="0.25"/>
    <row r="757" s="14" customFormat="1" x14ac:dyDescent="0.25"/>
    <row r="758" s="14" customFormat="1" x14ac:dyDescent="0.25"/>
    <row r="759" s="14" customFormat="1" x14ac:dyDescent="0.25"/>
    <row r="760" s="14" customFormat="1" x14ac:dyDescent="0.25"/>
    <row r="761" s="14" customFormat="1" x14ac:dyDescent="0.25"/>
    <row r="762" s="14" customFormat="1" x14ac:dyDescent="0.25"/>
    <row r="763" s="14" customFormat="1" x14ac:dyDescent="0.25"/>
    <row r="764" s="14" customFormat="1" x14ac:dyDescent="0.25"/>
    <row r="765" s="14" customFormat="1" x14ac:dyDescent="0.25"/>
    <row r="766" s="14" customFormat="1" x14ac:dyDescent="0.25"/>
    <row r="767" s="14" customFormat="1" x14ac:dyDescent="0.25"/>
    <row r="768" s="14" customFormat="1" x14ac:dyDescent="0.25"/>
    <row r="769" s="14" customFormat="1" x14ac:dyDescent="0.25"/>
    <row r="770" s="14" customFormat="1" x14ac:dyDescent="0.25"/>
    <row r="771" s="14" customFormat="1" x14ac:dyDescent="0.25"/>
    <row r="772" s="14" customFormat="1" x14ac:dyDescent="0.25"/>
    <row r="773" s="14" customFormat="1" x14ac:dyDescent="0.25"/>
    <row r="774" s="14" customFormat="1" x14ac:dyDescent="0.25"/>
    <row r="775" s="14" customFormat="1" x14ac:dyDescent="0.25"/>
    <row r="776" s="14" customFormat="1" x14ac:dyDescent="0.25"/>
    <row r="777" s="14" customFormat="1" x14ac:dyDescent="0.25"/>
    <row r="778" s="14" customFormat="1" x14ac:dyDescent="0.25"/>
    <row r="779" s="14" customFormat="1" x14ac:dyDescent="0.25"/>
    <row r="780" s="14" customFormat="1" x14ac:dyDescent="0.25"/>
    <row r="781" s="14" customFormat="1" x14ac:dyDescent="0.25"/>
    <row r="782" s="14" customFormat="1" x14ac:dyDescent="0.25"/>
    <row r="783" s="14" customFormat="1" x14ac:dyDescent="0.25"/>
    <row r="784" s="14" customFormat="1" x14ac:dyDescent="0.25"/>
    <row r="785" s="14" customFormat="1" x14ac:dyDescent="0.25"/>
    <row r="786" s="14" customFormat="1" x14ac:dyDescent="0.25"/>
    <row r="787" s="14" customFormat="1" x14ac:dyDescent="0.25"/>
    <row r="788" s="14" customFormat="1" x14ac:dyDescent="0.25"/>
    <row r="789" s="14" customFormat="1" x14ac:dyDescent="0.25"/>
    <row r="790" s="14" customFormat="1" x14ac:dyDescent="0.25"/>
    <row r="791" s="14" customFormat="1" x14ac:dyDescent="0.25"/>
    <row r="792" s="14" customFormat="1" x14ac:dyDescent="0.25"/>
    <row r="793" s="14" customFormat="1" x14ac:dyDescent="0.25"/>
    <row r="794" s="14" customFormat="1" x14ac:dyDescent="0.25"/>
    <row r="795" s="14" customFormat="1" x14ac:dyDescent="0.25"/>
    <row r="796" s="14" customFormat="1" x14ac:dyDescent="0.25"/>
    <row r="797" s="14" customFormat="1" x14ac:dyDescent="0.25"/>
    <row r="798" s="14" customFormat="1" x14ac:dyDescent="0.25"/>
    <row r="799" s="14" customFormat="1" x14ac:dyDescent="0.25"/>
    <row r="800" s="14" customFormat="1" x14ac:dyDescent="0.25"/>
    <row r="801" s="14" customFormat="1" x14ac:dyDescent="0.25"/>
    <row r="802" s="14" customFormat="1" x14ac:dyDescent="0.25"/>
    <row r="803" s="14" customFormat="1" x14ac:dyDescent="0.25"/>
    <row r="804" s="14" customFormat="1" x14ac:dyDescent="0.25"/>
    <row r="805" s="14" customFormat="1" x14ac:dyDescent="0.25"/>
    <row r="806" s="14" customFormat="1" x14ac:dyDescent="0.25"/>
    <row r="807" s="14" customFormat="1" x14ac:dyDescent="0.25"/>
    <row r="808" s="14" customFormat="1" x14ac:dyDescent="0.25"/>
    <row r="809" s="14" customFormat="1" x14ac:dyDescent="0.25"/>
    <row r="810" s="14" customFormat="1" x14ac:dyDescent="0.25"/>
    <row r="811" s="14" customFormat="1" x14ac:dyDescent="0.25"/>
    <row r="812" s="14" customFormat="1" x14ac:dyDescent="0.25"/>
    <row r="813" s="14" customFormat="1" x14ac:dyDescent="0.25"/>
    <row r="814" s="14" customFormat="1" x14ac:dyDescent="0.25"/>
    <row r="815" s="14" customFormat="1" x14ac:dyDescent="0.25"/>
    <row r="816" s="14" customFormat="1" x14ac:dyDescent="0.25"/>
    <row r="817" s="14" customFormat="1" x14ac:dyDescent="0.25"/>
    <row r="818" s="14" customFormat="1" x14ac:dyDescent="0.25"/>
    <row r="819" s="14" customFormat="1" x14ac:dyDescent="0.25"/>
    <row r="820" s="14" customFormat="1" x14ac:dyDescent="0.25"/>
    <row r="821" s="14" customFormat="1" x14ac:dyDescent="0.25"/>
    <row r="822" s="14" customFormat="1" x14ac:dyDescent="0.25"/>
    <row r="823" s="14" customFormat="1" x14ac:dyDescent="0.25"/>
    <row r="824" s="14" customFormat="1" x14ac:dyDescent="0.25"/>
    <row r="825" s="14" customFormat="1" x14ac:dyDescent="0.25"/>
    <row r="826" s="14" customFormat="1" x14ac:dyDescent="0.25"/>
    <row r="827" s="14" customFormat="1" x14ac:dyDescent="0.25"/>
    <row r="828" s="14" customFormat="1" x14ac:dyDescent="0.25"/>
    <row r="829" s="14" customFormat="1" x14ac:dyDescent="0.25"/>
    <row r="830" s="14" customFormat="1" x14ac:dyDescent="0.25"/>
    <row r="831" s="14" customFormat="1" x14ac:dyDescent="0.25"/>
    <row r="832" s="14" customFormat="1" x14ac:dyDescent="0.25"/>
    <row r="833" s="14" customFormat="1" x14ac:dyDescent="0.25"/>
    <row r="834" s="14" customFormat="1" x14ac:dyDescent="0.25"/>
    <row r="835" s="14" customFormat="1" x14ac:dyDescent="0.25"/>
    <row r="836" s="14" customFormat="1" x14ac:dyDescent="0.25"/>
    <row r="837" s="14" customFormat="1" x14ac:dyDescent="0.25"/>
    <row r="838" s="14" customFormat="1" x14ac:dyDescent="0.25"/>
    <row r="839" s="14" customFormat="1" x14ac:dyDescent="0.25"/>
    <row r="840" s="14" customFormat="1" x14ac:dyDescent="0.25"/>
    <row r="841" s="14" customFormat="1" x14ac:dyDescent="0.25"/>
    <row r="842" s="14" customFormat="1" x14ac:dyDescent="0.25"/>
    <row r="843" s="14" customFormat="1" x14ac:dyDescent="0.25"/>
    <row r="844" s="14" customFormat="1" x14ac:dyDescent="0.25"/>
    <row r="845" s="14" customFormat="1" x14ac:dyDescent="0.25"/>
    <row r="846" s="14" customFormat="1" x14ac:dyDescent="0.25"/>
    <row r="847" s="14" customFormat="1" x14ac:dyDescent="0.25"/>
    <row r="848" s="14" customFormat="1" x14ac:dyDescent="0.25"/>
    <row r="849" s="14" customFormat="1" x14ac:dyDescent="0.25"/>
    <row r="850" s="14" customFormat="1" x14ac:dyDescent="0.25"/>
    <row r="851" s="14" customFormat="1" x14ac:dyDescent="0.25"/>
    <row r="852" s="14" customFormat="1" x14ac:dyDescent="0.25"/>
    <row r="853" s="14" customFormat="1" x14ac:dyDescent="0.25"/>
    <row r="854" s="14" customFormat="1" x14ac:dyDescent="0.25"/>
    <row r="855" s="14" customFormat="1" x14ac:dyDescent="0.25"/>
    <row r="856" s="14" customFormat="1" x14ac:dyDescent="0.25"/>
    <row r="857" s="14" customFormat="1" x14ac:dyDescent="0.25"/>
    <row r="858" s="14" customFormat="1" x14ac:dyDescent="0.25"/>
    <row r="859" s="14" customFormat="1" x14ac:dyDescent="0.25"/>
    <row r="860" s="14" customFormat="1" x14ac:dyDescent="0.25"/>
    <row r="861" s="14" customFormat="1" x14ac:dyDescent="0.25"/>
    <row r="862" s="14" customFormat="1" x14ac:dyDescent="0.25"/>
    <row r="863" s="14" customFormat="1" x14ac:dyDescent="0.25"/>
    <row r="864" s="14" customFormat="1" x14ac:dyDescent="0.25"/>
    <row r="865" s="14" customFormat="1" x14ac:dyDescent="0.25"/>
    <row r="866" s="14" customFormat="1" x14ac:dyDescent="0.25"/>
    <row r="867" s="14" customFormat="1" x14ac:dyDescent="0.25"/>
    <row r="868" s="14" customFormat="1" x14ac:dyDescent="0.25"/>
    <row r="869" s="14" customFormat="1" x14ac:dyDescent="0.25"/>
    <row r="870" s="14" customFormat="1" x14ac:dyDescent="0.25"/>
    <row r="871" s="14" customFormat="1" x14ac:dyDescent="0.25"/>
    <row r="872" s="14" customFormat="1" x14ac:dyDescent="0.25"/>
    <row r="873" s="14" customFormat="1" x14ac:dyDescent="0.25"/>
    <row r="874" s="14" customFormat="1" x14ac:dyDescent="0.25"/>
    <row r="875" s="14" customFormat="1" x14ac:dyDescent="0.25"/>
    <row r="876" s="14" customFormat="1" x14ac:dyDescent="0.25"/>
    <row r="877" s="14" customFormat="1" x14ac:dyDescent="0.25"/>
    <row r="878" s="14" customFormat="1" x14ac:dyDescent="0.25"/>
    <row r="879" s="14" customFormat="1" x14ac:dyDescent="0.25"/>
    <row r="880" s="14" customFormat="1" x14ac:dyDescent="0.25"/>
    <row r="881" s="14" customFormat="1" x14ac:dyDescent="0.25"/>
    <row r="882" s="14" customFormat="1" x14ac:dyDescent="0.25"/>
    <row r="883" s="14" customFormat="1" x14ac:dyDescent="0.25"/>
    <row r="884" s="14" customFormat="1" x14ac:dyDescent="0.25"/>
    <row r="885" s="14" customFormat="1" x14ac:dyDescent="0.25"/>
    <row r="886" s="14" customFormat="1" x14ac:dyDescent="0.25"/>
    <row r="887" s="14" customFormat="1" x14ac:dyDescent="0.25"/>
    <row r="888" s="14" customFormat="1" x14ac:dyDescent="0.25"/>
    <row r="889" s="14" customFormat="1" x14ac:dyDescent="0.25"/>
    <row r="890" s="14" customFormat="1" x14ac:dyDescent="0.25"/>
    <row r="891" s="14" customFormat="1" x14ac:dyDescent="0.25"/>
    <row r="892" s="14" customFormat="1" x14ac:dyDescent="0.25"/>
    <row r="893" s="14" customFormat="1" x14ac:dyDescent="0.25"/>
    <row r="894" s="14" customFormat="1" x14ac:dyDescent="0.25"/>
    <row r="895" s="14" customFormat="1" x14ac:dyDescent="0.25"/>
    <row r="896" s="14" customFormat="1" x14ac:dyDescent="0.25"/>
    <row r="897" s="14" customFormat="1" x14ac:dyDescent="0.25"/>
    <row r="898" s="14" customFormat="1" x14ac:dyDescent="0.25"/>
    <row r="899" s="14" customFormat="1" x14ac:dyDescent="0.25"/>
    <row r="900" s="14" customFormat="1" x14ac:dyDescent="0.25"/>
    <row r="901" s="14" customFormat="1" x14ac:dyDescent="0.25"/>
    <row r="902" s="14" customFormat="1" x14ac:dyDescent="0.25"/>
    <row r="903" s="14" customFormat="1" x14ac:dyDescent="0.25"/>
    <row r="904" s="14" customFormat="1" x14ac:dyDescent="0.25"/>
    <row r="905" s="14" customFormat="1" x14ac:dyDescent="0.25"/>
    <row r="906" s="14" customFormat="1" x14ac:dyDescent="0.25"/>
    <row r="907" s="14" customFormat="1" x14ac:dyDescent="0.25"/>
    <row r="908" s="14" customFormat="1" x14ac:dyDescent="0.25"/>
    <row r="909" s="14" customFormat="1" x14ac:dyDescent="0.25"/>
    <row r="910" s="14" customFormat="1" x14ac:dyDescent="0.25"/>
    <row r="911" s="14" customFormat="1" x14ac:dyDescent="0.25"/>
    <row r="912" s="14" customFormat="1" x14ac:dyDescent="0.25"/>
    <row r="913" s="14" customFormat="1" x14ac:dyDescent="0.25"/>
    <row r="914" s="14" customFormat="1" x14ac:dyDescent="0.25"/>
    <row r="915" s="14" customFormat="1" x14ac:dyDescent="0.25"/>
    <row r="916" s="14" customFormat="1" x14ac:dyDescent="0.25"/>
    <row r="917" s="14" customFormat="1" x14ac:dyDescent="0.25"/>
    <row r="918" s="14" customFormat="1" x14ac:dyDescent="0.25"/>
    <row r="919" s="14" customFormat="1" x14ac:dyDescent="0.25"/>
    <row r="920" s="14" customFormat="1" x14ac:dyDescent="0.25"/>
    <row r="921" s="14" customFormat="1" x14ac:dyDescent="0.25"/>
    <row r="922" s="14" customFormat="1" x14ac:dyDescent="0.25"/>
    <row r="923" s="14" customFormat="1" x14ac:dyDescent="0.25"/>
    <row r="924" s="14" customFormat="1" x14ac:dyDescent="0.25"/>
    <row r="925" s="14" customFormat="1" x14ac:dyDescent="0.25"/>
    <row r="926" s="14" customFormat="1" x14ac:dyDescent="0.25"/>
    <row r="927" s="14" customFormat="1" x14ac:dyDescent="0.25"/>
    <row r="928" s="14" customFormat="1" x14ac:dyDescent="0.25"/>
    <row r="929" s="14" customFormat="1" x14ac:dyDescent="0.25"/>
    <row r="930" s="14" customFormat="1" x14ac:dyDescent="0.25"/>
    <row r="931" s="14" customFormat="1" x14ac:dyDescent="0.25"/>
    <row r="932" s="14" customFormat="1" x14ac:dyDescent="0.25"/>
    <row r="933" s="14" customFormat="1" x14ac:dyDescent="0.25"/>
    <row r="934" s="14" customFormat="1" x14ac:dyDescent="0.25"/>
    <row r="935" s="14" customFormat="1" x14ac:dyDescent="0.25"/>
    <row r="936" s="14" customFormat="1" x14ac:dyDescent="0.25"/>
    <row r="937" s="14" customFormat="1" x14ac:dyDescent="0.25"/>
    <row r="938" s="14" customFormat="1" x14ac:dyDescent="0.25"/>
    <row r="939" s="14" customFormat="1" x14ac:dyDescent="0.25"/>
    <row r="940" s="14" customFormat="1" x14ac:dyDescent="0.25"/>
    <row r="941" s="14" customFormat="1" x14ac:dyDescent="0.25"/>
    <row r="942" s="14" customFormat="1" x14ac:dyDescent="0.25"/>
    <row r="943" s="14" customFormat="1" x14ac:dyDescent="0.25"/>
    <row r="944" s="14" customFormat="1" x14ac:dyDescent="0.25"/>
    <row r="945" s="14" customFormat="1" x14ac:dyDescent="0.25"/>
    <row r="946" s="14" customFormat="1" x14ac:dyDescent="0.25"/>
    <row r="947" s="14" customFormat="1" x14ac:dyDescent="0.25"/>
    <row r="948" s="14" customFormat="1" x14ac:dyDescent="0.25"/>
    <row r="949" s="14" customFormat="1" x14ac:dyDescent="0.25"/>
    <row r="950" s="14" customFormat="1" x14ac:dyDescent="0.25"/>
    <row r="951" s="14" customFormat="1" x14ac:dyDescent="0.25"/>
    <row r="952" s="14" customFormat="1" x14ac:dyDescent="0.25"/>
    <row r="953" s="14" customFormat="1" x14ac:dyDescent="0.25"/>
    <row r="954" s="14" customFormat="1" x14ac:dyDescent="0.25"/>
    <row r="955" s="14" customFormat="1" x14ac:dyDescent="0.25"/>
    <row r="956" s="14" customFormat="1" x14ac:dyDescent="0.25"/>
    <row r="957" s="14" customFormat="1" x14ac:dyDescent="0.25"/>
    <row r="958" s="14" customFormat="1" x14ac:dyDescent="0.25"/>
    <row r="959" s="14" customFormat="1" x14ac:dyDescent="0.25"/>
    <row r="960" s="14" customFormat="1" x14ac:dyDescent="0.25"/>
    <row r="961" s="14" customFormat="1" x14ac:dyDescent="0.25"/>
    <row r="962" s="14" customFormat="1" x14ac:dyDescent="0.25"/>
    <row r="963" s="14" customFormat="1" x14ac:dyDescent="0.25"/>
    <row r="964" s="14" customFormat="1" x14ac:dyDescent="0.25"/>
    <row r="965" s="14" customFormat="1" x14ac:dyDescent="0.25"/>
    <row r="966" s="14" customFormat="1" x14ac:dyDescent="0.25"/>
    <row r="967" s="14" customFormat="1" x14ac:dyDescent="0.25"/>
    <row r="968" s="14" customFormat="1" x14ac:dyDescent="0.25"/>
    <row r="969" s="14" customFormat="1" x14ac:dyDescent="0.25"/>
    <row r="970" s="14" customFormat="1" x14ac:dyDescent="0.25"/>
    <row r="971" s="14" customFormat="1" x14ac:dyDescent="0.25"/>
    <row r="972" s="14" customFormat="1" x14ac:dyDescent="0.25"/>
    <row r="973" s="14" customFormat="1" x14ac:dyDescent="0.25"/>
    <row r="974" s="14" customFormat="1" x14ac:dyDescent="0.25"/>
    <row r="975" s="14" customFormat="1" x14ac:dyDescent="0.25"/>
    <row r="976" s="14" customFormat="1" x14ac:dyDescent="0.25"/>
    <row r="977" s="14" customFormat="1" x14ac:dyDescent="0.25"/>
    <row r="978" s="14" customFormat="1" x14ac:dyDescent="0.25"/>
    <row r="979" s="14" customFormat="1" x14ac:dyDescent="0.25"/>
    <row r="980" s="14" customFormat="1" x14ac:dyDescent="0.25"/>
    <row r="981" s="14" customFormat="1" x14ac:dyDescent="0.25"/>
    <row r="982" s="14" customFormat="1" x14ac:dyDescent="0.25"/>
    <row r="983" s="14" customFormat="1" x14ac:dyDescent="0.25"/>
    <row r="984" s="14" customFormat="1" x14ac:dyDescent="0.25"/>
    <row r="985" s="14" customFormat="1" x14ac:dyDescent="0.25"/>
    <row r="986" s="14" customFormat="1" x14ac:dyDescent="0.25"/>
    <row r="987" s="14" customFormat="1" x14ac:dyDescent="0.25"/>
    <row r="988" s="14" customFormat="1" x14ac:dyDescent="0.25"/>
    <row r="989" s="14" customFormat="1" x14ac:dyDescent="0.25"/>
    <row r="990" s="14" customFormat="1" x14ac:dyDescent="0.25"/>
    <row r="991" s="14" customFormat="1" x14ac:dyDescent="0.25"/>
    <row r="992" s="14" customFormat="1" x14ac:dyDescent="0.25"/>
    <row r="993" s="14" customFormat="1" x14ac:dyDescent="0.25"/>
    <row r="994" s="14" customFormat="1" x14ac:dyDescent="0.25"/>
    <row r="995" s="14" customFormat="1" x14ac:dyDescent="0.25"/>
    <row r="996" s="14" customFormat="1" x14ac:dyDescent="0.25"/>
    <row r="997" s="14" customFormat="1" x14ac:dyDescent="0.25"/>
    <row r="998" s="14" customFormat="1" x14ac:dyDescent="0.25"/>
    <row r="999" s="14" customFormat="1" x14ac:dyDescent="0.25"/>
    <row r="1000" s="14" customFormat="1" x14ac:dyDescent="0.25"/>
    <row r="1001" s="14" customFormat="1" x14ac:dyDescent="0.25"/>
    <row r="1002" s="14" customFormat="1" x14ac:dyDescent="0.25"/>
    <row r="1003" s="14" customFormat="1" x14ac:dyDescent="0.25"/>
    <row r="1004" s="14" customFormat="1" x14ac:dyDescent="0.25"/>
    <row r="1005" s="14" customFormat="1" x14ac:dyDescent="0.25"/>
    <row r="1006" s="14" customFormat="1" x14ac:dyDescent="0.25"/>
    <row r="1007" s="14" customFormat="1" x14ac:dyDescent="0.25"/>
    <row r="1008" s="14" customFormat="1" x14ac:dyDescent="0.25"/>
    <row r="1009" s="14" customFormat="1" x14ac:dyDescent="0.25"/>
    <row r="1010" s="14" customFormat="1" x14ac:dyDescent="0.25"/>
    <row r="1011" s="14" customFormat="1" x14ac:dyDescent="0.25"/>
    <row r="1012" s="14" customFormat="1" x14ac:dyDescent="0.25"/>
    <row r="1013" s="14" customFormat="1" x14ac:dyDescent="0.25"/>
    <row r="1014" s="14" customFormat="1" x14ac:dyDescent="0.25"/>
    <row r="1015" s="14" customFormat="1" x14ac:dyDescent="0.25"/>
    <row r="1016" s="14" customFormat="1" x14ac:dyDescent="0.25"/>
    <row r="1017" s="14" customFormat="1" x14ac:dyDescent="0.25"/>
    <row r="1018" s="14" customFormat="1" x14ac:dyDescent="0.25"/>
    <row r="1019" s="14" customFormat="1" x14ac:dyDescent="0.25"/>
    <row r="1020" s="14" customFormat="1" x14ac:dyDescent="0.25"/>
    <row r="1021" s="14" customFormat="1" x14ac:dyDescent="0.25"/>
    <row r="1022" s="14" customFormat="1" x14ac:dyDescent="0.25"/>
    <row r="1023" s="14" customFormat="1" x14ac:dyDescent="0.25"/>
    <row r="1024" s="14" customFormat="1" x14ac:dyDescent="0.25"/>
    <row r="1025" s="14" customFormat="1" x14ac:dyDescent="0.25"/>
    <row r="1026" s="14" customFormat="1" x14ac:dyDescent="0.25"/>
    <row r="1027" s="14" customFormat="1" x14ac:dyDescent="0.25"/>
    <row r="1028" s="14" customFormat="1" x14ac:dyDescent="0.25"/>
    <row r="1029" s="14" customFormat="1" x14ac:dyDescent="0.25"/>
    <row r="1030" s="14" customFormat="1" x14ac:dyDescent="0.25"/>
    <row r="1031" s="14" customFormat="1" x14ac:dyDescent="0.25"/>
    <row r="1032" s="14" customFormat="1" x14ac:dyDescent="0.25"/>
    <row r="1033" s="14" customFormat="1" x14ac:dyDescent="0.25"/>
    <row r="1034" s="14" customFormat="1" x14ac:dyDescent="0.25"/>
    <row r="1035" s="14" customFormat="1" x14ac:dyDescent="0.25"/>
    <row r="1036" s="14" customFormat="1" x14ac:dyDescent="0.25"/>
    <row r="1037" s="14" customFormat="1" x14ac:dyDescent="0.25"/>
    <row r="1038" s="14" customFormat="1" x14ac:dyDescent="0.25"/>
    <row r="1039" s="14" customFormat="1" x14ac:dyDescent="0.25"/>
    <row r="1040" s="14" customFormat="1" x14ac:dyDescent="0.25"/>
    <row r="1041" s="14" customFormat="1" x14ac:dyDescent="0.25"/>
    <row r="1042" s="14" customFormat="1" x14ac:dyDescent="0.25"/>
    <row r="1043" s="14" customFormat="1" x14ac:dyDescent="0.25"/>
    <row r="1044" s="14" customFormat="1" x14ac:dyDescent="0.25"/>
    <row r="1045" s="14" customFormat="1" x14ac:dyDescent="0.25"/>
    <row r="1046" s="14" customFormat="1" x14ac:dyDescent="0.25"/>
    <row r="1047" s="14" customFormat="1" x14ac:dyDescent="0.25"/>
    <row r="1048" s="14" customFormat="1" x14ac:dyDescent="0.25"/>
    <row r="1049" s="14" customFormat="1" x14ac:dyDescent="0.25"/>
    <row r="1050" s="14" customFormat="1" x14ac:dyDescent="0.25"/>
    <row r="1051" s="14" customFormat="1" x14ac:dyDescent="0.25"/>
    <row r="1052" s="14" customFormat="1" x14ac:dyDescent="0.25"/>
    <row r="1053" s="14" customFormat="1" x14ac:dyDescent="0.25"/>
    <row r="1054" s="14" customFormat="1" x14ac:dyDescent="0.25"/>
    <row r="1055" s="14" customFormat="1" x14ac:dyDescent="0.25"/>
    <row r="1056" s="14" customFormat="1" x14ac:dyDescent="0.25"/>
    <row r="1057" s="14" customFormat="1" x14ac:dyDescent="0.25"/>
    <row r="1058" s="14" customFormat="1" x14ac:dyDescent="0.25"/>
    <row r="1059" s="14" customFormat="1" x14ac:dyDescent="0.25"/>
    <row r="1060" s="14" customFormat="1" x14ac:dyDescent="0.25"/>
    <row r="1061" s="14" customFormat="1" x14ac:dyDescent="0.25"/>
    <row r="1062" s="14" customFormat="1" x14ac:dyDescent="0.25"/>
    <row r="1063" s="14" customFormat="1" x14ac:dyDescent="0.25"/>
    <row r="1064" s="14" customFormat="1" x14ac:dyDescent="0.25"/>
    <row r="1065" s="14" customFormat="1" x14ac:dyDescent="0.25"/>
    <row r="1066" s="14" customFormat="1" x14ac:dyDescent="0.25"/>
    <row r="1067" s="14" customFormat="1" x14ac:dyDescent="0.25"/>
    <row r="1068" s="14" customFormat="1" x14ac:dyDescent="0.25"/>
    <row r="1069" s="14" customFormat="1" x14ac:dyDescent="0.25"/>
    <row r="1070" s="14" customFormat="1" x14ac:dyDescent="0.25"/>
    <row r="1071" s="14" customFormat="1" x14ac:dyDescent="0.25"/>
    <row r="1072" s="14" customFormat="1" x14ac:dyDescent="0.25"/>
    <row r="1073" s="14" customFormat="1" x14ac:dyDescent="0.25"/>
    <row r="1074" s="14" customFormat="1" x14ac:dyDescent="0.25"/>
    <row r="1075" s="14" customFormat="1" x14ac:dyDescent="0.25"/>
    <row r="1076" s="14" customFormat="1" x14ac:dyDescent="0.25"/>
    <row r="1077" s="14" customFormat="1" x14ac:dyDescent="0.25"/>
    <row r="1078" s="14" customFormat="1" x14ac:dyDescent="0.25"/>
    <row r="1079" s="14" customFormat="1" x14ac:dyDescent="0.25"/>
    <row r="1080" s="14" customFormat="1" x14ac:dyDescent="0.25"/>
    <row r="1081" s="14" customFormat="1" x14ac:dyDescent="0.25"/>
    <row r="1082" s="14" customFormat="1" x14ac:dyDescent="0.25"/>
    <row r="1083" s="14" customFormat="1" x14ac:dyDescent="0.25"/>
    <row r="1084" s="14" customFormat="1" x14ac:dyDescent="0.25"/>
    <row r="1085" s="14" customFormat="1" x14ac:dyDescent="0.25"/>
    <row r="1086" s="14" customFormat="1" x14ac:dyDescent="0.25"/>
    <row r="1087" s="14" customFormat="1" x14ac:dyDescent="0.25"/>
    <row r="1088" s="14" customFormat="1" x14ac:dyDescent="0.25"/>
    <row r="1089" s="14" customFormat="1" x14ac:dyDescent="0.25"/>
    <row r="1090" s="14" customFormat="1" x14ac:dyDescent="0.25"/>
    <row r="1091" s="14" customFormat="1" x14ac:dyDescent="0.25"/>
    <row r="1092" s="14" customFormat="1" x14ac:dyDescent="0.25"/>
    <row r="1093" s="14" customFormat="1" x14ac:dyDescent="0.25"/>
    <row r="1094" s="14" customFormat="1" x14ac:dyDescent="0.25"/>
    <row r="1095" s="14" customFormat="1" x14ac:dyDescent="0.25"/>
    <row r="1096" s="14" customFormat="1" x14ac:dyDescent="0.25"/>
    <row r="1097" s="14" customFormat="1" x14ac:dyDescent="0.25"/>
    <row r="1098" s="14" customFormat="1" x14ac:dyDescent="0.25"/>
    <row r="1099" s="14" customFormat="1" x14ac:dyDescent="0.25"/>
    <row r="1100" s="14" customFormat="1" x14ac:dyDescent="0.25"/>
    <row r="1101" s="14" customFormat="1" x14ac:dyDescent="0.25"/>
    <row r="1102" s="14" customFormat="1" x14ac:dyDescent="0.25"/>
    <row r="1103" s="14" customFormat="1" x14ac:dyDescent="0.25"/>
    <row r="1104" s="14" customFormat="1" x14ac:dyDescent="0.25"/>
    <row r="1105" s="14" customFormat="1" x14ac:dyDescent="0.25"/>
    <row r="1106" s="14" customFormat="1" x14ac:dyDescent="0.25"/>
    <row r="1107" s="14" customFormat="1" x14ac:dyDescent="0.25"/>
    <row r="1108" s="14" customFormat="1" x14ac:dyDescent="0.25"/>
    <row r="1109" s="14" customFormat="1" x14ac:dyDescent="0.25"/>
    <row r="1110" s="14" customFormat="1" x14ac:dyDescent="0.25"/>
    <row r="1111" s="14" customFormat="1" x14ac:dyDescent="0.25"/>
    <row r="1112" s="14" customFormat="1" x14ac:dyDescent="0.25"/>
    <row r="1113" s="14" customFormat="1" x14ac:dyDescent="0.25"/>
    <row r="1114" s="14" customFormat="1" x14ac:dyDescent="0.25"/>
    <row r="1115" s="14" customFormat="1" x14ac:dyDescent="0.25"/>
    <row r="1116" s="14" customFormat="1" x14ac:dyDescent="0.25"/>
    <row r="1117" s="14" customFormat="1" x14ac:dyDescent="0.25"/>
    <row r="1118" s="14" customFormat="1" x14ac:dyDescent="0.25"/>
    <row r="1119" s="14" customFormat="1" x14ac:dyDescent="0.25"/>
    <row r="1120" s="14" customFormat="1" x14ac:dyDescent="0.25"/>
    <row r="1121" s="14" customFormat="1" x14ac:dyDescent="0.25"/>
    <row r="1122" s="14" customFormat="1" x14ac:dyDescent="0.25"/>
    <row r="1123" s="14" customFormat="1" x14ac:dyDescent="0.25"/>
    <row r="1124" s="14" customFormat="1" x14ac:dyDescent="0.25"/>
    <row r="1125" s="14" customFormat="1" x14ac:dyDescent="0.25"/>
    <row r="1126" s="14" customFormat="1" x14ac:dyDescent="0.25"/>
    <row r="1127" s="14" customFormat="1" x14ac:dyDescent="0.25"/>
    <row r="1128" s="14" customFormat="1" x14ac:dyDescent="0.25"/>
    <row r="1129" s="14" customFormat="1" x14ac:dyDescent="0.25"/>
    <row r="1130" s="14" customFormat="1" x14ac:dyDescent="0.25"/>
    <row r="1131" s="14" customFormat="1" x14ac:dyDescent="0.25"/>
    <row r="1132" s="14" customFormat="1" x14ac:dyDescent="0.25"/>
    <row r="1133" s="14" customFormat="1" x14ac:dyDescent="0.25"/>
    <row r="1134" s="14" customFormat="1" x14ac:dyDescent="0.25"/>
    <row r="1135" s="14" customFormat="1" x14ac:dyDescent="0.25"/>
    <row r="1136" s="14" customFormat="1" x14ac:dyDescent="0.25"/>
    <row r="1137" s="14" customFormat="1" x14ac:dyDescent="0.25"/>
    <row r="1138" s="14" customFormat="1" x14ac:dyDescent="0.25"/>
    <row r="1139" s="14" customFormat="1" x14ac:dyDescent="0.25"/>
    <row r="1140" s="14" customFormat="1" x14ac:dyDescent="0.25"/>
    <row r="1141" s="14" customFormat="1" x14ac:dyDescent="0.25"/>
    <row r="1142" s="14" customFormat="1" x14ac:dyDescent="0.25"/>
    <row r="1143" s="14" customFormat="1" x14ac:dyDescent="0.25"/>
    <row r="1144" s="14" customFormat="1" x14ac:dyDescent="0.25"/>
    <row r="1145" s="14" customFormat="1" x14ac:dyDescent="0.25"/>
    <row r="1146" s="14" customFormat="1" x14ac:dyDescent="0.25"/>
    <row r="1147" s="14" customFormat="1" x14ac:dyDescent="0.25"/>
    <row r="1148" s="14" customFormat="1" x14ac:dyDescent="0.25"/>
    <row r="1149" s="14" customFormat="1" x14ac:dyDescent="0.25"/>
    <row r="1150" s="14" customFormat="1" x14ac:dyDescent="0.25"/>
    <row r="1151" s="14" customFormat="1" x14ac:dyDescent="0.25"/>
    <row r="1152" s="14" customFormat="1" x14ac:dyDescent="0.25"/>
  </sheetData>
  <sheetProtection algorithmName="SHA-512" hashValue="KmEROpW22SE9wx6fKYC3exzaqCe2yPKHBANLdVb2IWIbZCyS2IytbWI3Efy4p2oPhicVZayuLKJP4VvVrO+c/g==" saltValue="ZgeSJvpuMs+Bny4/sD0WyQ==" spinCount="100000" sheet="1"/>
  <customSheetViews>
    <customSheetView guid="{54040F03-421B-11D5-B65E-0050BA87D337}" showRuler="0">
      <selection activeCell="I24" sqref="I24"/>
      <colBreaks count="2" manualBreakCount="2">
        <brk id="11" max="1048575" man="1"/>
        <brk id="14" max="1048575" man="1"/>
      </colBreaks>
      <pageMargins left="0.75" right="0.75" top="1" bottom="1" header="0.5" footer="0.5"/>
      <printOptions horizontalCentered="1" verticalCentered="1"/>
      <pageSetup paperSize="9" scale="91" orientation="landscape" horizontalDpi="0" verticalDpi="0" r:id="rId1"/>
      <headerFooter alignWithMargins="0">
        <oddFooter>&amp;L&amp;P &amp;T</oddFooter>
      </headerFooter>
    </customSheetView>
  </customSheetViews>
  <mergeCells count="4">
    <mergeCell ref="L5:P5"/>
    <mergeCell ref="L8:M8"/>
    <mergeCell ref="AE5:AI5"/>
    <mergeCell ref="AE8:AF8"/>
  </mergeCells>
  <phoneticPr fontId="17" type="noConversion"/>
  <conditionalFormatting sqref="C10:I19 B9:I9 K9">
    <cfRule type="cellIs" dxfId="3" priority="4" stopIfTrue="1" operator="lessThanOrEqual">
      <formula>0</formula>
    </cfRule>
  </conditionalFormatting>
  <conditionalFormatting sqref="V10:AB19 U9:AB9 AD9">
    <cfRule type="cellIs" dxfId="2" priority="1" stopIfTrue="1" operator="lessThanOrEqual">
      <formula>0</formula>
    </cfRule>
  </conditionalFormatting>
  <printOptions horizontalCentered="1" verticalCentered="1"/>
  <pageMargins left="0.75" right="0.75" top="1" bottom="1" header="0.5" footer="0.5"/>
  <pageSetup paperSize="9" scale="88" orientation="landscape" r:id="rId2"/>
  <headerFooter alignWithMargins="0">
    <oddFooter>&amp;L&amp;P &amp;T</oddFooter>
  </headerFooter>
  <colBreaks count="1" manualBreakCount="1">
    <brk id="17" max="1048575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11"/>
  <sheetViews>
    <sheetView tabSelected="1" zoomScaleNormal="100" workbookViewId="0">
      <pane xSplit="2" ySplit="10" topLeftCell="W40" activePane="bottomRight" state="frozen"/>
      <selection pane="topRight" activeCell="C1" sqref="C1"/>
      <selection pane="bottomLeft" activeCell="A11" sqref="A11"/>
      <selection pane="bottomRight" activeCell="AJ43" sqref="AJ43"/>
    </sheetView>
  </sheetViews>
  <sheetFormatPr defaultColWidth="9.109375" defaultRowHeight="13.2" x14ac:dyDescent="0.25"/>
  <cols>
    <col min="1" max="1" width="12.88671875" style="1" customWidth="1"/>
    <col min="2" max="2" width="1" style="1" customWidth="1"/>
    <col min="3" max="8" width="14.109375" style="1" customWidth="1"/>
    <col min="9" max="10" width="9.109375" style="1"/>
    <col min="11" max="20" width="9.109375" style="104"/>
    <col min="21" max="21" width="11.88671875" style="50" customWidth="1"/>
    <col min="22" max="22" width="1.109375" style="50" customWidth="1"/>
    <col min="23" max="24" width="13.88671875" style="50" customWidth="1"/>
    <col min="25" max="25" width="9.109375" style="50"/>
    <col min="26" max="27" width="13.88671875" style="50" customWidth="1"/>
    <col min="28" max="79" width="9.109375" style="50"/>
    <col min="80" max="16384" width="9.109375" style="1"/>
  </cols>
  <sheetData>
    <row r="1" spans="1:79" s="50" customFormat="1" ht="24.75" customHeight="1" x14ac:dyDescent="0.25">
      <c r="A1" s="114"/>
      <c r="B1" s="114"/>
      <c r="C1" s="114"/>
      <c r="D1" s="114"/>
      <c r="E1" s="114"/>
      <c r="F1" s="114"/>
      <c r="G1" s="114"/>
      <c r="H1" s="114"/>
      <c r="K1" s="104"/>
      <c r="L1" s="104"/>
      <c r="M1" s="104"/>
      <c r="N1" s="104"/>
      <c r="O1" s="104"/>
      <c r="P1" s="104"/>
      <c r="Q1" s="104"/>
      <c r="R1" s="104"/>
      <c r="S1" s="104"/>
      <c r="T1" s="104"/>
    </row>
    <row r="2" spans="1:79" ht="10.199999999999999" customHeight="1" x14ac:dyDescent="0.25">
      <c r="A2" s="42"/>
      <c r="B2" s="52"/>
      <c r="C2" s="53"/>
      <c r="D2" s="53"/>
      <c r="E2" s="53"/>
      <c r="F2" s="53"/>
      <c r="G2" s="53"/>
      <c r="H2" s="53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U2" s="42"/>
      <c r="V2" s="52"/>
      <c r="W2" s="53"/>
      <c r="X2" s="53"/>
      <c r="Y2" s="53"/>
      <c r="Z2" s="53"/>
      <c r="AA2" s="53"/>
      <c r="AB2" s="53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</row>
    <row r="3" spans="1:79" ht="10.199999999999999" customHeight="1" x14ac:dyDescent="0.25">
      <c r="A3" s="42"/>
      <c r="B3" s="52"/>
      <c r="C3" s="53"/>
      <c r="D3" s="53"/>
      <c r="E3" s="53"/>
      <c r="F3" s="54"/>
      <c r="G3" s="53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U3" s="42"/>
      <c r="V3" s="52"/>
      <c r="W3" s="53"/>
      <c r="X3" s="53"/>
      <c r="Y3" s="53"/>
      <c r="Z3" s="54"/>
      <c r="AA3" s="53"/>
      <c r="AB3" s="53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</row>
    <row r="4" spans="1:79" s="3" customFormat="1" ht="10.199999999999999" customHeight="1" x14ac:dyDescent="0.25">
      <c r="A4" s="43"/>
      <c r="B4" s="55"/>
      <c r="C4" s="56"/>
      <c r="D4" s="56"/>
      <c r="E4" s="56"/>
      <c r="F4" s="56"/>
      <c r="G4" s="56"/>
      <c r="H4" s="56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105"/>
      <c r="U4" s="43"/>
      <c r="V4" s="55"/>
      <c r="W4" s="56"/>
      <c r="X4" s="56"/>
      <c r="Y4" s="56"/>
      <c r="Z4" s="56"/>
      <c r="AA4" s="56"/>
      <c r="AB4" s="56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</row>
    <row r="5" spans="1:79" s="3" customFormat="1" ht="10.199999999999999" customHeight="1" x14ac:dyDescent="0.25">
      <c r="A5" s="43"/>
      <c r="B5" s="55"/>
      <c r="C5" s="56"/>
      <c r="D5" s="56"/>
      <c r="E5" s="56"/>
      <c r="F5" s="56"/>
      <c r="G5" s="56"/>
      <c r="H5" s="56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105"/>
      <c r="U5" s="43"/>
      <c r="V5" s="55"/>
      <c r="W5" s="56"/>
      <c r="X5" s="56"/>
      <c r="Y5" s="56"/>
      <c r="Z5" s="56"/>
      <c r="AA5" s="56"/>
      <c r="AB5" s="56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</row>
    <row r="6" spans="1:79" s="3" customFormat="1" ht="10.199999999999999" customHeight="1" x14ac:dyDescent="0.25">
      <c r="A6" s="43"/>
      <c r="B6" s="55"/>
      <c r="C6" s="56"/>
      <c r="D6" s="56"/>
      <c r="E6" s="56"/>
      <c r="F6" s="56"/>
      <c r="G6" s="56"/>
      <c r="H6" s="56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105"/>
      <c r="U6" s="43"/>
      <c r="V6" s="55"/>
      <c r="W6" s="56"/>
      <c r="X6" s="56"/>
      <c r="Y6" s="56"/>
      <c r="Z6" s="56"/>
      <c r="AA6" s="56"/>
      <c r="AB6" s="56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</row>
    <row r="7" spans="1:79" s="5" customFormat="1" ht="10.199999999999999" customHeight="1" x14ac:dyDescent="0.25">
      <c r="A7" s="59"/>
      <c r="B7" s="60"/>
      <c r="C7" s="61"/>
      <c r="D7" s="61"/>
      <c r="E7" s="61"/>
      <c r="F7" s="61"/>
      <c r="G7" s="61"/>
      <c r="H7" s="61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106"/>
      <c r="U7" s="59"/>
      <c r="V7" s="60"/>
      <c r="W7" s="61"/>
      <c r="X7" s="61"/>
      <c r="Y7" s="61"/>
      <c r="Z7" s="61"/>
      <c r="AA7" s="61"/>
      <c r="AB7" s="61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</row>
    <row r="8" spans="1:79" s="70" customFormat="1" ht="12.3" customHeight="1" thickBot="1" x14ac:dyDescent="0.3">
      <c r="A8" s="64"/>
      <c r="B8" s="65"/>
      <c r="C8" s="66"/>
      <c r="D8" s="67">
        <v>1</v>
      </c>
      <c r="E8" s="67"/>
      <c r="F8" s="67"/>
      <c r="G8" s="66">
        <v>2</v>
      </c>
      <c r="H8" s="66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107"/>
      <c r="U8" s="64"/>
      <c r="V8" s="65"/>
      <c r="W8" s="66"/>
      <c r="X8" s="67">
        <v>1</v>
      </c>
      <c r="Y8" s="67"/>
      <c r="Z8" s="67"/>
      <c r="AA8" s="66">
        <v>2</v>
      </c>
      <c r="AB8" s="66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</row>
    <row r="9" spans="1:79" s="75" customFormat="1" ht="47.25" customHeight="1" thickBot="1" x14ac:dyDescent="0.3">
      <c r="A9" s="71"/>
      <c r="B9" s="72"/>
      <c r="C9" s="174" t="str">
        <f>[1]Control!$HC$10</f>
        <v>SOUTH
OSF</v>
      </c>
      <c r="D9" s="174"/>
      <c r="E9" s="174"/>
      <c r="F9" s="174" t="str">
        <f>[1]Control!$HD$10</f>
        <v>NORTH
OSF</v>
      </c>
      <c r="G9" s="174"/>
      <c r="H9" s="174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108"/>
      <c r="U9" s="71"/>
      <c r="V9" s="72"/>
      <c r="W9" s="174" t="str">
        <f>[1]Control!$HC$10</f>
        <v>SOUTH
OSF</v>
      </c>
      <c r="X9" s="174"/>
      <c r="Y9" s="174"/>
      <c r="Z9" s="174" t="str">
        <f>[1]Control!$HD$10</f>
        <v>NORTH
OSF</v>
      </c>
      <c r="AA9" s="174"/>
      <c r="AB9" s="174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</row>
    <row r="10" spans="1:79" s="80" customFormat="1" ht="35.85" customHeight="1" thickBot="1" x14ac:dyDescent="0.3">
      <c r="A10" s="76" t="s">
        <v>10</v>
      </c>
      <c r="B10" s="77"/>
      <c r="C10" s="115" t="s">
        <v>11</v>
      </c>
      <c r="D10" s="116" t="s">
        <v>12</v>
      </c>
      <c r="E10" s="117" t="s">
        <v>4</v>
      </c>
      <c r="F10" s="118" t="s">
        <v>11</v>
      </c>
      <c r="G10" s="116" t="s">
        <v>12</v>
      </c>
      <c r="H10" s="117" t="s">
        <v>4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109"/>
      <c r="U10" s="76" t="s">
        <v>10</v>
      </c>
      <c r="V10" s="77"/>
      <c r="W10" s="115" t="s">
        <v>11</v>
      </c>
      <c r="X10" s="116" t="s">
        <v>12</v>
      </c>
      <c r="Y10" s="117" t="s">
        <v>4</v>
      </c>
      <c r="Z10" s="118" t="s">
        <v>11</v>
      </c>
      <c r="AA10" s="116" t="s">
        <v>12</v>
      </c>
      <c r="AB10" s="117" t="s">
        <v>4</v>
      </c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</row>
    <row r="11" spans="1:79" s="84" customFormat="1" ht="14.25" customHeight="1" thickBot="1" x14ac:dyDescent="0.3">
      <c r="A11" s="119">
        <f>[1]Control!AZ11</f>
        <v>45986</v>
      </c>
      <c r="B11" s="81"/>
      <c r="C11" s="159">
        <f>'[2]AHTS-1'!AT11+'[2]AHTS-2'!AT11+'[2]AHTS-3'!AT11+'[2]AHTS-4'!AT11+'[2]AHTS-5'!AT11+'[2]AHTS-6'!AT11+'[2]AHTS-7'!AT11+'[2]AHTS-8'!AT11+'[3]CB-1'!AT11+'[3]CB-2'!AT11+'[3]CB-3'!AT11+'[3]CB-4'!AT11+'[3]CB-5'!AT11+'[3]CB-6'!AT11+'[3]CB-7'!AT11+'[3]CB-8'!AT11+'[3]CB-9'!AT11+'[3]CB-10'!AT11+'[3]CB-11'!AT11+'[3]CB-12'!AT11+'[3]CB-13'!AT11+'[3]CB-14'!AT11+'[3]CB-15'!AT11+'[3]CB-16'!AT11+'[3]CB-17'!AT11+'[3]CB-18'!AT11+'[3]CB-19'!AT11+'[3]CB-20'!AT11+'[3]CB-21'!AT11+'[3]CB-22'!AT11+'[3]CB-23'!AT11+'[3]CB-24'!AT11+'[4]LCT-1'!AT11+'[4]LCT-2'!AT11+'[4]LCT-3'!AT11+'[4]LCT-4'!AT11+'[4]LCT-5'!AT11+'[4]LCT-6'!AT11+'[4]LCT-7'!AT11+'[4]LCT-8'!AT11+'[5]TB-1'!AT11+'[5]TB-2'!AT11+'[5]TB-3'!AT11+'[5]TB-4'!AT11+'[5]TB-5'!AT11+'[5]TB-6'!AT11+'[5]TB-7'!AT11+'[5]TB-8'!AT11+'[5]TB-9'!AT11+'[5]TB-10'!AT11+'[6]DSV-1'!AT11+'[6]DSV-2'!AT11+'[6]DSV-3'!AT11+'[7]TUB-1'!AT11+'[7]TUB-2'!AT11+'[8]Barge-1'!AT11+'[8]Barge-2'!AT11+'[8]Barge-3'!AT11+'[8]Barge-4'!AT11</f>
        <v>0</v>
      </c>
      <c r="D11" s="160">
        <f>'[2]AHTS-1'!BP11+'[2]AHTS-2'!BP11+'[2]AHTS-3'!BP11+'[2]AHTS-4'!BP11+'[2]AHTS-5'!BP11+'[2]AHTS-6'!BP11+'[2]AHTS-7'!BP11+'[2]AHTS-8'!BP11+'[3]CB-1'!BP11+'[3]CB-2'!BP11+'[3]CB-3'!BP11+'[3]CB-4'!BP11+'[3]CB-5'!BP11+'[3]CB-6'!BP11+'[3]CB-7'!BP11+'[3]CB-8'!BP11+'[3]CB-9'!BP11+'[3]CB-10'!BP11+'[3]CB-11'!BP11+'[3]CB-12'!BP11+'[3]CB-13'!BP11+'[3]CB-14'!BP11+'[3]CB-15'!BP11+'[3]CB-16'!BP11+'[3]CB-17'!BP11+'[3]CB-18'!BP11+'[3]CB-19'!BP11+'[3]CB-20'!BP11+'[3]CB-21'!BP11+'[3]CB-22'!BP11+'[3]CB-23'!BP11+'[3]CB-24'!BP11+'[4]LCT-1'!BP11+'[4]LCT-2'!BP11+'[4]LCT-3'!BP11+'[4]LCT-4'!BP11+'[4]LCT-5'!BP11+'[4]LCT-6'!BP11+'[4]LCT-7'!BP11+'[4]LCT-8'!BP11+'[5]TB-1'!BP11+'[5]TB-2'!BP11+'[5]TB-3'!BP11+'[5]TB-4'!BP11+'[5]TB-5'!BP11+'[5]TB-6'!BP11+'[5]TB-7'!BP11+'[5]TB-8'!BP11+'[5]TB-9'!BP11+'[5]TB-10'!BP11+'[6]DSV-1'!BP11+'[6]DSV-2'!BP11+'[6]DSV-3'!BP11+'[7]TUB-1'!BP11+'[7]TUB-2'!BP11+'[8]Barge-1'!BP11+'[8]Barge-2'!BP11+'[8]Barge-3'!BP11+'[8]Barge-4'!BP11</f>
        <v>0</v>
      </c>
      <c r="E11" s="161">
        <f>'[2]AHTS-1'!CL11+'[2]AHTS-2'!CL11+'[2]AHTS-3'!CL11+'[2]AHTS-4'!CL11+'[2]AHTS-5'!CL11+'[2]AHTS-6'!CL11+'[2]AHTS-7'!CL11+'[2]AHTS-8'!CL11+'[3]CB-1'!CL11+'[3]CB-2'!CL11+'[3]CB-3'!CL11+'[3]CB-4'!CL11+'[3]CB-5'!CL11+'[3]CB-6'!CL11+'[3]CB-7'!CL11+'[3]CB-8'!CL11+'[3]CB-9'!CL11+'[3]CB-10'!CL11+'[3]CB-11'!CL11+'[3]CB-12'!CL11+'[3]CB-13'!CL11+'[3]CB-14'!CL11+'[3]CB-15'!CL11+'[3]CB-16'!CL11+'[3]CB-17'!CL11+'[3]CB-18'!CL11+'[3]CB-19'!CL11+'[3]CB-20'!CL11+'[3]CB-21'!CL11+'[3]CB-22'!CL11+'[3]CB-23'!CL11+'[3]CB-24'!CL11+'[4]LCT-1'!CL11+'[4]LCT-2'!CL11+'[4]LCT-3'!CL11+'[4]LCT-4'!CL11+'[4]LCT-5'!CL11+'[4]LCT-6'!CL11+'[4]LCT-7'!CL11+'[4]LCT-8'!CL11+'[5]TB-1'!CL11+'[5]TB-2'!CL11+'[5]TB-3'!CL11+'[5]TB-4'!CL11+'[5]TB-5'!CL11+'[5]TB-6'!CL11+'[5]TB-7'!CL11+'[5]TB-8'!CL11+'[5]TB-9'!CL11+'[5]TB-10'!CL11+'[6]DSV-1'!CL11+'[6]DSV-2'!CL11+'[6]DSV-3'!CL11+'[7]TUB-1'!CL11+'[7]TUB-2'!CL11+'[8]Barge-1'!CL11+'[8]Barge-2'!CL11+'[8]Barge-3'!CL11+'[8]Barge-4'!CL11</f>
        <v>0</v>
      </c>
      <c r="F11" s="159">
        <f>'[2]AHTS-1'!AU11+'[2]AHTS-2'!AU11+'[2]AHTS-3'!AU11+'[2]AHTS-4'!AU11+'[2]AHTS-5'!AU11+'[2]AHTS-6'!AU11+'[2]AHTS-7'!AU11+'[2]AHTS-8'!AU11+'[3]CB-1'!AU11+'[3]CB-2'!AU11+'[3]CB-3'!AU11+'[3]CB-4'!AU11+'[3]CB-5'!AU11+'[3]CB-6'!AU11+'[3]CB-7'!AU11+'[3]CB-8'!AU11+'[3]CB-9'!AU11+'[3]CB-10'!AU11+'[3]CB-11'!AU11+'[3]CB-12'!AU11+'[3]CB-13'!AU11+'[3]CB-14'!AU11+'[3]CB-15'!AU11+'[3]CB-16'!AU11+'[3]CB-17'!AU11+'[3]CB-18'!AU11+'[3]CB-19'!AU11+'[3]CB-20'!AU11+'[3]CB-21'!AU11+'[3]CB-22'!AU11+'[3]CB-23'!AU11+'[3]CB-24'!AU11+'[4]LCT-1'!AU11+'[4]LCT-2'!AU11+'[4]LCT-3'!AU11+'[4]LCT-4'!AU11+'[4]LCT-5'!AU11+'[4]LCT-6'!AU11+'[4]LCT-7'!AU11+'[4]LCT-8'!AU11+'[5]TB-1'!AU11+'[5]TB-2'!AU11+'[5]TB-3'!AU11+'[5]TB-4'!AU11+'[5]TB-5'!AU11+'[5]TB-6'!AU11+'[5]TB-7'!AU11+'[5]TB-8'!AU11+'[5]TB-9'!AU11+'[5]TB-10'!AU11+'[6]DSV-1'!AU11+'[6]DSV-2'!AU11+'[6]DSV-3'!AU11+'[7]TUB-1'!AU11+'[7]TUB-2'!AU11+'[8]Barge-1'!AU11+'[8]Barge-2'!AU11+'[8]Barge-3'!AU11+'[8]Barge-4'!AU11</f>
        <v>13399.433211764454</v>
      </c>
      <c r="G11" s="160">
        <f>'[2]AHTS-1'!BQ11+'[2]AHTS-2'!BQ11+'[2]AHTS-3'!BQ11+'[2]AHTS-4'!BQ11+'[2]AHTS-5'!BQ11+'[2]AHTS-6'!BQ11+'[2]AHTS-7'!BQ11+'[2]AHTS-8'!BQ11+'[3]CB-1'!BQ11+'[3]CB-2'!BQ11+'[3]CB-3'!BQ11+'[3]CB-4'!BQ11+'[3]CB-5'!BQ11+'[3]CB-6'!BQ11+'[3]CB-7'!BQ11+'[3]CB-8'!BQ11+'[3]CB-9'!BQ11+'[3]CB-10'!BQ11+'[3]CB-11'!BQ11+'[3]CB-12'!BQ11+'[3]CB-13'!BQ11+'[3]CB-14'!BQ11+'[3]CB-15'!BQ11+'[3]CB-16'!BQ11+'[3]CB-17'!BQ11+'[3]CB-18'!BQ11+'[3]CB-19'!BQ11+'[3]CB-20'!BQ11+'[3]CB-21'!BQ11+'[3]CB-22'!BQ11+'[3]CB-23'!BQ11+'[3]CB-24'!BQ11+'[4]LCT-1'!BQ11+'[4]LCT-2'!BQ11+'[4]LCT-3'!BQ11+'[4]LCT-4'!BQ11+'[4]LCT-5'!BQ11+'[4]LCT-6'!BQ11+'[4]LCT-7'!BQ11+'[4]LCT-8'!BQ11+'[5]TB-1'!BQ11+'[5]TB-2'!BQ11+'[5]TB-3'!BQ11+'[5]TB-4'!BQ11+'[5]TB-5'!BQ11+'[5]TB-6'!BQ11+'[5]TB-7'!BQ11+'[5]TB-8'!BQ11+'[5]TB-9'!BQ11+'[5]TB-10'!BQ11+'[6]DSV-1'!BQ11+'[6]DSV-2'!BQ11+'[6]DSV-3'!BQ11+'[7]TUB-1'!BQ11+'[7]TUB-2'!BQ11+'[8]Barge-1'!BQ11+'[8]Barge-2'!BQ11+'[8]Barge-3'!BQ11+'[8]Barge-4'!BQ11</f>
        <v>8165.376330326103</v>
      </c>
      <c r="H11" s="161">
        <f>'[2]AHTS-1'!CM11+'[2]AHTS-2'!CM11+'[2]AHTS-3'!CM11+'[2]AHTS-4'!CM11+'[2]AHTS-5'!CM11+'[2]AHTS-6'!CM11+'[2]AHTS-7'!CM11+'[2]AHTS-8'!CM11+'[3]CB-1'!CM11+'[3]CB-2'!CM11+'[3]CB-3'!CM11+'[3]CB-4'!CM11+'[3]CB-5'!CM11+'[3]CB-6'!CM11+'[3]CB-7'!CM11+'[3]CB-8'!CM11+'[3]CB-9'!CM11+'[3]CB-10'!CM11+'[3]CB-11'!CM11+'[3]CB-12'!CM11+'[3]CB-13'!CM11+'[3]CB-14'!CM11+'[3]CB-15'!CM11+'[3]CB-16'!CM11+'[3]CB-17'!CM11+'[3]CB-18'!CM11+'[3]CB-19'!CM11+'[3]CB-20'!CM11+'[3]CB-21'!CM11+'[3]CB-22'!CM11+'[3]CB-23'!CM11+'[3]CB-24'!CM11+'[4]LCT-1'!CM11+'[4]LCT-2'!CM11+'[4]LCT-3'!CM11+'[4]LCT-4'!CM11+'[4]LCT-5'!CM11+'[4]LCT-6'!CM11+'[4]LCT-7'!CM11+'[4]LCT-8'!CM11+'[5]TB-1'!CM11+'[5]TB-2'!CM11+'[5]TB-3'!CM11+'[5]TB-4'!CM11+'[5]TB-5'!CM11+'[5]TB-6'!CM11+'[5]TB-7'!CM11+'[5]TB-8'!CM11+'[5]TB-9'!CM11+'[5]TB-10'!CM11+'[6]DSV-1'!CM11+'[6]DSV-2'!CM11+'[6]DSV-3'!CM11+'[7]TUB-1'!CM11+'[7]TUB-2'!CM11+'[8]Barge-1'!CM11+'[8]Barge-2'!CM11+'[8]Barge-3'!CM11+'[8]Barge-4'!CM11</f>
        <v>0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110"/>
      <c r="U11" s="119">
        <f>[1]Control!AZ11</f>
        <v>45986</v>
      </c>
      <c r="V11" s="81"/>
      <c r="W11" s="145">
        <f>'[2]AHTS-1'!IA49+'[2]AHTS-2'!IA49+'[2]AHTS-3'!IA49+'[2]AHTS-4'!IA49+'[2]AHTS-5'!IA49+'[2]AHTS-6'!IA49+'[2]AHTS-7'!IA49+'[2]AHTS-8'!IA49+'[3]CB-1'!IA49+'[3]CB-2'!IA49+'[3]CB-3'!IA49+'[3]CB-4'!IA49+'[3]CB-5'!IA49+'[3]CB-6'!IA49+'[3]CB-7'!IA49+'[3]CB-8'!IA49+'[3]CB-9'!IA49+'[3]CB-10'!IA49+'[3]CB-11'!IA49+'[3]CB-12'!IA49+'[3]CB-13'!IA49+'[3]CB-14'!IA49+'[3]CB-15'!IA49+'[3]CB-16'!IA49+'[3]CB-17'!IA49+'[3]CB-18'!IA49+'[3]CB-19'!IA49+'[3]CB-20'!IA49+'[3]CB-21'!IA49+'[3]CB-22'!IA49+'[3]CB-23'!IA49+'[3]CB-24'!IA49+'[4]LCT-1'!IA49+'[4]LCT-2'!IA49+'[4]LCT-3'!IA49+'[4]LCT-4'!IA49+'[4]LCT-5'!IA49+'[4]LCT-6'!IA49+'[4]LCT-7'!IA49+'[4]LCT-8'!IA49+'[5]TB-1'!IA49+'[5]TB-2'!IA49+'[5]TB-3'!IA49+'[5]TB-4'!IA49+'[5]TB-5'!IA49+'[5]TB-6'!IA49+'[5]TB-7'!IA49+'[5]TB-8'!IA49+'[5]TB-9'!IA49+'[5]TB-10'!IA49+'[6]DSV-1'!IA49+'[6]DSV-2'!IA49+'[6]DSV-3'!IA49+'[7]TUB-1'!IA49+'[7]TUB-2'!IA49+'[8]Barge-1'!IA49+'[8]Barge-2'!IA49+'[8]Barge-3'!IA49+'[8]Barge-4'!IA49</f>
        <v>0</v>
      </c>
      <c r="X11" s="146">
        <f>'[2]AHTS-1'!IA11+'[2]AHTS-2'!IA11+'[2]AHTS-3'!IA11+'[2]AHTS-4'!IA11+'[2]AHTS-5'!IA11+'[2]AHTS-6'!IA11+'[2]AHTS-7'!IA11+'[2]AHTS-8'!IA11+'[3]CB-1'!IA11+'[3]CB-2'!IA11+'[3]CB-3'!IA11+'[3]CB-4'!IA11+'[3]CB-5'!IA11+'[3]CB-6'!IA11+'[3]CB-7'!IA11+'[3]CB-8'!IA11+'[3]CB-9'!IA11+'[3]CB-10'!IA11+'[3]CB-11'!IA11+'[3]CB-12'!IA11+'[3]CB-13'!IA11+'[3]CB-14'!IA11+'[3]CB-15'!IA11+'[3]CB-16'!IA11+'[3]CB-17'!IA11+'[3]CB-18'!IA11+'[3]CB-19'!IA11+'[3]CB-20'!IA11+'[3]CB-21'!IA11+'[3]CB-22'!IA11+'[3]CB-23'!IA11+'[3]CB-24'!IA11+'[4]LCT-1'!IA11+'[4]LCT-2'!IA11+'[4]LCT-3'!IA11+'[4]LCT-4'!IA11+'[4]LCT-5'!IA11+'[4]LCT-6'!IA11+'[4]LCT-7'!IA11+'[4]LCT-8'!IA11+'[5]TB-1'!IA11+'[5]TB-2'!IA11+'[5]TB-3'!IA11+'[5]TB-4'!IA11+'[5]TB-5'!IA11+'[5]TB-6'!IA11+'[5]TB-7'!IA11+'[5]TB-8'!IA11+'[5]TB-9'!IA11+'[5]TB-10'!IA11+'[6]DSV-1'!IA11+'[6]DSV-2'!IA11+'[6]DSV-3'!IA11+'[7]TUB-1'!IA11+'[7]TUB-2'!IA11+'[8]Barge-1'!IA11+'[8]Barge-2'!IA11+'[8]Barge-3'!IA11+'[8]Barge-4'!IA11</f>
        <v>0</v>
      </c>
      <c r="Y11" s="147">
        <f>'[2]AHTS-1'!IA82+'[2]AHTS-2'!IA82+'[2]AHTS-3'!IA82+'[2]AHTS-4'!IA82+'[2]AHTS-5'!IA82+'[2]AHTS-6'!IA82+'[2]AHTS-7'!IA82+'[2]AHTS-8'!IA82+'[3]CB-1'!IA82+'[3]CB-2'!IA82+'[3]CB-3'!IA82+'[3]CB-4'!IA82+'[3]CB-5'!IA82+'[3]CB-6'!IA82+'[3]CB-7'!IA82+'[3]CB-8'!IA82+'[3]CB-9'!IA82+'[3]CB-10'!IA82+'[3]CB-11'!IA82+'[3]CB-12'!IA82+'[3]CB-13'!IA82+'[3]CB-14'!IA82+'[3]CB-15'!IA82+'[3]CB-16'!IA82+'[3]CB-17'!IA82+'[3]CB-18'!IA82+'[3]CB-19'!IA82+'[3]CB-20'!IA82+'[3]CB-21'!IA82+'[3]CB-22'!IA82+'[3]CB-23'!IA82+'[3]CB-24'!IA82+'[4]LCT-1'!IA82+'[4]LCT-2'!IA82+'[4]LCT-3'!IA82+'[4]LCT-4'!IA82+'[4]LCT-5'!IA82+'[4]LCT-6'!IA82+'[4]LCT-7'!IA82+'[4]LCT-8'!IA82+'[5]TB-1'!IA82+'[5]TB-2'!IA82+'[5]TB-3'!IA82+'[5]TB-4'!IA82+'[5]TB-5'!IA82+'[5]TB-6'!IA82+'[5]TB-7'!IA82+'[5]TB-8'!IA82+'[5]TB-9'!IA82+'[5]TB-10'!IA82+'[6]DSV-1'!IA82+'[6]DSV-2'!IA82+'[6]DSV-3'!IA82+'[7]TUB-1'!IA82+'[7]TUB-2'!IA82+'[8]Barge-1'!IA82+'[8]Barge-2'!IA82+'[8]Barge-3'!IA82+'[8]Barge-4'!IA82</f>
        <v>0</v>
      </c>
      <c r="Z11" s="145">
        <f>'[2]AHTS-1'!IB49+'[2]AHTS-2'!IB49+'[2]AHTS-3'!IB49+'[2]AHTS-4'!IB49+'[2]AHTS-5'!IB49+'[2]AHTS-6'!IB49+'[2]AHTS-7'!IB49+'[2]AHTS-8'!IB49+'[3]CB-1'!IB49+'[3]CB-2'!IB49+'[3]CB-3'!IB49+'[3]CB-4'!IB49+'[3]CB-5'!IB49+'[3]CB-6'!IB49+'[3]CB-7'!IB49+'[3]CB-8'!IB49+'[3]CB-9'!IB49+'[3]CB-10'!IB49+'[3]CB-11'!IB49+'[3]CB-12'!IB49+'[3]CB-13'!IB49+'[3]CB-14'!IB49+'[3]CB-15'!IB49+'[3]CB-16'!IB49+'[3]CB-17'!IB49+'[3]CB-18'!IB49+'[3]CB-19'!IB49+'[3]CB-20'!IB49+'[3]CB-21'!IB49+'[3]CB-22'!IB49+'[3]CB-23'!IB49+'[3]CB-24'!IB49+'[4]LCT-1'!IB49+'[4]LCT-2'!IB49+'[4]LCT-3'!IB49+'[4]LCT-4'!IB49+'[4]LCT-5'!IB49+'[4]LCT-6'!IB49+'[4]LCT-7'!IB49+'[4]LCT-8'!IB49+'[5]TB-1'!IB49+'[5]TB-2'!IB49+'[5]TB-3'!IB49+'[5]TB-4'!IB49+'[5]TB-5'!IB49+'[5]TB-6'!IB49+'[5]TB-7'!IB49+'[5]TB-8'!IB49+'[5]TB-9'!IB49+'[5]TB-10'!IB49+'[6]DSV-1'!IB49+'[6]DSV-2'!IB49+'[6]DSV-3'!IB49+'[7]TUB-1'!IB49+'[7]TUB-2'!IB49+'[8]Barge-1'!IB49+'[8]Barge-2'!IB49+'[8]Barge-3'!IB49+'[8]Barge-4'!IB49</f>
        <v>209419741.66666666</v>
      </c>
      <c r="AA11" s="146">
        <f>'[2]AHTS-1'!IB11+'[2]AHTS-2'!IB11+'[2]AHTS-3'!IB11+'[2]AHTS-4'!IB11+'[2]AHTS-5'!IB11+'[2]AHTS-6'!IB11+'[2]AHTS-7'!IB11+'[2]AHTS-8'!IB11+'[3]CB-1'!IB11+'[3]CB-2'!IB11+'[3]CB-3'!IB11+'[3]CB-4'!IB11+'[3]CB-5'!IB11+'[3]CB-6'!IB11+'[3]CB-7'!IB11+'[3]CB-8'!IB11+'[3]CB-9'!IB11+'[3]CB-10'!IB11+'[3]CB-11'!IB11+'[3]CB-12'!IB11+'[3]CB-13'!IB11+'[3]CB-14'!IB11+'[3]CB-15'!IB11+'[3]CB-16'!IB11+'[3]CB-17'!IB11+'[3]CB-18'!IB11+'[3]CB-19'!IB11+'[3]CB-20'!IB11+'[3]CB-21'!IB11+'[3]CB-22'!IB11+'[3]CB-23'!IB11+'[3]CB-24'!IB11+'[4]LCT-1'!IB11+'[4]LCT-2'!IB11+'[4]LCT-3'!IB11+'[4]LCT-4'!IB11+'[4]LCT-5'!IB11+'[4]LCT-6'!IB11+'[4]LCT-7'!IB11+'[4]LCT-8'!IB11+'[5]TB-1'!IB11+'[5]TB-2'!IB11+'[5]TB-3'!IB11+'[5]TB-4'!IB11+'[5]TB-5'!IB11+'[5]TB-6'!IB11+'[5]TB-7'!IB11+'[5]TB-8'!IB11+'[5]TB-9'!IB11+'[5]TB-10'!IB11+'[6]DSV-1'!IB11+'[6]DSV-2'!IB11+'[6]DSV-3'!IB11+'[7]TUB-1'!IB11+'[7]TUB-2'!IB11+'[8]Barge-1'!IB11+'[8]Barge-2'!IB11+'[8]Barge-3'!IB11+'[8]Barge-4'!IB11</f>
        <v>127616666.66666666</v>
      </c>
      <c r="AB11" s="147">
        <f>'[2]AHTS-1'!IB82+'[2]AHTS-2'!IB82+'[2]AHTS-3'!IB82+'[2]AHTS-4'!IB82+'[2]AHTS-5'!IB82+'[2]AHTS-6'!IB82+'[2]AHTS-7'!IB82+'[2]AHTS-8'!IB82+'[3]CB-1'!IB82+'[3]CB-2'!IB82+'[3]CB-3'!IB82+'[3]CB-4'!IB82+'[3]CB-5'!IB82+'[3]CB-6'!IB82+'[3]CB-7'!IB82+'[3]CB-8'!IB82+'[3]CB-9'!IB82+'[3]CB-10'!IB82+'[3]CB-11'!IB82+'[3]CB-12'!IB82+'[3]CB-13'!IB82+'[3]CB-14'!IB82+'[3]CB-15'!IB82+'[3]CB-16'!IB82+'[3]CB-17'!IB82+'[3]CB-18'!IB82+'[3]CB-19'!IB82+'[3]CB-20'!IB82+'[3]CB-21'!IB82+'[3]CB-22'!IB82+'[3]CB-23'!IB82+'[3]CB-24'!IB82+'[4]LCT-1'!IB82+'[4]LCT-2'!IB82+'[4]LCT-3'!IB82+'[4]LCT-4'!IB82+'[4]LCT-5'!IB82+'[4]LCT-6'!IB82+'[4]LCT-7'!IB82+'[4]LCT-8'!IB82+'[5]TB-1'!IB82+'[5]TB-2'!IB82+'[5]TB-3'!IB82+'[5]TB-4'!IB82+'[5]TB-5'!IB82+'[5]TB-6'!IB82+'[5]TB-7'!IB82+'[5]TB-8'!IB82+'[5]TB-9'!IB82+'[5]TB-10'!IB82+'[6]DSV-1'!IB82+'[6]DSV-2'!IB82+'[6]DSV-3'!IB82+'[7]TUB-1'!IB82+'[7]TUB-2'!IB82+'[8]Barge-1'!IB82+'[8]Barge-2'!IB82+'[8]Barge-3'!IB82+'[8]Barge-4'!IB82</f>
        <v>0</v>
      </c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Y11" s="83"/>
      <c r="BZ11" s="83"/>
      <c r="CA11" s="83"/>
    </row>
    <row r="12" spans="1:79" s="84" customFormat="1" ht="14.25" customHeight="1" thickBot="1" x14ac:dyDescent="0.3">
      <c r="A12" s="119">
        <f>[1]Control!AZ12</f>
        <v>45987</v>
      </c>
      <c r="B12" s="81"/>
      <c r="C12" s="159">
        <f>'[2]AHTS-1'!AT12+'[2]AHTS-2'!AT12+'[2]AHTS-3'!AT12+'[2]AHTS-4'!AT12+'[2]AHTS-5'!AT12+'[2]AHTS-6'!AT12+'[2]AHTS-7'!AT12+'[2]AHTS-8'!AT12+'[3]CB-1'!AT12+'[3]CB-2'!AT12+'[3]CB-3'!AT12+'[3]CB-4'!AT12+'[3]CB-5'!AT12+'[3]CB-6'!AT12+'[3]CB-7'!AT12+'[3]CB-8'!AT12+'[3]CB-9'!AT12+'[3]CB-10'!AT12+'[3]CB-11'!AT12+'[3]CB-12'!AT12+'[3]CB-13'!AT12+'[3]CB-14'!AT12+'[3]CB-15'!AT12+'[3]CB-16'!AT12+'[3]CB-17'!AT12+'[3]CB-18'!AT12+'[3]CB-19'!AT12+'[3]CB-20'!AT12+'[3]CB-21'!AT12+'[3]CB-22'!AT12+'[3]CB-23'!AT12+'[3]CB-24'!AT12+'[4]LCT-1'!AT12+'[4]LCT-2'!AT12+'[4]LCT-3'!AT12+'[4]LCT-4'!AT12+'[4]LCT-5'!AT12+'[4]LCT-6'!AT12+'[4]LCT-7'!AT12+'[4]LCT-8'!AT12+'[5]TB-1'!AT12+'[5]TB-2'!AT12+'[5]TB-3'!AT12+'[5]TB-4'!AT12+'[5]TB-5'!AT12+'[5]TB-6'!AT12+'[5]TB-7'!AT12+'[5]TB-8'!AT12+'[5]TB-9'!AT12+'[5]TB-10'!AT12+'[6]DSV-1'!AT12+'[6]DSV-2'!AT12+'[6]DSV-3'!AT12+'[7]TUB-1'!AT12+'[7]TUB-2'!AT12+'[8]Barge-1'!AT12+'[8]Barge-2'!AT12+'[8]Barge-3'!AT12+'[8]Barge-4'!AT12</f>
        <v>0</v>
      </c>
      <c r="D12" s="160">
        <f>'[2]AHTS-1'!BP12+'[2]AHTS-2'!BP12+'[2]AHTS-3'!BP12+'[2]AHTS-4'!BP12+'[2]AHTS-5'!BP12+'[2]AHTS-6'!BP12+'[2]AHTS-7'!BP12+'[2]AHTS-8'!BP12+'[3]CB-1'!BP12+'[3]CB-2'!BP12+'[3]CB-3'!BP12+'[3]CB-4'!BP12+'[3]CB-5'!BP12+'[3]CB-6'!BP12+'[3]CB-7'!BP12+'[3]CB-8'!BP12+'[3]CB-9'!BP12+'[3]CB-10'!BP12+'[3]CB-11'!BP12+'[3]CB-12'!BP12+'[3]CB-13'!BP12+'[3]CB-14'!BP12+'[3]CB-15'!BP12+'[3]CB-16'!BP12+'[3]CB-17'!BP12+'[3]CB-18'!BP12+'[3]CB-19'!BP12+'[3]CB-20'!BP12+'[3]CB-21'!BP12+'[3]CB-22'!BP12+'[3]CB-23'!BP12+'[3]CB-24'!BP12+'[4]LCT-1'!BP12+'[4]LCT-2'!BP12+'[4]LCT-3'!BP12+'[4]LCT-4'!BP12+'[4]LCT-5'!BP12+'[4]LCT-6'!BP12+'[4]LCT-7'!BP12+'[4]LCT-8'!BP12+'[5]TB-1'!BP12+'[5]TB-2'!BP12+'[5]TB-3'!BP12+'[5]TB-4'!BP12+'[5]TB-5'!BP12+'[5]TB-6'!BP12+'[5]TB-7'!BP12+'[5]TB-8'!BP12+'[5]TB-9'!BP12+'[5]TB-10'!BP12+'[6]DSV-1'!BP12+'[6]DSV-2'!BP12+'[6]DSV-3'!BP12+'[7]TUB-1'!BP12+'[7]TUB-2'!BP12+'[8]Barge-1'!BP12+'[8]Barge-2'!BP12+'[8]Barge-3'!BP12+'[8]Barge-4'!BP12</f>
        <v>0</v>
      </c>
      <c r="E12" s="161">
        <f>'[2]AHTS-1'!CL12+'[2]AHTS-2'!CL12+'[2]AHTS-3'!CL12+'[2]AHTS-4'!CL12+'[2]AHTS-5'!CL12+'[2]AHTS-6'!CL12+'[2]AHTS-7'!CL12+'[2]AHTS-8'!CL12+'[3]CB-1'!CL12+'[3]CB-2'!CL12+'[3]CB-3'!CL12+'[3]CB-4'!CL12+'[3]CB-5'!CL12+'[3]CB-6'!CL12+'[3]CB-7'!CL12+'[3]CB-8'!CL12+'[3]CB-9'!CL12+'[3]CB-10'!CL12+'[3]CB-11'!CL12+'[3]CB-12'!CL12+'[3]CB-13'!CL12+'[3]CB-14'!CL12+'[3]CB-15'!CL12+'[3]CB-16'!CL12+'[3]CB-17'!CL12+'[3]CB-18'!CL12+'[3]CB-19'!CL12+'[3]CB-20'!CL12+'[3]CB-21'!CL12+'[3]CB-22'!CL12+'[3]CB-23'!CL12+'[3]CB-24'!CL12+'[4]LCT-1'!CL12+'[4]LCT-2'!CL12+'[4]LCT-3'!CL12+'[4]LCT-4'!CL12+'[4]LCT-5'!CL12+'[4]LCT-6'!CL12+'[4]LCT-7'!CL12+'[4]LCT-8'!CL12+'[5]TB-1'!CL12+'[5]TB-2'!CL12+'[5]TB-3'!CL12+'[5]TB-4'!CL12+'[5]TB-5'!CL12+'[5]TB-6'!CL12+'[5]TB-7'!CL12+'[5]TB-8'!CL12+'[5]TB-9'!CL12+'[5]TB-10'!CL12+'[6]DSV-1'!CL12+'[6]DSV-2'!CL12+'[6]DSV-3'!CL12+'[7]TUB-1'!CL12+'[7]TUB-2'!CL12+'[8]Barge-1'!CL12+'[8]Barge-2'!CL12+'[8]Barge-3'!CL12+'[8]Barge-4'!CL12</f>
        <v>0</v>
      </c>
      <c r="F12" s="159">
        <f>'[2]AHTS-1'!AU12+'[2]AHTS-2'!AU12+'[2]AHTS-3'!AU12+'[2]AHTS-4'!AU12+'[2]AHTS-5'!AU12+'[2]AHTS-6'!AU12+'[2]AHTS-7'!AU12+'[2]AHTS-8'!AU12+'[3]CB-1'!AU12+'[3]CB-2'!AU12+'[3]CB-3'!AU12+'[3]CB-4'!AU12+'[3]CB-5'!AU12+'[3]CB-6'!AU12+'[3]CB-7'!AU12+'[3]CB-8'!AU12+'[3]CB-9'!AU12+'[3]CB-10'!AU12+'[3]CB-11'!AU12+'[3]CB-12'!AU12+'[3]CB-13'!AU12+'[3]CB-14'!AU12+'[3]CB-15'!AU12+'[3]CB-16'!AU12+'[3]CB-17'!AU12+'[3]CB-18'!AU12+'[3]CB-19'!AU12+'[3]CB-20'!AU12+'[3]CB-21'!AU12+'[3]CB-22'!AU12+'[3]CB-23'!AU12+'[3]CB-24'!AU12+'[4]LCT-1'!AU12+'[4]LCT-2'!AU12+'[4]LCT-3'!AU12+'[4]LCT-4'!AU12+'[4]LCT-5'!AU12+'[4]LCT-6'!AU12+'[4]LCT-7'!AU12+'[4]LCT-8'!AU12+'[5]TB-1'!AU12+'[5]TB-2'!AU12+'[5]TB-3'!AU12+'[5]TB-4'!AU12+'[5]TB-5'!AU12+'[5]TB-6'!AU12+'[5]TB-7'!AU12+'[5]TB-8'!AU12+'[5]TB-9'!AU12+'[5]TB-10'!AU12+'[6]DSV-1'!AU12+'[6]DSV-2'!AU12+'[6]DSV-3'!AU12+'[7]TUB-1'!AU12+'[7]TUB-2'!AU12+'[8]Barge-1'!AU12+'[8]Barge-2'!AU12+'[8]Barge-3'!AU12+'[8]Barge-4'!AU12</f>
        <v>12761.804951265811</v>
      </c>
      <c r="G12" s="160">
        <f>'[2]AHTS-1'!BQ12+'[2]AHTS-2'!BQ12+'[2]AHTS-3'!BQ12+'[2]AHTS-4'!BQ12+'[2]AHTS-5'!BQ12+'[2]AHTS-6'!BQ12+'[2]AHTS-7'!BQ12+'[2]AHTS-8'!BQ12+'[3]CB-1'!BQ12+'[3]CB-2'!BQ12+'[3]CB-3'!BQ12+'[3]CB-4'!BQ12+'[3]CB-5'!BQ12+'[3]CB-6'!BQ12+'[3]CB-7'!BQ12+'[3]CB-8'!BQ12+'[3]CB-9'!BQ12+'[3]CB-10'!BQ12+'[3]CB-11'!BQ12+'[3]CB-12'!BQ12+'[3]CB-13'!BQ12+'[3]CB-14'!BQ12+'[3]CB-15'!BQ12+'[3]CB-16'!BQ12+'[3]CB-17'!BQ12+'[3]CB-18'!BQ12+'[3]CB-19'!BQ12+'[3]CB-20'!BQ12+'[3]CB-21'!BQ12+'[3]CB-22'!BQ12+'[3]CB-23'!BQ12+'[3]CB-24'!BQ12+'[4]LCT-1'!BQ12+'[4]LCT-2'!BQ12+'[4]LCT-3'!BQ12+'[4]LCT-4'!BQ12+'[4]LCT-5'!BQ12+'[4]LCT-6'!BQ12+'[4]LCT-7'!BQ12+'[4]LCT-8'!BQ12+'[5]TB-1'!BQ12+'[5]TB-2'!BQ12+'[5]TB-3'!BQ12+'[5]TB-4'!BQ12+'[5]TB-5'!BQ12+'[5]TB-6'!BQ12+'[5]TB-7'!BQ12+'[5]TB-8'!BQ12+'[5]TB-9'!BQ12+'[5]TB-10'!BQ12+'[6]DSV-1'!BQ12+'[6]DSV-2'!BQ12+'[6]DSV-3'!BQ12+'[7]TUB-1'!BQ12+'[7]TUB-2'!BQ12+'[8]Barge-1'!BQ12+'[8]Barge-2'!BQ12+'[8]Barge-3'!BQ12+'[8]Barge-4'!BQ12</f>
        <v>6918.1222940260632</v>
      </c>
      <c r="H12" s="161">
        <f>'[2]AHTS-1'!CM12+'[2]AHTS-2'!CM12+'[2]AHTS-3'!CM12+'[2]AHTS-4'!CM12+'[2]AHTS-5'!CM12+'[2]AHTS-6'!CM12+'[2]AHTS-7'!CM12+'[2]AHTS-8'!CM12+'[3]CB-1'!CM12+'[3]CB-2'!CM12+'[3]CB-3'!CM12+'[3]CB-4'!CM12+'[3]CB-5'!CM12+'[3]CB-6'!CM12+'[3]CB-7'!CM12+'[3]CB-8'!CM12+'[3]CB-9'!CM12+'[3]CB-10'!CM12+'[3]CB-11'!CM12+'[3]CB-12'!CM12+'[3]CB-13'!CM12+'[3]CB-14'!CM12+'[3]CB-15'!CM12+'[3]CB-16'!CM12+'[3]CB-17'!CM12+'[3]CB-18'!CM12+'[3]CB-19'!CM12+'[3]CB-20'!CM12+'[3]CB-21'!CM12+'[3]CB-22'!CM12+'[3]CB-23'!CM12+'[3]CB-24'!CM12+'[4]LCT-1'!CM12+'[4]LCT-2'!CM12+'[4]LCT-3'!CM12+'[4]LCT-4'!CM12+'[4]LCT-5'!CM12+'[4]LCT-6'!CM12+'[4]LCT-7'!CM12+'[4]LCT-8'!CM12+'[5]TB-1'!CM12+'[5]TB-2'!CM12+'[5]TB-3'!CM12+'[5]TB-4'!CM12+'[5]TB-5'!CM12+'[5]TB-6'!CM12+'[5]TB-7'!CM12+'[5]TB-8'!CM12+'[5]TB-9'!CM12+'[5]TB-10'!CM12+'[6]DSV-1'!CM12+'[6]DSV-2'!CM12+'[6]DSV-3'!CM12+'[7]TUB-1'!CM12+'[7]TUB-2'!CM12+'[8]Barge-1'!CM12+'[8]Barge-2'!CM12+'[8]Barge-3'!CM12+'[8]Barge-4'!CM12</f>
        <v>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110"/>
      <c r="U12" s="119">
        <f>[1]Control!AZ12</f>
        <v>45987</v>
      </c>
      <c r="V12" s="81"/>
      <c r="W12" s="145">
        <f>'[2]AHTS-1'!IA50+'[2]AHTS-2'!IA50+'[2]AHTS-3'!IA50+'[2]AHTS-4'!IA50+'[2]AHTS-5'!IA50+'[2]AHTS-6'!IA50+'[2]AHTS-7'!IA50+'[2]AHTS-8'!IA50+'[3]CB-1'!IA50+'[3]CB-2'!IA50+'[3]CB-3'!IA50+'[3]CB-4'!IA50+'[3]CB-5'!IA50+'[3]CB-6'!IA50+'[3]CB-7'!IA50+'[3]CB-8'!IA50+'[3]CB-9'!IA50+'[3]CB-10'!IA50+'[3]CB-11'!IA50+'[3]CB-12'!IA50+'[3]CB-13'!IA50+'[3]CB-14'!IA50+'[3]CB-15'!IA50+'[3]CB-16'!IA50+'[3]CB-17'!IA50+'[3]CB-18'!IA50+'[3]CB-19'!IA50+'[3]CB-20'!IA50+'[3]CB-21'!IA50+'[3]CB-22'!IA50+'[3]CB-23'!IA50+'[3]CB-24'!IA50+'[4]LCT-1'!IA50+'[4]LCT-2'!IA50+'[4]LCT-3'!IA50+'[4]LCT-4'!IA50+'[4]LCT-5'!IA50+'[4]LCT-6'!IA50+'[4]LCT-7'!IA50+'[4]LCT-8'!IA50+'[5]TB-1'!IA50+'[5]TB-2'!IA50+'[5]TB-3'!IA50+'[5]TB-4'!IA50+'[5]TB-5'!IA50+'[5]TB-6'!IA50+'[5]TB-7'!IA50+'[5]TB-8'!IA50+'[5]TB-9'!IA50+'[5]TB-10'!IA50+'[6]DSV-1'!IA50+'[6]DSV-2'!IA50+'[6]DSV-3'!IA50+'[7]TUB-1'!IA50+'[7]TUB-2'!IA50+'[8]Barge-1'!IA50+'[8]Barge-2'!IA50+'[8]Barge-3'!IA50+'[8]Barge-4'!IA50</f>
        <v>0</v>
      </c>
      <c r="X12" s="146">
        <f>'[2]AHTS-1'!IA12+'[2]AHTS-2'!IA12+'[2]AHTS-3'!IA12+'[2]AHTS-4'!IA12+'[2]AHTS-5'!IA12+'[2]AHTS-6'!IA12+'[2]AHTS-7'!IA12+'[2]AHTS-8'!IA12+'[3]CB-1'!IA12+'[3]CB-2'!IA12+'[3]CB-3'!IA12+'[3]CB-4'!IA12+'[3]CB-5'!IA12+'[3]CB-6'!IA12+'[3]CB-7'!IA12+'[3]CB-8'!IA12+'[3]CB-9'!IA12+'[3]CB-10'!IA12+'[3]CB-11'!IA12+'[3]CB-12'!IA12+'[3]CB-13'!IA12+'[3]CB-14'!IA12+'[3]CB-15'!IA12+'[3]CB-16'!IA12+'[3]CB-17'!IA12+'[3]CB-18'!IA12+'[3]CB-19'!IA12+'[3]CB-20'!IA12+'[3]CB-21'!IA12+'[3]CB-22'!IA12+'[3]CB-23'!IA12+'[3]CB-24'!IA12+'[4]LCT-1'!IA12+'[4]LCT-2'!IA12+'[4]LCT-3'!IA12+'[4]LCT-4'!IA12+'[4]LCT-5'!IA12+'[4]LCT-6'!IA12+'[4]LCT-7'!IA12+'[4]LCT-8'!IA12+'[5]TB-1'!IA12+'[5]TB-2'!IA12+'[5]TB-3'!IA12+'[5]TB-4'!IA12+'[5]TB-5'!IA12+'[5]TB-6'!IA12+'[5]TB-7'!IA12+'[5]TB-8'!IA12+'[5]TB-9'!IA12+'[5]TB-10'!IA12+'[6]DSV-1'!IA12+'[6]DSV-2'!IA12+'[6]DSV-3'!IA12+'[7]TUB-1'!IA12+'[7]TUB-2'!IA12+'[8]Barge-1'!IA12+'[8]Barge-2'!IA12+'[8]Barge-3'!IA12+'[8]Barge-4'!IA12</f>
        <v>0</v>
      </c>
      <c r="Y12" s="147">
        <f>'[2]AHTS-1'!IA83+'[2]AHTS-2'!IA83+'[2]AHTS-3'!IA83+'[2]AHTS-4'!IA83+'[2]AHTS-5'!IA83+'[2]AHTS-6'!IA83+'[2]AHTS-7'!IA83+'[2]AHTS-8'!IA83+'[3]CB-1'!IA83+'[3]CB-2'!IA83+'[3]CB-3'!IA83+'[3]CB-4'!IA83+'[3]CB-5'!IA83+'[3]CB-6'!IA83+'[3]CB-7'!IA83+'[3]CB-8'!IA83+'[3]CB-9'!IA83+'[3]CB-10'!IA83+'[3]CB-11'!IA83+'[3]CB-12'!IA83+'[3]CB-13'!IA83+'[3]CB-14'!IA83+'[3]CB-15'!IA83+'[3]CB-16'!IA83+'[3]CB-17'!IA83+'[3]CB-18'!IA83+'[3]CB-19'!IA83+'[3]CB-20'!IA83+'[3]CB-21'!IA83+'[3]CB-22'!IA83+'[3]CB-23'!IA83+'[3]CB-24'!IA83+'[4]LCT-1'!IA83+'[4]LCT-2'!IA83+'[4]LCT-3'!IA83+'[4]LCT-4'!IA83+'[4]LCT-5'!IA83+'[4]LCT-6'!IA83+'[4]LCT-7'!IA83+'[4]LCT-8'!IA83+'[5]TB-1'!IA83+'[5]TB-2'!IA83+'[5]TB-3'!IA83+'[5]TB-4'!IA83+'[5]TB-5'!IA83+'[5]TB-6'!IA83+'[5]TB-7'!IA83+'[5]TB-8'!IA83+'[5]TB-9'!IA83+'[5]TB-10'!IA83+'[6]DSV-1'!IA83+'[6]DSV-2'!IA83+'[6]DSV-3'!IA83+'[7]TUB-1'!IA83+'[7]TUB-2'!IA83+'[8]Barge-1'!IA83+'[8]Barge-2'!IA83+'[8]Barge-3'!IA83+'[8]Barge-4'!IA83</f>
        <v>0</v>
      </c>
      <c r="Z12" s="145">
        <f>'[2]AHTS-1'!IB50+'[2]AHTS-2'!IB50+'[2]AHTS-3'!IB50+'[2]AHTS-4'!IB50+'[2]AHTS-5'!IB50+'[2]AHTS-6'!IB50+'[2]AHTS-7'!IB50+'[2]AHTS-8'!IB50+'[3]CB-1'!IB50+'[3]CB-2'!IB50+'[3]CB-3'!IB50+'[3]CB-4'!IB50+'[3]CB-5'!IB50+'[3]CB-6'!IB50+'[3]CB-7'!IB50+'[3]CB-8'!IB50+'[3]CB-9'!IB50+'[3]CB-10'!IB50+'[3]CB-11'!IB50+'[3]CB-12'!IB50+'[3]CB-13'!IB50+'[3]CB-14'!IB50+'[3]CB-15'!IB50+'[3]CB-16'!IB50+'[3]CB-17'!IB50+'[3]CB-18'!IB50+'[3]CB-19'!IB50+'[3]CB-20'!IB50+'[3]CB-21'!IB50+'[3]CB-22'!IB50+'[3]CB-23'!IB50+'[3]CB-24'!IB50+'[4]LCT-1'!IB50+'[4]LCT-2'!IB50+'[4]LCT-3'!IB50+'[4]LCT-4'!IB50+'[4]LCT-5'!IB50+'[4]LCT-6'!IB50+'[4]LCT-7'!IB50+'[4]LCT-8'!IB50+'[5]TB-1'!IB50+'[5]TB-2'!IB50+'[5]TB-3'!IB50+'[5]TB-4'!IB50+'[5]TB-5'!IB50+'[5]TB-6'!IB50+'[5]TB-7'!IB50+'[5]TB-8'!IB50+'[5]TB-9'!IB50+'[5]TB-10'!IB50+'[6]DSV-1'!IB50+'[6]DSV-2'!IB50+'[6]DSV-3'!IB50+'[7]TUB-1'!IB50+'[7]TUB-2'!IB50+'[8]Barge-1'!IB50+'[8]Barge-2'!IB50+'[8]Barge-3'!IB50+'[8]Barge-4'!IB50</f>
        <v>199454249.58333334</v>
      </c>
      <c r="AA12" s="146">
        <f>'[2]AHTS-1'!IB12+'[2]AHTS-2'!IB12+'[2]AHTS-3'!IB12+'[2]AHTS-4'!IB12+'[2]AHTS-5'!IB12+'[2]AHTS-6'!IB12+'[2]AHTS-7'!IB12+'[2]AHTS-8'!IB12+'[3]CB-1'!IB12+'[3]CB-2'!IB12+'[3]CB-3'!IB12+'[3]CB-4'!IB12+'[3]CB-5'!IB12+'[3]CB-6'!IB12+'[3]CB-7'!IB12+'[3]CB-8'!IB12+'[3]CB-9'!IB12+'[3]CB-10'!IB12+'[3]CB-11'!IB12+'[3]CB-12'!IB12+'[3]CB-13'!IB12+'[3]CB-14'!IB12+'[3]CB-15'!IB12+'[3]CB-16'!IB12+'[3]CB-17'!IB12+'[3]CB-18'!IB12+'[3]CB-19'!IB12+'[3]CB-20'!IB12+'[3]CB-21'!IB12+'[3]CB-22'!IB12+'[3]CB-23'!IB12+'[3]CB-24'!IB12+'[4]LCT-1'!IB12+'[4]LCT-2'!IB12+'[4]LCT-3'!IB12+'[4]LCT-4'!IB12+'[4]LCT-5'!IB12+'[4]LCT-6'!IB12+'[4]LCT-7'!IB12+'[4]LCT-8'!IB12+'[5]TB-1'!IB12+'[5]TB-2'!IB12+'[5]TB-3'!IB12+'[5]TB-4'!IB12+'[5]TB-5'!IB12+'[5]TB-6'!IB12+'[5]TB-7'!IB12+'[5]TB-8'!IB12+'[5]TB-9'!IB12+'[5]TB-10'!IB12+'[6]DSV-1'!IB12+'[6]DSV-2'!IB12+'[6]DSV-3'!IB12+'[7]TUB-1'!IB12+'[7]TUB-2'!IB12+'[8]Barge-1'!IB12+'[8]Barge-2'!IB12+'[8]Barge-3'!IB12+'[8]Barge-4'!IB12</f>
        <v>108123333.33333333</v>
      </c>
      <c r="AB12" s="147">
        <f>'[2]AHTS-1'!IB83+'[2]AHTS-2'!IB83+'[2]AHTS-3'!IB83+'[2]AHTS-4'!IB83+'[2]AHTS-5'!IB83+'[2]AHTS-6'!IB83+'[2]AHTS-7'!IB83+'[2]AHTS-8'!IB83+'[3]CB-1'!IB83+'[3]CB-2'!IB83+'[3]CB-3'!IB83+'[3]CB-4'!IB83+'[3]CB-5'!IB83+'[3]CB-6'!IB83+'[3]CB-7'!IB83+'[3]CB-8'!IB83+'[3]CB-9'!IB83+'[3]CB-10'!IB83+'[3]CB-11'!IB83+'[3]CB-12'!IB83+'[3]CB-13'!IB83+'[3]CB-14'!IB83+'[3]CB-15'!IB83+'[3]CB-16'!IB83+'[3]CB-17'!IB83+'[3]CB-18'!IB83+'[3]CB-19'!IB83+'[3]CB-20'!IB83+'[3]CB-21'!IB83+'[3]CB-22'!IB83+'[3]CB-23'!IB83+'[3]CB-24'!IB83+'[4]LCT-1'!IB83+'[4]LCT-2'!IB83+'[4]LCT-3'!IB83+'[4]LCT-4'!IB83+'[4]LCT-5'!IB83+'[4]LCT-6'!IB83+'[4]LCT-7'!IB83+'[4]LCT-8'!IB83+'[5]TB-1'!IB83+'[5]TB-2'!IB83+'[5]TB-3'!IB83+'[5]TB-4'!IB83+'[5]TB-5'!IB83+'[5]TB-6'!IB83+'[5]TB-7'!IB83+'[5]TB-8'!IB83+'[5]TB-9'!IB83+'[5]TB-10'!IB83+'[6]DSV-1'!IB83+'[6]DSV-2'!IB83+'[6]DSV-3'!IB83+'[7]TUB-1'!IB83+'[7]TUB-2'!IB83+'[8]Barge-1'!IB83+'[8]Barge-2'!IB83+'[8]Barge-3'!IB83+'[8]Barge-4'!IB83</f>
        <v>0</v>
      </c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Y12" s="83"/>
      <c r="BZ12" s="83"/>
      <c r="CA12" s="83"/>
    </row>
    <row r="13" spans="1:79" s="84" customFormat="1" ht="14.25" customHeight="1" thickBot="1" x14ac:dyDescent="0.3">
      <c r="A13" s="119">
        <f>[1]Control!AZ13</f>
        <v>45988</v>
      </c>
      <c r="B13" s="81"/>
      <c r="C13" s="159">
        <f>'[2]AHTS-1'!AT13+'[2]AHTS-2'!AT13+'[2]AHTS-3'!AT13+'[2]AHTS-4'!AT13+'[2]AHTS-5'!AT13+'[2]AHTS-6'!AT13+'[2]AHTS-7'!AT13+'[2]AHTS-8'!AT13+'[3]CB-1'!AT13+'[3]CB-2'!AT13+'[3]CB-3'!AT13+'[3]CB-4'!AT13+'[3]CB-5'!AT13+'[3]CB-6'!AT13+'[3]CB-7'!AT13+'[3]CB-8'!AT13+'[3]CB-9'!AT13+'[3]CB-10'!AT13+'[3]CB-11'!AT13+'[3]CB-12'!AT13+'[3]CB-13'!AT13+'[3]CB-14'!AT13+'[3]CB-15'!AT13+'[3]CB-16'!AT13+'[3]CB-17'!AT13+'[3]CB-18'!AT13+'[3]CB-19'!AT13+'[3]CB-20'!AT13+'[3]CB-21'!AT13+'[3]CB-22'!AT13+'[3]CB-23'!AT13+'[3]CB-24'!AT13+'[4]LCT-1'!AT13+'[4]LCT-2'!AT13+'[4]LCT-3'!AT13+'[4]LCT-4'!AT13+'[4]LCT-5'!AT13+'[4]LCT-6'!AT13+'[4]LCT-7'!AT13+'[4]LCT-8'!AT13+'[5]TB-1'!AT13+'[5]TB-2'!AT13+'[5]TB-3'!AT13+'[5]TB-4'!AT13+'[5]TB-5'!AT13+'[5]TB-6'!AT13+'[5]TB-7'!AT13+'[5]TB-8'!AT13+'[5]TB-9'!AT13+'[5]TB-10'!AT13+'[6]DSV-1'!AT13+'[6]DSV-2'!AT13+'[6]DSV-3'!AT13+'[7]TUB-1'!AT13+'[7]TUB-2'!AT13+'[8]Barge-1'!AT13+'[8]Barge-2'!AT13+'[8]Barge-3'!AT13+'[8]Barge-4'!AT13</f>
        <v>0</v>
      </c>
      <c r="D13" s="160">
        <f>'[2]AHTS-1'!BP13+'[2]AHTS-2'!BP13+'[2]AHTS-3'!BP13+'[2]AHTS-4'!BP13+'[2]AHTS-5'!BP13+'[2]AHTS-6'!BP13+'[2]AHTS-7'!BP13+'[2]AHTS-8'!BP13+'[3]CB-1'!BP13+'[3]CB-2'!BP13+'[3]CB-3'!BP13+'[3]CB-4'!BP13+'[3]CB-5'!BP13+'[3]CB-6'!BP13+'[3]CB-7'!BP13+'[3]CB-8'!BP13+'[3]CB-9'!BP13+'[3]CB-10'!BP13+'[3]CB-11'!BP13+'[3]CB-12'!BP13+'[3]CB-13'!BP13+'[3]CB-14'!BP13+'[3]CB-15'!BP13+'[3]CB-16'!BP13+'[3]CB-17'!BP13+'[3]CB-18'!BP13+'[3]CB-19'!BP13+'[3]CB-20'!BP13+'[3]CB-21'!BP13+'[3]CB-22'!BP13+'[3]CB-23'!BP13+'[3]CB-24'!BP13+'[4]LCT-1'!BP13+'[4]LCT-2'!BP13+'[4]LCT-3'!BP13+'[4]LCT-4'!BP13+'[4]LCT-5'!BP13+'[4]LCT-6'!BP13+'[4]LCT-7'!BP13+'[4]LCT-8'!BP13+'[5]TB-1'!BP13+'[5]TB-2'!BP13+'[5]TB-3'!BP13+'[5]TB-4'!BP13+'[5]TB-5'!BP13+'[5]TB-6'!BP13+'[5]TB-7'!BP13+'[5]TB-8'!BP13+'[5]TB-9'!BP13+'[5]TB-10'!BP13+'[6]DSV-1'!BP13+'[6]DSV-2'!BP13+'[6]DSV-3'!BP13+'[7]TUB-1'!BP13+'[7]TUB-2'!BP13+'[8]Barge-1'!BP13+'[8]Barge-2'!BP13+'[8]Barge-3'!BP13+'[8]Barge-4'!BP13</f>
        <v>0</v>
      </c>
      <c r="E13" s="161">
        <f>'[2]AHTS-1'!CL13+'[2]AHTS-2'!CL13+'[2]AHTS-3'!CL13+'[2]AHTS-4'!CL13+'[2]AHTS-5'!CL13+'[2]AHTS-6'!CL13+'[2]AHTS-7'!CL13+'[2]AHTS-8'!CL13+'[3]CB-1'!CL13+'[3]CB-2'!CL13+'[3]CB-3'!CL13+'[3]CB-4'!CL13+'[3]CB-5'!CL13+'[3]CB-6'!CL13+'[3]CB-7'!CL13+'[3]CB-8'!CL13+'[3]CB-9'!CL13+'[3]CB-10'!CL13+'[3]CB-11'!CL13+'[3]CB-12'!CL13+'[3]CB-13'!CL13+'[3]CB-14'!CL13+'[3]CB-15'!CL13+'[3]CB-16'!CL13+'[3]CB-17'!CL13+'[3]CB-18'!CL13+'[3]CB-19'!CL13+'[3]CB-20'!CL13+'[3]CB-21'!CL13+'[3]CB-22'!CL13+'[3]CB-23'!CL13+'[3]CB-24'!CL13+'[4]LCT-1'!CL13+'[4]LCT-2'!CL13+'[4]LCT-3'!CL13+'[4]LCT-4'!CL13+'[4]LCT-5'!CL13+'[4]LCT-6'!CL13+'[4]LCT-7'!CL13+'[4]LCT-8'!CL13+'[5]TB-1'!CL13+'[5]TB-2'!CL13+'[5]TB-3'!CL13+'[5]TB-4'!CL13+'[5]TB-5'!CL13+'[5]TB-6'!CL13+'[5]TB-7'!CL13+'[5]TB-8'!CL13+'[5]TB-9'!CL13+'[5]TB-10'!CL13+'[6]DSV-1'!CL13+'[6]DSV-2'!CL13+'[6]DSV-3'!CL13+'[7]TUB-1'!CL13+'[7]TUB-2'!CL13+'[8]Barge-1'!CL13+'[8]Barge-2'!CL13+'[8]Barge-3'!CL13+'[8]Barge-4'!CL13</f>
        <v>0</v>
      </c>
      <c r="F13" s="159">
        <f>'[2]AHTS-1'!AU13+'[2]AHTS-2'!AU13+'[2]AHTS-3'!AU13+'[2]AHTS-4'!AU13+'[2]AHTS-5'!AU13+'[2]AHTS-6'!AU13+'[2]AHTS-7'!AU13+'[2]AHTS-8'!AU13+'[3]CB-1'!AU13+'[3]CB-2'!AU13+'[3]CB-3'!AU13+'[3]CB-4'!AU13+'[3]CB-5'!AU13+'[3]CB-6'!AU13+'[3]CB-7'!AU13+'[3]CB-8'!AU13+'[3]CB-9'!AU13+'[3]CB-10'!AU13+'[3]CB-11'!AU13+'[3]CB-12'!AU13+'[3]CB-13'!AU13+'[3]CB-14'!AU13+'[3]CB-15'!AU13+'[3]CB-16'!AU13+'[3]CB-17'!AU13+'[3]CB-18'!AU13+'[3]CB-19'!AU13+'[3]CB-20'!AU13+'[3]CB-21'!AU13+'[3]CB-22'!AU13+'[3]CB-23'!AU13+'[3]CB-24'!AU13+'[4]LCT-1'!AU13+'[4]LCT-2'!AU13+'[4]LCT-3'!AU13+'[4]LCT-4'!AU13+'[4]LCT-5'!AU13+'[4]LCT-6'!AU13+'[4]LCT-7'!AU13+'[4]LCT-8'!AU13+'[5]TB-1'!AU13+'[5]TB-2'!AU13+'[5]TB-3'!AU13+'[5]TB-4'!AU13+'[5]TB-5'!AU13+'[5]TB-6'!AU13+'[5]TB-7'!AU13+'[5]TB-8'!AU13+'[5]TB-9'!AU13+'[5]TB-10'!AU13+'[6]DSV-1'!AU13+'[6]DSV-2'!AU13+'[6]DSV-3'!AU13+'[7]TUB-1'!AU13+'[7]TUB-2'!AU13+'[8]Barge-1'!AU13+'[8]Barge-2'!AU13+'[8]Barge-3'!AU13+'[8]Barge-4'!AU13</f>
        <v>8942.8467912214473</v>
      </c>
      <c r="G13" s="160">
        <f>'[2]AHTS-1'!BQ13+'[2]AHTS-2'!BQ13+'[2]AHTS-3'!BQ13+'[2]AHTS-4'!BQ13+'[2]AHTS-5'!BQ13+'[2]AHTS-6'!BQ13+'[2]AHTS-7'!BQ13+'[2]AHTS-8'!BQ13+'[3]CB-1'!BQ13+'[3]CB-2'!BQ13+'[3]CB-3'!BQ13+'[3]CB-4'!BQ13+'[3]CB-5'!BQ13+'[3]CB-6'!BQ13+'[3]CB-7'!BQ13+'[3]CB-8'!BQ13+'[3]CB-9'!BQ13+'[3]CB-10'!BQ13+'[3]CB-11'!BQ13+'[3]CB-12'!BQ13+'[3]CB-13'!BQ13+'[3]CB-14'!BQ13+'[3]CB-15'!BQ13+'[3]CB-16'!BQ13+'[3]CB-17'!BQ13+'[3]CB-18'!BQ13+'[3]CB-19'!BQ13+'[3]CB-20'!BQ13+'[3]CB-21'!BQ13+'[3]CB-22'!BQ13+'[3]CB-23'!BQ13+'[3]CB-24'!BQ13+'[4]LCT-1'!BQ13+'[4]LCT-2'!BQ13+'[4]LCT-3'!BQ13+'[4]LCT-4'!BQ13+'[4]LCT-5'!BQ13+'[4]LCT-6'!BQ13+'[4]LCT-7'!BQ13+'[4]LCT-8'!BQ13+'[5]TB-1'!BQ13+'[5]TB-2'!BQ13+'[5]TB-3'!BQ13+'[5]TB-4'!BQ13+'[5]TB-5'!BQ13+'[5]TB-6'!BQ13+'[5]TB-7'!BQ13+'[5]TB-8'!BQ13+'[5]TB-9'!BQ13+'[5]TB-10'!BQ13+'[6]DSV-1'!BQ13+'[6]DSV-2'!BQ13+'[6]DSV-3'!BQ13+'[7]TUB-1'!BQ13+'[7]TUB-2'!BQ13+'[8]Barge-1'!BQ13+'[8]Barge-2'!BQ13+'[8]Barge-3'!BQ13+'[8]Barge-4'!BQ13</f>
        <v>6600.381413469263</v>
      </c>
      <c r="H13" s="161">
        <f>'[2]AHTS-1'!CM13+'[2]AHTS-2'!CM13+'[2]AHTS-3'!CM13+'[2]AHTS-4'!CM13+'[2]AHTS-5'!CM13+'[2]AHTS-6'!CM13+'[2]AHTS-7'!CM13+'[2]AHTS-8'!CM13+'[3]CB-1'!CM13+'[3]CB-2'!CM13+'[3]CB-3'!CM13+'[3]CB-4'!CM13+'[3]CB-5'!CM13+'[3]CB-6'!CM13+'[3]CB-7'!CM13+'[3]CB-8'!CM13+'[3]CB-9'!CM13+'[3]CB-10'!CM13+'[3]CB-11'!CM13+'[3]CB-12'!CM13+'[3]CB-13'!CM13+'[3]CB-14'!CM13+'[3]CB-15'!CM13+'[3]CB-16'!CM13+'[3]CB-17'!CM13+'[3]CB-18'!CM13+'[3]CB-19'!CM13+'[3]CB-20'!CM13+'[3]CB-21'!CM13+'[3]CB-22'!CM13+'[3]CB-23'!CM13+'[3]CB-24'!CM13+'[4]LCT-1'!CM13+'[4]LCT-2'!CM13+'[4]LCT-3'!CM13+'[4]LCT-4'!CM13+'[4]LCT-5'!CM13+'[4]LCT-6'!CM13+'[4]LCT-7'!CM13+'[4]LCT-8'!CM13+'[5]TB-1'!CM13+'[5]TB-2'!CM13+'[5]TB-3'!CM13+'[5]TB-4'!CM13+'[5]TB-5'!CM13+'[5]TB-6'!CM13+'[5]TB-7'!CM13+'[5]TB-8'!CM13+'[5]TB-9'!CM13+'[5]TB-10'!CM13+'[6]DSV-1'!CM13+'[6]DSV-2'!CM13+'[6]DSV-3'!CM13+'[7]TUB-1'!CM13+'[7]TUB-2'!CM13+'[8]Barge-1'!CM13+'[8]Barge-2'!CM13+'[8]Barge-3'!CM13+'[8]Barge-4'!CM13</f>
        <v>0</v>
      </c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110"/>
      <c r="U13" s="119">
        <f>[1]Control!AZ13</f>
        <v>45988</v>
      </c>
      <c r="V13" s="81"/>
      <c r="W13" s="145">
        <f>'[2]AHTS-1'!IA51+'[2]AHTS-2'!IA51+'[2]AHTS-3'!IA51+'[2]AHTS-4'!IA51+'[2]AHTS-5'!IA51+'[2]AHTS-6'!IA51+'[2]AHTS-7'!IA51+'[2]AHTS-8'!IA51+'[3]CB-1'!IA51+'[3]CB-2'!IA51+'[3]CB-3'!IA51+'[3]CB-4'!IA51+'[3]CB-5'!IA51+'[3]CB-6'!IA51+'[3]CB-7'!IA51+'[3]CB-8'!IA51+'[3]CB-9'!IA51+'[3]CB-10'!IA51+'[3]CB-11'!IA51+'[3]CB-12'!IA51+'[3]CB-13'!IA51+'[3]CB-14'!IA51+'[3]CB-15'!IA51+'[3]CB-16'!IA51+'[3]CB-17'!IA51+'[3]CB-18'!IA51+'[3]CB-19'!IA51+'[3]CB-20'!IA51+'[3]CB-21'!IA51+'[3]CB-22'!IA51+'[3]CB-23'!IA51+'[3]CB-24'!IA51+'[4]LCT-1'!IA51+'[4]LCT-2'!IA51+'[4]LCT-3'!IA51+'[4]LCT-4'!IA51+'[4]LCT-5'!IA51+'[4]LCT-6'!IA51+'[4]LCT-7'!IA51+'[4]LCT-8'!IA51+'[5]TB-1'!IA51+'[5]TB-2'!IA51+'[5]TB-3'!IA51+'[5]TB-4'!IA51+'[5]TB-5'!IA51+'[5]TB-6'!IA51+'[5]TB-7'!IA51+'[5]TB-8'!IA51+'[5]TB-9'!IA51+'[5]TB-10'!IA51+'[6]DSV-1'!IA51+'[6]DSV-2'!IA51+'[6]DSV-3'!IA51+'[7]TUB-1'!IA51+'[7]TUB-2'!IA51+'[8]Barge-1'!IA51+'[8]Barge-2'!IA51+'[8]Barge-3'!IA51+'[8]Barge-4'!IA51</f>
        <v>0</v>
      </c>
      <c r="X13" s="146">
        <f>'[2]AHTS-1'!IA13+'[2]AHTS-2'!IA13+'[2]AHTS-3'!IA13+'[2]AHTS-4'!IA13+'[2]AHTS-5'!IA13+'[2]AHTS-6'!IA13+'[2]AHTS-7'!IA13+'[2]AHTS-8'!IA13+'[3]CB-1'!IA13+'[3]CB-2'!IA13+'[3]CB-3'!IA13+'[3]CB-4'!IA13+'[3]CB-5'!IA13+'[3]CB-6'!IA13+'[3]CB-7'!IA13+'[3]CB-8'!IA13+'[3]CB-9'!IA13+'[3]CB-10'!IA13+'[3]CB-11'!IA13+'[3]CB-12'!IA13+'[3]CB-13'!IA13+'[3]CB-14'!IA13+'[3]CB-15'!IA13+'[3]CB-16'!IA13+'[3]CB-17'!IA13+'[3]CB-18'!IA13+'[3]CB-19'!IA13+'[3]CB-20'!IA13+'[3]CB-21'!IA13+'[3]CB-22'!IA13+'[3]CB-23'!IA13+'[3]CB-24'!IA13+'[4]LCT-1'!IA13+'[4]LCT-2'!IA13+'[4]LCT-3'!IA13+'[4]LCT-4'!IA13+'[4]LCT-5'!IA13+'[4]LCT-6'!IA13+'[4]LCT-7'!IA13+'[4]LCT-8'!IA13+'[5]TB-1'!IA13+'[5]TB-2'!IA13+'[5]TB-3'!IA13+'[5]TB-4'!IA13+'[5]TB-5'!IA13+'[5]TB-6'!IA13+'[5]TB-7'!IA13+'[5]TB-8'!IA13+'[5]TB-9'!IA13+'[5]TB-10'!IA13+'[6]DSV-1'!IA13+'[6]DSV-2'!IA13+'[6]DSV-3'!IA13+'[7]TUB-1'!IA13+'[7]TUB-2'!IA13+'[8]Barge-1'!IA13+'[8]Barge-2'!IA13+'[8]Barge-3'!IA13+'[8]Barge-4'!IA13</f>
        <v>0</v>
      </c>
      <c r="Y13" s="147">
        <f>'[2]AHTS-1'!IA84+'[2]AHTS-2'!IA84+'[2]AHTS-3'!IA84+'[2]AHTS-4'!IA84+'[2]AHTS-5'!IA84+'[2]AHTS-6'!IA84+'[2]AHTS-7'!IA84+'[2]AHTS-8'!IA84+'[3]CB-1'!IA84+'[3]CB-2'!IA84+'[3]CB-3'!IA84+'[3]CB-4'!IA84+'[3]CB-5'!IA84+'[3]CB-6'!IA84+'[3]CB-7'!IA84+'[3]CB-8'!IA84+'[3]CB-9'!IA84+'[3]CB-10'!IA84+'[3]CB-11'!IA84+'[3]CB-12'!IA84+'[3]CB-13'!IA84+'[3]CB-14'!IA84+'[3]CB-15'!IA84+'[3]CB-16'!IA84+'[3]CB-17'!IA84+'[3]CB-18'!IA84+'[3]CB-19'!IA84+'[3]CB-20'!IA84+'[3]CB-21'!IA84+'[3]CB-22'!IA84+'[3]CB-23'!IA84+'[3]CB-24'!IA84+'[4]LCT-1'!IA84+'[4]LCT-2'!IA84+'[4]LCT-3'!IA84+'[4]LCT-4'!IA84+'[4]LCT-5'!IA84+'[4]LCT-6'!IA84+'[4]LCT-7'!IA84+'[4]LCT-8'!IA84+'[5]TB-1'!IA84+'[5]TB-2'!IA84+'[5]TB-3'!IA84+'[5]TB-4'!IA84+'[5]TB-5'!IA84+'[5]TB-6'!IA84+'[5]TB-7'!IA84+'[5]TB-8'!IA84+'[5]TB-9'!IA84+'[5]TB-10'!IA84+'[6]DSV-1'!IA84+'[6]DSV-2'!IA84+'[6]DSV-3'!IA84+'[7]TUB-1'!IA84+'[7]TUB-2'!IA84+'[8]Barge-1'!IA84+'[8]Barge-2'!IA84+'[8]Barge-3'!IA84+'[8]Barge-4'!IA84</f>
        <v>0</v>
      </c>
      <c r="Z13" s="145">
        <f>'[2]AHTS-1'!IB51+'[2]AHTS-2'!IB51+'[2]AHTS-3'!IB51+'[2]AHTS-4'!IB51+'[2]AHTS-5'!IB51+'[2]AHTS-6'!IB51+'[2]AHTS-7'!IB51+'[2]AHTS-8'!IB51+'[3]CB-1'!IB51+'[3]CB-2'!IB51+'[3]CB-3'!IB51+'[3]CB-4'!IB51+'[3]CB-5'!IB51+'[3]CB-6'!IB51+'[3]CB-7'!IB51+'[3]CB-8'!IB51+'[3]CB-9'!IB51+'[3]CB-10'!IB51+'[3]CB-11'!IB51+'[3]CB-12'!IB51+'[3]CB-13'!IB51+'[3]CB-14'!IB51+'[3]CB-15'!IB51+'[3]CB-16'!IB51+'[3]CB-17'!IB51+'[3]CB-18'!IB51+'[3]CB-19'!IB51+'[3]CB-20'!IB51+'[3]CB-21'!IB51+'[3]CB-22'!IB51+'[3]CB-23'!IB51+'[3]CB-24'!IB51+'[4]LCT-1'!IB51+'[4]LCT-2'!IB51+'[4]LCT-3'!IB51+'[4]LCT-4'!IB51+'[4]LCT-5'!IB51+'[4]LCT-6'!IB51+'[4]LCT-7'!IB51+'[4]LCT-8'!IB51+'[5]TB-1'!IB51+'[5]TB-2'!IB51+'[5]TB-3'!IB51+'[5]TB-4'!IB51+'[5]TB-5'!IB51+'[5]TB-6'!IB51+'[5]TB-7'!IB51+'[5]TB-8'!IB51+'[5]TB-9'!IB51+'[5]TB-10'!IB51+'[6]DSV-1'!IB51+'[6]DSV-2'!IB51+'[6]DSV-3'!IB51+'[7]TUB-1'!IB51+'[7]TUB-2'!IB51+'[8]Barge-1'!IB51+'[8]Barge-2'!IB51+'[8]Barge-3'!IB51+'[8]Barge-4'!IB51</f>
        <v>139767752.5</v>
      </c>
      <c r="AA13" s="146">
        <f>'[2]AHTS-1'!IB13+'[2]AHTS-2'!IB13+'[2]AHTS-3'!IB13+'[2]AHTS-4'!IB13+'[2]AHTS-5'!IB13+'[2]AHTS-6'!IB13+'[2]AHTS-7'!IB13+'[2]AHTS-8'!IB13+'[3]CB-1'!IB13+'[3]CB-2'!IB13+'[3]CB-3'!IB13+'[3]CB-4'!IB13+'[3]CB-5'!IB13+'[3]CB-6'!IB13+'[3]CB-7'!IB13+'[3]CB-8'!IB13+'[3]CB-9'!IB13+'[3]CB-10'!IB13+'[3]CB-11'!IB13+'[3]CB-12'!IB13+'[3]CB-13'!IB13+'[3]CB-14'!IB13+'[3]CB-15'!IB13+'[3]CB-16'!IB13+'[3]CB-17'!IB13+'[3]CB-18'!IB13+'[3]CB-19'!IB13+'[3]CB-20'!IB13+'[3]CB-21'!IB13+'[3]CB-22'!IB13+'[3]CB-23'!IB13+'[3]CB-24'!IB13+'[4]LCT-1'!IB13+'[4]LCT-2'!IB13+'[4]LCT-3'!IB13+'[4]LCT-4'!IB13+'[4]LCT-5'!IB13+'[4]LCT-6'!IB13+'[4]LCT-7'!IB13+'[4]LCT-8'!IB13+'[5]TB-1'!IB13+'[5]TB-2'!IB13+'[5]TB-3'!IB13+'[5]TB-4'!IB13+'[5]TB-5'!IB13+'[5]TB-6'!IB13+'[5]TB-7'!IB13+'[5]TB-8'!IB13+'[5]TB-9'!IB13+'[5]TB-10'!IB13+'[6]DSV-1'!IB13+'[6]DSV-2'!IB13+'[6]DSV-3'!IB13+'[7]TUB-1'!IB13+'[7]TUB-2'!IB13+'[8]Barge-1'!IB13+'[8]Barge-2'!IB13+'[8]Barge-3'!IB13+'[8]Barge-4'!IB13</f>
        <v>103157361.1111111</v>
      </c>
      <c r="AB13" s="147">
        <f>'[2]AHTS-1'!IB84+'[2]AHTS-2'!IB84+'[2]AHTS-3'!IB84+'[2]AHTS-4'!IB84+'[2]AHTS-5'!IB84+'[2]AHTS-6'!IB84+'[2]AHTS-7'!IB84+'[2]AHTS-8'!IB84+'[3]CB-1'!IB84+'[3]CB-2'!IB84+'[3]CB-3'!IB84+'[3]CB-4'!IB84+'[3]CB-5'!IB84+'[3]CB-6'!IB84+'[3]CB-7'!IB84+'[3]CB-8'!IB84+'[3]CB-9'!IB84+'[3]CB-10'!IB84+'[3]CB-11'!IB84+'[3]CB-12'!IB84+'[3]CB-13'!IB84+'[3]CB-14'!IB84+'[3]CB-15'!IB84+'[3]CB-16'!IB84+'[3]CB-17'!IB84+'[3]CB-18'!IB84+'[3]CB-19'!IB84+'[3]CB-20'!IB84+'[3]CB-21'!IB84+'[3]CB-22'!IB84+'[3]CB-23'!IB84+'[3]CB-24'!IB84+'[4]LCT-1'!IB84+'[4]LCT-2'!IB84+'[4]LCT-3'!IB84+'[4]LCT-4'!IB84+'[4]LCT-5'!IB84+'[4]LCT-6'!IB84+'[4]LCT-7'!IB84+'[4]LCT-8'!IB84+'[5]TB-1'!IB84+'[5]TB-2'!IB84+'[5]TB-3'!IB84+'[5]TB-4'!IB84+'[5]TB-5'!IB84+'[5]TB-6'!IB84+'[5]TB-7'!IB84+'[5]TB-8'!IB84+'[5]TB-9'!IB84+'[5]TB-10'!IB84+'[6]DSV-1'!IB84+'[6]DSV-2'!IB84+'[6]DSV-3'!IB84+'[7]TUB-1'!IB84+'[7]TUB-2'!IB84+'[8]Barge-1'!IB84+'[8]Barge-2'!IB84+'[8]Barge-3'!IB84+'[8]Barge-4'!IB84</f>
        <v>0</v>
      </c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</row>
    <row r="14" spans="1:79" s="84" customFormat="1" ht="14.25" customHeight="1" thickBot="1" x14ac:dyDescent="0.3">
      <c r="A14" s="119">
        <f>[1]Control!AZ14</f>
        <v>45989</v>
      </c>
      <c r="B14" s="81"/>
      <c r="C14" s="159">
        <f>'[2]AHTS-1'!AT14+'[2]AHTS-2'!AT14+'[2]AHTS-3'!AT14+'[2]AHTS-4'!AT14+'[2]AHTS-5'!AT14+'[2]AHTS-6'!AT14+'[2]AHTS-7'!AT14+'[2]AHTS-8'!AT14+'[3]CB-1'!AT14+'[3]CB-2'!AT14+'[3]CB-3'!AT14+'[3]CB-4'!AT14+'[3]CB-5'!AT14+'[3]CB-6'!AT14+'[3]CB-7'!AT14+'[3]CB-8'!AT14+'[3]CB-9'!AT14+'[3]CB-10'!AT14+'[3]CB-11'!AT14+'[3]CB-12'!AT14+'[3]CB-13'!AT14+'[3]CB-14'!AT14+'[3]CB-15'!AT14+'[3]CB-16'!AT14+'[3]CB-17'!AT14+'[3]CB-18'!AT14+'[3]CB-19'!AT14+'[3]CB-20'!AT14+'[3]CB-21'!AT14+'[3]CB-22'!AT14+'[3]CB-23'!AT14+'[3]CB-24'!AT14+'[4]LCT-1'!AT14+'[4]LCT-2'!AT14+'[4]LCT-3'!AT14+'[4]LCT-4'!AT14+'[4]LCT-5'!AT14+'[4]LCT-6'!AT14+'[4]LCT-7'!AT14+'[4]LCT-8'!AT14+'[5]TB-1'!AT14+'[5]TB-2'!AT14+'[5]TB-3'!AT14+'[5]TB-4'!AT14+'[5]TB-5'!AT14+'[5]TB-6'!AT14+'[5]TB-7'!AT14+'[5]TB-8'!AT14+'[5]TB-9'!AT14+'[5]TB-10'!AT14+'[6]DSV-1'!AT14+'[6]DSV-2'!AT14+'[6]DSV-3'!AT14+'[7]TUB-1'!AT14+'[7]TUB-2'!AT14+'[8]Barge-1'!AT14+'[8]Barge-2'!AT14+'[8]Barge-3'!AT14+'[8]Barge-4'!AT14</f>
        <v>0</v>
      </c>
      <c r="D14" s="160">
        <f>'[2]AHTS-1'!BP14+'[2]AHTS-2'!BP14+'[2]AHTS-3'!BP14+'[2]AHTS-4'!BP14+'[2]AHTS-5'!BP14+'[2]AHTS-6'!BP14+'[2]AHTS-7'!BP14+'[2]AHTS-8'!BP14+'[3]CB-1'!BP14+'[3]CB-2'!BP14+'[3]CB-3'!BP14+'[3]CB-4'!BP14+'[3]CB-5'!BP14+'[3]CB-6'!BP14+'[3]CB-7'!BP14+'[3]CB-8'!BP14+'[3]CB-9'!BP14+'[3]CB-10'!BP14+'[3]CB-11'!BP14+'[3]CB-12'!BP14+'[3]CB-13'!BP14+'[3]CB-14'!BP14+'[3]CB-15'!BP14+'[3]CB-16'!BP14+'[3]CB-17'!BP14+'[3]CB-18'!BP14+'[3]CB-19'!BP14+'[3]CB-20'!BP14+'[3]CB-21'!BP14+'[3]CB-22'!BP14+'[3]CB-23'!BP14+'[3]CB-24'!BP14+'[4]LCT-1'!BP14+'[4]LCT-2'!BP14+'[4]LCT-3'!BP14+'[4]LCT-4'!BP14+'[4]LCT-5'!BP14+'[4]LCT-6'!BP14+'[4]LCT-7'!BP14+'[4]LCT-8'!BP14+'[5]TB-1'!BP14+'[5]TB-2'!BP14+'[5]TB-3'!BP14+'[5]TB-4'!BP14+'[5]TB-5'!BP14+'[5]TB-6'!BP14+'[5]TB-7'!BP14+'[5]TB-8'!BP14+'[5]TB-9'!BP14+'[5]TB-10'!BP14+'[6]DSV-1'!BP14+'[6]DSV-2'!BP14+'[6]DSV-3'!BP14+'[7]TUB-1'!BP14+'[7]TUB-2'!BP14+'[8]Barge-1'!BP14+'[8]Barge-2'!BP14+'[8]Barge-3'!BP14+'[8]Barge-4'!BP14</f>
        <v>0</v>
      </c>
      <c r="E14" s="161">
        <f>'[2]AHTS-1'!CL14+'[2]AHTS-2'!CL14+'[2]AHTS-3'!CL14+'[2]AHTS-4'!CL14+'[2]AHTS-5'!CL14+'[2]AHTS-6'!CL14+'[2]AHTS-7'!CL14+'[2]AHTS-8'!CL14+'[3]CB-1'!CL14+'[3]CB-2'!CL14+'[3]CB-3'!CL14+'[3]CB-4'!CL14+'[3]CB-5'!CL14+'[3]CB-6'!CL14+'[3]CB-7'!CL14+'[3]CB-8'!CL14+'[3]CB-9'!CL14+'[3]CB-10'!CL14+'[3]CB-11'!CL14+'[3]CB-12'!CL14+'[3]CB-13'!CL14+'[3]CB-14'!CL14+'[3]CB-15'!CL14+'[3]CB-16'!CL14+'[3]CB-17'!CL14+'[3]CB-18'!CL14+'[3]CB-19'!CL14+'[3]CB-20'!CL14+'[3]CB-21'!CL14+'[3]CB-22'!CL14+'[3]CB-23'!CL14+'[3]CB-24'!CL14+'[4]LCT-1'!CL14+'[4]LCT-2'!CL14+'[4]LCT-3'!CL14+'[4]LCT-4'!CL14+'[4]LCT-5'!CL14+'[4]LCT-6'!CL14+'[4]LCT-7'!CL14+'[4]LCT-8'!CL14+'[5]TB-1'!CL14+'[5]TB-2'!CL14+'[5]TB-3'!CL14+'[5]TB-4'!CL14+'[5]TB-5'!CL14+'[5]TB-6'!CL14+'[5]TB-7'!CL14+'[5]TB-8'!CL14+'[5]TB-9'!CL14+'[5]TB-10'!CL14+'[6]DSV-1'!CL14+'[6]DSV-2'!CL14+'[6]DSV-3'!CL14+'[7]TUB-1'!CL14+'[7]TUB-2'!CL14+'[8]Barge-1'!CL14+'[8]Barge-2'!CL14+'[8]Barge-3'!CL14+'[8]Barge-4'!CL14</f>
        <v>0</v>
      </c>
      <c r="F14" s="159">
        <f>'[2]AHTS-1'!AU14+'[2]AHTS-2'!AU14+'[2]AHTS-3'!AU14+'[2]AHTS-4'!AU14+'[2]AHTS-5'!AU14+'[2]AHTS-6'!AU14+'[2]AHTS-7'!AU14+'[2]AHTS-8'!AU14+'[3]CB-1'!AU14+'[3]CB-2'!AU14+'[3]CB-3'!AU14+'[3]CB-4'!AU14+'[3]CB-5'!AU14+'[3]CB-6'!AU14+'[3]CB-7'!AU14+'[3]CB-8'!AU14+'[3]CB-9'!AU14+'[3]CB-10'!AU14+'[3]CB-11'!AU14+'[3]CB-12'!AU14+'[3]CB-13'!AU14+'[3]CB-14'!AU14+'[3]CB-15'!AU14+'[3]CB-16'!AU14+'[3]CB-17'!AU14+'[3]CB-18'!AU14+'[3]CB-19'!AU14+'[3]CB-20'!AU14+'[3]CB-21'!AU14+'[3]CB-22'!AU14+'[3]CB-23'!AU14+'[3]CB-24'!AU14+'[4]LCT-1'!AU14+'[4]LCT-2'!AU14+'[4]LCT-3'!AU14+'[4]LCT-4'!AU14+'[4]LCT-5'!AU14+'[4]LCT-6'!AU14+'[4]LCT-7'!AU14+'[4]LCT-8'!AU14+'[5]TB-1'!AU14+'[5]TB-2'!AU14+'[5]TB-3'!AU14+'[5]TB-4'!AU14+'[5]TB-5'!AU14+'[5]TB-6'!AU14+'[5]TB-7'!AU14+'[5]TB-8'!AU14+'[5]TB-9'!AU14+'[5]TB-10'!AU14+'[6]DSV-1'!AU14+'[6]DSV-2'!AU14+'[6]DSV-3'!AU14+'[7]TUB-1'!AU14+'[7]TUB-2'!AU14+'[8]Barge-1'!AU14+'[8]Barge-2'!AU14+'[8]Barge-3'!AU14+'[8]Barge-4'!AU14</f>
        <v>4811.809794011062</v>
      </c>
      <c r="G14" s="160">
        <f>'[2]AHTS-1'!BQ14+'[2]AHTS-2'!BQ14+'[2]AHTS-3'!BQ14+'[2]AHTS-4'!BQ14+'[2]AHTS-5'!BQ14+'[2]AHTS-6'!BQ14+'[2]AHTS-7'!BQ14+'[2]AHTS-8'!BQ14+'[3]CB-1'!BQ14+'[3]CB-2'!BQ14+'[3]CB-3'!BQ14+'[3]CB-4'!BQ14+'[3]CB-5'!BQ14+'[3]CB-6'!BQ14+'[3]CB-7'!BQ14+'[3]CB-8'!BQ14+'[3]CB-9'!BQ14+'[3]CB-10'!BQ14+'[3]CB-11'!BQ14+'[3]CB-12'!BQ14+'[3]CB-13'!BQ14+'[3]CB-14'!BQ14+'[3]CB-15'!BQ14+'[3]CB-16'!BQ14+'[3]CB-17'!BQ14+'[3]CB-18'!BQ14+'[3]CB-19'!BQ14+'[3]CB-20'!BQ14+'[3]CB-21'!BQ14+'[3]CB-22'!BQ14+'[3]CB-23'!BQ14+'[3]CB-24'!BQ14+'[4]LCT-1'!BQ14+'[4]LCT-2'!BQ14+'[4]LCT-3'!BQ14+'[4]LCT-4'!BQ14+'[4]LCT-5'!BQ14+'[4]LCT-6'!BQ14+'[4]LCT-7'!BQ14+'[4]LCT-8'!BQ14+'[5]TB-1'!BQ14+'[5]TB-2'!BQ14+'[5]TB-3'!BQ14+'[5]TB-4'!BQ14+'[5]TB-5'!BQ14+'[5]TB-6'!BQ14+'[5]TB-7'!BQ14+'[5]TB-8'!BQ14+'[5]TB-9'!BQ14+'[5]TB-10'!BQ14+'[6]DSV-1'!BQ14+'[6]DSV-2'!BQ14+'[6]DSV-3'!BQ14+'[7]TUB-1'!BQ14+'[7]TUB-2'!BQ14+'[8]Barge-1'!BQ14+'[8]Barge-2'!BQ14+'[8]Barge-3'!BQ14+'[8]Barge-4'!BQ14</f>
        <v>3901.6307457562461</v>
      </c>
      <c r="H14" s="161">
        <f>'[2]AHTS-1'!CM14+'[2]AHTS-2'!CM14+'[2]AHTS-3'!CM14+'[2]AHTS-4'!CM14+'[2]AHTS-5'!CM14+'[2]AHTS-6'!CM14+'[2]AHTS-7'!CM14+'[2]AHTS-8'!CM14+'[3]CB-1'!CM14+'[3]CB-2'!CM14+'[3]CB-3'!CM14+'[3]CB-4'!CM14+'[3]CB-5'!CM14+'[3]CB-6'!CM14+'[3]CB-7'!CM14+'[3]CB-8'!CM14+'[3]CB-9'!CM14+'[3]CB-10'!CM14+'[3]CB-11'!CM14+'[3]CB-12'!CM14+'[3]CB-13'!CM14+'[3]CB-14'!CM14+'[3]CB-15'!CM14+'[3]CB-16'!CM14+'[3]CB-17'!CM14+'[3]CB-18'!CM14+'[3]CB-19'!CM14+'[3]CB-20'!CM14+'[3]CB-21'!CM14+'[3]CB-22'!CM14+'[3]CB-23'!CM14+'[3]CB-24'!CM14+'[4]LCT-1'!CM14+'[4]LCT-2'!CM14+'[4]LCT-3'!CM14+'[4]LCT-4'!CM14+'[4]LCT-5'!CM14+'[4]LCT-6'!CM14+'[4]LCT-7'!CM14+'[4]LCT-8'!CM14+'[5]TB-1'!CM14+'[5]TB-2'!CM14+'[5]TB-3'!CM14+'[5]TB-4'!CM14+'[5]TB-5'!CM14+'[5]TB-6'!CM14+'[5]TB-7'!CM14+'[5]TB-8'!CM14+'[5]TB-9'!CM14+'[5]TB-10'!CM14+'[6]DSV-1'!CM14+'[6]DSV-2'!CM14+'[6]DSV-3'!CM14+'[7]TUB-1'!CM14+'[7]TUB-2'!CM14+'[8]Barge-1'!CM14+'[8]Barge-2'!CM14+'[8]Barge-3'!CM14+'[8]Barge-4'!CM14</f>
        <v>0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110"/>
      <c r="U14" s="119">
        <f>[1]Control!AZ14</f>
        <v>45989</v>
      </c>
      <c r="V14" s="81"/>
      <c r="W14" s="145">
        <f>'[2]AHTS-1'!IA52+'[2]AHTS-2'!IA52+'[2]AHTS-3'!IA52+'[2]AHTS-4'!IA52+'[2]AHTS-5'!IA52+'[2]AHTS-6'!IA52+'[2]AHTS-7'!IA52+'[2]AHTS-8'!IA52+'[3]CB-1'!IA52+'[3]CB-2'!IA52+'[3]CB-3'!IA52+'[3]CB-4'!IA52+'[3]CB-5'!IA52+'[3]CB-6'!IA52+'[3]CB-7'!IA52+'[3]CB-8'!IA52+'[3]CB-9'!IA52+'[3]CB-10'!IA52+'[3]CB-11'!IA52+'[3]CB-12'!IA52+'[3]CB-13'!IA52+'[3]CB-14'!IA52+'[3]CB-15'!IA52+'[3]CB-16'!IA52+'[3]CB-17'!IA52+'[3]CB-18'!IA52+'[3]CB-19'!IA52+'[3]CB-20'!IA52+'[3]CB-21'!IA52+'[3]CB-22'!IA52+'[3]CB-23'!IA52+'[3]CB-24'!IA52+'[4]LCT-1'!IA52+'[4]LCT-2'!IA52+'[4]LCT-3'!IA52+'[4]LCT-4'!IA52+'[4]LCT-5'!IA52+'[4]LCT-6'!IA52+'[4]LCT-7'!IA52+'[4]LCT-8'!IA52+'[5]TB-1'!IA52+'[5]TB-2'!IA52+'[5]TB-3'!IA52+'[5]TB-4'!IA52+'[5]TB-5'!IA52+'[5]TB-6'!IA52+'[5]TB-7'!IA52+'[5]TB-8'!IA52+'[5]TB-9'!IA52+'[5]TB-10'!IA52+'[6]DSV-1'!IA52+'[6]DSV-2'!IA52+'[6]DSV-3'!IA52+'[7]TUB-1'!IA52+'[7]TUB-2'!IA52+'[8]Barge-1'!IA52+'[8]Barge-2'!IA52+'[8]Barge-3'!IA52+'[8]Barge-4'!IA52</f>
        <v>0</v>
      </c>
      <c r="X14" s="146">
        <f>'[2]AHTS-1'!IA14+'[2]AHTS-2'!IA14+'[2]AHTS-3'!IA14+'[2]AHTS-4'!IA14+'[2]AHTS-5'!IA14+'[2]AHTS-6'!IA14+'[2]AHTS-7'!IA14+'[2]AHTS-8'!IA14+'[3]CB-1'!IA14+'[3]CB-2'!IA14+'[3]CB-3'!IA14+'[3]CB-4'!IA14+'[3]CB-5'!IA14+'[3]CB-6'!IA14+'[3]CB-7'!IA14+'[3]CB-8'!IA14+'[3]CB-9'!IA14+'[3]CB-10'!IA14+'[3]CB-11'!IA14+'[3]CB-12'!IA14+'[3]CB-13'!IA14+'[3]CB-14'!IA14+'[3]CB-15'!IA14+'[3]CB-16'!IA14+'[3]CB-17'!IA14+'[3]CB-18'!IA14+'[3]CB-19'!IA14+'[3]CB-20'!IA14+'[3]CB-21'!IA14+'[3]CB-22'!IA14+'[3]CB-23'!IA14+'[3]CB-24'!IA14+'[4]LCT-1'!IA14+'[4]LCT-2'!IA14+'[4]LCT-3'!IA14+'[4]LCT-4'!IA14+'[4]LCT-5'!IA14+'[4]LCT-6'!IA14+'[4]LCT-7'!IA14+'[4]LCT-8'!IA14+'[5]TB-1'!IA14+'[5]TB-2'!IA14+'[5]TB-3'!IA14+'[5]TB-4'!IA14+'[5]TB-5'!IA14+'[5]TB-6'!IA14+'[5]TB-7'!IA14+'[5]TB-8'!IA14+'[5]TB-9'!IA14+'[5]TB-10'!IA14+'[6]DSV-1'!IA14+'[6]DSV-2'!IA14+'[6]DSV-3'!IA14+'[7]TUB-1'!IA14+'[7]TUB-2'!IA14+'[8]Barge-1'!IA14+'[8]Barge-2'!IA14+'[8]Barge-3'!IA14+'[8]Barge-4'!IA14</f>
        <v>0</v>
      </c>
      <c r="Y14" s="147">
        <f>'[2]AHTS-1'!IA85+'[2]AHTS-2'!IA85+'[2]AHTS-3'!IA85+'[2]AHTS-4'!IA85+'[2]AHTS-5'!IA85+'[2]AHTS-6'!IA85+'[2]AHTS-7'!IA85+'[2]AHTS-8'!IA85+'[3]CB-1'!IA85+'[3]CB-2'!IA85+'[3]CB-3'!IA85+'[3]CB-4'!IA85+'[3]CB-5'!IA85+'[3]CB-6'!IA85+'[3]CB-7'!IA85+'[3]CB-8'!IA85+'[3]CB-9'!IA85+'[3]CB-10'!IA85+'[3]CB-11'!IA85+'[3]CB-12'!IA85+'[3]CB-13'!IA85+'[3]CB-14'!IA85+'[3]CB-15'!IA85+'[3]CB-16'!IA85+'[3]CB-17'!IA85+'[3]CB-18'!IA85+'[3]CB-19'!IA85+'[3]CB-20'!IA85+'[3]CB-21'!IA85+'[3]CB-22'!IA85+'[3]CB-23'!IA85+'[3]CB-24'!IA85+'[4]LCT-1'!IA85+'[4]LCT-2'!IA85+'[4]LCT-3'!IA85+'[4]LCT-4'!IA85+'[4]LCT-5'!IA85+'[4]LCT-6'!IA85+'[4]LCT-7'!IA85+'[4]LCT-8'!IA85+'[5]TB-1'!IA85+'[5]TB-2'!IA85+'[5]TB-3'!IA85+'[5]TB-4'!IA85+'[5]TB-5'!IA85+'[5]TB-6'!IA85+'[5]TB-7'!IA85+'[5]TB-8'!IA85+'[5]TB-9'!IA85+'[5]TB-10'!IA85+'[6]DSV-1'!IA85+'[6]DSV-2'!IA85+'[6]DSV-3'!IA85+'[7]TUB-1'!IA85+'[7]TUB-2'!IA85+'[8]Barge-1'!IA85+'[8]Barge-2'!IA85+'[8]Barge-3'!IA85+'[8]Barge-4'!IA85</f>
        <v>0</v>
      </c>
      <c r="Z14" s="145">
        <f>'[2]AHTS-1'!IB52+'[2]AHTS-2'!IB52+'[2]AHTS-3'!IB52+'[2]AHTS-4'!IB52+'[2]AHTS-5'!IB52+'[2]AHTS-6'!IB52+'[2]AHTS-7'!IB52+'[2]AHTS-8'!IB52+'[3]CB-1'!IB52+'[3]CB-2'!IB52+'[3]CB-3'!IB52+'[3]CB-4'!IB52+'[3]CB-5'!IB52+'[3]CB-6'!IB52+'[3]CB-7'!IB52+'[3]CB-8'!IB52+'[3]CB-9'!IB52+'[3]CB-10'!IB52+'[3]CB-11'!IB52+'[3]CB-12'!IB52+'[3]CB-13'!IB52+'[3]CB-14'!IB52+'[3]CB-15'!IB52+'[3]CB-16'!IB52+'[3]CB-17'!IB52+'[3]CB-18'!IB52+'[3]CB-19'!IB52+'[3]CB-20'!IB52+'[3]CB-21'!IB52+'[3]CB-22'!IB52+'[3]CB-23'!IB52+'[3]CB-24'!IB52+'[4]LCT-1'!IB52+'[4]LCT-2'!IB52+'[4]LCT-3'!IB52+'[4]LCT-4'!IB52+'[4]LCT-5'!IB52+'[4]LCT-6'!IB52+'[4]LCT-7'!IB52+'[4]LCT-8'!IB52+'[5]TB-1'!IB52+'[5]TB-2'!IB52+'[5]TB-3'!IB52+'[5]TB-4'!IB52+'[5]TB-5'!IB52+'[5]TB-6'!IB52+'[5]TB-7'!IB52+'[5]TB-8'!IB52+'[5]TB-9'!IB52+'[5]TB-10'!IB52+'[6]DSV-1'!IB52+'[6]DSV-2'!IB52+'[6]DSV-3'!IB52+'[7]TUB-1'!IB52+'[7]TUB-2'!IB52+'[8]Barge-1'!IB52+'[8]Barge-2'!IB52+'[8]Barge-3'!IB52+'[8]Barge-4'!IB52</f>
        <v>75684956.25</v>
      </c>
      <c r="AA14" s="146">
        <f>'[2]AHTS-1'!IB14+'[2]AHTS-2'!IB14+'[2]AHTS-3'!IB14+'[2]AHTS-4'!IB14+'[2]AHTS-5'!IB14+'[2]AHTS-6'!IB14+'[2]AHTS-7'!IB14+'[2]AHTS-8'!IB14+'[3]CB-1'!IB14+'[3]CB-2'!IB14+'[3]CB-3'!IB14+'[3]CB-4'!IB14+'[3]CB-5'!IB14+'[3]CB-6'!IB14+'[3]CB-7'!IB14+'[3]CB-8'!IB14+'[3]CB-9'!IB14+'[3]CB-10'!IB14+'[3]CB-11'!IB14+'[3]CB-12'!IB14+'[3]CB-13'!IB14+'[3]CB-14'!IB14+'[3]CB-15'!IB14+'[3]CB-16'!IB14+'[3]CB-17'!IB14+'[3]CB-18'!IB14+'[3]CB-19'!IB14+'[3]CB-20'!IB14+'[3]CB-21'!IB14+'[3]CB-22'!IB14+'[3]CB-23'!IB14+'[3]CB-24'!IB14+'[4]LCT-1'!IB14+'[4]LCT-2'!IB14+'[4]LCT-3'!IB14+'[4]LCT-4'!IB14+'[4]LCT-5'!IB14+'[4]LCT-6'!IB14+'[4]LCT-7'!IB14+'[4]LCT-8'!IB14+'[5]TB-1'!IB14+'[5]TB-2'!IB14+'[5]TB-3'!IB14+'[5]TB-4'!IB14+'[5]TB-5'!IB14+'[5]TB-6'!IB14+'[5]TB-7'!IB14+'[5]TB-8'!IB14+'[5]TB-9'!IB14+'[5]TB-10'!IB14+'[6]DSV-1'!IB14+'[6]DSV-2'!IB14+'[6]DSV-3'!IB14+'[7]TUB-1'!IB14+'[7]TUB-2'!IB14+'[8]Barge-1'!IB14+'[8]Barge-2'!IB14+'[8]Barge-3'!IB14+'[8]Barge-4'!IB14</f>
        <v>61368750</v>
      </c>
      <c r="AB14" s="147">
        <f>'[2]AHTS-1'!IB85+'[2]AHTS-2'!IB85+'[2]AHTS-3'!IB85+'[2]AHTS-4'!IB85+'[2]AHTS-5'!IB85+'[2]AHTS-6'!IB85+'[2]AHTS-7'!IB85+'[2]AHTS-8'!IB85+'[3]CB-1'!IB85+'[3]CB-2'!IB85+'[3]CB-3'!IB85+'[3]CB-4'!IB85+'[3]CB-5'!IB85+'[3]CB-6'!IB85+'[3]CB-7'!IB85+'[3]CB-8'!IB85+'[3]CB-9'!IB85+'[3]CB-10'!IB85+'[3]CB-11'!IB85+'[3]CB-12'!IB85+'[3]CB-13'!IB85+'[3]CB-14'!IB85+'[3]CB-15'!IB85+'[3]CB-16'!IB85+'[3]CB-17'!IB85+'[3]CB-18'!IB85+'[3]CB-19'!IB85+'[3]CB-20'!IB85+'[3]CB-21'!IB85+'[3]CB-22'!IB85+'[3]CB-23'!IB85+'[3]CB-24'!IB85+'[4]LCT-1'!IB85+'[4]LCT-2'!IB85+'[4]LCT-3'!IB85+'[4]LCT-4'!IB85+'[4]LCT-5'!IB85+'[4]LCT-6'!IB85+'[4]LCT-7'!IB85+'[4]LCT-8'!IB85+'[5]TB-1'!IB85+'[5]TB-2'!IB85+'[5]TB-3'!IB85+'[5]TB-4'!IB85+'[5]TB-5'!IB85+'[5]TB-6'!IB85+'[5]TB-7'!IB85+'[5]TB-8'!IB85+'[5]TB-9'!IB85+'[5]TB-10'!IB85+'[6]DSV-1'!IB85+'[6]DSV-2'!IB85+'[6]DSV-3'!IB85+'[7]TUB-1'!IB85+'[7]TUB-2'!IB85+'[8]Barge-1'!IB85+'[8]Barge-2'!IB85+'[8]Barge-3'!IB85+'[8]Barge-4'!IB85</f>
        <v>0</v>
      </c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</row>
    <row r="15" spans="1:79" s="84" customFormat="1" ht="14.25" customHeight="1" thickBot="1" x14ac:dyDescent="0.3">
      <c r="A15" s="119">
        <f>[1]Control!AZ15</f>
        <v>45990</v>
      </c>
      <c r="B15" s="81"/>
      <c r="C15" s="159">
        <f>'[2]AHTS-1'!AT15+'[2]AHTS-2'!AT15+'[2]AHTS-3'!AT15+'[2]AHTS-4'!AT15+'[2]AHTS-5'!AT15+'[2]AHTS-6'!AT15+'[2]AHTS-7'!AT15+'[2]AHTS-8'!AT15+'[3]CB-1'!AT15+'[3]CB-2'!AT15+'[3]CB-3'!AT15+'[3]CB-4'!AT15+'[3]CB-5'!AT15+'[3]CB-6'!AT15+'[3]CB-7'!AT15+'[3]CB-8'!AT15+'[3]CB-9'!AT15+'[3]CB-10'!AT15+'[3]CB-11'!AT15+'[3]CB-12'!AT15+'[3]CB-13'!AT15+'[3]CB-14'!AT15+'[3]CB-15'!AT15+'[3]CB-16'!AT15+'[3]CB-17'!AT15+'[3]CB-18'!AT15+'[3]CB-19'!AT15+'[3]CB-20'!AT15+'[3]CB-21'!AT15+'[3]CB-22'!AT15+'[3]CB-23'!AT15+'[3]CB-24'!AT15+'[4]LCT-1'!AT15+'[4]LCT-2'!AT15+'[4]LCT-3'!AT15+'[4]LCT-4'!AT15+'[4]LCT-5'!AT15+'[4]LCT-6'!AT15+'[4]LCT-7'!AT15+'[4]LCT-8'!AT15+'[5]TB-1'!AT15+'[5]TB-2'!AT15+'[5]TB-3'!AT15+'[5]TB-4'!AT15+'[5]TB-5'!AT15+'[5]TB-6'!AT15+'[5]TB-7'!AT15+'[5]TB-8'!AT15+'[5]TB-9'!AT15+'[5]TB-10'!AT15+'[6]DSV-1'!AT15+'[6]DSV-2'!AT15+'[6]DSV-3'!AT15+'[7]TUB-1'!AT15+'[7]TUB-2'!AT15+'[8]Barge-1'!AT15+'[8]Barge-2'!AT15+'[8]Barge-3'!AT15+'[8]Barge-4'!AT15</f>
        <v>0</v>
      </c>
      <c r="D15" s="160">
        <f>'[2]AHTS-1'!BP15+'[2]AHTS-2'!BP15+'[2]AHTS-3'!BP15+'[2]AHTS-4'!BP15+'[2]AHTS-5'!BP15+'[2]AHTS-6'!BP15+'[2]AHTS-7'!BP15+'[2]AHTS-8'!BP15+'[3]CB-1'!BP15+'[3]CB-2'!BP15+'[3]CB-3'!BP15+'[3]CB-4'!BP15+'[3]CB-5'!BP15+'[3]CB-6'!BP15+'[3]CB-7'!BP15+'[3]CB-8'!BP15+'[3]CB-9'!BP15+'[3]CB-10'!BP15+'[3]CB-11'!BP15+'[3]CB-12'!BP15+'[3]CB-13'!BP15+'[3]CB-14'!BP15+'[3]CB-15'!BP15+'[3]CB-16'!BP15+'[3]CB-17'!BP15+'[3]CB-18'!BP15+'[3]CB-19'!BP15+'[3]CB-20'!BP15+'[3]CB-21'!BP15+'[3]CB-22'!BP15+'[3]CB-23'!BP15+'[3]CB-24'!BP15+'[4]LCT-1'!BP15+'[4]LCT-2'!BP15+'[4]LCT-3'!BP15+'[4]LCT-4'!BP15+'[4]LCT-5'!BP15+'[4]LCT-6'!BP15+'[4]LCT-7'!BP15+'[4]LCT-8'!BP15+'[5]TB-1'!BP15+'[5]TB-2'!BP15+'[5]TB-3'!BP15+'[5]TB-4'!BP15+'[5]TB-5'!BP15+'[5]TB-6'!BP15+'[5]TB-7'!BP15+'[5]TB-8'!BP15+'[5]TB-9'!BP15+'[5]TB-10'!BP15+'[6]DSV-1'!BP15+'[6]DSV-2'!BP15+'[6]DSV-3'!BP15+'[7]TUB-1'!BP15+'[7]TUB-2'!BP15+'[8]Barge-1'!BP15+'[8]Barge-2'!BP15+'[8]Barge-3'!BP15+'[8]Barge-4'!BP15</f>
        <v>0</v>
      </c>
      <c r="E15" s="161">
        <f>'[2]AHTS-1'!CL15+'[2]AHTS-2'!CL15+'[2]AHTS-3'!CL15+'[2]AHTS-4'!CL15+'[2]AHTS-5'!CL15+'[2]AHTS-6'!CL15+'[2]AHTS-7'!CL15+'[2]AHTS-8'!CL15+'[3]CB-1'!CL15+'[3]CB-2'!CL15+'[3]CB-3'!CL15+'[3]CB-4'!CL15+'[3]CB-5'!CL15+'[3]CB-6'!CL15+'[3]CB-7'!CL15+'[3]CB-8'!CL15+'[3]CB-9'!CL15+'[3]CB-10'!CL15+'[3]CB-11'!CL15+'[3]CB-12'!CL15+'[3]CB-13'!CL15+'[3]CB-14'!CL15+'[3]CB-15'!CL15+'[3]CB-16'!CL15+'[3]CB-17'!CL15+'[3]CB-18'!CL15+'[3]CB-19'!CL15+'[3]CB-20'!CL15+'[3]CB-21'!CL15+'[3]CB-22'!CL15+'[3]CB-23'!CL15+'[3]CB-24'!CL15+'[4]LCT-1'!CL15+'[4]LCT-2'!CL15+'[4]LCT-3'!CL15+'[4]LCT-4'!CL15+'[4]LCT-5'!CL15+'[4]LCT-6'!CL15+'[4]LCT-7'!CL15+'[4]LCT-8'!CL15+'[5]TB-1'!CL15+'[5]TB-2'!CL15+'[5]TB-3'!CL15+'[5]TB-4'!CL15+'[5]TB-5'!CL15+'[5]TB-6'!CL15+'[5]TB-7'!CL15+'[5]TB-8'!CL15+'[5]TB-9'!CL15+'[5]TB-10'!CL15+'[6]DSV-1'!CL15+'[6]DSV-2'!CL15+'[6]DSV-3'!CL15+'[7]TUB-1'!CL15+'[7]TUB-2'!CL15+'[8]Barge-1'!CL15+'[8]Barge-2'!CL15+'[8]Barge-3'!CL15+'[8]Barge-4'!CL15</f>
        <v>0</v>
      </c>
      <c r="F15" s="159">
        <f>'[2]AHTS-1'!AU15+'[2]AHTS-2'!AU15+'[2]AHTS-3'!AU15+'[2]AHTS-4'!AU15+'[2]AHTS-5'!AU15+'[2]AHTS-6'!AU15+'[2]AHTS-7'!AU15+'[2]AHTS-8'!AU15+'[3]CB-1'!AU15+'[3]CB-2'!AU15+'[3]CB-3'!AU15+'[3]CB-4'!AU15+'[3]CB-5'!AU15+'[3]CB-6'!AU15+'[3]CB-7'!AU15+'[3]CB-8'!AU15+'[3]CB-9'!AU15+'[3]CB-10'!AU15+'[3]CB-11'!AU15+'[3]CB-12'!AU15+'[3]CB-13'!AU15+'[3]CB-14'!AU15+'[3]CB-15'!AU15+'[3]CB-16'!AU15+'[3]CB-17'!AU15+'[3]CB-18'!AU15+'[3]CB-19'!AU15+'[3]CB-20'!AU15+'[3]CB-21'!AU15+'[3]CB-22'!AU15+'[3]CB-23'!AU15+'[3]CB-24'!AU15+'[4]LCT-1'!AU15+'[4]LCT-2'!AU15+'[4]LCT-3'!AU15+'[4]LCT-4'!AU15+'[4]LCT-5'!AU15+'[4]LCT-6'!AU15+'[4]LCT-7'!AU15+'[4]LCT-8'!AU15+'[5]TB-1'!AU15+'[5]TB-2'!AU15+'[5]TB-3'!AU15+'[5]TB-4'!AU15+'[5]TB-5'!AU15+'[5]TB-6'!AU15+'[5]TB-7'!AU15+'[5]TB-8'!AU15+'[5]TB-9'!AU15+'[5]TB-10'!AU15+'[6]DSV-1'!AU15+'[6]DSV-2'!AU15+'[6]DSV-3'!AU15+'[7]TUB-1'!AU15+'[7]TUB-2'!AU15+'[8]Barge-1'!AU15+'[8]Barge-2'!AU15+'[8]Barge-3'!AU15+'[8]Barge-4'!AU15</f>
        <v>3125.3620276367742</v>
      </c>
      <c r="G15" s="160">
        <f>'[2]AHTS-1'!BQ15+'[2]AHTS-2'!BQ15+'[2]AHTS-3'!BQ15+'[2]AHTS-4'!BQ15+'[2]AHTS-5'!BQ15+'[2]AHTS-6'!BQ15+'[2]AHTS-7'!BQ15+'[2]AHTS-8'!BQ15+'[3]CB-1'!BQ15+'[3]CB-2'!BQ15+'[3]CB-3'!BQ15+'[3]CB-4'!BQ15+'[3]CB-5'!BQ15+'[3]CB-6'!BQ15+'[3]CB-7'!BQ15+'[3]CB-8'!BQ15+'[3]CB-9'!BQ15+'[3]CB-10'!BQ15+'[3]CB-11'!BQ15+'[3]CB-12'!BQ15+'[3]CB-13'!BQ15+'[3]CB-14'!BQ15+'[3]CB-15'!BQ15+'[3]CB-16'!BQ15+'[3]CB-17'!BQ15+'[3]CB-18'!BQ15+'[3]CB-19'!BQ15+'[3]CB-20'!BQ15+'[3]CB-21'!BQ15+'[3]CB-22'!BQ15+'[3]CB-23'!BQ15+'[3]CB-24'!BQ15+'[4]LCT-1'!BQ15+'[4]LCT-2'!BQ15+'[4]LCT-3'!BQ15+'[4]LCT-4'!BQ15+'[4]LCT-5'!BQ15+'[4]LCT-6'!BQ15+'[4]LCT-7'!BQ15+'[4]LCT-8'!BQ15+'[5]TB-1'!BQ15+'[5]TB-2'!BQ15+'[5]TB-3'!BQ15+'[5]TB-4'!BQ15+'[5]TB-5'!BQ15+'[5]TB-6'!BQ15+'[5]TB-7'!BQ15+'[5]TB-8'!BQ15+'[5]TB-9'!BQ15+'[5]TB-10'!BQ15+'[6]DSV-1'!BQ15+'[6]DSV-2'!BQ15+'[6]DSV-3'!BQ15+'[7]TUB-1'!BQ15+'[7]TUB-2'!BQ15+'[8]Barge-1'!BQ15+'[8]Barge-2'!BQ15+'[8]Barge-3'!BQ15+'[8]Barge-4'!BQ15</f>
        <v>3937.4471235194583</v>
      </c>
      <c r="H15" s="161">
        <f>'[2]AHTS-1'!CM15+'[2]AHTS-2'!CM15+'[2]AHTS-3'!CM15+'[2]AHTS-4'!CM15+'[2]AHTS-5'!CM15+'[2]AHTS-6'!CM15+'[2]AHTS-7'!CM15+'[2]AHTS-8'!CM15+'[3]CB-1'!CM15+'[3]CB-2'!CM15+'[3]CB-3'!CM15+'[3]CB-4'!CM15+'[3]CB-5'!CM15+'[3]CB-6'!CM15+'[3]CB-7'!CM15+'[3]CB-8'!CM15+'[3]CB-9'!CM15+'[3]CB-10'!CM15+'[3]CB-11'!CM15+'[3]CB-12'!CM15+'[3]CB-13'!CM15+'[3]CB-14'!CM15+'[3]CB-15'!CM15+'[3]CB-16'!CM15+'[3]CB-17'!CM15+'[3]CB-18'!CM15+'[3]CB-19'!CM15+'[3]CB-20'!CM15+'[3]CB-21'!CM15+'[3]CB-22'!CM15+'[3]CB-23'!CM15+'[3]CB-24'!CM15+'[4]LCT-1'!CM15+'[4]LCT-2'!CM15+'[4]LCT-3'!CM15+'[4]LCT-4'!CM15+'[4]LCT-5'!CM15+'[4]LCT-6'!CM15+'[4]LCT-7'!CM15+'[4]LCT-8'!CM15+'[5]TB-1'!CM15+'[5]TB-2'!CM15+'[5]TB-3'!CM15+'[5]TB-4'!CM15+'[5]TB-5'!CM15+'[5]TB-6'!CM15+'[5]TB-7'!CM15+'[5]TB-8'!CM15+'[5]TB-9'!CM15+'[5]TB-10'!CM15+'[6]DSV-1'!CM15+'[6]DSV-2'!CM15+'[6]DSV-3'!CM15+'[7]TUB-1'!CM15+'[7]TUB-2'!CM15+'[8]Barge-1'!CM15+'[8]Barge-2'!CM15+'[8]Barge-3'!CM15+'[8]Barge-4'!CM15</f>
        <v>0</v>
      </c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110"/>
      <c r="U15" s="119">
        <f>[1]Control!AZ15</f>
        <v>45990</v>
      </c>
      <c r="V15" s="81"/>
      <c r="W15" s="145">
        <f>'[2]AHTS-1'!IA53+'[2]AHTS-2'!IA53+'[2]AHTS-3'!IA53+'[2]AHTS-4'!IA53+'[2]AHTS-5'!IA53+'[2]AHTS-6'!IA53+'[2]AHTS-7'!IA53+'[2]AHTS-8'!IA53+'[3]CB-1'!IA53+'[3]CB-2'!IA53+'[3]CB-3'!IA53+'[3]CB-4'!IA53+'[3]CB-5'!IA53+'[3]CB-6'!IA53+'[3]CB-7'!IA53+'[3]CB-8'!IA53+'[3]CB-9'!IA53+'[3]CB-10'!IA53+'[3]CB-11'!IA53+'[3]CB-12'!IA53+'[3]CB-13'!IA53+'[3]CB-14'!IA53+'[3]CB-15'!IA53+'[3]CB-16'!IA53+'[3]CB-17'!IA53+'[3]CB-18'!IA53+'[3]CB-19'!IA53+'[3]CB-20'!IA53+'[3]CB-21'!IA53+'[3]CB-22'!IA53+'[3]CB-23'!IA53+'[3]CB-24'!IA53+'[4]LCT-1'!IA53+'[4]LCT-2'!IA53+'[4]LCT-3'!IA53+'[4]LCT-4'!IA53+'[4]LCT-5'!IA53+'[4]LCT-6'!IA53+'[4]LCT-7'!IA53+'[4]LCT-8'!IA53+'[5]TB-1'!IA53+'[5]TB-2'!IA53+'[5]TB-3'!IA53+'[5]TB-4'!IA53+'[5]TB-5'!IA53+'[5]TB-6'!IA53+'[5]TB-7'!IA53+'[5]TB-8'!IA53+'[5]TB-9'!IA53+'[5]TB-10'!IA53+'[6]DSV-1'!IA53+'[6]DSV-2'!IA53+'[6]DSV-3'!IA53+'[7]TUB-1'!IA53+'[7]TUB-2'!IA53+'[8]Barge-1'!IA53+'[8]Barge-2'!IA53+'[8]Barge-3'!IA53+'[8]Barge-4'!IA53</f>
        <v>0</v>
      </c>
      <c r="X15" s="146">
        <f>'[2]AHTS-1'!IA15+'[2]AHTS-2'!IA15+'[2]AHTS-3'!IA15+'[2]AHTS-4'!IA15+'[2]AHTS-5'!IA15+'[2]AHTS-6'!IA15+'[2]AHTS-7'!IA15+'[2]AHTS-8'!IA15+'[3]CB-1'!IA15+'[3]CB-2'!IA15+'[3]CB-3'!IA15+'[3]CB-4'!IA15+'[3]CB-5'!IA15+'[3]CB-6'!IA15+'[3]CB-7'!IA15+'[3]CB-8'!IA15+'[3]CB-9'!IA15+'[3]CB-10'!IA15+'[3]CB-11'!IA15+'[3]CB-12'!IA15+'[3]CB-13'!IA15+'[3]CB-14'!IA15+'[3]CB-15'!IA15+'[3]CB-16'!IA15+'[3]CB-17'!IA15+'[3]CB-18'!IA15+'[3]CB-19'!IA15+'[3]CB-20'!IA15+'[3]CB-21'!IA15+'[3]CB-22'!IA15+'[3]CB-23'!IA15+'[3]CB-24'!IA15+'[4]LCT-1'!IA15+'[4]LCT-2'!IA15+'[4]LCT-3'!IA15+'[4]LCT-4'!IA15+'[4]LCT-5'!IA15+'[4]LCT-6'!IA15+'[4]LCT-7'!IA15+'[4]LCT-8'!IA15+'[5]TB-1'!IA15+'[5]TB-2'!IA15+'[5]TB-3'!IA15+'[5]TB-4'!IA15+'[5]TB-5'!IA15+'[5]TB-6'!IA15+'[5]TB-7'!IA15+'[5]TB-8'!IA15+'[5]TB-9'!IA15+'[5]TB-10'!IA15+'[6]DSV-1'!IA15+'[6]DSV-2'!IA15+'[6]DSV-3'!IA15+'[7]TUB-1'!IA15+'[7]TUB-2'!IA15+'[8]Barge-1'!IA15+'[8]Barge-2'!IA15+'[8]Barge-3'!IA15+'[8]Barge-4'!IA15</f>
        <v>0</v>
      </c>
      <c r="Y15" s="147">
        <f>'[2]AHTS-1'!IA86+'[2]AHTS-2'!IA86+'[2]AHTS-3'!IA86+'[2]AHTS-4'!IA86+'[2]AHTS-5'!IA86+'[2]AHTS-6'!IA86+'[2]AHTS-7'!IA86+'[2]AHTS-8'!IA86+'[3]CB-1'!IA86+'[3]CB-2'!IA86+'[3]CB-3'!IA86+'[3]CB-4'!IA86+'[3]CB-5'!IA86+'[3]CB-6'!IA86+'[3]CB-7'!IA86+'[3]CB-8'!IA86+'[3]CB-9'!IA86+'[3]CB-10'!IA86+'[3]CB-11'!IA86+'[3]CB-12'!IA86+'[3]CB-13'!IA86+'[3]CB-14'!IA86+'[3]CB-15'!IA86+'[3]CB-16'!IA86+'[3]CB-17'!IA86+'[3]CB-18'!IA86+'[3]CB-19'!IA86+'[3]CB-20'!IA86+'[3]CB-21'!IA86+'[3]CB-22'!IA86+'[3]CB-23'!IA86+'[3]CB-24'!IA86+'[4]LCT-1'!IA86+'[4]LCT-2'!IA86+'[4]LCT-3'!IA86+'[4]LCT-4'!IA86+'[4]LCT-5'!IA86+'[4]LCT-6'!IA86+'[4]LCT-7'!IA86+'[4]LCT-8'!IA86+'[5]TB-1'!IA86+'[5]TB-2'!IA86+'[5]TB-3'!IA86+'[5]TB-4'!IA86+'[5]TB-5'!IA86+'[5]TB-6'!IA86+'[5]TB-7'!IA86+'[5]TB-8'!IA86+'[5]TB-9'!IA86+'[5]TB-10'!IA86+'[6]DSV-1'!IA86+'[6]DSV-2'!IA86+'[6]DSV-3'!IA86+'[7]TUB-1'!IA86+'[7]TUB-2'!IA86+'[8]Barge-1'!IA86+'[8]Barge-2'!IA86+'[8]Barge-3'!IA86+'[8]Barge-4'!IA86</f>
        <v>0</v>
      </c>
      <c r="Z15" s="145">
        <f>'[2]AHTS-1'!IB53+'[2]AHTS-2'!IB53+'[2]AHTS-3'!IB53+'[2]AHTS-4'!IB53+'[2]AHTS-5'!IB53+'[2]AHTS-6'!IB53+'[2]AHTS-7'!IB53+'[2]AHTS-8'!IB53+'[3]CB-1'!IB53+'[3]CB-2'!IB53+'[3]CB-3'!IB53+'[3]CB-4'!IB53+'[3]CB-5'!IB53+'[3]CB-6'!IB53+'[3]CB-7'!IB53+'[3]CB-8'!IB53+'[3]CB-9'!IB53+'[3]CB-10'!IB53+'[3]CB-11'!IB53+'[3]CB-12'!IB53+'[3]CB-13'!IB53+'[3]CB-14'!IB53+'[3]CB-15'!IB53+'[3]CB-16'!IB53+'[3]CB-17'!IB53+'[3]CB-18'!IB53+'[3]CB-19'!IB53+'[3]CB-20'!IB53+'[3]CB-21'!IB53+'[3]CB-22'!IB53+'[3]CB-23'!IB53+'[3]CB-24'!IB53+'[4]LCT-1'!IB53+'[4]LCT-2'!IB53+'[4]LCT-3'!IB53+'[4]LCT-4'!IB53+'[4]LCT-5'!IB53+'[4]LCT-6'!IB53+'[4]LCT-7'!IB53+'[4]LCT-8'!IB53+'[5]TB-1'!IB53+'[5]TB-2'!IB53+'[5]TB-3'!IB53+'[5]TB-4'!IB53+'[5]TB-5'!IB53+'[5]TB-6'!IB53+'[5]TB-7'!IB53+'[5]TB-8'!IB53+'[5]TB-9'!IB53+'[5]TB-10'!IB53+'[6]DSV-1'!IB53+'[6]DSV-2'!IB53+'[6]DSV-3'!IB53+'[7]TUB-1'!IB53+'[7]TUB-2'!IB53+'[8]Barge-1'!IB53+'[8]Barge-2'!IB53+'[8]Barge-3'!IB53+'[8]Barge-4'!IB53</f>
        <v>49255705.555555552</v>
      </c>
      <c r="AA15" s="146">
        <f>'[2]AHTS-1'!IB15+'[2]AHTS-2'!IB15+'[2]AHTS-3'!IB15+'[2]AHTS-4'!IB15+'[2]AHTS-5'!IB15+'[2]AHTS-6'!IB15+'[2]AHTS-7'!IB15+'[2]AHTS-8'!IB15+'[3]CB-1'!IB15+'[3]CB-2'!IB15+'[3]CB-3'!IB15+'[3]CB-4'!IB15+'[3]CB-5'!IB15+'[3]CB-6'!IB15+'[3]CB-7'!IB15+'[3]CB-8'!IB15+'[3]CB-9'!IB15+'[3]CB-10'!IB15+'[3]CB-11'!IB15+'[3]CB-12'!IB15+'[3]CB-13'!IB15+'[3]CB-14'!IB15+'[3]CB-15'!IB15+'[3]CB-16'!IB15+'[3]CB-17'!IB15+'[3]CB-18'!IB15+'[3]CB-19'!IB15+'[3]CB-20'!IB15+'[3]CB-21'!IB15+'[3]CB-22'!IB15+'[3]CB-23'!IB15+'[3]CB-24'!IB15+'[4]LCT-1'!IB15+'[4]LCT-2'!IB15+'[4]LCT-3'!IB15+'[4]LCT-4'!IB15+'[4]LCT-5'!IB15+'[4]LCT-6'!IB15+'[4]LCT-7'!IB15+'[4]LCT-8'!IB15+'[5]TB-1'!IB15+'[5]TB-2'!IB15+'[5]TB-3'!IB15+'[5]TB-4'!IB15+'[5]TB-5'!IB15+'[5]TB-6'!IB15+'[5]TB-7'!IB15+'[5]TB-8'!IB15+'[5]TB-9'!IB15+'[5]TB-10'!IB15+'[6]DSV-1'!IB15+'[6]DSV-2'!IB15+'[6]DSV-3'!IB15+'[7]TUB-1'!IB15+'[7]TUB-2'!IB15+'[8]Barge-1'!IB15+'[8]Barge-2'!IB15+'[8]Barge-3'!IB15+'[8]Barge-4'!IB15</f>
        <v>62054166.666666664</v>
      </c>
      <c r="AB15" s="147">
        <f>'[2]AHTS-1'!IB86+'[2]AHTS-2'!IB86+'[2]AHTS-3'!IB86+'[2]AHTS-4'!IB86+'[2]AHTS-5'!IB86+'[2]AHTS-6'!IB86+'[2]AHTS-7'!IB86+'[2]AHTS-8'!IB86+'[3]CB-1'!IB86+'[3]CB-2'!IB86+'[3]CB-3'!IB86+'[3]CB-4'!IB86+'[3]CB-5'!IB86+'[3]CB-6'!IB86+'[3]CB-7'!IB86+'[3]CB-8'!IB86+'[3]CB-9'!IB86+'[3]CB-10'!IB86+'[3]CB-11'!IB86+'[3]CB-12'!IB86+'[3]CB-13'!IB86+'[3]CB-14'!IB86+'[3]CB-15'!IB86+'[3]CB-16'!IB86+'[3]CB-17'!IB86+'[3]CB-18'!IB86+'[3]CB-19'!IB86+'[3]CB-20'!IB86+'[3]CB-21'!IB86+'[3]CB-22'!IB86+'[3]CB-23'!IB86+'[3]CB-24'!IB86+'[4]LCT-1'!IB86+'[4]LCT-2'!IB86+'[4]LCT-3'!IB86+'[4]LCT-4'!IB86+'[4]LCT-5'!IB86+'[4]LCT-6'!IB86+'[4]LCT-7'!IB86+'[4]LCT-8'!IB86+'[5]TB-1'!IB86+'[5]TB-2'!IB86+'[5]TB-3'!IB86+'[5]TB-4'!IB86+'[5]TB-5'!IB86+'[5]TB-6'!IB86+'[5]TB-7'!IB86+'[5]TB-8'!IB86+'[5]TB-9'!IB86+'[5]TB-10'!IB86+'[6]DSV-1'!IB86+'[6]DSV-2'!IB86+'[6]DSV-3'!IB86+'[7]TUB-1'!IB86+'[7]TUB-2'!IB86+'[8]Barge-1'!IB86+'[8]Barge-2'!IB86+'[8]Barge-3'!IB86+'[8]Barge-4'!IB86</f>
        <v>0</v>
      </c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</row>
    <row r="16" spans="1:79" s="84" customFormat="1" ht="14.25" customHeight="1" thickBot="1" x14ac:dyDescent="0.3">
      <c r="A16" s="119">
        <f>[1]Control!AZ16</f>
        <v>45991</v>
      </c>
      <c r="B16" s="81"/>
      <c r="C16" s="159">
        <f>'[2]AHTS-1'!AT16+'[2]AHTS-2'!AT16+'[2]AHTS-3'!AT16+'[2]AHTS-4'!AT16+'[2]AHTS-5'!AT16+'[2]AHTS-6'!AT16+'[2]AHTS-7'!AT16+'[2]AHTS-8'!AT16+'[3]CB-1'!AT16+'[3]CB-2'!AT16+'[3]CB-3'!AT16+'[3]CB-4'!AT16+'[3]CB-5'!AT16+'[3]CB-6'!AT16+'[3]CB-7'!AT16+'[3]CB-8'!AT16+'[3]CB-9'!AT16+'[3]CB-10'!AT16+'[3]CB-11'!AT16+'[3]CB-12'!AT16+'[3]CB-13'!AT16+'[3]CB-14'!AT16+'[3]CB-15'!AT16+'[3]CB-16'!AT16+'[3]CB-17'!AT16+'[3]CB-18'!AT16+'[3]CB-19'!AT16+'[3]CB-20'!AT16+'[3]CB-21'!AT16+'[3]CB-22'!AT16+'[3]CB-23'!AT16+'[3]CB-24'!AT16+'[4]LCT-1'!AT16+'[4]LCT-2'!AT16+'[4]LCT-3'!AT16+'[4]LCT-4'!AT16+'[4]LCT-5'!AT16+'[4]LCT-6'!AT16+'[4]LCT-7'!AT16+'[4]LCT-8'!AT16+'[5]TB-1'!AT16+'[5]TB-2'!AT16+'[5]TB-3'!AT16+'[5]TB-4'!AT16+'[5]TB-5'!AT16+'[5]TB-6'!AT16+'[5]TB-7'!AT16+'[5]TB-8'!AT16+'[5]TB-9'!AT16+'[5]TB-10'!AT16+'[6]DSV-1'!AT16+'[6]DSV-2'!AT16+'[6]DSV-3'!AT16+'[7]TUB-1'!AT16+'[7]TUB-2'!AT16+'[8]Barge-1'!AT16+'[8]Barge-2'!AT16+'[8]Barge-3'!AT16+'[8]Barge-4'!AT16</f>
        <v>0</v>
      </c>
      <c r="D16" s="160">
        <f>'[2]AHTS-1'!BP16+'[2]AHTS-2'!BP16+'[2]AHTS-3'!BP16+'[2]AHTS-4'!BP16+'[2]AHTS-5'!BP16+'[2]AHTS-6'!BP16+'[2]AHTS-7'!BP16+'[2]AHTS-8'!BP16+'[3]CB-1'!BP16+'[3]CB-2'!BP16+'[3]CB-3'!BP16+'[3]CB-4'!BP16+'[3]CB-5'!BP16+'[3]CB-6'!BP16+'[3]CB-7'!BP16+'[3]CB-8'!BP16+'[3]CB-9'!BP16+'[3]CB-10'!BP16+'[3]CB-11'!BP16+'[3]CB-12'!BP16+'[3]CB-13'!BP16+'[3]CB-14'!BP16+'[3]CB-15'!BP16+'[3]CB-16'!BP16+'[3]CB-17'!BP16+'[3]CB-18'!BP16+'[3]CB-19'!BP16+'[3]CB-20'!BP16+'[3]CB-21'!BP16+'[3]CB-22'!BP16+'[3]CB-23'!BP16+'[3]CB-24'!BP16+'[4]LCT-1'!BP16+'[4]LCT-2'!BP16+'[4]LCT-3'!BP16+'[4]LCT-4'!BP16+'[4]LCT-5'!BP16+'[4]LCT-6'!BP16+'[4]LCT-7'!BP16+'[4]LCT-8'!BP16+'[5]TB-1'!BP16+'[5]TB-2'!BP16+'[5]TB-3'!BP16+'[5]TB-4'!BP16+'[5]TB-5'!BP16+'[5]TB-6'!BP16+'[5]TB-7'!BP16+'[5]TB-8'!BP16+'[5]TB-9'!BP16+'[5]TB-10'!BP16+'[6]DSV-1'!BP16+'[6]DSV-2'!BP16+'[6]DSV-3'!BP16+'[7]TUB-1'!BP16+'[7]TUB-2'!BP16+'[8]Barge-1'!BP16+'[8]Barge-2'!BP16+'[8]Barge-3'!BP16+'[8]Barge-4'!BP16</f>
        <v>0</v>
      </c>
      <c r="E16" s="161">
        <f>'[2]AHTS-1'!CL16+'[2]AHTS-2'!CL16+'[2]AHTS-3'!CL16+'[2]AHTS-4'!CL16+'[2]AHTS-5'!CL16+'[2]AHTS-6'!CL16+'[2]AHTS-7'!CL16+'[2]AHTS-8'!CL16+'[3]CB-1'!CL16+'[3]CB-2'!CL16+'[3]CB-3'!CL16+'[3]CB-4'!CL16+'[3]CB-5'!CL16+'[3]CB-6'!CL16+'[3]CB-7'!CL16+'[3]CB-8'!CL16+'[3]CB-9'!CL16+'[3]CB-10'!CL16+'[3]CB-11'!CL16+'[3]CB-12'!CL16+'[3]CB-13'!CL16+'[3]CB-14'!CL16+'[3]CB-15'!CL16+'[3]CB-16'!CL16+'[3]CB-17'!CL16+'[3]CB-18'!CL16+'[3]CB-19'!CL16+'[3]CB-20'!CL16+'[3]CB-21'!CL16+'[3]CB-22'!CL16+'[3]CB-23'!CL16+'[3]CB-24'!CL16+'[4]LCT-1'!CL16+'[4]LCT-2'!CL16+'[4]LCT-3'!CL16+'[4]LCT-4'!CL16+'[4]LCT-5'!CL16+'[4]LCT-6'!CL16+'[4]LCT-7'!CL16+'[4]LCT-8'!CL16+'[5]TB-1'!CL16+'[5]TB-2'!CL16+'[5]TB-3'!CL16+'[5]TB-4'!CL16+'[5]TB-5'!CL16+'[5]TB-6'!CL16+'[5]TB-7'!CL16+'[5]TB-8'!CL16+'[5]TB-9'!CL16+'[5]TB-10'!CL16+'[6]DSV-1'!CL16+'[6]DSV-2'!CL16+'[6]DSV-3'!CL16+'[7]TUB-1'!CL16+'[7]TUB-2'!CL16+'[8]Barge-1'!CL16+'[8]Barge-2'!CL16+'[8]Barge-3'!CL16+'[8]Barge-4'!CL16</f>
        <v>0</v>
      </c>
      <c r="F16" s="159">
        <f>'[2]AHTS-1'!AU16+'[2]AHTS-2'!AU16+'[2]AHTS-3'!AU16+'[2]AHTS-4'!AU16+'[2]AHTS-5'!AU16+'[2]AHTS-6'!AU16+'[2]AHTS-7'!AU16+'[2]AHTS-8'!AU16+'[3]CB-1'!AU16+'[3]CB-2'!AU16+'[3]CB-3'!AU16+'[3]CB-4'!AU16+'[3]CB-5'!AU16+'[3]CB-6'!AU16+'[3]CB-7'!AU16+'[3]CB-8'!AU16+'[3]CB-9'!AU16+'[3]CB-10'!AU16+'[3]CB-11'!AU16+'[3]CB-12'!AU16+'[3]CB-13'!AU16+'[3]CB-14'!AU16+'[3]CB-15'!AU16+'[3]CB-16'!AU16+'[3]CB-17'!AU16+'[3]CB-18'!AU16+'[3]CB-19'!AU16+'[3]CB-20'!AU16+'[3]CB-21'!AU16+'[3]CB-22'!AU16+'[3]CB-23'!AU16+'[3]CB-24'!AU16+'[4]LCT-1'!AU16+'[4]LCT-2'!AU16+'[4]LCT-3'!AU16+'[4]LCT-4'!AU16+'[4]LCT-5'!AU16+'[4]LCT-6'!AU16+'[4]LCT-7'!AU16+'[4]LCT-8'!AU16+'[5]TB-1'!AU16+'[5]TB-2'!AU16+'[5]TB-3'!AU16+'[5]TB-4'!AU16+'[5]TB-5'!AU16+'[5]TB-6'!AU16+'[5]TB-7'!AU16+'[5]TB-8'!AU16+'[5]TB-9'!AU16+'[5]TB-10'!AU16+'[6]DSV-1'!AU16+'[6]DSV-2'!AU16+'[6]DSV-3'!AU16+'[7]TUB-1'!AU16+'[7]TUB-2'!AU16+'[8]Barge-1'!AU16+'[8]Barge-2'!AU16+'[8]Barge-3'!AU16+'[8]Barge-4'!AU16</f>
        <v>3585.3643317230271</v>
      </c>
      <c r="G16" s="160">
        <f>'[2]AHTS-1'!BQ16+'[2]AHTS-2'!BQ16+'[2]AHTS-3'!BQ16+'[2]AHTS-4'!BQ16+'[2]AHTS-5'!BQ16+'[2]AHTS-6'!BQ16+'[2]AHTS-7'!BQ16+'[2]AHTS-8'!BQ16+'[3]CB-1'!BQ16+'[3]CB-2'!BQ16+'[3]CB-3'!BQ16+'[3]CB-4'!BQ16+'[3]CB-5'!BQ16+'[3]CB-6'!BQ16+'[3]CB-7'!BQ16+'[3]CB-8'!BQ16+'[3]CB-9'!BQ16+'[3]CB-10'!BQ16+'[3]CB-11'!BQ16+'[3]CB-12'!BQ16+'[3]CB-13'!BQ16+'[3]CB-14'!BQ16+'[3]CB-15'!BQ16+'[3]CB-16'!BQ16+'[3]CB-17'!BQ16+'[3]CB-18'!BQ16+'[3]CB-19'!BQ16+'[3]CB-20'!BQ16+'[3]CB-21'!BQ16+'[3]CB-22'!BQ16+'[3]CB-23'!BQ16+'[3]CB-24'!BQ16+'[4]LCT-1'!BQ16+'[4]LCT-2'!BQ16+'[4]LCT-3'!BQ16+'[4]LCT-4'!BQ16+'[4]LCT-5'!BQ16+'[4]LCT-6'!BQ16+'[4]LCT-7'!BQ16+'[4]LCT-8'!BQ16+'[5]TB-1'!BQ16+'[5]TB-2'!BQ16+'[5]TB-3'!BQ16+'[5]TB-4'!BQ16+'[5]TB-5'!BQ16+'[5]TB-6'!BQ16+'[5]TB-7'!BQ16+'[5]TB-8'!BQ16+'[5]TB-9'!BQ16+'[5]TB-10'!BQ16+'[6]DSV-1'!BQ16+'[6]DSV-2'!BQ16+'[6]DSV-3'!BQ16+'[7]TUB-1'!BQ16+'[7]TUB-2'!BQ16+'[8]Barge-1'!BQ16+'[8]Barge-2'!BQ16+'[8]Barge-3'!BQ16+'[8]Barge-4'!BQ16</f>
        <v>4278.553796931943</v>
      </c>
      <c r="H16" s="161">
        <f>'[2]AHTS-1'!CM16+'[2]AHTS-2'!CM16+'[2]AHTS-3'!CM16+'[2]AHTS-4'!CM16+'[2]AHTS-5'!CM16+'[2]AHTS-6'!CM16+'[2]AHTS-7'!CM16+'[2]AHTS-8'!CM16+'[3]CB-1'!CM16+'[3]CB-2'!CM16+'[3]CB-3'!CM16+'[3]CB-4'!CM16+'[3]CB-5'!CM16+'[3]CB-6'!CM16+'[3]CB-7'!CM16+'[3]CB-8'!CM16+'[3]CB-9'!CM16+'[3]CB-10'!CM16+'[3]CB-11'!CM16+'[3]CB-12'!CM16+'[3]CB-13'!CM16+'[3]CB-14'!CM16+'[3]CB-15'!CM16+'[3]CB-16'!CM16+'[3]CB-17'!CM16+'[3]CB-18'!CM16+'[3]CB-19'!CM16+'[3]CB-20'!CM16+'[3]CB-21'!CM16+'[3]CB-22'!CM16+'[3]CB-23'!CM16+'[3]CB-24'!CM16+'[4]LCT-1'!CM16+'[4]LCT-2'!CM16+'[4]LCT-3'!CM16+'[4]LCT-4'!CM16+'[4]LCT-5'!CM16+'[4]LCT-6'!CM16+'[4]LCT-7'!CM16+'[4]LCT-8'!CM16+'[5]TB-1'!CM16+'[5]TB-2'!CM16+'[5]TB-3'!CM16+'[5]TB-4'!CM16+'[5]TB-5'!CM16+'[5]TB-6'!CM16+'[5]TB-7'!CM16+'[5]TB-8'!CM16+'[5]TB-9'!CM16+'[5]TB-10'!CM16+'[6]DSV-1'!CM16+'[6]DSV-2'!CM16+'[6]DSV-3'!CM16+'[7]TUB-1'!CM16+'[7]TUB-2'!CM16+'[8]Barge-1'!CM16+'[8]Barge-2'!CM16+'[8]Barge-3'!CM16+'[8]Barge-4'!CM16</f>
        <v>0</v>
      </c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110"/>
      <c r="U16" s="119">
        <f>[1]Control!AZ16</f>
        <v>45991</v>
      </c>
      <c r="V16" s="81"/>
      <c r="W16" s="145">
        <f>'[2]AHTS-1'!IA54+'[2]AHTS-2'!IA54+'[2]AHTS-3'!IA54+'[2]AHTS-4'!IA54+'[2]AHTS-5'!IA54+'[2]AHTS-6'!IA54+'[2]AHTS-7'!IA54+'[2]AHTS-8'!IA54+'[3]CB-1'!IA54+'[3]CB-2'!IA54+'[3]CB-3'!IA54+'[3]CB-4'!IA54+'[3]CB-5'!IA54+'[3]CB-6'!IA54+'[3]CB-7'!IA54+'[3]CB-8'!IA54+'[3]CB-9'!IA54+'[3]CB-10'!IA54+'[3]CB-11'!IA54+'[3]CB-12'!IA54+'[3]CB-13'!IA54+'[3]CB-14'!IA54+'[3]CB-15'!IA54+'[3]CB-16'!IA54+'[3]CB-17'!IA54+'[3]CB-18'!IA54+'[3]CB-19'!IA54+'[3]CB-20'!IA54+'[3]CB-21'!IA54+'[3]CB-22'!IA54+'[3]CB-23'!IA54+'[3]CB-24'!IA54+'[4]LCT-1'!IA54+'[4]LCT-2'!IA54+'[4]LCT-3'!IA54+'[4]LCT-4'!IA54+'[4]LCT-5'!IA54+'[4]LCT-6'!IA54+'[4]LCT-7'!IA54+'[4]LCT-8'!IA54+'[5]TB-1'!IA54+'[5]TB-2'!IA54+'[5]TB-3'!IA54+'[5]TB-4'!IA54+'[5]TB-5'!IA54+'[5]TB-6'!IA54+'[5]TB-7'!IA54+'[5]TB-8'!IA54+'[5]TB-9'!IA54+'[5]TB-10'!IA54+'[6]DSV-1'!IA54+'[6]DSV-2'!IA54+'[6]DSV-3'!IA54+'[7]TUB-1'!IA54+'[7]TUB-2'!IA54+'[8]Barge-1'!IA54+'[8]Barge-2'!IA54+'[8]Barge-3'!IA54+'[8]Barge-4'!IA54</f>
        <v>0</v>
      </c>
      <c r="X16" s="146">
        <f>'[2]AHTS-1'!IA16+'[2]AHTS-2'!IA16+'[2]AHTS-3'!IA16+'[2]AHTS-4'!IA16+'[2]AHTS-5'!IA16+'[2]AHTS-6'!IA16+'[2]AHTS-7'!IA16+'[2]AHTS-8'!IA16+'[3]CB-1'!IA16+'[3]CB-2'!IA16+'[3]CB-3'!IA16+'[3]CB-4'!IA16+'[3]CB-5'!IA16+'[3]CB-6'!IA16+'[3]CB-7'!IA16+'[3]CB-8'!IA16+'[3]CB-9'!IA16+'[3]CB-10'!IA16+'[3]CB-11'!IA16+'[3]CB-12'!IA16+'[3]CB-13'!IA16+'[3]CB-14'!IA16+'[3]CB-15'!IA16+'[3]CB-16'!IA16+'[3]CB-17'!IA16+'[3]CB-18'!IA16+'[3]CB-19'!IA16+'[3]CB-20'!IA16+'[3]CB-21'!IA16+'[3]CB-22'!IA16+'[3]CB-23'!IA16+'[3]CB-24'!IA16+'[4]LCT-1'!IA16+'[4]LCT-2'!IA16+'[4]LCT-3'!IA16+'[4]LCT-4'!IA16+'[4]LCT-5'!IA16+'[4]LCT-6'!IA16+'[4]LCT-7'!IA16+'[4]LCT-8'!IA16+'[5]TB-1'!IA16+'[5]TB-2'!IA16+'[5]TB-3'!IA16+'[5]TB-4'!IA16+'[5]TB-5'!IA16+'[5]TB-6'!IA16+'[5]TB-7'!IA16+'[5]TB-8'!IA16+'[5]TB-9'!IA16+'[5]TB-10'!IA16+'[6]DSV-1'!IA16+'[6]DSV-2'!IA16+'[6]DSV-3'!IA16+'[7]TUB-1'!IA16+'[7]TUB-2'!IA16+'[8]Barge-1'!IA16+'[8]Barge-2'!IA16+'[8]Barge-3'!IA16+'[8]Barge-4'!IA16</f>
        <v>0</v>
      </c>
      <c r="Y16" s="147">
        <f>'[2]AHTS-1'!IA87+'[2]AHTS-2'!IA87+'[2]AHTS-3'!IA87+'[2]AHTS-4'!IA87+'[2]AHTS-5'!IA87+'[2]AHTS-6'!IA87+'[2]AHTS-7'!IA87+'[2]AHTS-8'!IA87+'[3]CB-1'!IA87+'[3]CB-2'!IA87+'[3]CB-3'!IA87+'[3]CB-4'!IA87+'[3]CB-5'!IA87+'[3]CB-6'!IA87+'[3]CB-7'!IA87+'[3]CB-8'!IA87+'[3]CB-9'!IA87+'[3]CB-10'!IA87+'[3]CB-11'!IA87+'[3]CB-12'!IA87+'[3]CB-13'!IA87+'[3]CB-14'!IA87+'[3]CB-15'!IA87+'[3]CB-16'!IA87+'[3]CB-17'!IA87+'[3]CB-18'!IA87+'[3]CB-19'!IA87+'[3]CB-20'!IA87+'[3]CB-21'!IA87+'[3]CB-22'!IA87+'[3]CB-23'!IA87+'[3]CB-24'!IA87+'[4]LCT-1'!IA87+'[4]LCT-2'!IA87+'[4]LCT-3'!IA87+'[4]LCT-4'!IA87+'[4]LCT-5'!IA87+'[4]LCT-6'!IA87+'[4]LCT-7'!IA87+'[4]LCT-8'!IA87+'[5]TB-1'!IA87+'[5]TB-2'!IA87+'[5]TB-3'!IA87+'[5]TB-4'!IA87+'[5]TB-5'!IA87+'[5]TB-6'!IA87+'[5]TB-7'!IA87+'[5]TB-8'!IA87+'[5]TB-9'!IA87+'[5]TB-10'!IA87+'[6]DSV-1'!IA87+'[6]DSV-2'!IA87+'[6]DSV-3'!IA87+'[7]TUB-1'!IA87+'[7]TUB-2'!IA87+'[8]Barge-1'!IA87+'[8]Barge-2'!IA87+'[8]Barge-3'!IA87+'[8]Barge-4'!IA87</f>
        <v>0</v>
      </c>
      <c r="Z16" s="145">
        <f>'[2]AHTS-1'!IB54+'[2]AHTS-2'!IB54+'[2]AHTS-3'!IB54+'[2]AHTS-4'!IB54+'[2]AHTS-5'!IB54+'[2]AHTS-6'!IB54+'[2]AHTS-7'!IB54+'[2]AHTS-8'!IB54+'[3]CB-1'!IB54+'[3]CB-2'!IB54+'[3]CB-3'!IB54+'[3]CB-4'!IB54+'[3]CB-5'!IB54+'[3]CB-6'!IB54+'[3]CB-7'!IB54+'[3]CB-8'!IB54+'[3]CB-9'!IB54+'[3]CB-10'!IB54+'[3]CB-11'!IB54+'[3]CB-12'!IB54+'[3]CB-13'!IB54+'[3]CB-14'!IB54+'[3]CB-15'!IB54+'[3]CB-16'!IB54+'[3]CB-17'!IB54+'[3]CB-18'!IB54+'[3]CB-19'!IB54+'[3]CB-20'!IB54+'[3]CB-21'!IB54+'[3]CB-22'!IB54+'[3]CB-23'!IB54+'[3]CB-24'!IB54+'[4]LCT-1'!IB54+'[4]LCT-2'!IB54+'[4]LCT-3'!IB54+'[4]LCT-4'!IB54+'[4]LCT-5'!IB54+'[4]LCT-6'!IB54+'[4]LCT-7'!IB54+'[4]LCT-8'!IB54+'[5]TB-1'!IB54+'[5]TB-2'!IB54+'[5]TB-3'!IB54+'[5]TB-4'!IB54+'[5]TB-5'!IB54+'[5]TB-6'!IB54+'[5]TB-7'!IB54+'[5]TB-8'!IB54+'[5]TB-9'!IB54+'[5]TB-10'!IB54+'[6]DSV-1'!IB54+'[6]DSV-2'!IB54+'[6]DSV-3'!IB54+'[7]TUB-1'!IB54+'[7]TUB-2'!IB54+'[8]Barge-1'!IB54+'[8]Barge-2'!IB54+'[8]Barge-3'!IB54+'[8]Barge-4'!IB54</f>
        <v>56404951.666666664</v>
      </c>
      <c r="AA16" s="146">
        <f>'[2]AHTS-1'!IB16+'[2]AHTS-2'!IB16+'[2]AHTS-3'!IB16+'[2]AHTS-4'!IB16+'[2]AHTS-5'!IB16+'[2]AHTS-6'!IB16+'[2]AHTS-7'!IB16+'[2]AHTS-8'!IB16+'[3]CB-1'!IB16+'[3]CB-2'!IB16+'[3]CB-3'!IB16+'[3]CB-4'!IB16+'[3]CB-5'!IB16+'[3]CB-6'!IB16+'[3]CB-7'!IB16+'[3]CB-8'!IB16+'[3]CB-9'!IB16+'[3]CB-10'!IB16+'[3]CB-11'!IB16+'[3]CB-12'!IB16+'[3]CB-13'!IB16+'[3]CB-14'!IB16+'[3]CB-15'!IB16+'[3]CB-16'!IB16+'[3]CB-17'!IB16+'[3]CB-18'!IB16+'[3]CB-19'!IB16+'[3]CB-20'!IB16+'[3]CB-21'!IB16+'[3]CB-22'!IB16+'[3]CB-23'!IB16+'[3]CB-24'!IB16+'[4]LCT-1'!IB16+'[4]LCT-2'!IB16+'[4]LCT-3'!IB16+'[4]LCT-4'!IB16+'[4]LCT-5'!IB16+'[4]LCT-6'!IB16+'[4]LCT-7'!IB16+'[4]LCT-8'!IB16+'[5]TB-1'!IB16+'[5]TB-2'!IB16+'[5]TB-3'!IB16+'[5]TB-4'!IB16+'[5]TB-5'!IB16+'[5]TB-6'!IB16+'[5]TB-7'!IB16+'[5]TB-8'!IB16+'[5]TB-9'!IB16+'[5]TB-10'!IB16+'[6]DSV-1'!IB16+'[6]DSV-2'!IB16+'[6]DSV-3'!IB16+'[7]TUB-1'!IB16+'[7]TUB-2'!IB16+'[8]Barge-1'!IB16+'[8]Barge-2'!IB16+'[8]Barge-3'!IB16+'[8]Barge-4'!IB16</f>
        <v>67310208.333333343</v>
      </c>
      <c r="AB16" s="147">
        <f>'[2]AHTS-1'!IB87+'[2]AHTS-2'!IB87+'[2]AHTS-3'!IB87+'[2]AHTS-4'!IB87+'[2]AHTS-5'!IB87+'[2]AHTS-6'!IB87+'[2]AHTS-7'!IB87+'[2]AHTS-8'!IB87+'[3]CB-1'!IB87+'[3]CB-2'!IB87+'[3]CB-3'!IB87+'[3]CB-4'!IB87+'[3]CB-5'!IB87+'[3]CB-6'!IB87+'[3]CB-7'!IB87+'[3]CB-8'!IB87+'[3]CB-9'!IB87+'[3]CB-10'!IB87+'[3]CB-11'!IB87+'[3]CB-12'!IB87+'[3]CB-13'!IB87+'[3]CB-14'!IB87+'[3]CB-15'!IB87+'[3]CB-16'!IB87+'[3]CB-17'!IB87+'[3]CB-18'!IB87+'[3]CB-19'!IB87+'[3]CB-20'!IB87+'[3]CB-21'!IB87+'[3]CB-22'!IB87+'[3]CB-23'!IB87+'[3]CB-24'!IB87+'[4]LCT-1'!IB87+'[4]LCT-2'!IB87+'[4]LCT-3'!IB87+'[4]LCT-4'!IB87+'[4]LCT-5'!IB87+'[4]LCT-6'!IB87+'[4]LCT-7'!IB87+'[4]LCT-8'!IB87+'[5]TB-1'!IB87+'[5]TB-2'!IB87+'[5]TB-3'!IB87+'[5]TB-4'!IB87+'[5]TB-5'!IB87+'[5]TB-6'!IB87+'[5]TB-7'!IB87+'[5]TB-8'!IB87+'[5]TB-9'!IB87+'[5]TB-10'!IB87+'[6]DSV-1'!IB87+'[6]DSV-2'!IB87+'[6]DSV-3'!IB87+'[7]TUB-1'!IB87+'[7]TUB-2'!IB87+'[8]Barge-1'!IB87+'[8]Barge-2'!IB87+'[8]Barge-3'!IB87+'[8]Barge-4'!IB87</f>
        <v>0</v>
      </c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</row>
    <row r="17" spans="1:79" s="84" customFormat="1" ht="14.25" customHeight="1" thickBot="1" x14ac:dyDescent="0.3">
      <c r="A17" s="119">
        <f>[1]Control!AZ17</f>
        <v>45992</v>
      </c>
      <c r="B17" s="81"/>
      <c r="C17" s="159">
        <f>'[2]AHTS-1'!AT17+'[2]AHTS-2'!AT17+'[2]AHTS-3'!AT17+'[2]AHTS-4'!AT17+'[2]AHTS-5'!AT17+'[2]AHTS-6'!AT17+'[2]AHTS-7'!AT17+'[2]AHTS-8'!AT17+'[3]CB-1'!AT17+'[3]CB-2'!AT17+'[3]CB-3'!AT17+'[3]CB-4'!AT17+'[3]CB-5'!AT17+'[3]CB-6'!AT17+'[3]CB-7'!AT17+'[3]CB-8'!AT17+'[3]CB-9'!AT17+'[3]CB-10'!AT17+'[3]CB-11'!AT17+'[3]CB-12'!AT17+'[3]CB-13'!AT17+'[3]CB-14'!AT17+'[3]CB-15'!AT17+'[3]CB-16'!AT17+'[3]CB-17'!AT17+'[3]CB-18'!AT17+'[3]CB-19'!AT17+'[3]CB-20'!AT17+'[3]CB-21'!AT17+'[3]CB-22'!AT17+'[3]CB-23'!AT17+'[3]CB-24'!AT17+'[4]LCT-1'!AT17+'[4]LCT-2'!AT17+'[4]LCT-3'!AT17+'[4]LCT-4'!AT17+'[4]LCT-5'!AT17+'[4]LCT-6'!AT17+'[4]LCT-7'!AT17+'[4]LCT-8'!AT17+'[5]TB-1'!AT17+'[5]TB-2'!AT17+'[5]TB-3'!AT17+'[5]TB-4'!AT17+'[5]TB-5'!AT17+'[5]TB-6'!AT17+'[5]TB-7'!AT17+'[5]TB-8'!AT17+'[5]TB-9'!AT17+'[5]TB-10'!AT17+'[6]DSV-1'!AT17+'[6]DSV-2'!AT17+'[6]DSV-3'!AT17+'[7]TUB-1'!AT17+'[7]TUB-2'!AT17+'[8]Barge-1'!AT17+'[8]Barge-2'!AT17+'[8]Barge-3'!AT17+'[8]Barge-4'!AT17</f>
        <v>0</v>
      </c>
      <c r="D17" s="160">
        <f>'[2]AHTS-1'!BP17+'[2]AHTS-2'!BP17+'[2]AHTS-3'!BP17+'[2]AHTS-4'!BP17+'[2]AHTS-5'!BP17+'[2]AHTS-6'!BP17+'[2]AHTS-7'!BP17+'[2]AHTS-8'!BP17+'[3]CB-1'!BP17+'[3]CB-2'!BP17+'[3]CB-3'!BP17+'[3]CB-4'!BP17+'[3]CB-5'!BP17+'[3]CB-6'!BP17+'[3]CB-7'!BP17+'[3]CB-8'!BP17+'[3]CB-9'!BP17+'[3]CB-10'!BP17+'[3]CB-11'!BP17+'[3]CB-12'!BP17+'[3]CB-13'!BP17+'[3]CB-14'!BP17+'[3]CB-15'!BP17+'[3]CB-16'!BP17+'[3]CB-17'!BP17+'[3]CB-18'!BP17+'[3]CB-19'!BP17+'[3]CB-20'!BP17+'[3]CB-21'!BP17+'[3]CB-22'!BP17+'[3]CB-23'!BP17+'[3]CB-24'!BP17+'[4]LCT-1'!BP17+'[4]LCT-2'!BP17+'[4]LCT-3'!BP17+'[4]LCT-4'!BP17+'[4]LCT-5'!BP17+'[4]LCT-6'!BP17+'[4]LCT-7'!BP17+'[4]LCT-8'!BP17+'[5]TB-1'!BP17+'[5]TB-2'!BP17+'[5]TB-3'!BP17+'[5]TB-4'!BP17+'[5]TB-5'!BP17+'[5]TB-6'!BP17+'[5]TB-7'!BP17+'[5]TB-8'!BP17+'[5]TB-9'!BP17+'[5]TB-10'!BP17+'[6]DSV-1'!BP17+'[6]DSV-2'!BP17+'[6]DSV-3'!BP17+'[7]TUB-1'!BP17+'[7]TUB-2'!BP17+'[8]Barge-1'!BP17+'[8]Barge-2'!BP17+'[8]Barge-3'!BP17+'[8]Barge-4'!BP17</f>
        <v>0</v>
      </c>
      <c r="E17" s="161">
        <f>'[2]AHTS-1'!CL17+'[2]AHTS-2'!CL17+'[2]AHTS-3'!CL17+'[2]AHTS-4'!CL17+'[2]AHTS-5'!CL17+'[2]AHTS-6'!CL17+'[2]AHTS-7'!CL17+'[2]AHTS-8'!CL17+'[3]CB-1'!CL17+'[3]CB-2'!CL17+'[3]CB-3'!CL17+'[3]CB-4'!CL17+'[3]CB-5'!CL17+'[3]CB-6'!CL17+'[3]CB-7'!CL17+'[3]CB-8'!CL17+'[3]CB-9'!CL17+'[3]CB-10'!CL17+'[3]CB-11'!CL17+'[3]CB-12'!CL17+'[3]CB-13'!CL17+'[3]CB-14'!CL17+'[3]CB-15'!CL17+'[3]CB-16'!CL17+'[3]CB-17'!CL17+'[3]CB-18'!CL17+'[3]CB-19'!CL17+'[3]CB-20'!CL17+'[3]CB-21'!CL17+'[3]CB-22'!CL17+'[3]CB-23'!CL17+'[3]CB-24'!CL17+'[4]LCT-1'!CL17+'[4]LCT-2'!CL17+'[4]LCT-3'!CL17+'[4]LCT-4'!CL17+'[4]LCT-5'!CL17+'[4]LCT-6'!CL17+'[4]LCT-7'!CL17+'[4]LCT-8'!CL17+'[5]TB-1'!CL17+'[5]TB-2'!CL17+'[5]TB-3'!CL17+'[5]TB-4'!CL17+'[5]TB-5'!CL17+'[5]TB-6'!CL17+'[5]TB-7'!CL17+'[5]TB-8'!CL17+'[5]TB-9'!CL17+'[5]TB-10'!CL17+'[6]DSV-1'!CL17+'[6]DSV-2'!CL17+'[6]DSV-3'!CL17+'[7]TUB-1'!CL17+'[7]TUB-2'!CL17+'[8]Barge-1'!CL17+'[8]Barge-2'!CL17+'[8]Barge-3'!CL17+'[8]Barge-4'!CL17</f>
        <v>0</v>
      </c>
      <c r="F17" s="159">
        <f>'[2]AHTS-1'!AU17+'[2]AHTS-2'!AU17+'[2]AHTS-3'!AU17+'[2]AHTS-4'!AU17+'[2]AHTS-5'!AU17+'[2]AHTS-6'!AU17+'[2]AHTS-7'!AU17+'[2]AHTS-8'!AU17+'[3]CB-1'!AU17+'[3]CB-2'!AU17+'[3]CB-3'!AU17+'[3]CB-4'!AU17+'[3]CB-5'!AU17+'[3]CB-6'!AU17+'[3]CB-7'!AU17+'[3]CB-8'!AU17+'[3]CB-9'!AU17+'[3]CB-10'!AU17+'[3]CB-11'!AU17+'[3]CB-12'!AU17+'[3]CB-13'!AU17+'[3]CB-14'!AU17+'[3]CB-15'!AU17+'[3]CB-16'!AU17+'[3]CB-17'!AU17+'[3]CB-18'!AU17+'[3]CB-19'!AU17+'[3]CB-20'!AU17+'[3]CB-21'!AU17+'[3]CB-22'!AU17+'[3]CB-23'!AU17+'[3]CB-24'!AU17+'[4]LCT-1'!AU17+'[4]LCT-2'!AU17+'[4]LCT-3'!AU17+'[4]LCT-4'!AU17+'[4]LCT-5'!AU17+'[4]LCT-6'!AU17+'[4]LCT-7'!AU17+'[4]LCT-8'!AU17+'[5]TB-1'!AU17+'[5]TB-2'!AU17+'[5]TB-3'!AU17+'[5]TB-4'!AU17+'[5]TB-5'!AU17+'[5]TB-6'!AU17+'[5]TB-7'!AU17+'[5]TB-8'!AU17+'[5]TB-9'!AU17+'[5]TB-10'!AU17+'[6]DSV-1'!AU17+'[6]DSV-2'!AU17+'[6]DSV-3'!AU17+'[7]TUB-1'!AU17+'[7]TUB-2'!AU17+'[8]Barge-1'!AU17+'[8]Barge-2'!AU17+'[8]Barge-3'!AU17+'[8]Barge-4'!AU17</f>
        <v>3455.2696195479148</v>
      </c>
      <c r="G17" s="160">
        <f>'[2]AHTS-1'!BQ17+'[2]AHTS-2'!BQ17+'[2]AHTS-3'!BQ17+'[2]AHTS-4'!BQ17+'[2]AHTS-5'!BQ17+'[2]AHTS-6'!BQ17+'[2]AHTS-7'!BQ17+'[2]AHTS-8'!BQ17+'[3]CB-1'!BQ17+'[3]CB-2'!BQ17+'[3]CB-3'!BQ17+'[3]CB-4'!BQ17+'[3]CB-5'!BQ17+'[3]CB-6'!BQ17+'[3]CB-7'!BQ17+'[3]CB-8'!BQ17+'[3]CB-9'!BQ17+'[3]CB-10'!BQ17+'[3]CB-11'!BQ17+'[3]CB-12'!BQ17+'[3]CB-13'!BQ17+'[3]CB-14'!BQ17+'[3]CB-15'!BQ17+'[3]CB-16'!BQ17+'[3]CB-17'!BQ17+'[3]CB-18'!BQ17+'[3]CB-19'!BQ17+'[3]CB-20'!BQ17+'[3]CB-21'!BQ17+'[3]CB-22'!BQ17+'[3]CB-23'!BQ17+'[3]CB-24'!BQ17+'[4]LCT-1'!BQ17+'[4]LCT-2'!BQ17+'[4]LCT-3'!BQ17+'[4]LCT-4'!BQ17+'[4]LCT-5'!BQ17+'[4]LCT-6'!BQ17+'[4]LCT-7'!BQ17+'[4]LCT-8'!BQ17+'[5]TB-1'!BQ17+'[5]TB-2'!BQ17+'[5]TB-3'!BQ17+'[5]TB-4'!BQ17+'[5]TB-5'!BQ17+'[5]TB-6'!BQ17+'[5]TB-7'!BQ17+'[5]TB-8'!BQ17+'[5]TB-9'!BQ17+'[5]TB-10'!BQ17+'[6]DSV-1'!BQ17+'[6]DSV-2'!BQ17+'[6]DSV-3'!BQ17+'[7]TUB-1'!BQ17+'[7]TUB-2'!BQ17+'[8]Barge-1'!BQ17+'[8]Barge-2'!BQ17+'[8]Barge-3'!BQ17+'[8]Barge-4'!BQ17</f>
        <v>3766.5596589904135</v>
      </c>
      <c r="H17" s="161">
        <f>'[2]AHTS-1'!CM17+'[2]AHTS-2'!CM17+'[2]AHTS-3'!CM17+'[2]AHTS-4'!CM17+'[2]AHTS-5'!CM17+'[2]AHTS-6'!CM17+'[2]AHTS-7'!CM17+'[2]AHTS-8'!CM17+'[3]CB-1'!CM17+'[3]CB-2'!CM17+'[3]CB-3'!CM17+'[3]CB-4'!CM17+'[3]CB-5'!CM17+'[3]CB-6'!CM17+'[3]CB-7'!CM17+'[3]CB-8'!CM17+'[3]CB-9'!CM17+'[3]CB-10'!CM17+'[3]CB-11'!CM17+'[3]CB-12'!CM17+'[3]CB-13'!CM17+'[3]CB-14'!CM17+'[3]CB-15'!CM17+'[3]CB-16'!CM17+'[3]CB-17'!CM17+'[3]CB-18'!CM17+'[3]CB-19'!CM17+'[3]CB-20'!CM17+'[3]CB-21'!CM17+'[3]CB-22'!CM17+'[3]CB-23'!CM17+'[3]CB-24'!CM17+'[4]LCT-1'!CM17+'[4]LCT-2'!CM17+'[4]LCT-3'!CM17+'[4]LCT-4'!CM17+'[4]LCT-5'!CM17+'[4]LCT-6'!CM17+'[4]LCT-7'!CM17+'[4]LCT-8'!CM17+'[5]TB-1'!CM17+'[5]TB-2'!CM17+'[5]TB-3'!CM17+'[5]TB-4'!CM17+'[5]TB-5'!CM17+'[5]TB-6'!CM17+'[5]TB-7'!CM17+'[5]TB-8'!CM17+'[5]TB-9'!CM17+'[5]TB-10'!CM17+'[6]DSV-1'!CM17+'[6]DSV-2'!CM17+'[6]DSV-3'!CM17+'[7]TUB-1'!CM17+'[7]TUB-2'!CM17+'[8]Barge-1'!CM17+'[8]Barge-2'!CM17+'[8]Barge-3'!CM17+'[8]Barge-4'!CM17</f>
        <v>0</v>
      </c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110"/>
      <c r="U17" s="119">
        <f>[1]Control!AZ17</f>
        <v>45992</v>
      </c>
      <c r="V17" s="81"/>
      <c r="W17" s="145">
        <f>'[2]AHTS-1'!IA55+'[2]AHTS-2'!IA55+'[2]AHTS-3'!IA55+'[2]AHTS-4'!IA55+'[2]AHTS-5'!IA55+'[2]AHTS-6'!IA55+'[2]AHTS-7'!IA55+'[2]AHTS-8'!IA55+'[3]CB-1'!IA55+'[3]CB-2'!IA55+'[3]CB-3'!IA55+'[3]CB-4'!IA55+'[3]CB-5'!IA55+'[3]CB-6'!IA55+'[3]CB-7'!IA55+'[3]CB-8'!IA55+'[3]CB-9'!IA55+'[3]CB-10'!IA55+'[3]CB-11'!IA55+'[3]CB-12'!IA55+'[3]CB-13'!IA55+'[3]CB-14'!IA55+'[3]CB-15'!IA55+'[3]CB-16'!IA55+'[3]CB-17'!IA55+'[3]CB-18'!IA55+'[3]CB-19'!IA55+'[3]CB-20'!IA55+'[3]CB-21'!IA55+'[3]CB-22'!IA55+'[3]CB-23'!IA55+'[3]CB-24'!IA55+'[4]LCT-1'!IA55+'[4]LCT-2'!IA55+'[4]LCT-3'!IA55+'[4]LCT-4'!IA55+'[4]LCT-5'!IA55+'[4]LCT-6'!IA55+'[4]LCT-7'!IA55+'[4]LCT-8'!IA55+'[5]TB-1'!IA55+'[5]TB-2'!IA55+'[5]TB-3'!IA55+'[5]TB-4'!IA55+'[5]TB-5'!IA55+'[5]TB-6'!IA55+'[5]TB-7'!IA55+'[5]TB-8'!IA55+'[5]TB-9'!IA55+'[5]TB-10'!IA55+'[6]DSV-1'!IA55+'[6]DSV-2'!IA55+'[6]DSV-3'!IA55+'[7]TUB-1'!IA55+'[7]TUB-2'!IA55+'[8]Barge-1'!IA55+'[8]Barge-2'!IA55+'[8]Barge-3'!IA55+'[8]Barge-4'!IA55</f>
        <v>0</v>
      </c>
      <c r="X17" s="146">
        <f>'[2]AHTS-1'!IA17+'[2]AHTS-2'!IA17+'[2]AHTS-3'!IA17+'[2]AHTS-4'!IA17+'[2]AHTS-5'!IA17+'[2]AHTS-6'!IA17+'[2]AHTS-7'!IA17+'[2]AHTS-8'!IA17+'[3]CB-1'!IA17+'[3]CB-2'!IA17+'[3]CB-3'!IA17+'[3]CB-4'!IA17+'[3]CB-5'!IA17+'[3]CB-6'!IA17+'[3]CB-7'!IA17+'[3]CB-8'!IA17+'[3]CB-9'!IA17+'[3]CB-10'!IA17+'[3]CB-11'!IA17+'[3]CB-12'!IA17+'[3]CB-13'!IA17+'[3]CB-14'!IA17+'[3]CB-15'!IA17+'[3]CB-16'!IA17+'[3]CB-17'!IA17+'[3]CB-18'!IA17+'[3]CB-19'!IA17+'[3]CB-20'!IA17+'[3]CB-21'!IA17+'[3]CB-22'!IA17+'[3]CB-23'!IA17+'[3]CB-24'!IA17+'[4]LCT-1'!IA17+'[4]LCT-2'!IA17+'[4]LCT-3'!IA17+'[4]LCT-4'!IA17+'[4]LCT-5'!IA17+'[4]LCT-6'!IA17+'[4]LCT-7'!IA17+'[4]LCT-8'!IA17+'[5]TB-1'!IA17+'[5]TB-2'!IA17+'[5]TB-3'!IA17+'[5]TB-4'!IA17+'[5]TB-5'!IA17+'[5]TB-6'!IA17+'[5]TB-7'!IA17+'[5]TB-8'!IA17+'[5]TB-9'!IA17+'[5]TB-10'!IA17+'[6]DSV-1'!IA17+'[6]DSV-2'!IA17+'[6]DSV-3'!IA17+'[7]TUB-1'!IA17+'[7]TUB-2'!IA17+'[8]Barge-1'!IA17+'[8]Barge-2'!IA17+'[8]Barge-3'!IA17+'[8]Barge-4'!IA17</f>
        <v>0</v>
      </c>
      <c r="Y17" s="147">
        <f>'[2]AHTS-1'!IA88+'[2]AHTS-2'!IA88+'[2]AHTS-3'!IA88+'[2]AHTS-4'!IA88+'[2]AHTS-5'!IA88+'[2]AHTS-6'!IA88+'[2]AHTS-7'!IA88+'[2]AHTS-8'!IA88+'[3]CB-1'!IA88+'[3]CB-2'!IA88+'[3]CB-3'!IA88+'[3]CB-4'!IA88+'[3]CB-5'!IA88+'[3]CB-6'!IA88+'[3]CB-7'!IA88+'[3]CB-8'!IA88+'[3]CB-9'!IA88+'[3]CB-10'!IA88+'[3]CB-11'!IA88+'[3]CB-12'!IA88+'[3]CB-13'!IA88+'[3]CB-14'!IA88+'[3]CB-15'!IA88+'[3]CB-16'!IA88+'[3]CB-17'!IA88+'[3]CB-18'!IA88+'[3]CB-19'!IA88+'[3]CB-20'!IA88+'[3]CB-21'!IA88+'[3]CB-22'!IA88+'[3]CB-23'!IA88+'[3]CB-24'!IA88+'[4]LCT-1'!IA88+'[4]LCT-2'!IA88+'[4]LCT-3'!IA88+'[4]LCT-4'!IA88+'[4]LCT-5'!IA88+'[4]LCT-6'!IA88+'[4]LCT-7'!IA88+'[4]LCT-8'!IA88+'[5]TB-1'!IA88+'[5]TB-2'!IA88+'[5]TB-3'!IA88+'[5]TB-4'!IA88+'[5]TB-5'!IA88+'[5]TB-6'!IA88+'[5]TB-7'!IA88+'[5]TB-8'!IA88+'[5]TB-9'!IA88+'[5]TB-10'!IA88+'[6]DSV-1'!IA88+'[6]DSV-2'!IA88+'[6]DSV-3'!IA88+'[7]TUB-1'!IA88+'[7]TUB-2'!IA88+'[8]Barge-1'!IA88+'[8]Barge-2'!IA88+'[8]Barge-3'!IA88+'[8]Barge-4'!IA88</f>
        <v>0</v>
      </c>
      <c r="Z17" s="145">
        <f>'[2]AHTS-1'!IB55+'[2]AHTS-2'!IB55+'[2]AHTS-3'!IB55+'[2]AHTS-4'!IB55+'[2]AHTS-5'!IB55+'[2]AHTS-6'!IB55+'[2]AHTS-7'!IB55+'[2]AHTS-8'!IB55+'[3]CB-1'!IB55+'[3]CB-2'!IB55+'[3]CB-3'!IB55+'[3]CB-4'!IB55+'[3]CB-5'!IB55+'[3]CB-6'!IB55+'[3]CB-7'!IB55+'[3]CB-8'!IB55+'[3]CB-9'!IB55+'[3]CB-10'!IB55+'[3]CB-11'!IB55+'[3]CB-12'!IB55+'[3]CB-13'!IB55+'[3]CB-14'!IB55+'[3]CB-15'!IB55+'[3]CB-16'!IB55+'[3]CB-17'!IB55+'[3]CB-18'!IB55+'[3]CB-19'!IB55+'[3]CB-20'!IB55+'[3]CB-21'!IB55+'[3]CB-22'!IB55+'[3]CB-23'!IB55+'[3]CB-24'!IB55+'[4]LCT-1'!IB55+'[4]LCT-2'!IB55+'[4]LCT-3'!IB55+'[4]LCT-4'!IB55+'[4]LCT-5'!IB55+'[4]LCT-6'!IB55+'[4]LCT-7'!IB55+'[4]LCT-8'!IB55+'[5]TB-1'!IB55+'[5]TB-2'!IB55+'[5]TB-3'!IB55+'[5]TB-4'!IB55+'[5]TB-5'!IB55+'[5]TB-6'!IB55+'[5]TB-7'!IB55+'[5]TB-8'!IB55+'[5]TB-9'!IB55+'[5]TB-10'!IB55+'[6]DSV-1'!IB55+'[6]DSV-2'!IB55+'[6]DSV-3'!IB55+'[7]TUB-1'!IB55+'[7]TUB-2'!IB55+'[8]Barge-1'!IB55+'[8]Barge-2'!IB55+'[8]Barge-3'!IB55+'[8]Barge-4'!IB55</f>
        <v>54265009.375</v>
      </c>
      <c r="AA17" s="146">
        <f>'[2]AHTS-1'!IB17+'[2]AHTS-2'!IB17+'[2]AHTS-3'!IB17+'[2]AHTS-4'!IB17+'[2]AHTS-5'!IB17+'[2]AHTS-6'!IB17+'[2]AHTS-7'!IB17+'[2]AHTS-8'!IB17+'[3]CB-1'!IB17+'[3]CB-2'!IB17+'[3]CB-3'!IB17+'[3]CB-4'!IB17+'[3]CB-5'!IB17+'[3]CB-6'!IB17+'[3]CB-7'!IB17+'[3]CB-8'!IB17+'[3]CB-9'!IB17+'[3]CB-10'!IB17+'[3]CB-11'!IB17+'[3]CB-12'!IB17+'[3]CB-13'!IB17+'[3]CB-14'!IB17+'[3]CB-15'!IB17+'[3]CB-16'!IB17+'[3]CB-17'!IB17+'[3]CB-18'!IB17+'[3]CB-19'!IB17+'[3]CB-20'!IB17+'[3]CB-21'!IB17+'[3]CB-22'!IB17+'[3]CB-23'!IB17+'[3]CB-24'!IB17+'[4]LCT-1'!IB17+'[4]LCT-2'!IB17+'[4]LCT-3'!IB17+'[4]LCT-4'!IB17+'[4]LCT-5'!IB17+'[4]LCT-6'!IB17+'[4]LCT-7'!IB17+'[4]LCT-8'!IB17+'[5]TB-1'!IB17+'[5]TB-2'!IB17+'[5]TB-3'!IB17+'[5]TB-4'!IB17+'[5]TB-5'!IB17+'[5]TB-6'!IB17+'[5]TB-7'!IB17+'[5]TB-8'!IB17+'[5]TB-9'!IB17+'[5]TB-10'!IB17+'[6]DSV-1'!IB17+'[6]DSV-2'!IB17+'[6]DSV-3'!IB17+'[7]TUB-1'!IB17+'[7]TUB-2'!IB17+'[8]Barge-1'!IB17+'[8]Barge-2'!IB17+'[8]Barge-3'!IB17+'[8]Barge-4'!IB17</f>
        <v>59153819.444444448</v>
      </c>
      <c r="AB17" s="147">
        <f>'[2]AHTS-1'!IB88+'[2]AHTS-2'!IB88+'[2]AHTS-3'!IB88+'[2]AHTS-4'!IB88+'[2]AHTS-5'!IB88+'[2]AHTS-6'!IB88+'[2]AHTS-7'!IB88+'[2]AHTS-8'!IB88+'[3]CB-1'!IB88+'[3]CB-2'!IB88+'[3]CB-3'!IB88+'[3]CB-4'!IB88+'[3]CB-5'!IB88+'[3]CB-6'!IB88+'[3]CB-7'!IB88+'[3]CB-8'!IB88+'[3]CB-9'!IB88+'[3]CB-10'!IB88+'[3]CB-11'!IB88+'[3]CB-12'!IB88+'[3]CB-13'!IB88+'[3]CB-14'!IB88+'[3]CB-15'!IB88+'[3]CB-16'!IB88+'[3]CB-17'!IB88+'[3]CB-18'!IB88+'[3]CB-19'!IB88+'[3]CB-20'!IB88+'[3]CB-21'!IB88+'[3]CB-22'!IB88+'[3]CB-23'!IB88+'[3]CB-24'!IB88+'[4]LCT-1'!IB88+'[4]LCT-2'!IB88+'[4]LCT-3'!IB88+'[4]LCT-4'!IB88+'[4]LCT-5'!IB88+'[4]LCT-6'!IB88+'[4]LCT-7'!IB88+'[4]LCT-8'!IB88+'[5]TB-1'!IB88+'[5]TB-2'!IB88+'[5]TB-3'!IB88+'[5]TB-4'!IB88+'[5]TB-5'!IB88+'[5]TB-6'!IB88+'[5]TB-7'!IB88+'[5]TB-8'!IB88+'[5]TB-9'!IB88+'[5]TB-10'!IB88+'[6]DSV-1'!IB88+'[6]DSV-2'!IB88+'[6]DSV-3'!IB88+'[7]TUB-1'!IB88+'[7]TUB-2'!IB88+'[8]Barge-1'!IB88+'[8]Barge-2'!IB88+'[8]Barge-3'!IB88+'[8]Barge-4'!IB88</f>
        <v>0</v>
      </c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</row>
    <row r="18" spans="1:79" s="84" customFormat="1" ht="14.25" customHeight="1" thickBot="1" x14ac:dyDescent="0.3">
      <c r="A18" s="119">
        <f>[1]Control!AZ18</f>
        <v>45993</v>
      </c>
      <c r="B18" s="81"/>
      <c r="C18" s="159">
        <f>'[2]AHTS-1'!AT18+'[2]AHTS-2'!AT18+'[2]AHTS-3'!AT18+'[2]AHTS-4'!AT18+'[2]AHTS-5'!AT18+'[2]AHTS-6'!AT18+'[2]AHTS-7'!AT18+'[2]AHTS-8'!AT18+'[3]CB-1'!AT18+'[3]CB-2'!AT18+'[3]CB-3'!AT18+'[3]CB-4'!AT18+'[3]CB-5'!AT18+'[3]CB-6'!AT18+'[3]CB-7'!AT18+'[3]CB-8'!AT18+'[3]CB-9'!AT18+'[3]CB-10'!AT18+'[3]CB-11'!AT18+'[3]CB-12'!AT18+'[3]CB-13'!AT18+'[3]CB-14'!AT18+'[3]CB-15'!AT18+'[3]CB-16'!AT18+'[3]CB-17'!AT18+'[3]CB-18'!AT18+'[3]CB-19'!AT18+'[3]CB-20'!AT18+'[3]CB-21'!AT18+'[3]CB-22'!AT18+'[3]CB-23'!AT18+'[3]CB-24'!AT18+'[4]LCT-1'!AT18+'[4]LCT-2'!AT18+'[4]LCT-3'!AT18+'[4]LCT-4'!AT18+'[4]LCT-5'!AT18+'[4]LCT-6'!AT18+'[4]LCT-7'!AT18+'[4]LCT-8'!AT18+'[5]TB-1'!AT18+'[5]TB-2'!AT18+'[5]TB-3'!AT18+'[5]TB-4'!AT18+'[5]TB-5'!AT18+'[5]TB-6'!AT18+'[5]TB-7'!AT18+'[5]TB-8'!AT18+'[5]TB-9'!AT18+'[5]TB-10'!AT18+'[6]DSV-1'!AT18+'[6]DSV-2'!AT18+'[6]DSV-3'!AT18+'[7]TUB-1'!AT18+'[7]TUB-2'!AT18+'[8]Barge-1'!AT18+'[8]Barge-2'!AT18+'[8]Barge-3'!AT18+'[8]Barge-4'!AT18</f>
        <v>0</v>
      </c>
      <c r="D18" s="160">
        <f>'[2]AHTS-1'!BP18+'[2]AHTS-2'!BP18+'[2]AHTS-3'!BP18+'[2]AHTS-4'!BP18+'[2]AHTS-5'!BP18+'[2]AHTS-6'!BP18+'[2]AHTS-7'!BP18+'[2]AHTS-8'!BP18+'[3]CB-1'!BP18+'[3]CB-2'!BP18+'[3]CB-3'!BP18+'[3]CB-4'!BP18+'[3]CB-5'!BP18+'[3]CB-6'!BP18+'[3]CB-7'!BP18+'[3]CB-8'!BP18+'[3]CB-9'!BP18+'[3]CB-10'!BP18+'[3]CB-11'!BP18+'[3]CB-12'!BP18+'[3]CB-13'!BP18+'[3]CB-14'!BP18+'[3]CB-15'!BP18+'[3]CB-16'!BP18+'[3]CB-17'!BP18+'[3]CB-18'!BP18+'[3]CB-19'!BP18+'[3]CB-20'!BP18+'[3]CB-21'!BP18+'[3]CB-22'!BP18+'[3]CB-23'!BP18+'[3]CB-24'!BP18+'[4]LCT-1'!BP18+'[4]LCT-2'!BP18+'[4]LCT-3'!BP18+'[4]LCT-4'!BP18+'[4]LCT-5'!BP18+'[4]LCT-6'!BP18+'[4]LCT-7'!BP18+'[4]LCT-8'!BP18+'[5]TB-1'!BP18+'[5]TB-2'!BP18+'[5]TB-3'!BP18+'[5]TB-4'!BP18+'[5]TB-5'!BP18+'[5]TB-6'!BP18+'[5]TB-7'!BP18+'[5]TB-8'!BP18+'[5]TB-9'!BP18+'[5]TB-10'!BP18+'[6]DSV-1'!BP18+'[6]DSV-2'!BP18+'[6]DSV-3'!BP18+'[7]TUB-1'!BP18+'[7]TUB-2'!BP18+'[8]Barge-1'!BP18+'[8]Barge-2'!BP18+'[8]Barge-3'!BP18+'[8]Barge-4'!BP18</f>
        <v>0</v>
      </c>
      <c r="E18" s="161">
        <f>'[2]AHTS-1'!CL18+'[2]AHTS-2'!CL18+'[2]AHTS-3'!CL18+'[2]AHTS-4'!CL18+'[2]AHTS-5'!CL18+'[2]AHTS-6'!CL18+'[2]AHTS-7'!CL18+'[2]AHTS-8'!CL18+'[3]CB-1'!CL18+'[3]CB-2'!CL18+'[3]CB-3'!CL18+'[3]CB-4'!CL18+'[3]CB-5'!CL18+'[3]CB-6'!CL18+'[3]CB-7'!CL18+'[3]CB-8'!CL18+'[3]CB-9'!CL18+'[3]CB-10'!CL18+'[3]CB-11'!CL18+'[3]CB-12'!CL18+'[3]CB-13'!CL18+'[3]CB-14'!CL18+'[3]CB-15'!CL18+'[3]CB-16'!CL18+'[3]CB-17'!CL18+'[3]CB-18'!CL18+'[3]CB-19'!CL18+'[3]CB-20'!CL18+'[3]CB-21'!CL18+'[3]CB-22'!CL18+'[3]CB-23'!CL18+'[3]CB-24'!CL18+'[4]LCT-1'!CL18+'[4]LCT-2'!CL18+'[4]LCT-3'!CL18+'[4]LCT-4'!CL18+'[4]LCT-5'!CL18+'[4]LCT-6'!CL18+'[4]LCT-7'!CL18+'[4]LCT-8'!CL18+'[5]TB-1'!CL18+'[5]TB-2'!CL18+'[5]TB-3'!CL18+'[5]TB-4'!CL18+'[5]TB-5'!CL18+'[5]TB-6'!CL18+'[5]TB-7'!CL18+'[5]TB-8'!CL18+'[5]TB-9'!CL18+'[5]TB-10'!CL18+'[6]DSV-1'!CL18+'[6]DSV-2'!CL18+'[6]DSV-3'!CL18+'[7]TUB-1'!CL18+'[7]TUB-2'!CL18+'[8]Barge-1'!CL18+'[8]Barge-2'!CL18+'[8]Barge-3'!CL18+'[8]Barge-4'!CL18</f>
        <v>0</v>
      </c>
      <c r="F18" s="159">
        <f>'[2]AHTS-1'!AU18+'[2]AHTS-2'!AU18+'[2]AHTS-3'!AU18+'[2]AHTS-4'!AU18+'[2]AHTS-5'!AU18+'[2]AHTS-6'!AU18+'[2]AHTS-7'!AU18+'[2]AHTS-8'!AU18+'[3]CB-1'!AU18+'[3]CB-2'!AU18+'[3]CB-3'!AU18+'[3]CB-4'!AU18+'[3]CB-5'!AU18+'[3]CB-6'!AU18+'[3]CB-7'!AU18+'[3]CB-8'!AU18+'[3]CB-9'!AU18+'[3]CB-10'!AU18+'[3]CB-11'!AU18+'[3]CB-12'!AU18+'[3]CB-13'!AU18+'[3]CB-14'!AU18+'[3]CB-15'!AU18+'[3]CB-16'!AU18+'[3]CB-17'!AU18+'[3]CB-18'!AU18+'[3]CB-19'!AU18+'[3]CB-20'!AU18+'[3]CB-21'!AU18+'[3]CB-22'!AU18+'[3]CB-23'!AU18+'[3]CB-24'!AU18+'[4]LCT-1'!AU18+'[4]LCT-2'!AU18+'[4]LCT-3'!AU18+'[4]LCT-4'!AU18+'[4]LCT-5'!AU18+'[4]LCT-6'!AU18+'[4]LCT-7'!AU18+'[4]LCT-8'!AU18+'[5]TB-1'!AU18+'[5]TB-2'!AU18+'[5]TB-3'!AU18+'[5]TB-4'!AU18+'[5]TB-5'!AU18+'[5]TB-6'!AU18+'[5]TB-7'!AU18+'[5]TB-8'!AU18+'[5]TB-9'!AU18+'[5]TB-10'!AU18+'[6]DSV-1'!AU18+'[6]DSV-2'!AU18+'[6]DSV-3'!AU18+'[7]TUB-1'!AU18+'[7]TUB-2'!AU18+'[8]Barge-1'!AU18+'[8]Barge-2'!AU18+'[8]Barge-3'!AU18+'[8]Barge-4'!AU18</f>
        <v>3270.9835909177636</v>
      </c>
      <c r="G18" s="160">
        <f>'[2]AHTS-1'!BQ18+'[2]AHTS-2'!BQ18+'[2]AHTS-3'!BQ18+'[2]AHTS-4'!BQ18+'[2]AHTS-5'!BQ18+'[2]AHTS-6'!BQ18+'[2]AHTS-7'!BQ18+'[2]AHTS-8'!BQ18+'[3]CB-1'!BQ18+'[3]CB-2'!BQ18+'[3]CB-3'!BQ18+'[3]CB-4'!BQ18+'[3]CB-5'!BQ18+'[3]CB-6'!BQ18+'[3]CB-7'!BQ18+'[3]CB-8'!BQ18+'[3]CB-9'!BQ18+'[3]CB-10'!BQ18+'[3]CB-11'!BQ18+'[3]CB-12'!BQ18+'[3]CB-13'!BQ18+'[3]CB-14'!BQ18+'[3]CB-15'!BQ18+'[3]CB-16'!BQ18+'[3]CB-17'!BQ18+'[3]CB-18'!BQ18+'[3]CB-19'!BQ18+'[3]CB-20'!BQ18+'[3]CB-21'!BQ18+'[3]CB-22'!BQ18+'[3]CB-23'!BQ18+'[3]CB-24'!BQ18+'[4]LCT-1'!BQ18+'[4]LCT-2'!BQ18+'[4]LCT-3'!BQ18+'[4]LCT-4'!BQ18+'[4]LCT-5'!BQ18+'[4]LCT-6'!BQ18+'[4]LCT-7'!BQ18+'[4]LCT-8'!BQ18+'[5]TB-1'!BQ18+'[5]TB-2'!BQ18+'[5]TB-3'!BQ18+'[5]TB-4'!BQ18+'[5]TB-5'!BQ18+'[5]TB-6'!BQ18+'[5]TB-7'!BQ18+'[5]TB-8'!BQ18+'[5]TB-9'!BQ18+'[5]TB-10'!BQ18+'[6]DSV-1'!BQ18+'[6]DSV-2'!BQ18+'[6]DSV-3'!BQ18+'[7]TUB-1'!BQ18+'[7]TUB-2'!BQ18+'[8]Barge-1'!BQ18+'[8]Barge-2'!BQ18+'[8]Barge-3'!BQ18+'[8]Barge-4'!BQ18</f>
        <v>3026.6170578133942</v>
      </c>
      <c r="H18" s="161">
        <f>'[2]AHTS-1'!CM18+'[2]AHTS-2'!CM18+'[2]AHTS-3'!CM18+'[2]AHTS-4'!CM18+'[2]AHTS-5'!CM18+'[2]AHTS-6'!CM18+'[2]AHTS-7'!CM18+'[2]AHTS-8'!CM18+'[3]CB-1'!CM18+'[3]CB-2'!CM18+'[3]CB-3'!CM18+'[3]CB-4'!CM18+'[3]CB-5'!CM18+'[3]CB-6'!CM18+'[3]CB-7'!CM18+'[3]CB-8'!CM18+'[3]CB-9'!CM18+'[3]CB-10'!CM18+'[3]CB-11'!CM18+'[3]CB-12'!CM18+'[3]CB-13'!CM18+'[3]CB-14'!CM18+'[3]CB-15'!CM18+'[3]CB-16'!CM18+'[3]CB-17'!CM18+'[3]CB-18'!CM18+'[3]CB-19'!CM18+'[3]CB-20'!CM18+'[3]CB-21'!CM18+'[3]CB-22'!CM18+'[3]CB-23'!CM18+'[3]CB-24'!CM18+'[4]LCT-1'!CM18+'[4]LCT-2'!CM18+'[4]LCT-3'!CM18+'[4]LCT-4'!CM18+'[4]LCT-5'!CM18+'[4]LCT-6'!CM18+'[4]LCT-7'!CM18+'[4]LCT-8'!CM18+'[5]TB-1'!CM18+'[5]TB-2'!CM18+'[5]TB-3'!CM18+'[5]TB-4'!CM18+'[5]TB-5'!CM18+'[5]TB-6'!CM18+'[5]TB-7'!CM18+'[5]TB-8'!CM18+'[5]TB-9'!CM18+'[5]TB-10'!CM18+'[6]DSV-1'!CM18+'[6]DSV-2'!CM18+'[6]DSV-3'!CM18+'[7]TUB-1'!CM18+'[7]TUB-2'!CM18+'[8]Barge-1'!CM18+'[8]Barge-2'!CM18+'[8]Barge-3'!CM18+'[8]Barge-4'!CM18</f>
        <v>0</v>
      </c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110"/>
      <c r="U18" s="119">
        <f>[1]Control!AZ18</f>
        <v>45993</v>
      </c>
      <c r="V18" s="81"/>
      <c r="W18" s="145">
        <f>'[2]AHTS-1'!IA56+'[2]AHTS-2'!IA56+'[2]AHTS-3'!IA56+'[2]AHTS-4'!IA56+'[2]AHTS-5'!IA56+'[2]AHTS-6'!IA56+'[2]AHTS-7'!IA56+'[2]AHTS-8'!IA56+'[3]CB-1'!IA56+'[3]CB-2'!IA56+'[3]CB-3'!IA56+'[3]CB-4'!IA56+'[3]CB-5'!IA56+'[3]CB-6'!IA56+'[3]CB-7'!IA56+'[3]CB-8'!IA56+'[3]CB-9'!IA56+'[3]CB-10'!IA56+'[3]CB-11'!IA56+'[3]CB-12'!IA56+'[3]CB-13'!IA56+'[3]CB-14'!IA56+'[3]CB-15'!IA56+'[3]CB-16'!IA56+'[3]CB-17'!IA56+'[3]CB-18'!IA56+'[3]CB-19'!IA56+'[3]CB-20'!IA56+'[3]CB-21'!IA56+'[3]CB-22'!IA56+'[3]CB-23'!IA56+'[3]CB-24'!IA56+'[4]LCT-1'!IA56+'[4]LCT-2'!IA56+'[4]LCT-3'!IA56+'[4]LCT-4'!IA56+'[4]LCT-5'!IA56+'[4]LCT-6'!IA56+'[4]LCT-7'!IA56+'[4]LCT-8'!IA56+'[5]TB-1'!IA56+'[5]TB-2'!IA56+'[5]TB-3'!IA56+'[5]TB-4'!IA56+'[5]TB-5'!IA56+'[5]TB-6'!IA56+'[5]TB-7'!IA56+'[5]TB-8'!IA56+'[5]TB-9'!IA56+'[5]TB-10'!IA56+'[6]DSV-1'!IA56+'[6]DSV-2'!IA56+'[6]DSV-3'!IA56+'[7]TUB-1'!IA56+'[7]TUB-2'!IA56+'[8]Barge-1'!IA56+'[8]Barge-2'!IA56+'[8]Barge-3'!IA56+'[8]Barge-4'!IA56</f>
        <v>0</v>
      </c>
      <c r="X18" s="146">
        <f>'[2]AHTS-1'!IA18+'[2]AHTS-2'!IA18+'[2]AHTS-3'!IA18+'[2]AHTS-4'!IA18+'[2]AHTS-5'!IA18+'[2]AHTS-6'!IA18+'[2]AHTS-7'!IA18+'[2]AHTS-8'!IA18+'[3]CB-1'!IA18+'[3]CB-2'!IA18+'[3]CB-3'!IA18+'[3]CB-4'!IA18+'[3]CB-5'!IA18+'[3]CB-6'!IA18+'[3]CB-7'!IA18+'[3]CB-8'!IA18+'[3]CB-9'!IA18+'[3]CB-10'!IA18+'[3]CB-11'!IA18+'[3]CB-12'!IA18+'[3]CB-13'!IA18+'[3]CB-14'!IA18+'[3]CB-15'!IA18+'[3]CB-16'!IA18+'[3]CB-17'!IA18+'[3]CB-18'!IA18+'[3]CB-19'!IA18+'[3]CB-20'!IA18+'[3]CB-21'!IA18+'[3]CB-22'!IA18+'[3]CB-23'!IA18+'[3]CB-24'!IA18+'[4]LCT-1'!IA18+'[4]LCT-2'!IA18+'[4]LCT-3'!IA18+'[4]LCT-4'!IA18+'[4]LCT-5'!IA18+'[4]LCT-6'!IA18+'[4]LCT-7'!IA18+'[4]LCT-8'!IA18+'[5]TB-1'!IA18+'[5]TB-2'!IA18+'[5]TB-3'!IA18+'[5]TB-4'!IA18+'[5]TB-5'!IA18+'[5]TB-6'!IA18+'[5]TB-7'!IA18+'[5]TB-8'!IA18+'[5]TB-9'!IA18+'[5]TB-10'!IA18+'[6]DSV-1'!IA18+'[6]DSV-2'!IA18+'[6]DSV-3'!IA18+'[7]TUB-1'!IA18+'[7]TUB-2'!IA18+'[8]Barge-1'!IA18+'[8]Barge-2'!IA18+'[8]Barge-3'!IA18+'[8]Barge-4'!IA18</f>
        <v>0</v>
      </c>
      <c r="Y18" s="147">
        <f>'[2]AHTS-1'!IA89+'[2]AHTS-2'!IA89+'[2]AHTS-3'!IA89+'[2]AHTS-4'!IA89+'[2]AHTS-5'!IA89+'[2]AHTS-6'!IA89+'[2]AHTS-7'!IA89+'[2]AHTS-8'!IA89+'[3]CB-1'!IA89+'[3]CB-2'!IA89+'[3]CB-3'!IA89+'[3]CB-4'!IA89+'[3]CB-5'!IA89+'[3]CB-6'!IA89+'[3]CB-7'!IA89+'[3]CB-8'!IA89+'[3]CB-9'!IA89+'[3]CB-10'!IA89+'[3]CB-11'!IA89+'[3]CB-12'!IA89+'[3]CB-13'!IA89+'[3]CB-14'!IA89+'[3]CB-15'!IA89+'[3]CB-16'!IA89+'[3]CB-17'!IA89+'[3]CB-18'!IA89+'[3]CB-19'!IA89+'[3]CB-20'!IA89+'[3]CB-21'!IA89+'[3]CB-22'!IA89+'[3]CB-23'!IA89+'[3]CB-24'!IA89+'[4]LCT-1'!IA89+'[4]LCT-2'!IA89+'[4]LCT-3'!IA89+'[4]LCT-4'!IA89+'[4]LCT-5'!IA89+'[4]LCT-6'!IA89+'[4]LCT-7'!IA89+'[4]LCT-8'!IA89+'[5]TB-1'!IA89+'[5]TB-2'!IA89+'[5]TB-3'!IA89+'[5]TB-4'!IA89+'[5]TB-5'!IA89+'[5]TB-6'!IA89+'[5]TB-7'!IA89+'[5]TB-8'!IA89+'[5]TB-9'!IA89+'[5]TB-10'!IA89+'[6]DSV-1'!IA89+'[6]DSV-2'!IA89+'[6]DSV-3'!IA89+'[7]TUB-1'!IA89+'[7]TUB-2'!IA89+'[8]Barge-1'!IA89+'[8]Barge-2'!IA89+'[8]Barge-3'!IA89+'[8]Barge-4'!IA89</f>
        <v>0</v>
      </c>
      <c r="Z18" s="145">
        <f>'[2]AHTS-1'!IB56+'[2]AHTS-2'!IB56+'[2]AHTS-3'!IB56+'[2]AHTS-4'!IB56+'[2]AHTS-5'!IB56+'[2]AHTS-6'!IB56+'[2]AHTS-7'!IB56+'[2]AHTS-8'!IB56+'[3]CB-1'!IB56+'[3]CB-2'!IB56+'[3]CB-3'!IB56+'[3]CB-4'!IB56+'[3]CB-5'!IB56+'[3]CB-6'!IB56+'[3]CB-7'!IB56+'[3]CB-8'!IB56+'[3]CB-9'!IB56+'[3]CB-10'!IB56+'[3]CB-11'!IB56+'[3]CB-12'!IB56+'[3]CB-13'!IB56+'[3]CB-14'!IB56+'[3]CB-15'!IB56+'[3]CB-16'!IB56+'[3]CB-17'!IB56+'[3]CB-18'!IB56+'[3]CB-19'!IB56+'[3]CB-20'!IB56+'[3]CB-21'!IB56+'[3]CB-22'!IB56+'[3]CB-23'!IB56+'[3]CB-24'!IB56+'[4]LCT-1'!IB56+'[4]LCT-2'!IB56+'[4]LCT-3'!IB56+'[4]LCT-4'!IB56+'[4]LCT-5'!IB56+'[4]LCT-6'!IB56+'[4]LCT-7'!IB56+'[4]LCT-8'!IB56+'[5]TB-1'!IB56+'[5]TB-2'!IB56+'[5]TB-3'!IB56+'[5]TB-4'!IB56+'[5]TB-5'!IB56+'[5]TB-6'!IB56+'[5]TB-7'!IB56+'[5]TB-8'!IB56+'[5]TB-9'!IB56+'[5]TB-10'!IB56+'[6]DSV-1'!IB56+'[6]DSV-2'!IB56+'[6]DSV-3'!IB56+'[7]TUB-1'!IB56+'[7]TUB-2'!IB56+'[8]Barge-1'!IB56+'[8]Barge-2'!IB56+'[8]Barge-3'!IB56+'[8]Barge-4'!IB56</f>
        <v>51429675</v>
      </c>
      <c r="AA18" s="146">
        <f>'[2]AHTS-1'!IB18+'[2]AHTS-2'!IB18+'[2]AHTS-3'!IB18+'[2]AHTS-4'!IB18+'[2]AHTS-5'!IB18+'[2]AHTS-6'!IB18+'[2]AHTS-7'!IB18+'[2]AHTS-8'!IB18+'[3]CB-1'!IB18+'[3]CB-2'!IB18+'[3]CB-3'!IB18+'[3]CB-4'!IB18+'[3]CB-5'!IB18+'[3]CB-6'!IB18+'[3]CB-7'!IB18+'[3]CB-8'!IB18+'[3]CB-9'!IB18+'[3]CB-10'!IB18+'[3]CB-11'!IB18+'[3]CB-12'!IB18+'[3]CB-13'!IB18+'[3]CB-14'!IB18+'[3]CB-15'!IB18+'[3]CB-16'!IB18+'[3]CB-17'!IB18+'[3]CB-18'!IB18+'[3]CB-19'!IB18+'[3]CB-20'!IB18+'[3]CB-21'!IB18+'[3]CB-22'!IB18+'[3]CB-23'!IB18+'[3]CB-24'!IB18+'[4]LCT-1'!IB18+'[4]LCT-2'!IB18+'[4]LCT-3'!IB18+'[4]LCT-4'!IB18+'[4]LCT-5'!IB18+'[4]LCT-6'!IB18+'[4]LCT-7'!IB18+'[4]LCT-8'!IB18+'[5]TB-1'!IB18+'[5]TB-2'!IB18+'[5]TB-3'!IB18+'[5]TB-4'!IB18+'[5]TB-5'!IB18+'[5]TB-6'!IB18+'[5]TB-7'!IB18+'[5]TB-8'!IB18+'[5]TB-9'!IB18+'[5]TB-10'!IB18+'[6]DSV-1'!IB18+'[6]DSV-2'!IB18+'[6]DSV-3'!IB18+'[7]TUB-1'!IB18+'[7]TUB-2'!IB18+'[8]Barge-1'!IB18+'[8]Barge-2'!IB18+'[8]Barge-3'!IB18+'[8]Barge-4'!IB18</f>
        <v>47587500</v>
      </c>
      <c r="AB18" s="147">
        <f>'[2]AHTS-1'!IB89+'[2]AHTS-2'!IB89+'[2]AHTS-3'!IB89+'[2]AHTS-4'!IB89+'[2]AHTS-5'!IB89+'[2]AHTS-6'!IB89+'[2]AHTS-7'!IB89+'[2]AHTS-8'!IB89+'[3]CB-1'!IB89+'[3]CB-2'!IB89+'[3]CB-3'!IB89+'[3]CB-4'!IB89+'[3]CB-5'!IB89+'[3]CB-6'!IB89+'[3]CB-7'!IB89+'[3]CB-8'!IB89+'[3]CB-9'!IB89+'[3]CB-10'!IB89+'[3]CB-11'!IB89+'[3]CB-12'!IB89+'[3]CB-13'!IB89+'[3]CB-14'!IB89+'[3]CB-15'!IB89+'[3]CB-16'!IB89+'[3]CB-17'!IB89+'[3]CB-18'!IB89+'[3]CB-19'!IB89+'[3]CB-20'!IB89+'[3]CB-21'!IB89+'[3]CB-22'!IB89+'[3]CB-23'!IB89+'[3]CB-24'!IB89+'[4]LCT-1'!IB89+'[4]LCT-2'!IB89+'[4]LCT-3'!IB89+'[4]LCT-4'!IB89+'[4]LCT-5'!IB89+'[4]LCT-6'!IB89+'[4]LCT-7'!IB89+'[4]LCT-8'!IB89+'[5]TB-1'!IB89+'[5]TB-2'!IB89+'[5]TB-3'!IB89+'[5]TB-4'!IB89+'[5]TB-5'!IB89+'[5]TB-6'!IB89+'[5]TB-7'!IB89+'[5]TB-8'!IB89+'[5]TB-9'!IB89+'[5]TB-10'!IB89+'[6]DSV-1'!IB89+'[6]DSV-2'!IB89+'[6]DSV-3'!IB89+'[7]TUB-1'!IB89+'[7]TUB-2'!IB89+'[8]Barge-1'!IB89+'[8]Barge-2'!IB89+'[8]Barge-3'!IB89+'[8]Barge-4'!IB89</f>
        <v>0</v>
      </c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</row>
    <row r="19" spans="1:79" s="84" customFormat="1" ht="14.25" customHeight="1" thickBot="1" x14ac:dyDescent="0.3">
      <c r="A19" s="119">
        <f>[1]Control!AZ19</f>
        <v>45994</v>
      </c>
      <c r="B19" s="81"/>
      <c r="C19" s="159">
        <f>'[2]AHTS-1'!AT19+'[2]AHTS-2'!AT19+'[2]AHTS-3'!AT19+'[2]AHTS-4'!AT19+'[2]AHTS-5'!AT19+'[2]AHTS-6'!AT19+'[2]AHTS-7'!AT19+'[2]AHTS-8'!AT19+'[3]CB-1'!AT19+'[3]CB-2'!AT19+'[3]CB-3'!AT19+'[3]CB-4'!AT19+'[3]CB-5'!AT19+'[3]CB-6'!AT19+'[3]CB-7'!AT19+'[3]CB-8'!AT19+'[3]CB-9'!AT19+'[3]CB-10'!AT19+'[3]CB-11'!AT19+'[3]CB-12'!AT19+'[3]CB-13'!AT19+'[3]CB-14'!AT19+'[3]CB-15'!AT19+'[3]CB-16'!AT19+'[3]CB-17'!AT19+'[3]CB-18'!AT19+'[3]CB-19'!AT19+'[3]CB-20'!AT19+'[3]CB-21'!AT19+'[3]CB-22'!AT19+'[3]CB-23'!AT19+'[3]CB-24'!AT19+'[4]LCT-1'!AT19+'[4]LCT-2'!AT19+'[4]LCT-3'!AT19+'[4]LCT-4'!AT19+'[4]LCT-5'!AT19+'[4]LCT-6'!AT19+'[4]LCT-7'!AT19+'[4]LCT-8'!AT19+'[5]TB-1'!AT19+'[5]TB-2'!AT19+'[5]TB-3'!AT19+'[5]TB-4'!AT19+'[5]TB-5'!AT19+'[5]TB-6'!AT19+'[5]TB-7'!AT19+'[5]TB-8'!AT19+'[5]TB-9'!AT19+'[5]TB-10'!AT19+'[6]DSV-1'!AT19+'[6]DSV-2'!AT19+'[6]DSV-3'!AT19+'[7]TUB-1'!AT19+'[7]TUB-2'!AT19+'[8]Barge-1'!AT19+'[8]Barge-2'!AT19+'[8]Barge-3'!AT19+'[8]Barge-4'!AT19</f>
        <v>0</v>
      </c>
      <c r="D19" s="160">
        <f>'[2]AHTS-1'!BP19+'[2]AHTS-2'!BP19+'[2]AHTS-3'!BP19+'[2]AHTS-4'!BP19+'[2]AHTS-5'!BP19+'[2]AHTS-6'!BP19+'[2]AHTS-7'!BP19+'[2]AHTS-8'!BP19+'[3]CB-1'!BP19+'[3]CB-2'!BP19+'[3]CB-3'!BP19+'[3]CB-4'!BP19+'[3]CB-5'!BP19+'[3]CB-6'!BP19+'[3]CB-7'!BP19+'[3]CB-8'!BP19+'[3]CB-9'!BP19+'[3]CB-10'!BP19+'[3]CB-11'!BP19+'[3]CB-12'!BP19+'[3]CB-13'!BP19+'[3]CB-14'!BP19+'[3]CB-15'!BP19+'[3]CB-16'!BP19+'[3]CB-17'!BP19+'[3]CB-18'!BP19+'[3]CB-19'!BP19+'[3]CB-20'!BP19+'[3]CB-21'!BP19+'[3]CB-22'!BP19+'[3]CB-23'!BP19+'[3]CB-24'!BP19+'[4]LCT-1'!BP19+'[4]LCT-2'!BP19+'[4]LCT-3'!BP19+'[4]LCT-4'!BP19+'[4]LCT-5'!BP19+'[4]LCT-6'!BP19+'[4]LCT-7'!BP19+'[4]LCT-8'!BP19+'[5]TB-1'!BP19+'[5]TB-2'!BP19+'[5]TB-3'!BP19+'[5]TB-4'!BP19+'[5]TB-5'!BP19+'[5]TB-6'!BP19+'[5]TB-7'!BP19+'[5]TB-8'!BP19+'[5]TB-9'!BP19+'[5]TB-10'!BP19+'[6]DSV-1'!BP19+'[6]DSV-2'!BP19+'[6]DSV-3'!BP19+'[7]TUB-1'!BP19+'[7]TUB-2'!BP19+'[8]Barge-1'!BP19+'[8]Barge-2'!BP19+'[8]Barge-3'!BP19+'[8]Barge-4'!BP19</f>
        <v>0</v>
      </c>
      <c r="E19" s="161">
        <f>'[2]AHTS-1'!CL19+'[2]AHTS-2'!CL19+'[2]AHTS-3'!CL19+'[2]AHTS-4'!CL19+'[2]AHTS-5'!CL19+'[2]AHTS-6'!CL19+'[2]AHTS-7'!CL19+'[2]AHTS-8'!CL19+'[3]CB-1'!CL19+'[3]CB-2'!CL19+'[3]CB-3'!CL19+'[3]CB-4'!CL19+'[3]CB-5'!CL19+'[3]CB-6'!CL19+'[3]CB-7'!CL19+'[3]CB-8'!CL19+'[3]CB-9'!CL19+'[3]CB-10'!CL19+'[3]CB-11'!CL19+'[3]CB-12'!CL19+'[3]CB-13'!CL19+'[3]CB-14'!CL19+'[3]CB-15'!CL19+'[3]CB-16'!CL19+'[3]CB-17'!CL19+'[3]CB-18'!CL19+'[3]CB-19'!CL19+'[3]CB-20'!CL19+'[3]CB-21'!CL19+'[3]CB-22'!CL19+'[3]CB-23'!CL19+'[3]CB-24'!CL19+'[4]LCT-1'!CL19+'[4]LCT-2'!CL19+'[4]LCT-3'!CL19+'[4]LCT-4'!CL19+'[4]LCT-5'!CL19+'[4]LCT-6'!CL19+'[4]LCT-7'!CL19+'[4]LCT-8'!CL19+'[5]TB-1'!CL19+'[5]TB-2'!CL19+'[5]TB-3'!CL19+'[5]TB-4'!CL19+'[5]TB-5'!CL19+'[5]TB-6'!CL19+'[5]TB-7'!CL19+'[5]TB-8'!CL19+'[5]TB-9'!CL19+'[5]TB-10'!CL19+'[6]DSV-1'!CL19+'[6]DSV-2'!CL19+'[6]DSV-3'!CL19+'[7]TUB-1'!CL19+'[7]TUB-2'!CL19+'[8]Barge-1'!CL19+'[8]Barge-2'!CL19+'[8]Barge-3'!CL19+'[8]Barge-4'!CL19</f>
        <v>0</v>
      </c>
      <c r="F19" s="159">
        <f>'[2]AHTS-1'!AU19+'[2]AHTS-2'!AU19+'[2]AHTS-3'!AU19+'[2]AHTS-4'!AU19+'[2]AHTS-5'!AU19+'[2]AHTS-6'!AU19+'[2]AHTS-7'!AU19+'[2]AHTS-8'!AU19+'[3]CB-1'!AU19+'[3]CB-2'!AU19+'[3]CB-3'!AU19+'[3]CB-4'!AU19+'[3]CB-5'!AU19+'[3]CB-6'!AU19+'[3]CB-7'!AU19+'[3]CB-8'!AU19+'[3]CB-9'!AU19+'[3]CB-10'!AU19+'[3]CB-11'!AU19+'[3]CB-12'!AU19+'[3]CB-13'!AU19+'[3]CB-14'!AU19+'[3]CB-15'!AU19+'[3]CB-16'!AU19+'[3]CB-17'!AU19+'[3]CB-18'!AU19+'[3]CB-19'!AU19+'[3]CB-20'!AU19+'[3]CB-21'!AU19+'[3]CB-22'!AU19+'[3]CB-23'!AU19+'[3]CB-24'!AU19+'[4]LCT-1'!AU19+'[4]LCT-2'!AU19+'[4]LCT-3'!AU19+'[4]LCT-4'!AU19+'[4]LCT-5'!AU19+'[4]LCT-6'!AU19+'[4]LCT-7'!AU19+'[4]LCT-8'!AU19+'[5]TB-1'!AU19+'[5]TB-2'!AU19+'[5]TB-3'!AU19+'[5]TB-4'!AU19+'[5]TB-5'!AU19+'[5]TB-6'!AU19+'[5]TB-7'!AU19+'[5]TB-8'!AU19+'[5]TB-9'!AU19+'[5]TB-10'!AU19+'[6]DSV-1'!AU19+'[6]DSV-2'!AU19+'[6]DSV-3'!AU19+'[7]TUB-1'!AU19+'[7]TUB-2'!AU19+'[8]Barge-1'!AU19+'[8]Barge-2'!AU19+'[8]Barge-3'!AU19+'[8]Barge-4'!AU19</f>
        <v>3899.7752761347492</v>
      </c>
      <c r="G19" s="160">
        <f>'[2]AHTS-1'!BQ19+'[2]AHTS-2'!BQ19+'[2]AHTS-3'!BQ19+'[2]AHTS-4'!BQ19+'[2]AHTS-5'!BQ19+'[2]AHTS-6'!BQ19+'[2]AHTS-7'!BQ19+'[2]AHTS-8'!BQ19+'[3]CB-1'!BQ19+'[3]CB-2'!BQ19+'[3]CB-3'!BQ19+'[3]CB-4'!BQ19+'[3]CB-5'!BQ19+'[3]CB-6'!BQ19+'[3]CB-7'!BQ19+'[3]CB-8'!BQ19+'[3]CB-9'!BQ19+'[3]CB-10'!BQ19+'[3]CB-11'!BQ19+'[3]CB-12'!BQ19+'[3]CB-13'!BQ19+'[3]CB-14'!BQ19+'[3]CB-15'!BQ19+'[3]CB-16'!BQ19+'[3]CB-17'!BQ19+'[3]CB-18'!BQ19+'[3]CB-19'!BQ19+'[3]CB-20'!BQ19+'[3]CB-21'!BQ19+'[3]CB-22'!BQ19+'[3]CB-23'!BQ19+'[3]CB-24'!BQ19+'[4]LCT-1'!BQ19+'[4]LCT-2'!BQ19+'[4]LCT-3'!BQ19+'[4]LCT-4'!BQ19+'[4]LCT-5'!BQ19+'[4]LCT-6'!BQ19+'[4]LCT-7'!BQ19+'[4]LCT-8'!BQ19+'[5]TB-1'!BQ19+'[5]TB-2'!BQ19+'[5]TB-3'!BQ19+'[5]TB-4'!BQ19+'[5]TB-5'!BQ19+'[5]TB-6'!BQ19+'[5]TB-7'!BQ19+'[5]TB-8'!BQ19+'[5]TB-9'!BQ19+'[5]TB-10'!BQ19+'[6]DSV-1'!BQ19+'[6]DSV-2'!BQ19+'[6]DSV-3'!BQ19+'[7]TUB-1'!BQ19+'[7]TUB-2'!BQ19+'[8]Barge-1'!BQ19+'[8]Barge-2'!BQ19+'[8]Barge-3'!BQ19+'[8]Barge-4'!BQ19</f>
        <v>3274.3963196166974</v>
      </c>
      <c r="H19" s="161">
        <f>'[2]AHTS-1'!CM19+'[2]AHTS-2'!CM19+'[2]AHTS-3'!CM19+'[2]AHTS-4'!CM19+'[2]AHTS-5'!CM19+'[2]AHTS-6'!CM19+'[2]AHTS-7'!CM19+'[2]AHTS-8'!CM19+'[3]CB-1'!CM19+'[3]CB-2'!CM19+'[3]CB-3'!CM19+'[3]CB-4'!CM19+'[3]CB-5'!CM19+'[3]CB-6'!CM19+'[3]CB-7'!CM19+'[3]CB-8'!CM19+'[3]CB-9'!CM19+'[3]CB-10'!CM19+'[3]CB-11'!CM19+'[3]CB-12'!CM19+'[3]CB-13'!CM19+'[3]CB-14'!CM19+'[3]CB-15'!CM19+'[3]CB-16'!CM19+'[3]CB-17'!CM19+'[3]CB-18'!CM19+'[3]CB-19'!CM19+'[3]CB-20'!CM19+'[3]CB-21'!CM19+'[3]CB-22'!CM19+'[3]CB-23'!CM19+'[3]CB-24'!CM19+'[4]LCT-1'!CM19+'[4]LCT-2'!CM19+'[4]LCT-3'!CM19+'[4]LCT-4'!CM19+'[4]LCT-5'!CM19+'[4]LCT-6'!CM19+'[4]LCT-7'!CM19+'[4]LCT-8'!CM19+'[5]TB-1'!CM19+'[5]TB-2'!CM19+'[5]TB-3'!CM19+'[5]TB-4'!CM19+'[5]TB-5'!CM19+'[5]TB-6'!CM19+'[5]TB-7'!CM19+'[5]TB-8'!CM19+'[5]TB-9'!CM19+'[5]TB-10'!CM19+'[6]DSV-1'!CM19+'[6]DSV-2'!CM19+'[6]DSV-3'!CM19+'[7]TUB-1'!CM19+'[7]TUB-2'!CM19+'[8]Barge-1'!CM19+'[8]Barge-2'!CM19+'[8]Barge-3'!CM19+'[8]Barge-4'!CM19</f>
        <v>0</v>
      </c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110"/>
      <c r="U19" s="119">
        <f>[1]Control!AZ19</f>
        <v>45994</v>
      </c>
      <c r="V19" s="81"/>
      <c r="W19" s="145">
        <f>'[2]AHTS-1'!IA57+'[2]AHTS-2'!IA57+'[2]AHTS-3'!IA57+'[2]AHTS-4'!IA57+'[2]AHTS-5'!IA57+'[2]AHTS-6'!IA57+'[2]AHTS-7'!IA57+'[2]AHTS-8'!IA57+'[3]CB-1'!IA57+'[3]CB-2'!IA57+'[3]CB-3'!IA57+'[3]CB-4'!IA57+'[3]CB-5'!IA57+'[3]CB-6'!IA57+'[3]CB-7'!IA57+'[3]CB-8'!IA57+'[3]CB-9'!IA57+'[3]CB-10'!IA57+'[3]CB-11'!IA57+'[3]CB-12'!IA57+'[3]CB-13'!IA57+'[3]CB-14'!IA57+'[3]CB-15'!IA57+'[3]CB-16'!IA57+'[3]CB-17'!IA57+'[3]CB-18'!IA57+'[3]CB-19'!IA57+'[3]CB-20'!IA57+'[3]CB-21'!IA57+'[3]CB-22'!IA57+'[3]CB-23'!IA57+'[3]CB-24'!IA57+'[4]LCT-1'!IA57+'[4]LCT-2'!IA57+'[4]LCT-3'!IA57+'[4]LCT-4'!IA57+'[4]LCT-5'!IA57+'[4]LCT-6'!IA57+'[4]LCT-7'!IA57+'[4]LCT-8'!IA57+'[5]TB-1'!IA57+'[5]TB-2'!IA57+'[5]TB-3'!IA57+'[5]TB-4'!IA57+'[5]TB-5'!IA57+'[5]TB-6'!IA57+'[5]TB-7'!IA57+'[5]TB-8'!IA57+'[5]TB-9'!IA57+'[5]TB-10'!IA57+'[6]DSV-1'!IA57+'[6]DSV-2'!IA57+'[6]DSV-3'!IA57+'[7]TUB-1'!IA57+'[7]TUB-2'!IA57+'[8]Barge-1'!IA57+'[8]Barge-2'!IA57+'[8]Barge-3'!IA57+'[8]Barge-4'!IA57</f>
        <v>0</v>
      </c>
      <c r="X19" s="146">
        <f>'[2]AHTS-1'!IA19+'[2]AHTS-2'!IA19+'[2]AHTS-3'!IA19+'[2]AHTS-4'!IA19+'[2]AHTS-5'!IA19+'[2]AHTS-6'!IA19+'[2]AHTS-7'!IA19+'[2]AHTS-8'!IA19+'[3]CB-1'!IA19+'[3]CB-2'!IA19+'[3]CB-3'!IA19+'[3]CB-4'!IA19+'[3]CB-5'!IA19+'[3]CB-6'!IA19+'[3]CB-7'!IA19+'[3]CB-8'!IA19+'[3]CB-9'!IA19+'[3]CB-10'!IA19+'[3]CB-11'!IA19+'[3]CB-12'!IA19+'[3]CB-13'!IA19+'[3]CB-14'!IA19+'[3]CB-15'!IA19+'[3]CB-16'!IA19+'[3]CB-17'!IA19+'[3]CB-18'!IA19+'[3]CB-19'!IA19+'[3]CB-20'!IA19+'[3]CB-21'!IA19+'[3]CB-22'!IA19+'[3]CB-23'!IA19+'[3]CB-24'!IA19+'[4]LCT-1'!IA19+'[4]LCT-2'!IA19+'[4]LCT-3'!IA19+'[4]LCT-4'!IA19+'[4]LCT-5'!IA19+'[4]LCT-6'!IA19+'[4]LCT-7'!IA19+'[4]LCT-8'!IA19+'[5]TB-1'!IA19+'[5]TB-2'!IA19+'[5]TB-3'!IA19+'[5]TB-4'!IA19+'[5]TB-5'!IA19+'[5]TB-6'!IA19+'[5]TB-7'!IA19+'[5]TB-8'!IA19+'[5]TB-9'!IA19+'[5]TB-10'!IA19+'[6]DSV-1'!IA19+'[6]DSV-2'!IA19+'[6]DSV-3'!IA19+'[7]TUB-1'!IA19+'[7]TUB-2'!IA19+'[8]Barge-1'!IA19+'[8]Barge-2'!IA19+'[8]Barge-3'!IA19+'[8]Barge-4'!IA19</f>
        <v>0</v>
      </c>
      <c r="Y19" s="147">
        <f>'[2]AHTS-1'!IA90+'[2]AHTS-2'!IA90+'[2]AHTS-3'!IA90+'[2]AHTS-4'!IA90+'[2]AHTS-5'!IA90+'[2]AHTS-6'!IA90+'[2]AHTS-7'!IA90+'[2]AHTS-8'!IA90+'[3]CB-1'!IA90+'[3]CB-2'!IA90+'[3]CB-3'!IA90+'[3]CB-4'!IA90+'[3]CB-5'!IA90+'[3]CB-6'!IA90+'[3]CB-7'!IA90+'[3]CB-8'!IA90+'[3]CB-9'!IA90+'[3]CB-10'!IA90+'[3]CB-11'!IA90+'[3]CB-12'!IA90+'[3]CB-13'!IA90+'[3]CB-14'!IA90+'[3]CB-15'!IA90+'[3]CB-16'!IA90+'[3]CB-17'!IA90+'[3]CB-18'!IA90+'[3]CB-19'!IA90+'[3]CB-20'!IA90+'[3]CB-21'!IA90+'[3]CB-22'!IA90+'[3]CB-23'!IA90+'[3]CB-24'!IA90+'[4]LCT-1'!IA90+'[4]LCT-2'!IA90+'[4]LCT-3'!IA90+'[4]LCT-4'!IA90+'[4]LCT-5'!IA90+'[4]LCT-6'!IA90+'[4]LCT-7'!IA90+'[4]LCT-8'!IA90+'[5]TB-1'!IA90+'[5]TB-2'!IA90+'[5]TB-3'!IA90+'[5]TB-4'!IA90+'[5]TB-5'!IA90+'[5]TB-6'!IA90+'[5]TB-7'!IA90+'[5]TB-8'!IA90+'[5]TB-9'!IA90+'[5]TB-10'!IA90+'[6]DSV-1'!IA90+'[6]DSV-2'!IA90+'[6]DSV-3'!IA90+'[7]TUB-1'!IA90+'[7]TUB-2'!IA90+'[8]Barge-1'!IA90+'[8]Barge-2'!IA90+'[8]Barge-3'!IA90+'[8]Barge-4'!IA90</f>
        <v>0</v>
      </c>
      <c r="Z19" s="145">
        <f>'[2]AHTS-1'!IB57+'[2]AHTS-2'!IB57+'[2]AHTS-3'!IB57+'[2]AHTS-4'!IB57+'[2]AHTS-5'!IB57+'[2]AHTS-6'!IB57+'[2]AHTS-7'!IB57+'[2]AHTS-8'!IB57+'[3]CB-1'!IB57+'[3]CB-2'!IB57+'[3]CB-3'!IB57+'[3]CB-4'!IB57+'[3]CB-5'!IB57+'[3]CB-6'!IB57+'[3]CB-7'!IB57+'[3]CB-8'!IB57+'[3]CB-9'!IB57+'[3]CB-10'!IB57+'[3]CB-11'!IB57+'[3]CB-12'!IB57+'[3]CB-13'!IB57+'[3]CB-14'!IB57+'[3]CB-15'!IB57+'[3]CB-16'!IB57+'[3]CB-17'!IB57+'[3]CB-18'!IB57+'[3]CB-19'!IB57+'[3]CB-20'!IB57+'[3]CB-21'!IB57+'[3]CB-22'!IB57+'[3]CB-23'!IB57+'[3]CB-24'!IB57+'[4]LCT-1'!IB57+'[4]LCT-2'!IB57+'[4]LCT-3'!IB57+'[4]LCT-4'!IB57+'[4]LCT-5'!IB57+'[4]LCT-6'!IB57+'[4]LCT-7'!IB57+'[4]LCT-8'!IB57+'[5]TB-1'!IB57+'[5]TB-2'!IB57+'[5]TB-3'!IB57+'[5]TB-4'!IB57+'[5]TB-5'!IB57+'[5]TB-6'!IB57+'[5]TB-7'!IB57+'[5]TB-8'!IB57+'[5]TB-9'!IB57+'[5]TB-10'!IB57+'[6]DSV-1'!IB57+'[6]DSV-2'!IB57+'[6]DSV-3'!IB57+'[7]TUB-1'!IB57+'[7]TUB-2'!IB57+'[8]Barge-1'!IB57+'[8]Barge-2'!IB57+'[8]Barge-3'!IB57+'[8]Barge-4'!IB57</f>
        <v>61316166.666666672</v>
      </c>
      <c r="AA19" s="146">
        <f>'[2]AHTS-1'!IB19+'[2]AHTS-2'!IB19+'[2]AHTS-3'!IB19+'[2]AHTS-4'!IB19+'[2]AHTS-5'!IB19+'[2]AHTS-6'!IB19+'[2]AHTS-7'!IB19+'[2]AHTS-8'!IB19+'[3]CB-1'!IB19+'[3]CB-2'!IB19+'[3]CB-3'!IB19+'[3]CB-4'!IB19+'[3]CB-5'!IB19+'[3]CB-6'!IB19+'[3]CB-7'!IB19+'[3]CB-8'!IB19+'[3]CB-9'!IB19+'[3]CB-10'!IB19+'[3]CB-11'!IB19+'[3]CB-12'!IB19+'[3]CB-13'!IB19+'[3]CB-14'!IB19+'[3]CB-15'!IB19+'[3]CB-16'!IB19+'[3]CB-17'!IB19+'[3]CB-18'!IB19+'[3]CB-19'!IB19+'[3]CB-20'!IB19+'[3]CB-21'!IB19+'[3]CB-22'!IB19+'[3]CB-23'!IB19+'[3]CB-24'!IB19+'[4]LCT-1'!IB19+'[4]LCT-2'!IB19+'[4]LCT-3'!IB19+'[4]LCT-4'!IB19+'[4]LCT-5'!IB19+'[4]LCT-6'!IB19+'[4]LCT-7'!IB19+'[4]LCT-8'!IB19+'[5]TB-1'!IB19+'[5]TB-2'!IB19+'[5]TB-3'!IB19+'[5]TB-4'!IB19+'[5]TB-5'!IB19+'[5]TB-6'!IB19+'[5]TB-7'!IB19+'[5]TB-8'!IB19+'[5]TB-9'!IB19+'[5]TB-10'!IB19+'[6]DSV-1'!IB19+'[6]DSV-2'!IB19+'[6]DSV-3'!IB19+'[7]TUB-1'!IB19+'[7]TUB-2'!IB19+'[8]Barge-1'!IB19+'[8]Barge-2'!IB19+'[8]Barge-3'!IB19+'[8]Barge-4'!IB19</f>
        <v>51483333.333333328</v>
      </c>
      <c r="AB19" s="147">
        <f>'[2]AHTS-1'!IB90+'[2]AHTS-2'!IB90+'[2]AHTS-3'!IB90+'[2]AHTS-4'!IB90+'[2]AHTS-5'!IB90+'[2]AHTS-6'!IB90+'[2]AHTS-7'!IB90+'[2]AHTS-8'!IB90+'[3]CB-1'!IB90+'[3]CB-2'!IB90+'[3]CB-3'!IB90+'[3]CB-4'!IB90+'[3]CB-5'!IB90+'[3]CB-6'!IB90+'[3]CB-7'!IB90+'[3]CB-8'!IB90+'[3]CB-9'!IB90+'[3]CB-10'!IB90+'[3]CB-11'!IB90+'[3]CB-12'!IB90+'[3]CB-13'!IB90+'[3]CB-14'!IB90+'[3]CB-15'!IB90+'[3]CB-16'!IB90+'[3]CB-17'!IB90+'[3]CB-18'!IB90+'[3]CB-19'!IB90+'[3]CB-20'!IB90+'[3]CB-21'!IB90+'[3]CB-22'!IB90+'[3]CB-23'!IB90+'[3]CB-24'!IB90+'[4]LCT-1'!IB90+'[4]LCT-2'!IB90+'[4]LCT-3'!IB90+'[4]LCT-4'!IB90+'[4]LCT-5'!IB90+'[4]LCT-6'!IB90+'[4]LCT-7'!IB90+'[4]LCT-8'!IB90+'[5]TB-1'!IB90+'[5]TB-2'!IB90+'[5]TB-3'!IB90+'[5]TB-4'!IB90+'[5]TB-5'!IB90+'[5]TB-6'!IB90+'[5]TB-7'!IB90+'[5]TB-8'!IB90+'[5]TB-9'!IB90+'[5]TB-10'!IB90+'[6]DSV-1'!IB90+'[6]DSV-2'!IB90+'[6]DSV-3'!IB90+'[7]TUB-1'!IB90+'[7]TUB-2'!IB90+'[8]Barge-1'!IB90+'[8]Barge-2'!IB90+'[8]Barge-3'!IB90+'[8]Barge-4'!IB90</f>
        <v>0</v>
      </c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</row>
    <row r="20" spans="1:79" s="84" customFormat="1" ht="14.25" customHeight="1" thickBot="1" x14ac:dyDescent="0.3">
      <c r="A20" s="119">
        <f>[1]Control!AZ20</f>
        <v>45995</v>
      </c>
      <c r="B20" s="81"/>
      <c r="C20" s="159">
        <f>'[2]AHTS-1'!AT20+'[2]AHTS-2'!AT20+'[2]AHTS-3'!AT20+'[2]AHTS-4'!AT20+'[2]AHTS-5'!AT20+'[2]AHTS-6'!AT20+'[2]AHTS-7'!AT20+'[2]AHTS-8'!AT20+'[3]CB-1'!AT20+'[3]CB-2'!AT20+'[3]CB-3'!AT20+'[3]CB-4'!AT20+'[3]CB-5'!AT20+'[3]CB-6'!AT20+'[3]CB-7'!AT20+'[3]CB-8'!AT20+'[3]CB-9'!AT20+'[3]CB-10'!AT20+'[3]CB-11'!AT20+'[3]CB-12'!AT20+'[3]CB-13'!AT20+'[3]CB-14'!AT20+'[3]CB-15'!AT20+'[3]CB-16'!AT20+'[3]CB-17'!AT20+'[3]CB-18'!AT20+'[3]CB-19'!AT20+'[3]CB-20'!AT20+'[3]CB-21'!AT20+'[3]CB-22'!AT20+'[3]CB-23'!AT20+'[3]CB-24'!AT20+'[4]LCT-1'!AT20+'[4]LCT-2'!AT20+'[4]LCT-3'!AT20+'[4]LCT-4'!AT20+'[4]LCT-5'!AT20+'[4]LCT-6'!AT20+'[4]LCT-7'!AT20+'[4]LCT-8'!AT20+'[5]TB-1'!AT20+'[5]TB-2'!AT20+'[5]TB-3'!AT20+'[5]TB-4'!AT20+'[5]TB-5'!AT20+'[5]TB-6'!AT20+'[5]TB-7'!AT20+'[5]TB-8'!AT20+'[5]TB-9'!AT20+'[5]TB-10'!AT20+'[6]DSV-1'!AT20+'[6]DSV-2'!AT20+'[6]DSV-3'!AT20+'[7]TUB-1'!AT20+'[7]TUB-2'!AT20+'[8]Barge-1'!AT20+'[8]Barge-2'!AT20+'[8]Barge-3'!AT20+'[8]Barge-4'!AT20</f>
        <v>0</v>
      </c>
      <c r="D20" s="160">
        <f>'[2]AHTS-1'!BP20+'[2]AHTS-2'!BP20+'[2]AHTS-3'!BP20+'[2]AHTS-4'!BP20+'[2]AHTS-5'!BP20+'[2]AHTS-6'!BP20+'[2]AHTS-7'!BP20+'[2]AHTS-8'!BP20+'[3]CB-1'!BP20+'[3]CB-2'!BP20+'[3]CB-3'!BP20+'[3]CB-4'!BP20+'[3]CB-5'!BP20+'[3]CB-6'!BP20+'[3]CB-7'!BP20+'[3]CB-8'!BP20+'[3]CB-9'!BP20+'[3]CB-10'!BP20+'[3]CB-11'!BP20+'[3]CB-12'!BP20+'[3]CB-13'!BP20+'[3]CB-14'!BP20+'[3]CB-15'!BP20+'[3]CB-16'!BP20+'[3]CB-17'!BP20+'[3]CB-18'!BP20+'[3]CB-19'!BP20+'[3]CB-20'!BP20+'[3]CB-21'!BP20+'[3]CB-22'!BP20+'[3]CB-23'!BP20+'[3]CB-24'!BP20+'[4]LCT-1'!BP20+'[4]LCT-2'!BP20+'[4]LCT-3'!BP20+'[4]LCT-4'!BP20+'[4]LCT-5'!BP20+'[4]LCT-6'!BP20+'[4]LCT-7'!BP20+'[4]LCT-8'!BP20+'[5]TB-1'!BP20+'[5]TB-2'!BP20+'[5]TB-3'!BP20+'[5]TB-4'!BP20+'[5]TB-5'!BP20+'[5]TB-6'!BP20+'[5]TB-7'!BP20+'[5]TB-8'!BP20+'[5]TB-9'!BP20+'[5]TB-10'!BP20+'[6]DSV-1'!BP20+'[6]DSV-2'!BP20+'[6]DSV-3'!BP20+'[7]TUB-1'!BP20+'[7]TUB-2'!BP20+'[8]Barge-1'!BP20+'[8]Barge-2'!BP20+'[8]Barge-3'!BP20+'[8]Barge-4'!BP20</f>
        <v>0</v>
      </c>
      <c r="E20" s="161">
        <f>'[2]AHTS-1'!CL20+'[2]AHTS-2'!CL20+'[2]AHTS-3'!CL20+'[2]AHTS-4'!CL20+'[2]AHTS-5'!CL20+'[2]AHTS-6'!CL20+'[2]AHTS-7'!CL20+'[2]AHTS-8'!CL20+'[3]CB-1'!CL20+'[3]CB-2'!CL20+'[3]CB-3'!CL20+'[3]CB-4'!CL20+'[3]CB-5'!CL20+'[3]CB-6'!CL20+'[3]CB-7'!CL20+'[3]CB-8'!CL20+'[3]CB-9'!CL20+'[3]CB-10'!CL20+'[3]CB-11'!CL20+'[3]CB-12'!CL20+'[3]CB-13'!CL20+'[3]CB-14'!CL20+'[3]CB-15'!CL20+'[3]CB-16'!CL20+'[3]CB-17'!CL20+'[3]CB-18'!CL20+'[3]CB-19'!CL20+'[3]CB-20'!CL20+'[3]CB-21'!CL20+'[3]CB-22'!CL20+'[3]CB-23'!CL20+'[3]CB-24'!CL20+'[4]LCT-1'!CL20+'[4]LCT-2'!CL20+'[4]LCT-3'!CL20+'[4]LCT-4'!CL20+'[4]LCT-5'!CL20+'[4]LCT-6'!CL20+'[4]LCT-7'!CL20+'[4]LCT-8'!CL20+'[5]TB-1'!CL20+'[5]TB-2'!CL20+'[5]TB-3'!CL20+'[5]TB-4'!CL20+'[5]TB-5'!CL20+'[5]TB-6'!CL20+'[5]TB-7'!CL20+'[5]TB-8'!CL20+'[5]TB-9'!CL20+'[5]TB-10'!CL20+'[6]DSV-1'!CL20+'[6]DSV-2'!CL20+'[6]DSV-3'!CL20+'[7]TUB-1'!CL20+'[7]TUB-2'!CL20+'[8]Barge-1'!CL20+'[8]Barge-2'!CL20+'[8]Barge-3'!CL20+'[8]Barge-4'!CL20</f>
        <v>0</v>
      </c>
      <c r="F20" s="159">
        <f>'[2]AHTS-1'!AU20+'[2]AHTS-2'!AU20+'[2]AHTS-3'!AU20+'[2]AHTS-4'!AU20+'[2]AHTS-5'!AU20+'[2]AHTS-6'!AU20+'[2]AHTS-7'!AU20+'[2]AHTS-8'!AU20+'[3]CB-1'!AU20+'[3]CB-2'!AU20+'[3]CB-3'!AU20+'[3]CB-4'!AU20+'[3]CB-5'!AU20+'[3]CB-6'!AU20+'[3]CB-7'!AU20+'[3]CB-8'!AU20+'[3]CB-9'!AU20+'[3]CB-10'!AU20+'[3]CB-11'!AU20+'[3]CB-12'!AU20+'[3]CB-13'!AU20+'[3]CB-14'!AU20+'[3]CB-15'!AU20+'[3]CB-16'!AU20+'[3]CB-17'!AU20+'[3]CB-18'!AU20+'[3]CB-19'!AU20+'[3]CB-20'!AU20+'[3]CB-21'!AU20+'[3]CB-22'!AU20+'[3]CB-23'!AU20+'[3]CB-24'!AU20+'[4]LCT-1'!AU20+'[4]LCT-2'!AU20+'[4]LCT-3'!AU20+'[4]LCT-4'!AU20+'[4]LCT-5'!AU20+'[4]LCT-6'!AU20+'[4]LCT-7'!AU20+'[4]LCT-8'!AU20+'[5]TB-1'!AU20+'[5]TB-2'!AU20+'[5]TB-3'!AU20+'[5]TB-4'!AU20+'[5]TB-5'!AU20+'[5]TB-6'!AU20+'[5]TB-7'!AU20+'[5]TB-8'!AU20+'[5]TB-9'!AU20+'[5]TB-10'!AU20+'[6]DSV-1'!AU20+'[6]DSV-2'!AU20+'[6]DSV-3'!AU20+'[7]TUB-1'!AU20+'[7]TUB-2'!AU20+'[8]Barge-1'!AU20+'[8]Barge-2'!AU20+'[8]Barge-3'!AU20+'[8]Barge-4'!AU20</f>
        <v>2584.4570851618646</v>
      </c>
      <c r="G20" s="160">
        <f>'[2]AHTS-1'!BQ20+'[2]AHTS-2'!BQ20+'[2]AHTS-3'!BQ20+'[2]AHTS-4'!BQ20+'[2]AHTS-5'!BQ20+'[2]AHTS-6'!BQ20+'[2]AHTS-7'!BQ20+'[2]AHTS-8'!BQ20+'[3]CB-1'!BQ20+'[3]CB-2'!BQ20+'[3]CB-3'!BQ20+'[3]CB-4'!BQ20+'[3]CB-5'!BQ20+'[3]CB-6'!BQ20+'[3]CB-7'!BQ20+'[3]CB-8'!BQ20+'[3]CB-9'!BQ20+'[3]CB-10'!BQ20+'[3]CB-11'!BQ20+'[3]CB-12'!BQ20+'[3]CB-13'!BQ20+'[3]CB-14'!BQ20+'[3]CB-15'!BQ20+'[3]CB-16'!BQ20+'[3]CB-17'!BQ20+'[3]CB-18'!BQ20+'[3]CB-19'!BQ20+'[3]CB-20'!BQ20+'[3]CB-21'!BQ20+'[3]CB-22'!BQ20+'[3]CB-23'!BQ20+'[3]CB-24'!BQ20+'[4]LCT-1'!BQ20+'[4]LCT-2'!BQ20+'[4]LCT-3'!BQ20+'[4]LCT-4'!BQ20+'[4]LCT-5'!BQ20+'[4]LCT-6'!BQ20+'[4]LCT-7'!BQ20+'[4]LCT-8'!BQ20+'[5]TB-1'!BQ20+'[5]TB-2'!BQ20+'[5]TB-3'!BQ20+'[5]TB-4'!BQ20+'[5]TB-5'!BQ20+'[5]TB-6'!BQ20+'[5]TB-7'!BQ20+'[5]TB-8'!BQ20+'[5]TB-9'!BQ20+'[5]TB-10'!BQ20+'[6]DSV-1'!BQ20+'[6]DSV-2'!BQ20+'[6]DSV-3'!BQ20+'[7]TUB-1'!BQ20+'[7]TUB-2'!BQ20+'[8]Barge-1'!BQ20+'[8]Barge-2'!BQ20+'[8]Barge-3'!BQ20+'[8]Barge-4'!BQ20</f>
        <v>2302.2270983060907</v>
      </c>
      <c r="H20" s="161">
        <f>'[2]AHTS-1'!CM20+'[2]AHTS-2'!CM20+'[2]AHTS-3'!CM20+'[2]AHTS-4'!CM20+'[2]AHTS-5'!CM20+'[2]AHTS-6'!CM20+'[2]AHTS-7'!CM20+'[2]AHTS-8'!CM20+'[3]CB-1'!CM20+'[3]CB-2'!CM20+'[3]CB-3'!CM20+'[3]CB-4'!CM20+'[3]CB-5'!CM20+'[3]CB-6'!CM20+'[3]CB-7'!CM20+'[3]CB-8'!CM20+'[3]CB-9'!CM20+'[3]CB-10'!CM20+'[3]CB-11'!CM20+'[3]CB-12'!CM20+'[3]CB-13'!CM20+'[3]CB-14'!CM20+'[3]CB-15'!CM20+'[3]CB-16'!CM20+'[3]CB-17'!CM20+'[3]CB-18'!CM20+'[3]CB-19'!CM20+'[3]CB-20'!CM20+'[3]CB-21'!CM20+'[3]CB-22'!CM20+'[3]CB-23'!CM20+'[3]CB-24'!CM20+'[4]LCT-1'!CM20+'[4]LCT-2'!CM20+'[4]LCT-3'!CM20+'[4]LCT-4'!CM20+'[4]LCT-5'!CM20+'[4]LCT-6'!CM20+'[4]LCT-7'!CM20+'[4]LCT-8'!CM20+'[5]TB-1'!CM20+'[5]TB-2'!CM20+'[5]TB-3'!CM20+'[5]TB-4'!CM20+'[5]TB-5'!CM20+'[5]TB-6'!CM20+'[5]TB-7'!CM20+'[5]TB-8'!CM20+'[5]TB-9'!CM20+'[5]TB-10'!CM20+'[6]DSV-1'!CM20+'[6]DSV-2'!CM20+'[6]DSV-3'!CM20+'[7]TUB-1'!CM20+'[7]TUB-2'!CM20+'[8]Barge-1'!CM20+'[8]Barge-2'!CM20+'[8]Barge-3'!CM20+'[8]Barge-4'!CM20</f>
        <v>0</v>
      </c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110"/>
      <c r="U20" s="119">
        <f>[1]Control!AZ20</f>
        <v>45995</v>
      </c>
      <c r="V20" s="81"/>
      <c r="W20" s="145">
        <f>'[2]AHTS-1'!IA58+'[2]AHTS-2'!IA58+'[2]AHTS-3'!IA58+'[2]AHTS-4'!IA58+'[2]AHTS-5'!IA58+'[2]AHTS-6'!IA58+'[2]AHTS-7'!IA58+'[2]AHTS-8'!IA58+'[3]CB-1'!IA58+'[3]CB-2'!IA58+'[3]CB-3'!IA58+'[3]CB-4'!IA58+'[3]CB-5'!IA58+'[3]CB-6'!IA58+'[3]CB-7'!IA58+'[3]CB-8'!IA58+'[3]CB-9'!IA58+'[3]CB-10'!IA58+'[3]CB-11'!IA58+'[3]CB-12'!IA58+'[3]CB-13'!IA58+'[3]CB-14'!IA58+'[3]CB-15'!IA58+'[3]CB-16'!IA58+'[3]CB-17'!IA58+'[3]CB-18'!IA58+'[3]CB-19'!IA58+'[3]CB-20'!IA58+'[3]CB-21'!IA58+'[3]CB-22'!IA58+'[3]CB-23'!IA58+'[3]CB-24'!IA58+'[4]LCT-1'!IA58+'[4]LCT-2'!IA58+'[4]LCT-3'!IA58+'[4]LCT-4'!IA58+'[4]LCT-5'!IA58+'[4]LCT-6'!IA58+'[4]LCT-7'!IA58+'[4]LCT-8'!IA58+'[5]TB-1'!IA58+'[5]TB-2'!IA58+'[5]TB-3'!IA58+'[5]TB-4'!IA58+'[5]TB-5'!IA58+'[5]TB-6'!IA58+'[5]TB-7'!IA58+'[5]TB-8'!IA58+'[5]TB-9'!IA58+'[5]TB-10'!IA58+'[6]DSV-1'!IA58+'[6]DSV-2'!IA58+'[6]DSV-3'!IA58+'[7]TUB-1'!IA58+'[7]TUB-2'!IA58+'[8]Barge-1'!IA58+'[8]Barge-2'!IA58+'[8]Barge-3'!IA58+'[8]Barge-4'!IA58</f>
        <v>0</v>
      </c>
      <c r="X20" s="146">
        <f>'[2]AHTS-1'!IA20+'[2]AHTS-2'!IA20+'[2]AHTS-3'!IA20+'[2]AHTS-4'!IA20+'[2]AHTS-5'!IA20+'[2]AHTS-6'!IA20+'[2]AHTS-7'!IA20+'[2]AHTS-8'!IA20+'[3]CB-1'!IA20+'[3]CB-2'!IA20+'[3]CB-3'!IA20+'[3]CB-4'!IA20+'[3]CB-5'!IA20+'[3]CB-6'!IA20+'[3]CB-7'!IA20+'[3]CB-8'!IA20+'[3]CB-9'!IA20+'[3]CB-10'!IA20+'[3]CB-11'!IA20+'[3]CB-12'!IA20+'[3]CB-13'!IA20+'[3]CB-14'!IA20+'[3]CB-15'!IA20+'[3]CB-16'!IA20+'[3]CB-17'!IA20+'[3]CB-18'!IA20+'[3]CB-19'!IA20+'[3]CB-20'!IA20+'[3]CB-21'!IA20+'[3]CB-22'!IA20+'[3]CB-23'!IA20+'[3]CB-24'!IA20+'[4]LCT-1'!IA20+'[4]LCT-2'!IA20+'[4]LCT-3'!IA20+'[4]LCT-4'!IA20+'[4]LCT-5'!IA20+'[4]LCT-6'!IA20+'[4]LCT-7'!IA20+'[4]LCT-8'!IA20+'[5]TB-1'!IA20+'[5]TB-2'!IA20+'[5]TB-3'!IA20+'[5]TB-4'!IA20+'[5]TB-5'!IA20+'[5]TB-6'!IA20+'[5]TB-7'!IA20+'[5]TB-8'!IA20+'[5]TB-9'!IA20+'[5]TB-10'!IA20+'[6]DSV-1'!IA20+'[6]DSV-2'!IA20+'[6]DSV-3'!IA20+'[7]TUB-1'!IA20+'[7]TUB-2'!IA20+'[8]Barge-1'!IA20+'[8]Barge-2'!IA20+'[8]Barge-3'!IA20+'[8]Barge-4'!IA20</f>
        <v>0</v>
      </c>
      <c r="Y20" s="147">
        <f>'[2]AHTS-1'!IA91+'[2]AHTS-2'!IA91+'[2]AHTS-3'!IA91+'[2]AHTS-4'!IA91+'[2]AHTS-5'!IA91+'[2]AHTS-6'!IA91+'[2]AHTS-7'!IA91+'[2]AHTS-8'!IA91+'[3]CB-1'!IA91+'[3]CB-2'!IA91+'[3]CB-3'!IA91+'[3]CB-4'!IA91+'[3]CB-5'!IA91+'[3]CB-6'!IA91+'[3]CB-7'!IA91+'[3]CB-8'!IA91+'[3]CB-9'!IA91+'[3]CB-10'!IA91+'[3]CB-11'!IA91+'[3]CB-12'!IA91+'[3]CB-13'!IA91+'[3]CB-14'!IA91+'[3]CB-15'!IA91+'[3]CB-16'!IA91+'[3]CB-17'!IA91+'[3]CB-18'!IA91+'[3]CB-19'!IA91+'[3]CB-20'!IA91+'[3]CB-21'!IA91+'[3]CB-22'!IA91+'[3]CB-23'!IA91+'[3]CB-24'!IA91+'[4]LCT-1'!IA91+'[4]LCT-2'!IA91+'[4]LCT-3'!IA91+'[4]LCT-4'!IA91+'[4]LCT-5'!IA91+'[4]LCT-6'!IA91+'[4]LCT-7'!IA91+'[4]LCT-8'!IA91+'[5]TB-1'!IA91+'[5]TB-2'!IA91+'[5]TB-3'!IA91+'[5]TB-4'!IA91+'[5]TB-5'!IA91+'[5]TB-6'!IA91+'[5]TB-7'!IA91+'[5]TB-8'!IA91+'[5]TB-9'!IA91+'[5]TB-10'!IA91+'[6]DSV-1'!IA91+'[6]DSV-2'!IA91+'[6]DSV-3'!IA91+'[7]TUB-1'!IA91+'[7]TUB-2'!IA91+'[8]Barge-1'!IA91+'[8]Barge-2'!IA91+'[8]Barge-3'!IA91+'[8]Barge-4'!IA91</f>
        <v>0</v>
      </c>
      <c r="Z20" s="145">
        <f>'[2]AHTS-1'!IB58+'[2]AHTS-2'!IB58+'[2]AHTS-3'!IB58+'[2]AHTS-4'!IB58+'[2]AHTS-5'!IB58+'[2]AHTS-6'!IB58+'[2]AHTS-7'!IB58+'[2]AHTS-8'!IB58+'[3]CB-1'!IB58+'[3]CB-2'!IB58+'[3]CB-3'!IB58+'[3]CB-4'!IB58+'[3]CB-5'!IB58+'[3]CB-6'!IB58+'[3]CB-7'!IB58+'[3]CB-8'!IB58+'[3]CB-9'!IB58+'[3]CB-10'!IB58+'[3]CB-11'!IB58+'[3]CB-12'!IB58+'[3]CB-13'!IB58+'[3]CB-14'!IB58+'[3]CB-15'!IB58+'[3]CB-16'!IB58+'[3]CB-17'!IB58+'[3]CB-18'!IB58+'[3]CB-19'!IB58+'[3]CB-20'!IB58+'[3]CB-21'!IB58+'[3]CB-22'!IB58+'[3]CB-23'!IB58+'[3]CB-24'!IB58+'[4]LCT-1'!IB58+'[4]LCT-2'!IB58+'[4]LCT-3'!IB58+'[4]LCT-4'!IB58+'[4]LCT-5'!IB58+'[4]LCT-6'!IB58+'[4]LCT-7'!IB58+'[4]LCT-8'!IB58+'[5]TB-1'!IB58+'[5]TB-2'!IB58+'[5]TB-3'!IB58+'[5]TB-4'!IB58+'[5]TB-5'!IB58+'[5]TB-6'!IB58+'[5]TB-7'!IB58+'[5]TB-8'!IB58+'[5]TB-9'!IB58+'[5]TB-10'!IB58+'[6]DSV-1'!IB58+'[6]DSV-2'!IB58+'[6]DSV-3'!IB58+'[7]TUB-1'!IB58+'[7]TUB-2'!IB58+'[8]Barge-1'!IB58+'[8]Barge-2'!IB58+'[8]Barge-3'!IB58+'[8]Barge-4'!IB58</f>
        <v>40635418.75</v>
      </c>
      <c r="AA20" s="146">
        <f>'[2]AHTS-1'!IB20+'[2]AHTS-2'!IB20+'[2]AHTS-3'!IB20+'[2]AHTS-4'!IB20+'[2]AHTS-5'!IB20+'[2]AHTS-6'!IB20+'[2]AHTS-7'!IB20+'[2]AHTS-8'!IB20+'[3]CB-1'!IB20+'[3]CB-2'!IB20+'[3]CB-3'!IB20+'[3]CB-4'!IB20+'[3]CB-5'!IB20+'[3]CB-6'!IB20+'[3]CB-7'!IB20+'[3]CB-8'!IB20+'[3]CB-9'!IB20+'[3]CB-10'!IB20+'[3]CB-11'!IB20+'[3]CB-12'!IB20+'[3]CB-13'!IB20+'[3]CB-14'!IB20+'[3]CB-15'!IB20+'[3]CB-16'!IB20+'[3]CB-17'!IB20+'[3]CB-18'!IB20+'[3]CB-19'!IB20+'[3]CB-20'!IB20+'[3]CB-21'!IB20+'[3]CB-22'!IB20+'[3]CB-23'!IB20+'[3]CB-24'!IB20+'[4]LCT-1'!IB20+'[4]LCT-2'!IB20+'[4]LCT-3'!IB20+'[4]LCT-4'!IB20+'[4]LCT-5'!IB20+'[4]LCT-6'!IB20+'[4]LCT-7'!IB20+'[4]LCT-8'!IB20+'[5]TB-1'!IB20+'[5]TB-2'!IB20+'[5]TB-3'!IB20+'[5]TB-4'!IB20+'[5]TB-5'!IB20+'[5]TB-6'!IB20+'[5]TB-7'!IB20+'[5]TB-8'!IB20+'[5]TB-9'!IB20+'[5]TB-10'!IB20+'[6]DSV-1'!IB20+'[6]DSV-2'!IB20+'[6]DSV-3'!IB20+'[7]TUB-1'!IB20+'[7]TUB-2'!IB20+'[8]Barge-1'!IB20+'[8]Barge-2'!IB20+'[8]Barge-3'!IB20+'[8]Barge-4'!IB20</f>
        <v>36197916.666666664</v>
      </c>
      <c r="AB20" s="147">
        <f>'[2]AHTS-1'!IB91+'[2]AHTS-2'!IB91+'[2]AHTS-3'!IB91+'[2]AHTS-4'!IB91+'[2]AHTS-5'!IB91+'[2]AHTS-6'!IB91+'[2]AHTS-7'!IB91+'[2]AHTS-8'!IB91+'[3]CB-1'!IB91+'[3]CB-2'!IB91+'[3]CB-3'!IB91+'[3]CB-4'!IB91+'[3]CB-5'!IB91+'[3]CB-6'!IB91+'[3]CB-7'!IB91+'[3]CB-8'!IB91+'[3]CB-9'!IB91+'[3]CB-10'!IB91+'[3]CB-11'!IB91+'[3]CB-12'!IB91+'[3]CB-13'!IB91+'[3]CB-14'!IB91+'[3]CB-15'!IB91+'[3]CB-16'!IB91+'[3]CB-17'!IB91+'[3]CB-18'!IB91+'[3]CB-19'!IB91+'[3]CB-20'!IB91+'[3]CB-21'!IB91+'[3]CB-22'!IB91+'[3]CB-23'!IB91+'[3]CB-24'!IB91+'[4]LCT-1'!IB91+'[4]LCT-2'!IB91+'[4]LCT-3'!IB91+'[4]LCT-4'!IB91+'[4]LCT-5'!IB91+'[4]LCT-6'!IB91+'[4]LCT-7'!IB91+'[4]LCT-8'!IB91+'[5]TB-1'!IB91+'[5]TB-2'!IB91+'[5]TB-3'!IB91+'[5]TB-4'!IB91+'[5]TB-5'!IB91+'[5]TB-6'!IB91+'[5]TB-7'!IB91+'[5]TB-8'!IB91+'[5]TB-9'!IB91+'[5]TB-10'!IB91+'[6]DSV-1'!IB91+'[6]DSV-2'!IB91+'[6]DSV-3'!IB91+'[7]TUB-1'!IB91+'[7]TUB-2'!IB91+'[8]Barge-1'!IB91+'[8]Barge-2'!IB91+'[8]Barge-3'!IB91+'[8]Barge-4'!IB91</f>
        <v>0</v>
      </c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</row>
    <row r="21" spans="1:79" s="84" customFormat="1" ht="14.25" customHeight="1" thickBot="1" x14ac:dyDescent="0.3">
      <c r="A21" s="119">
        <f>[1]Control!AZ21</f>
        <v>45996</v>
      </c>
      <c r="B21" s="81"/>
      <c r="C21" s="159">
        <f>'[2]AHTS-1'!AT21+'[2]AHTS-2'!AT21+'[2]AHTS-3'!AT21+'[2]AHTS-4'!AT21+'[2]AHTS-5'!AT21+'[2]AHTS-6'!AT21+'[2]AHTS-7'!AT21+'[2]AHTS-8'!AT21+'[3]CB-1'!AT21+'[3]CB-2'!AT21+'[3]CB-3'!AT21+'[3]CB-4'!AT21+'[3]CB-5'!AT21+'[3]CB-6'!AT21+'[3]CB-7'!AT21+'[3]CB-8'!AT21+'[3]CB-9'!AT21+'[3]CB-10'!AT21+'[3]CB-11'!AT21+'[3]CB-12'!AT21+'[3]CB-13'!AT21+'[3]CB-14'!AT21+'[3]CB-15'!AT21+'[3]CB-16'!AT21+'[3]CB-17'!AT21+'[3]CB-18'!AT21+'[3]CB-19'!AT21+'[3]CB-20'!AT21+'[3]CB-21'!AT21+'[3]CB-22'!AT21+'[3]CB-23'!AT21+'[3]CB-24'!AT21+'[4]LCT-1'!AT21+'[4]LCT-2'!AT21+'[4]LCT-3'!AT21+'[4]LCT-4'!AT21+'[4]LCT-5'!AT21+'[4]LCT-6'!AT21+'[4]LCT-7'!AT21+'[4]LCT-8'!AT21+'[5]TB-1'!AT21+'[5]TB-2'!AT21+'[5]TB-3'!AT21+'[5]TB-4'!AT21+'[5]TB-5'!AT21+'[5]TB-6'!AT21+'[5]TB-7'!AT21+'[5]TB-8'!AT21+'[5]TB-9'!AT21+'[5]TB-10'!AT21+'[6]DSV-1'!AT21+'[6]DSV-2'!AT21+'[6]DSV-3'!AT21+'[7]TUB-1'!AT21+'[7]TUB-2'!AT21+'[8]Barge-1'!AT21+'[8]Barge-2'!AT21+'[8]Barge-3'!AT21+'[8]Barge-4'!AT21</f>
        <v>0</v>
      </c>
      <c r="D21" s="160">
        <f>'[2]AHTS-1'!BP21+'[2]AHTS-2'!BP21+'[2]AHTS-3'!BP21+'[2]AHTS-4'!BP21+'[2]AHTS-5'!BP21+'[2]AHTS-6'!BP21+'[2]AHTS-7'!BP21+'[2]AHTS-8'!BP21+'[3]CB-1'!BP21+'[3]CB-2'!BP21+'[3]CB-3'!BP21+'[3]CB-4'!BP21+'[3]CB-5'!BP21+'[3]CB-6'!BP21+'[3]CB-7'!BP21+'[3]CB-8'!BP21+'[3]CB-9'!BP21+'[3]CB-10'!BP21+'[3]CB-11'!BP21+'[3]CB-12'!BP21+'[3]CB-13'!BP21+'[3]CB-14'!BP21+'[3]CB-15'!BP21+'[3]CB-16'!BP21+'[3]CB-17'!BP21+'[3]CB-18'!BP21+'[3]CB-19'!BP21+'[3]CB-20'!BP21+'[3]CB-21'!BP21+'[3]CB-22'!BP21+'[3]CB-23'!BP21+'[3]CB-24'!BP21+'[4]LCT-1'!BP21+'[4]LCT-2'!BP21+'[4]LCT-3'!BP21+'[4]LCT-4'!BP21+'[4]LCT-5'!BP21+'[4]LCT-6'!BP21+'[4]LCT-7'!BP21+'[4]LCT-8'!BP21+'[5]TB-1'!BP21+'[5]TB-2'!BP21+'[5]TB-3'!BP21+'[5]TB-4'!BP21+'[5]TB-5'!BP21+'[5]TB-6'!BP21+'[5]TB-7'!BP21+'[5]TB-8'!BP21+'[5]TB-9'!BP21+'[5]TB-10'!BP21+'[6]DSV-1'!BP21+'[6]DSV-2'!BP21+'[6]DSV-3'!BP21+'[7]TUB-1'!BP21+'[7]TUB-2'!BP21+'[8]Barge-1'!BP21+'[8]Barge-2'!BP21+'[8]Barge-3'!BP21+'[8]Barge-4'!BP21</f>
        <v>0</v>
      </c>
      <c r="E21" s="161">
        <f>'[2]AHTS-1'!CL21+'[2]AHTS-2'!CL21+'[2]AHTS-3'!CL21+'[2]AHTS-4'!CL21+'[2]AHTS-5'!CL21+'[2]AHTS-6'!CL21+'[2]AHTS-7'!CL21+'[2]AHTS-8'!CL21+'[3]CB-1'!CL21+'[3]CB-2'!CL21+'[3]CB-3'!CL21+'[3]CB-4'!CL21+'[3]CB-5'!CL21+'[3]CB-6'!CL21+'[3]CB-7'!CL21+'[3]CB-8'!CL21+'[3]CB-9'!CL21+'[3]CB-10'!CL21+'[3]CB-11'!CL21+'[3]CB-12'!CL21+'[3]CB-13'!CL21+'[3]CB-14'!CL21+'[3]CB-15'!CL21+'[3]CB-16'!CL21+'[3]CB-17'!CL21+'[3]CB-18'!CL21+'[3]CB-19'!CL21+'[3]CB-20'!CL21+'[3]CB-21'!CL21+'[3]CB-22'!CL21+'[3]CB-23'!CL21+'[3]CB-24'!CL21+'[4]LCT-1'!CL21+'[4]LCT-2'!CL21+'[4]LCT-3'!CL21+'[4]LCT-4'!CL21+'[4]LCT-5'!CL21+'[4]LCT-6'!CL21+'[4]LCT-7'!CL21+'[4]LCT-8'!CL21+'[5]TB-1'!CL21+'[5]TB-2'!CL21+'[5]TB-3'!CL21+'[5]TB-4'!CL21+'[5]TB-5'!CL21+'[5]TB-6'!CL21+'[5]TB-7'!CL21+'[5]TB-8'!CL21+'[5]TB-9'!CL21+'[5]TB-10'!CL21+'[6]DSV-1'!CL21+'[6]DSV-2'!CL21+'[6]DSV-3'!CL21+'[7]TUB-1'!CL21+'[7]TUB-2'!CL21+'[8]Barge-1'!CL21+'[8]Barge-2'!CL21+'[8]Barge-3'!CL21+'[8]Barge-4'!CL21</f>
        <v>0</v>
      </c>
      <c r="F21" s="159">
        <f>'[2]AHTS-1'!AU21+'[2]AHTS-2'!AU21+'[2]AHTS-3'!AU21+'[2]AHTS-4'!AU21+'[2]AHTS-5'!AU21+'[2]AHTS-6'!AU21+'[2]AHTS-7'!AU21+'[2]AHTS-8'!AU21+'[3]CB-1'!AU21+'[3]CB-2'!AU21+'[3]CB-3'!AU21+'[3]CB-4'!AU21+'[3]CB-5'!AU21+'[3]CB-6'!AU21+'[3]CB-7'!AU21+'[3]CB-8'!AU21+'[3]CB-9'!AU21+'[3]CB-10'!AU21+'[3]CB-11'!AU21+'[3]CB-12'!AU21+'[3]CB-13'!AU21+'[3]CB-14'!AU21+'[3]CB-15'!AU21+'[3]CB-16'!AU21+'[3]CB-17'!AU21+'[3]CB-18'!AU21+'[3]CB-19'!AU21+'[3]CB-20'!AU21+'[3]CB-21'!AU21+'[3]CB-22'!AU21+'[3]CB-23'!AU21+'[3]CB-24'!AU21+'[4]LCT-1'!AU21+'[4]LCT-2'!AU21+'[4]LCT-3'!AU21+'[4]LCT-4'!AU21+'[4]LCT-5'!AU21+'[4]LCT-6'!AU21+'[4]LCT-7'!AU21+'[4]LCT-8'!AU21+'[5]TB-1'!AU21+'[5]TB-2'!AU21+'[5]TB-3'!AU21+'[5]TB-4'!AU21+'[5]TB-5'!AU21+'[5]TB-6'!AU21+'[5]TB-7'!AU21+'[5]TB-8'!AU21+'[5]TB-9'!AU21+'[5]TB-10'!AU21+'[6]DSV-1'!AU21+'[6]DSV-2'!AU21+'[6]DSV-3'!AU21+'[7]TUB-1'!AU21+'[7]TUB-2'!AU21+'[8]Barge-1'!AU21+'[8]Barge-2'!AU21+'[8]Barge-3'!AU21+'[8]Barge-4'!AU21</f>
        <v>3068.8178528347407</v>
      </c>
      <c r="G21" s="160">
        <f>'[2]AHTS-1'!BQ21+'[2]AHTS-2'!BQ21+'[2]AHTS-3'!BQ21+'[2]AHTS-4'!BQ21+'[2]AHTS-5'!BQ21+'[2]AHTS-6'!BQ21+'[2]AHTS-7'!BQ21+'[2]AHTS-8'!BQ21+'[3]CB-1'!BQ21+'[3]CB-2'!BQ21+'[3]CB-3'!BQ21+'[3]CB-4'!BQ21+'[3]CB-5'!BQ21+'[3]CB-6'!BQ21+'[3]CB-7'!BQ21+'[3]CB-8'!BQ21+'[3]CB-9'!BQ21+'[3]CB-10'!BQ21+'[3]CB-11'!BQ21+'[3]CB-12'!BQ21+'[3]CB-13'!BQ21+'[3]CB-14'!BQ21+'[3]CB-15'!BQ21+'[3]CB-16'!BQ21+'[3]CB-17'!BQ21+'[3]CB-18'!BQ21+'[3]CB-19'!BQ21+'[3]CB-20'!BQ21+'[3]CB-21'!BQ21+'[3]CB-22'!BQ21+'[3]CB-23'!BQ21+'[3]CB-24'!BQ21+'[4]LCT-1'!BQ21+'[4]LCT-2'!BQ21+'[4]LCT-3'!BQ21+'[4]LCT-4'!BQ21+'[4]LCT-5'!BQ21+'[4]LCT-6'!BQ21+'[4]LCT-7'!BQ21+'[4]LCT-8'!BQ21+'[5]TB-1'!BQ21+'[5]TB-2'!BQ21+'[5]TB-3'!BQ21+'[5]TB-4'!BQ21+'[5]TB-5'!BQ21+'[5]TB-6'!BQ21+'[5]TB-7'!BQ21+'[5]TB-8'!BQ21+'[5]TB-9'!BQ21+'[5]TB-10'!BQ21+'[6]DSV-1'!BQ21+'[6]DSV-2'!BQ21+'[6]DSV-3'!BQ21+'[7]TUB-1'!BQ21+'[7]TUB-2'!BQ21+'[8]Barge-1'!BQ21+'[8]Barge-2'!BQ21+'[8]Barge-3'!BQ21+'[8]Barge-4'!BQ21</f>
        <v>3064.884769221002</v>
      </c>
      <c r="H21" s="161">
        <f>'[2]AHTS-1'!CM21+'[2]AHTS-2'!CM21+'[2]AHTS-3'!CM21+'[2]AHTS-4'!CM21+'[2]AHTS-5'!CM21+'[2]AHTS-6'!CM21+'[2]AHTS-7'!CM21+'[2]AHTS-8'!CM21+'[3]CB-1'!CM21+'[3]CB-2'!CM21+'[3]CB-3'!CM21+'[3]CB-4'!CM21+'[3]CB-5'!CM21+'[3]CB-6'!CM21+'[3]CB-7'!CM21+'[3]CB-8'!CM21+'[3]CB-9'!CM21+'[3]CB-10'!CM21+'[3]CB-11'!CM21+'[3]CB-12'!CM21+'[3]CB-13'!CM21+'[3]CB-14'!CM21+'[3]CB-15'!CM21+'[3]CB-16'!CM21+'[3]CB-17'!CM21+'[3]CB-18'!CM21+'[3]CB-19'!CM21+'[3]CB-20'!CM21+'[3]CB-21'!CM21+'[3]CB-22'!CM21+'[3]CB-23'!CM21+'[3]CB-24'!CM21+'[4]LCT-1'!CM21+'[4]LCT-2'!CM21+'[4]LCT-3'!CM21+'[4]LCT-4'!CM21+'[4]LCT-5'!CM21+'[4]LCT-6'!CM21+'[4]LCT-7'!CM21+'[4]LCT-8'!CM21+'[5]TB-1'!CM21+'[5]TB-2'!CM21+'[5]TB-3'!CM21+'[5]TB-4'!CM21+'[5]TB-5'!CM21+'[5]TB-6'!CM21+'[5]TB-7'!CM21+'[5]TB-8'!CM21+'[5]TB-9'!CM21+'[5]TB-10'!CM21+'[6]DSV-1'!CM21+'[6]DSV-2'!CM21+'[6]DSV-3'!CM21+'[7]TUB-1'!CM21+'[7]TUB-2'!CM21+'[8]Barge-1'!CM21+'[8]Barge-2'!CM21+'[8]Barge-3'!CM21+'[8]Barge-4'!CM21</f>
        <v>0</v>
      </c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110"/>
      <c r="U21" s="119">
        <f>[1]Control!AZ21</f>
        <v>45996</v>
      </c>
      <c r="V21" s="81"/>
      <c r="W21" s="145">
        <f>'[2]AHTS-1'!IA59+'[2]AHTS-2'!IA59+'[2]AHTS-3'!IA59+'[2]AHTS-4'!IA59+'[2]AHTS-5'!IA59+'[2]AHTS-6'!IA59+'[2]AHTS-7'!IA59+'[2]AHTS-8'!IA59+'[3]CB-1'!IA59+'[3]CB-2'!IA59+'[3]CB-3'!IA59+'[3]CB-4'!IA59+'[3]CB-5'!IA59+'[3]CB-6'!IA59+'[3]CB-7'!IA59+'[3]CB-8'!IA59+'[3]CB-9'!IA59+'[3]CB-10'!IA59+'[3]CB-11'!IA59+'[3]CB-12'!IA59+'[3]CB-13'!IA59+'[3]CB-14'!IA59+'[3]CB-15'!IA59+'[3]CB-16'!IA59+'[3]CB-17'!IA59+'[3]CB-18'!IA59+'[3]CB-19'!IA59+'[3]CB-20'!IA59+'[3]CB-21'!IA59+'[3]CB-22'!IA59+'[3]CB-23'!IA59+'[3]CB-24'!IA59+'[4]LCT-1'!IA59+'[4]LCT-2'!IA59+'[4]LCT-3'!IA59+'[4]LCT-4'!IA59+'[4]LCT-5'!IA59+'[4]LCT-6'!IA59+'[4]LCT-7'!IA59+'[4]LCT-8'!IA59+'[5]TB-1'!IA59+'[5]TB-2'!IA59+'[5]TB-3'!IA59+'[5]TB-4'!IA59+'[5]TB-5'!IA59+'[5]TB-6'!IA59+'[5]TB-7'!IA59+'[5]TB-8'!IA59+'[5]TB-9'!IA59+'[5]TB-10'!IA59+'[6]DSV-1'!IA59+'[6]DSV-2'!IA59+'[6]DSV-3'!IA59+'[7]TUB-1'!IA59+'[7]TUB-2'!IA59+'[8]Barge-1'!IA59+'[8]Barge-2'!IA59+'[8]Barge-3'!IA59+'[8]Barge-4'!IA59</f>
        <v>0</v>
      </c>
      <c r="X21" s="146">
        <f>'[2]AHTS-1'!IA21+'[2]AHTS-2'!IA21+'[2]AHTS-3'!IA21+'[2]AHTS-4'!IA21+'[2]AHTS-5'!IA21+'[2]AHTS-6'!IA21+'[2]AHTS-7'!IA21+'[2]AHTS-8'!IA21+'[3]CB-1'!IA21+'[3]CB-2'!IA21+'[3]CB-3'!IA21+'[3]CB-4'!IA21+'[3]CB-5'!IA21+'[3]CB-6'!IA21+'[3]CB-7'!IA21+'[3]CB-8'!IA21+'[3]CB-9'!IA21+'[3]CB-10'!IA21+'[3]CB-11'!IA21+'[3]CB-12'!IA21+'[3]CB-13'!IA21+'[3]CB-14'!IA21+'[3]CB-15'!IA21+'[3]CB-16'!IA21+'[3]CB-17'!IA21+'[3]CB-18'!IA21+'[3]CB-19'!IA21+'[3]CB-20'!IA21+'[3]CB-21'!IA21+'[3]CB-22'!IA21+'[3]CB-23'!IA21+'[3]CB-24'!IA21+'[4]LCT-1'!IA21+'[4]LCT-2'!IA21+'[4]LCT-3'!IA21+'[4]LCT-4'!IA21+'[4]LCT-5'!IA21+'[4]LCT-6'!IA21+'[4]LCT-7'!IA21+'[4]LCT-8'!IA21+'[5]TB-1'!IA21+'[5]TB-2'!IA21+'[5]TB-3'!IA21+'[5]TB-4'!IA21+'[5]TB-5'!IA21+'[5]TB-6'!IA21+'[5]TB-7'!IA21+'[5]TB-8'!IA21+'[5]TB-9'!IA21+'[5]TB-10'!IA21+'[6]DSV-1'!IA21+'[6]DSV-2'!IA21+'[6]DSV-3'!IA21+'[7]TUB-1'!IA21+'[7]TUB-2'!IA21+'[8]Barge-1'!IA21+'[8]Barge-2'!IA21+'[8]Barge-3'!IA21+'[8]Barge-4'!IA21</f>
        <v>0</v>
      </c>
      <c r="Y21" s="147">
        <f>'[2]AHTS-1'!IA92+'[2]AHTS-2'!IA92+'[2]AHTS-3'!IA92+'[2]AHTS-4'!IA92+'[2]AHTS-5'!IA92+'[2]AHTS-6'!IA92+'[2]AHTS-7'!IA92+'[2]AHTS-8'!IA92+'[3]CB-1'!IA92+'[3]CB-2'!IA92+'[3]CB-3'!IA92+'[3]CB-4'!IA92+'[3]CB-5'!IA92+'[3]CB-6'!IA92+'[3]CB-7'!IA92+'[3]CB-8'!IA92+'[3]CB-9'!IA92+'[3]CB-10'!IA92+'[3]CB-11'!IA92+'[3]CB-12'!IA92+'[3]CB-13'!IA92+'[3]CB-14'!IA92+'[3]CB-15'!IA92+'[3]CB-16'!IA92+'[3]CB-17'!IA92+'[3]CB-18'!IA92+'[3]CB-19'!IA92+'[3]CB-20'!IA92+'[3]CB-21'!IA92+'[3]CB-22'!IA92+'[3]CB-23'!IA92+'[3]CB-24'!IA92+'[4]LCT-1'!IA92+'[4]LCT-2'!IA92+'[4]LCT-3'!IA92+'[4]LCT-4'!IA92+'[4]LCT-5'!IA92+'[4]LCT-6'!IA92+'[4]LCT-7'!IA92+'[4]LCT-8'!IA92+'[5]TB-1'!IA92+'[5]TB-2'!IA92+'[5]TB-3'!IA92+'[5]TB-4'!IA92+'[5]TB-5'!IA92+'[5]TB-6'!IA92+'[5]TB-7'!IA92+'[5]TB-8'!IA92+'[5]TB-9'!IA92+'[5]TB-10'!IA92+'[6]DSV-1'!IA92+'[6]DSV-2'!IA92+'[6]DSV-3'!IA92+'[7]TUB-1'!IA92+'[7]TUB-2'!IA92+'[8]Barge-1'!IA92+'[8]Barge-2'!IA92+'[8]Barge-3'!IA92+'[8]Barge-4'!IA92</f>
        <v>0</v>
      </c>
      <c r="Z21" s="145">
        <f>'[2]AHTS-1'!IB59+'[2]AHTS-2'!IB59+'[2]AHTS-3'!IB59+'[2]AHTS-4'!IB59+'[2]AHTS-5'!IB59+'[2]AHTS-6'!IB59+'[2]AHTS-7'!IB59+'[2]AHTS-8'!IB59+'[3]CB-1'!IB59+'[3]CB-2'!IB59+'[3]CB-3'!IB59+'[3]CB-4'!IB59+'[3]CB-5'!IB59+'[3]CB-6'!IB59+'[3]CB-7'!IB59+'[3]CB-8'!IB59+'[3]CB-9'!IB59+'[3]CB-10'!IB59+'[3]CB-11'!IB59+'[3]CB-12'!IB59+'[3]CB-13'!IB59+'[3]CB-14'!IB59+'[3]CB-15'!IB59+'[3]CB-16'!IB59+'[3]CB-17'!IB59+'[3]CB-18'!IB59+'[3]CB-19'!IB59+'[3]CB-20'!IB59+'[3]CB-21'!IB59+'[3]CB-22'!IB59+'[3]CB-23'!IB59+'[3]CB-24'!IB59+'[4]LCT-1'!IB59+'[4]LCT-2'!IB59+'[4]LCT-3'!IB59+'[4]LCT-4'!IB59+'[4]LCT-5'!IB59+'[4]LCT-6'!IB59+'[4]LCT-7'!IB59+'[4]LCT-8'!IB59+'[5]TB-1'!IB59+'[5]TB-2'!IB59+'[5]TB-3'!IB59+'[5]TB-4'!IB59+'[5]TB-5'!IB59+'[5]TB-6'!IB59+'[5]TB-7'!IB59+'[5]TB-8'!IB59+'[5]TB-9'!IB59+'[5]TB-10'!IB59+'[6]DSV-1'!IB59+'[6]DSV-2'!IB59+'[6]DSV-3'!IB59+'[7]TUB-1'!IB59+'[7]TUB-2'!IB59+'[8]Barge-1'!IB59+'[8]Barge-2'!IB59+'[8]Barge-3'!IB59+'[8]Barge-4'!IB59</f>
        <v>48336950</v>
      </c>
      <c r="AA21" s="146">
        <f>'[2]AHTS-1'!IB21+'[2]AHTS-2'!IB21+'[2]AHTS-3'!IB21+'[2]AHTS-4'!IB21+'[2]AHTS-5'!IB21+'[2]AHTS-6'!IB21+'[2]AHTS-7'!IB21+'[2]AHTS-8'!IB21+'[3]CB-1'!IB21+'[3]CB-2'!IB21+'[3]CB-3'!IB21+'[3]CB-4'!IB21+'[3]CB-5'!IB21+'[3]CB-6'!IB21+'[3]CB-7'!IB21+'[3]CB-8'!IB21+'[3]CB-9'!IB21+'[3]CB-10'!IB21+'[3]CB-11'!IB21+'[3]CB-12'!IB21+'[3]CB-13'!IB21+'[3]CB-14'!IB21+'[3]CB-15'!IB21+'[3]CB-16'!IB21+'[3]CB-17'!IB21+'[3]CB-18'!IB21+'[3]CB-19'!IB21+'[3]CB-20'!IB21+'[3]CB-21'!IB21+'[3]CB-22'!IB21+'[3]CB-23'!IB21+'[3]CB-24'!IB21+'[4]LCT-1'!IB21+'[4]LCT-2'!IB21+'[4]LCT-3'!IB21+'[4]LCT-4'!IB21+'[4]LCT-5'!IB21+'[4]LCT-6'!IB21+'[4]LCT-7'!IB21+'[4]LCT-8'!IB21+'[5]TB-1'!IB21+'[5]TB-2'!IB21+'[5]TB-3'!IB21+'[5]TB-4'!IB21+'[5]TB-5'!IB21+'[5]TB-6'!IB21+'[5]TB-7'!IB21+'[5]TB-8'!IB21+'[5]TB-9'!IB21+'[5]TB-10'!IB21+'[6]DSV-1'!IB21+'[6]DSV-2'!IB21+'[6]DSV-3'!IB21+'[7]TUB-1'!IB21+'[7]TUB-2'!IB21+'[8]Barge-1'!IB21+'[8]Barge-2'!IB21+'[8]Barge-3'!IB21+'[8]Barge-4'!IB21</f>
        <v>48275000</v>
      </c>
      <c r="AB21" s="147">
        <f>'[2]AHTS-1'!IB92+'[2]AHTS-2'!IB92+'[2]AHTS-3'!IB92+'[2]AHTS-4'!IB92+'[2]AHTS-5'!IB92+'[2]AHTS-6'!IB92+'[2]AHTS-7'!IB92+'[2]AHTS-8'!IB92+'[3]CB-1'!IB92+'[3]CB-2'!IB92+'[3]CB-3'!IB92+'[3]CB-4'!IB92+'[3]CB-5'!IB92+'[3]CB-6'!IB92+'[3]CB-7'!IB92+'[3]CB-8'!IB92+'[3]CB-9'!IB92+'[3]CB-10'!IB92+'[3]CB-11'!IB92+'[3]CB-12'!IB92+'[3]CB-13'!IB92+'[3]CB-14'!IB92+'[3]CB-15'!IB92+'[3]CB-16'!IB92+'[3]CB-17'!IB92+'[3]CB-18'!IB92+'[3]CB-19'!IB92+'[3]CB-20'!IB92+'[3]CB-21'!IB92+'[3]CB-22'!IB92+'[3]CB-23'!IB92+'[3]CB-24'!IB92+'[4]LCT-1'!IB92+'[4]LCT-2'!IB92+'[4]LCT-3'!IB92+'[4]LCT-4'!IB92+'[4]LCT-5'!IB92+'[4]LCT-6'!IB92+'[4]LCT-7'!IB92+'[4]LCT-8'!IB92+'[5]TB-1'!IB92+'[5]TB-2'!IB92+'[5]TB-3'!IB92+'[5]TB-4'!IB92+'[5]TB-5'!IB92+'[5]TB-6'!IB92+'[5]TB-7'!IB92+'[5]TB-8'!IB92+'[5]TB-9'!IB92+'[5]TB-10'!IB92+'[6]DSV-1'!IB92+'[6]DSV-2'!IB92+'[6]DSV-3'!IB92+'[7]TUB-1'!IB92+'[7]TUB-2'!IB92+'[8]Barge-1'!IB92+'[8]Barge-2'!IB92+'[8]Barge-3'!IB92+'[8]Barge-4'!IB92</f>
        <v>0</v>
      </c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</row>
    <row r="22" spans="1:79" s="84" customFormat="1" ht="14.25" customHeight="1" thickBot="1" x14ac:dyDescent="0.3">
      <c r="A22" s="119">
        <f>[1]Control!AZ22</f>
        <v>45997</v>
      </c>
      <c r="B22" s="81"/>
      <c r="C22" s="159">
        <f>'[2]AHTS-1'!AT22+'[2]AHTS-2'!AT22+'[2]AHTS-3'!AT22+'[2]AHTS-4'!AT22+'[2]AHTS-5'!AT22+'[2]AHTS-6'!AT22+'[2]AHTS-7'!AT22+'[2]AHTS-8'!AT22+'[3]CB-1'!AT22+'[3]CB-2'!AT22+'[3]CB-3'!AT22+'[3]CB-4'!AT22+'[3]CB-5'!AT22+'[3]CB-6'!AT22+'[3]CB-7'!AT22+'[3]CB-8'!AT22+'[3]CB-9'!AT22+'[3]CB-10'!AT22+'[3]CB-11'!AT22+'[3]CB-12'!AT22+'[3]CB-13'!AT22+'[3]CB-14'!AT22+'[3]CB-15'!AT22+'[3]CB-16'!AT22+'[3]CB-17'!AT22+'[3]CB-18'!AT22+'[3]CB-19'!AT22+'[3]CB-20'!AT22+'[3]CB-21'!AT22+'[3]CB-22'!AT22+'[3]CB-23'!AT22+'[3]CB-24'!AT22+'[4]LCT-1'!AT22+'[4]LCT-2'!AT22+'[4]LCT-3'!AT22+'[4]LCT-4'!AT22+'[4]LCT-5'!AT22+'[4]LCT-6'!AT22+'[4]LCT-7'!AT22+'[4]LCT-8'!AT22+'[5]TB-1'!AT22+'[5]TB-2'!AT22+'[5]TB-3'!AT22+'[5]TB-4'!AT22+'[5]TB-5'!AT22+'[5]TB-6'!AT22+'[5]TB-7'!AT22+'[5]TB-8'!AT22+'[5]TB-9'!AT22+'[5]TB-10'!AT22+'[6]DSV-1'!AT22+'[6]DSV-2'!AT22+'[6]DSV-3'!AT22+'[7]TUB-1'!AT22+'[7]TUB-2'!AT22+'[8]Barge-1'!AT22+'[8]Barge-2'!AT22+'[8]Barge-3'!AT22+'[8]Barge-4'!AT22</f>
        <v>0</v>
      </c>
      <c r="D22" s="160">
        <f>'[2]AHTS-1'!BP22+'[2]AHTS-2'!BP22+'[2]AHTS-3'!BP22+'[2]AHTS-4'!BP22+'[2]AHTS-5'!BP22+'[2]AHTS-6'!BP22+'[2]AHTS-7'!BP22+'[2]AHTS-8'!BP22+'[3]CB-1'!BP22+'[3]CB-2'!BP22+'[3]CB-3'!BP22+'[3]CB-4'!BP22+'[3]CB-5'!BP22+'[3]CB-6'!BP22+'[3]CB-7'!BP22+'[3]CB-8'!BP22+'[3]CB-9'!BP22+'[3]CB-10'!BP22+'[3]CB-11'!BP22+'[3]CB-12'!BP22+'[3]CB-13'!BP22+'[3]CB-14'!BP22+'[3]CB-15'!BP22+'[3]CB-16'!BP22+'[3]CB-17'!BP22+'[3]CB-18'!BP22+'[3]CB-19'!BP22+'[3]CB-20'!BP22+'[3]CB-21'!BP22+'[3]CB-22'!BP22+'[3]CB-23'!BP22+'[3]CB-24'!BP22+'[4]LCT-1'!BP22+'[4]LCT-2'!BP22+'[4]LCT-3'!BP22+'[4]LCT-4'!BP22+'[4]LCT-5'!BP22+'[4]LCT-6'!BP22+'[4]LCT-7'!BP22+'[4]LCT-8'!BP22+'[5]TB-1'!BP22+'[5]TB-2'!BP22+'[5]TB-3'!BP22+'[5]TB-4'!BP22+'[5]TB-5'!BP22+'[5]TB-6'!BP22+'[5]TB-7'!BP22+'[5]TB-8'!BP22+'[5]TB-9'!BP22+'[5]TB-10'!BP22+'[6]DSV-1'!BP22+'[6]DSV-2'!BP22+'[6]DSV-3'!BP22+'[7]TUB-1'!BP22+'[7]TUB-2'!BP22+'[8]Barge-1'!BP22+'[8]Barge-2'!BP22+'[8]Barge-3'!BP22+'[8]Barge-4'!BP22</f>
        <v>0</v>
      </c>
      <c r="E22" s="161">
        <f>'[2]AHTS-1'!CL22+'[2]AHTS-2'!CL22+'[2]AHTS-3'!CL22+'[2]AHTS-4'!CL22+'[2]AHTS-5'!CL22+'[2]AHTS-6'!CL22+'[2]AHTS-7'!CL22+'[2]AHTS-8'!CL22+'[3]CB-1'!CL22+'[3]CB-2'!CL22+'[3]CB-3'!CL22+'[3]CB-4'!CL22+'[3]CB-5'!CL22+'[3]CB-6'!CL22+'[3]CB-7'!CL22+'[3]CB-8'!CL22+'[3]CB-9'!CL22+'[3]CB-10'!CL22+'[3]CB-11'!CL22+'[3]CB-12'!CL22+'[3]CB-13'!CL22+'[3]CB-14'!CL22+'[3]CB-15'!CL22+'[3]CB-16'!CL22+'[3]CB-17'!CL22+'[3]CB-18'!CL22+'[3]CB-19'!CL22+'[3]CB-20'!CL22+'[3]CB-21'!CL22+'[3]CB-22'!CL22+'[3]CB-23'!CL22+'[3]CB-24'!CL22+'[4]LCT-1'!CL22+'[4]LCT-2'!CL22+'[4]LCT-3'!CL22+'[4]LCT-4'!CL22+'[4]LCT-5'!CL22+'[4]LCT-6'!CL22+'[4]LCT-7'!CL22+'[4]LCT-8'!CL22+'[5]TB-1'!CL22+'[5]TB-2'!CL22+'[5]TB-3'!CL22+'[5]TB-4'!CL22+'[5]TB-5'!CL22+'[5]TB-6'!CL22+'[5]TB-7'!CL22+'[5]TB-8'!CL22+'[5]TB-9'!CL22+'[5]TB-10'!CL22+'[6]DSV-1'!CL22+'[6]DSV-2'!CL22+'[6]DSV-3'!CL22+'[7]TUB-1'!CL22+'[7]TUB-2'!CL22+'[8]Barge-1'!CL22+'[8]Barge-2'!CL22+'[8]Barge-3'!CL22+'[8]Barge-4'!CL22</f>
        <v>0</v>
      </c>
      <c r="F22" s="159">
        <f>'[2]AHTS-1'!AU22+'[2]AHTS-2'!AU22+'[2]AHTS-3'!AU22+'[2]AHTS-4'!AU22+'[2]AHTS-5'!AU22+'[2]AHTS-6'!AU22+'[2]AHTS-7'!AU22+'[2]AHTS-8'!AU22+'[3]CB-1'!AU22+'[3]CB-2'!AU22+'[3]CB-3'!AU22+'[3]CB-4'!AU22+'[3]CB-5'!AU22+'[3]CB-6'!AU22+'[3]CB-7'!AU22+'[3]CB-8'!AU22+'[3]CB-9'!AU22+'[3]CB-10'!AU22+'[3]CB-11'!AU22+'[3]CB-12'!AU22+'[3]CB-13'!AU22+'[3]CB-14'!AU22+'[3]CB-15'!AU22+'[3]CB-16'!AU22+'[3]CB-17'!AU22+'[3]CB-18'!AU22+'[3]CB-19'!AU22+'[3]CB-20'!AU22+'[3]CB-21'!AU22+'[3]CB-22'!AU22+'[3]CB-23'!AU22+'[3]CB-24'!AU22+'[4]LCT-1'!AU22+'[4]LCT-2'!AU22+'[4]LCT-3'!AU22+'[4]LCT-4'!AU22+'[4]LCT-5'!AU22+'[4]LCT-6'!AU22+'[4]LCT-7'!AU22+'[4]LCT-8'!AU22+'[5]TB-1'!AU22+'[5]TB-2'!AU22+'[5]TB-3'!AU22+'[5]TB-4'!AU22+'[5]TB-5'!AU22+'[5]TB-6'!AU22+'[5]TB-7'!AU22+'[5]TB-8'!AU22+'[5]TB-9'!AU22+'[5]TB-10'!AU22+'[6]DSV-1'!AU22+'[6]DSV-2'!AU22+'[6]DSV-3'!AU22+'[7]TUB-1'!AU22+'[7]TUB-2'!AU22+'[8]Barge-1'!AU22+'[8]Barge-2'!AU22+'[8]Barge-3'!AU22+'[8]Barge-4'!AU22</f>
        <v>2420.5537232018264</v>
      </c>
      <c r="G22" s="160">
        <f>'[2]AHTS-1'!BQ22+'[2]AHTS-2'!BQ22+'[2]AHTS-3'!BQ22+'[2]AHTS-4'!BQ22+'[2]AHTS-5'!BQ22+'[2]AHTS-6'!BQ22+'[2]AHTS-7'!BQ22+'[2]AHTS-8'!BQ22+'[3]CB-1'!BQ22+'[3]CB-2'!BQ22+'[3]CB-3'!BQ22+'[3]CB-4'!BQ22+'[3]CB-5'!BQ22+'[3]CB-6'!BQ22+'[3]CB-7'!BQ22+'[3]CB-8'!BQ22+'[3]CB-9'!BQ22+'[3]CB-10'!BQ22+'[3]CB-11'!BQ22+'[3]CB-12'!BQ22+'[3]CB-13'!BQ22+'[3]CB-14'!BQ22+'[3]CB-15'!BQ22+'[3]CB-16'!BQ22+'[3]CB-17'!BQ22+'[3]CB-18'!BQ22+'[3]CB-19'!BQ22+'[3]CB-20'!BQ22+'[3]CB-21'!BQ22+'[3]CB-22'!BQ22+'[3]CB-23'!BQ22+'[3]CB-24'!BQ22+'[4]LCT-1'!BQ22+'[4]LCT-2'!BQ22+'[4]LCT-3'!BQ22+'[4]LCT-4'!BQ22+'[4]LCT-5'!BQ22+'[4]LCT-6'!BQ22+'[4]LCT-7'!BQ22+'[4]LCT-8'!BQ22+'[5]TB-1'!BQ22+'[5]TB-2'!BQ22+'[5]TB-3'!BQ22+'[5]TB-4'!BQ22+'[5]TB-5'!BQ22+'[5]TB-6'!BQ22+'[5]TB-7'!BQ22+'[5]TB-8'!BQ22+'[5]TB-9'!BQ22+'[5]TB-10'!BQ22+'[6]DSV-1'!BQ22+'[6]DSV-2'!BQ22+'[6]DSV-3'!BQ22+'[7]TUB-1'!BQ22+'[7]TUB-2'!BQ22+'[8]Barge-1'!BQ22+'[8]Barge-2'!BQ22+'[8]Barge-3'!BQ22+'[8]Barge-4'!BQ22</f>
        <v>2564.5904689416043</v>
      </c>
      <c r="H22" s="161">
        <f>'[2]AHTS-1'!CM22+'[2]AHTS-2'!CM22+'[2]AHTS-3'!CM22+'[2]AHTS-4'!CM22+'[2]AHTS-5'!CM22+'[2]AHTS-6'!CM22+'[2]AHTS-7'!CM22+'[2]AHTS-8'!CM22+'[3]CB-1'!CM22+'[3]CB-2'!CM22+'[3]CB-3'!CM22+'[3]CB-4'!CM22+'[3]CB-5'!CM22+'[3]CB-6'!CM22+'[3]CB-7'!CM22+'[3]CB-8'!CM22+'[3]CB-9'!CM22+'[3]CB-10'!CM22+'[3]CB-11'!CM22+'[3]CB-12'!CM22+'[3]CB-13'!CM22+'[3]CB-14'!CM22+'[3]CB-15'!CM22+'[3]CB-16'!CM22+'[3]CB-17'!CM22+'[3]CB-18'!CM22+'[3]CB-19'!CM22+'[3]CB-20'!CM22+'[3]CB-21'!CM22+'[3]CB-22'!CM22+'[3]CB-23'!CM22+'[3]CB-24'!CM22+'[4]LCT-1'!CM22+'[4]LCT-2'!CM22+'[4]LCT-3'!CM22+'[4]LCT-4'!CM22+'[4]LCT-5'!CM22+'[4]LCT-6'!CM22+'[4]LCT-7'!CM22+'[4]LCT-8'!CM22+'[5]TB-1'!CM22+'[5]TB-2'!CM22+'[5]TB-3'!CM22+'[5]TB-4'!CM22+'[5]TB-5'!CM22+'[5]TB-6'!CM22+'[5]TB-7'!CM22+'[5]TB-8'!CM22+'[5]TB-9'!CM22+'[5]TB-10'!CM22+'[6]DSV-1'!CM22+'[6]DSV-2'!CM22+'[6]DSV-3'!CM22+'[7]TUB-1'!CM22+'[7]TUB-2'!CM22+'[8]Barge-1'!CM22+'[8]Barge-2'!CM22+'[8]Barge-3'!CM22+'[8]Barge-4'!CM22</f>
        <v>0</v>
      </c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110"/>
      <c r="U22" s="119">
        <f>[1]Control!AZ22</f>
        <v>45997</v>
      </c>
      <c r="V22" s="81"/>
      <c r="W22" s="145">
        <f>'[2]AHTS-1'!IA60+'[2]AHTS-2'!IA60+'[2]AHTS-3'!IA60+'[2]AHTS-4'!IA60+'[2]AHTS-5'!IA60+'[2]AHTS-6'!IA60+'[2]AHTS-7'!IA60+'[2]AHTS-8'!IA60+'[3]CB-1'!IA60+'[3]CB-2'!IA60+'[3]CB-3'!IA60+'[3]CB-4'!IA60+'[3]CB-5'!IA60+'[3]CB-6'!IA60+'[3]CB-7'!IA60+'[3]CB-8'!IA60+'[3]CB-9'!IA60+'[3]CB-10'!IA60+'[3]CB-11'!IA60+'[3]CB-12'!IA60+'[3]CB-13'!IA60+'[3]CB-14'!IA60+'[3]CB-15'!IA60+'[3]CB-16'!IA60+'[3]CB-17'!IA60+'[3]CB-18'!IA60+'[3]CB-19'!IA60+'[3]CB-20'!IA60+'[3]CB-21'!IA60+'[3]CB-22'!IA60+'[3]CB-23'!IA60+'[3]CB-24'!IA60+'[4]LCT-1'!IA60+'[4]LCT-2'!IA60+'[4]LCT-3'!IA60+'[4]LCT-4'!IA60+'[4]LCT-5'!IA60+'[4]LCT-6'!IA60+'[4]LCT-7'!IA60+'[4]LCT-8'!IA60+'[5]TB-1'!IA60+'[5]TB-2'!IA60+'[5]TB-3'!IA60+'[5]TB-4'!IA60+'[5]TB-5'!IA60+'[5]TB-6'!IA60+'[5]TB-7'!IA60+'[5]TB-8'!IA60+'[5]TB-9'!IA60+'[5]TB-10'!IA60+'[6]DSV-1'!IA60+'[6]DSV-2'!IA60+'[6]DSV-3'!IA60+'[7]TUB-1'!IA60+'[7]TUB-2'!IA60+'[8]Barge-1'!IA60+'[8]Barge-2'!IA60+'[8]Barge-3'!IA60+'[8]Barge-4'!IA60</f>
        <v>0</v>
      </c>
      <c r="X22" s="146">
        <f>'[2]AHTS-1'!IA22+'[2]AHTS-2'!IA22+'[2]AHTS-3'!IA22+'[2]AHTS-4'!IA22+'[2]AHTS-5'!IA22+'[2]AHTS-6'!IA22+'[2]AHTS-7'!IA22+'[2]AHTS-8'!IA22+'[3]CB-1'!IA22+'[3]CB-2'!IA22+'[3]CB-3'!IA22+'[3]CB-4'!IA22+'[3]CB-5'!IA22+'[3]CB-6'!IA22+'[3]CB-7'!IA22+'[3]CB-8'!IA22+'[3]CB-9'!IA22+'[3]CB-10'!IA22+'[3]CB-11'!IA22+'[3]CB-12'!IA22+'[3]CB-13'!IA22+'[3]CB-14'!IA22+'[3]CB-15'!IA22+'[3]CB-16'!IA22+'[3]CB-17'!IA22+'[3]CB-18'!IA22+'[3]CB-19'!IA22+'[3]CB-20'!IA22+'[3]CB-21'!IA22+'[3]CB-22'!IA22+'[3]CB-23'!IA22+'[3]CB-24'!IA22+'[4]LCT-1'!IA22+'[4]LCT-2'!IA22+'[4]LCT-3'!IA22+'[4]LCT-4'!IA22+'[4]LCT-5'!IA22+'[4]LCT-6'!IA22+'[4]LCT-7'!IA22+'[4]LCT-8'!IA22+'[5]TB-1'!IA22+'[5]TB-2'!IA22+'[5]TB-3'!IA22+'[5]TB-4'!IA22+'[5]TB-5'!IA22+'[5]TB-6'!IA22+'[5]TB-7'!IA22+'[5]TB-8'!IA22+'[5]TB-9'!IA22+'[5]TB-10'!IA22+'[6]DSV-1'!IA22+'[6]DSV-2'!IA22+'[6]DSV-3'!IA22+'[7]TUB-1'!IA22+'[7]TUB-2'!IA22+'[8]Barge-1'!IA22+'[8]Barge-2'!IA22+'[8]Barge-3'!IA22+'[8]Barge-4'!IA22</f>
        <v>0</v>
      </c>
      <c r="Y22" s="147">
        <f>'[2]AHTS-1'!IA93+'[2]AHTS-2'!IA93+'[2]AHTS-3'!IA93+'[2]AHTS-4'!IA93+'[2]AHTS-5'!IA93+'[2]AHTS-6'!IA93+'[2]AHTS-7'!IA93+'[2]AHTS-8'!IA93+'[3]CB-1'!IA93+'[3]CB-2'!IA93+'[3]CB-3'!IA93+'[3]CB-4'!IA93+'[3]CB-5'!IA93+'[3]CB-6'!IA93+'[3]CB-7'!IA93+'[3]CB-8'!IA93+'[3]CB-9'!IA93+'[3]CB-10'!IA93+'[3]CB-11'!IA93+'[3]CB-12'!IA93+'[3]CB-13'!IA93+'[3]CB-14'!IA93+'[3]CB-15'!IA93+'[3]CB-16'!IA93+'[3]CB-17'!IA93+'[3]CB-18'!IA93+'[3]CB-19'!IA93+'[3]CB-20'!IA93+'[3]CB-21'!IA93+'[3]CB-22'!IA93+'[3]CB-23'!IA93+'[3]CB-24'!IA93+'[4]LCT-1'!IA93+'[4]LCT-2'!IA93+'[4]LCT-3'!IA93+'[4]LCT-4'!IA93+'[4]LCT-5'!IA93+'[4]LCT-6'!IA93+'[4]LCT-7'!IA93+'[4]LCT-8'!IA93+'[5]TB-1'!IA93+'[5]TB-2'!IA93+'[5]TB-3'!IA93+'[5]TB-4'!IA93+'[5]TB-5'!IA93+'[5]TB-6'!IA93+'[5]TB-7'!IA93+'[5]TB-8'!IA93+'[5]TB-9'!IA93+'[5]TB-10'!IA93+'[6]DSV-1'!IA93+'[6]DSV-2'!IA93+'[6]DSV-3'!IA93+'[7]TUB-1'!IA93+'[7]TUB-2'!IA93+'[8]Barge-1'!IA93+'[8]Barge-2'!IA93+'[8]Barge-3'!IA93+'[8]Barge-4'!IA93</f>
        <v>0</v>
      </c>
      <c r="Z22" s="145">
        <f>'[2]AHTS-1'!IB60+'[2]AHTS-2'!IB60+'[2]AHTS-3'!IB60+'[2]AHTS-4'!IB60+'[2]AHTS-5'!IB60+'[2]AHTS-6'!IB60+'[2]AHTS-7'!IB60+'[2]AHTS-8'!IB60+'[3]CB-1'!IB60+'[3]CB-2'!IB60+'[3]CB-3'!IB60+'[3]CB-4'!IB60+'[3]CB-5'!IB60+'[3]CB-6'!IB60+'[3]CB-7'!IB60+'[3]CB-8'!IB60+'[3]CB-9'!IB60+'[3]CB-10'!IB60+'[3]CB-11'!IB60+'[3]CB-12'!IB60+'[3]CB-13'!IB60+'[3]CB-14'!IB60+'[3]CB-15'!IB60+'[3]CB-16'!IB60+'[3]CB-17'!IB60+'[3]CB-18'!IB60+'[3]CB-19'!IB60+'[3]CB-20'!IB60+'[3]CB-21'!IB60+'[3]CB-22'!IB60+'[3]CB-23'!IB60+'[3]CB-24'!IB60+'[4]LCT-1'!IB60+'[4]LCT-2'!IB60+'[4]LCT-3'!IB60+'[4]LCT-4'!IB60+'[4]LCT-5'!IB60+'[4]LCT-6'!IB60+'[4]LCT-7'!IB60+'[4]LCT-8'!IB60+'[5]TB-1'!IB60+'[5]TB-2'!IB60+'[5]TB-3'!IB60+'[5]TB-4'!IB60+'[5]TB-5'!IB60+'[5]TB-6'!IB60+'[5]TB-7'!IB60+'[5]TB-8'!IB60+'[5]TB-9'!IB60+'[5]TB-10'!IB60+'[6]DSV-1'!IB60+'[6]DSV-2'!IB60+'[6]DSV-3'!IB60+'[7]TUB-1'!IB60+'[7]TUB-2'!IB60+'[8]Barge-1'!IB60+'[8]Barge-2'!IB60+'[8]Barge-3'!IB60+'[8]Barge-4'!IB60</f>
        <v>38162450</v>
      </c>
      <c r="AA22" s="146">
        <f>'[2]AHTS-1'!IB22+'[2]AHTS-2'!IB22+'[2]AHTS-3'!IB22+'[2]AHTS-4'!IB22+'[2]AHTS-5'!IB22+'[2]AHTS-6'!IB22+'[2]AHTS-7'!IB22+'[2]AHTS-8'!IB22+'[3]CB-1'!IB22+'[3]CB-2'!IB22+'[3]CB-3'!IB22+'[3]CB-4'!IB22+'[3]CB-5'!IB22+'[3]CB-6'!IB22+'[3]CB-7'!IB22+'[3]CB-8'!IB22+'[3]CB-9'!IB22+'[3]CB-10'!IB22+'[3]CB-11'!IB22+'[3]CB-12'!IB22+'[3]CB-13'!IB22+'[3]CB-14'!IB22+'[3]CB-15'!IB22+'[3]CB-16'!IB22+'[3]CB-17'!IB22+'[3]CB-18'!IB22+'[3]CB-19'!IB22+'[3]CB-20'!IB22+'[3]CB-21'!IB22+'[3]CB-22'!IB22+'[3]CB-23'!IB22+'[3]CB-24'!IB22+'[4]LCT-1'!IB22+'[4]LCT-2'!IB22+'[4]LCT-3'!IB22+'[4]LCT-4'!IB22+'[4]LCT-5'!IB22+'[4]LCT-6'!IB22+'[4]LCT-7'!IB22+'[4]LCT-8'!IB22+'[5]TB-1'!IB22+'[5]TB-2'!IB22+'[5]TB-3'!IB22+'[5]TB-4'!IB22+'[5]TB-5'!IB22+'[5]TB-6'!IB22+'[5]TB-7'!IB22+'[5]TB-8'!IB22+'[5]TB-9'!IB22+'[5]TB-10'!IB22+'[6]DSV-1'!IB22+'[6]DSV-2'!IB22+'[6]DSV-3'!IB22+'[7]TUB-1'!IB22+'[7]TUB-2'!IB22+'[8]Barge-1'!IB22+'[8]Barge-2'!IB22+'[8]Barge-3'!IB22+'[8]Barge-4'!IB22</f>
        <v>40433333.333333328</v>
      </c>
      <c r="AB22" s="147">
        <f>'[2]AHTS-1'!IB93+'[2]AHTS-2'!IB93+'[2]AHTS-3'!IB93+'[2]AHTS-4'!IB93+'[2]AHTS-5'!IB93+'[2]AHTS-6'!IB93+'[2]AHTS-7'!IB93+'[2]AHTS-8'!IB93+'[3]CB-1'!IB93+'[3]CB-2'!IB93+'[3]CB-3'!IB93+'[3]CB-4'!IB93+'[3]CB-5'!IB93+'[3]CB-6'!IB93+'[3]CB-7'!IB93+'[3]CB-8'!IB93+'[3]CB-9'!IB93+'[3]CB-10'!IB93+'[3]CB-11'!IB93+'[3]CB-12'!IB93+'[3]CB-13'!IB93+'[3]CB-14'!IB93+'[3]CB-15'!IB93+'[3]CB-16'!IB93+'[3]CB-17'!IB93+'[3]CB-18'!IB93+'[3]CB-19'!IB93+'[3]CB-20'!IB93+'[3]CB-21'!IB93+'[3]CB-22'!IB93+'[3]CB-23'!IB93+'[3]CB-24'!IB93+'[4]LCT-1'!IB93+'[4]LCT-2'!IB93+'[4]LCT-3'!IB93+'[4]LCT-4'!IB93+'[4]LCT-5'!IB93+'[4]LCT-6'!IB93+'[4]LCT-7'!IB93+'[4]LCT-8'!IB93+'[5]TB-1'!IB93+'[5]TB-2'!IB93+'[5]TB-3'!IB93+'[5]TB-4'!IB93+'[5]TB-5'!IB93+'[5]TB-6'!IB93+'[5]TB-7'!IB93+'[5]TB-8'!IB93+'[5]TB-9'!IB93+'[5]TB-10'!IB93+'[6]DSV-1'!IB93+'[6]DSV-2'!IB93+'[6]DSV-3'!IB93+'[7]TUB-1'!IB93+'[7]TUB-2'!IB93+'[8]Barge-1'!IB93+'[8]Barge-2'!IB93+'[8]Barge-3'!IB93+'[8]Barge-4'!IB93</f>
        <v>0</v>
      </c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</row>
    <row r="23" spans="1:79" s="84" customFormat="1" ht="14.25" customHeight="1" thickBot="1" x14ac:dyDescent="0.3">
      <c r="A23" s="119">
        <f>[1]Control!AZ23</f>
        <v>45998</v>
      </c>
      <c r="B23" s="81"/>
      <c r="C23" s="159">
        <f>'[2]AHTS-1'!AT23+'[2]AHTS-2'!AT23+'[2]AHTS-3'!AT23+'[2]AHTS-4'!AT23+'[2]AHTS-5'!AT23+'[2]AHTS-6'!AT23+'[2]AHTS-7'!AT23+'[2]AHTS-8'!AT23+'[3]CB-1'!AT23+'[3]CB-2'!AT23+'[3]CB-3'!AT23+'[3]CB-4'!AT23+'[3]CB-5'!AT23+'[3]CB-6'!AT23+'[3]CB-7'!AT23+'[3]CB-8'!AT23+'[3]CB-9'!AT23+'[3]CB-10'!AT23+'[3]CB-11'!AT23+'[3]CB-12'!AT23+'[3]CB-13'!AT23+'[3]CB-14'!AT23+'[3]CB-15'!AT23+'[3]CB-16'!AT23+'[3]CB-17'!AT23+'[3]CB-18'!AT23+'[3]CB-19'!AT23+'[3]CB-20'!AT23+'[3]CB-21'!AT23+'[3]CB-22'!AT23+'[3]CB-23'!AT23+'[3]CB-24'!AT23+'[4]LCT-1'!AT23+'[4]LCT-2'!AT23+'[4]LCT-3'!AT23+'[4]LCT-4'!AT23+'[4]LCT-5'!AT23+'[4]LCT-6'!AT23+'[4]LCT-7'!AT23+'[4]LCT-8'!AT23+'[5]TB-1'!AT23+'[5]TB-2'!AT23+'[5]TB-3'!AT23+'[5]TB-4'!AT23+'[5]TB-5'!AT23+'[5]TB-6'!AT23+'[5]TB-7'!AT23+'[5]TB-8'!AT23+'[5]TB-9'!AT23+'[5]TB-10'!AT23+'[6]DSV-1'!AT23+'[6]DSV-2'!AT23+'[6]DSV-3'!AT23+'[7]TUB-1'!AT23+'[7]TUB-2'!AT23+'[8]Barge-1'!AT23+'[8]Barge-2'!AT23+'[8]Barge-3'!AT23+'[8]Barge-4'!AT23</f>
        <v>0</v>
      </c>
      <c r="D23" s="160">
        <f>'[2]AHTS-1'!BP23+'[2]AHTS-2'!BP23+'[2]AHTS-3'!BP23+'[2]AHTS-4'!BP23+'[2]AHTS-5'!BP23+'[2]AHTS-6'!BP23+'[2]AHTS-7'!BP23+'[2]AHTS-8'!BP23+'[3]CB-1'!BP23+'[3]CB-2'!BP23+'[3]CB-3'!BP23+'[3]CB-4'!BP23+'[3]CB-5'!BP23+'[3]CB-6'!BP23+'[3]CB-7'!BP23+'[3]CB-8'!BP23+'[3]CB-9'!BP23+'[3]CB-10'!BP23+'[3]CB-11'!BP23+'[3]CB-12'!BP23+'[3]CB-13'!BP23+'[3]CB-14'!BP23+'[3]CB-15'!BP23+'[3]CB-16'!BP23+'[3]CB-17'!BP23+'[3]CB-18'!BP23+'[3]CB-19'!BP23+'[3]CB-20'!BP23+'[3]CB-21'!BP23+'[3]CB-22'!BP23+'[3]CB-23'!BP23+'[3]CB-24'!BP23+'[4]LCT-1'!BP23+'[4]LCT-2'!BP23+'[4]LCT-3'!BP23+'[4]LCT-4'!BP23+'[4]LCT-5'!BP23+'[4]LCT-6'!BP23+'[4]LCT-7'!BP23+'[4]LCT-8'!BP23+'[5]TB-1'!BP23+'[5]TB-2'!BP23+'[5]TB-3'!BP23+'[5]TB-4'!BP23+'[5]TB-5'!BP23+'[5]TB-6'!BP23+'[5]TB-7'!BP23+'[5]TB-8'!BP23+'[5]TB-9'!BP23+'[5]TB-10'!BP23+'[6]DSV-1'!BP23+'[6]DSV-2'!BP23+'[6]DSV-3'!BP23+'[7]TUB-1'!BP23+'[7]TUB-2'!BP23+'[8]Barge-1'!BP23+'[8]Barge-2'!BP23+'[8]Barge-3'!BP23+'[8]Barge-4'!BP23</f>
        <v>0</v>
      </c>
      <c r="E23" s="161">
        <f>'[2]AHTS-1'!CL23+'[2]AHTS-2'!CL23+'[2]AHTS-3'!CL23+'[2]AHTS-4'!CL23+'[2]AHTS-5'!CL23+'[2]AHTS-6'!CL23+'[2]AHTS-7'!CL23+'[2]AHTS-8'!CL23+'[3]CB-1'!CL23+'[3]CB-2'!CL23+'[3]CB-3'!CL23+'[3]CB-4'!CL23+'[3]CB-5'!CL23+'[3]CB-6'!CL23+'[3]CB-7'!CL23+'[3]CB-8'!CL23+'[3]CB-9'!CL23+'[3]CB-10'!CL23+'[3]CB-11'!CL23+'[3]CB-12'!CL23+'[3]CB-13'!CL23+'[3]CB-14'!CL23+'[3]CB-15'!CL23+'[3]CB-16'!CL23+'[3]CB-17'!CL23+'[3]CB-18'!CL23+'[3]CB-19'!CL23+'[3]CB-20'!CL23+'[3]CB-21'!CL23+'[3]CB-22'!CL23+'[3]CB-23'!CL23+'[3]CB-24'!CL23+'[4]LCT-1'!CL23+'[4]LCT-2'!CL23+'[4]LCT-3'!CL23+'[4]LCT-4'!CL23+'[4]LCT-5'!CL23+'[4]LCT-6'!CL23+'[4]LCT-7'!CL23+'[4]LCT-8'!CL23+'[5]TB-1'!CL23+'[5]TB-2'!CL23+'[5]TB-3'!CL23+'[5]TB-4'!CL23+'[5]TB-5'!CL23+'[5]TB-6'!CL23+'[5]TB-7'!CL23+'[5]TB-8'!CL23+'[5]TB-9'!CL23+'[5]TB-10'!CL23+'[6]DSV-1'!CL23+'[6]DSV-2'!CL23+'[6]DSV-3'!CL23+'[7]TUB-1'!CL23+'[7]TUB-2'!CL23+'[8]Barge-1'!CL23+'[8]Barge-2'!CL23+'[8]Barge-3'!CL23+'[8]Barge-4'!CL23</f>
        <v>0</v>
      </c>
      <c r="F23" s="159">
        <f>'[2]AHTS-1'!AU23+'[2]AHTS-2'!AU23+'[2]AHTS-3'!AU23+'[2]AHTS-4'!AU23+'[2]AHTS-5'!AU23+'[2]AHTS-6'!AU23+'[2]AHTS-7'!AU23+'[2]AHTS-8'!AU23+'[3]CB-1'!AU23+'[3]CB-2'!AU23+'[3]CB-3'!AU23+'[3]CB-4'!AU23+'[3]CB-5'!AU23+'[3]CB-6'!AU23+'[3]CB-7'!AU23+'[3]CB-8'!AU23+'[3]CB-9'!AU23+'[3]CB-10'!AU23+'[3]CB-11'!AU23+'[3]CB-12'!AU23+'[3]CB-13'!AU23+'[3]CB-14'!AU23+'[3]CB-15'!AU23+'[3]CB-16'!AU23+'[3]CB-17'!AU23+'[3]CB-18'!AU23+'[3]CB-19'!AU23+'[3]CB-20'!AU23+'[3]CB-21'!AU23+'[3]CB-22'!AU23+'[3]CB-23'!AU23+'[3]CB-24'!AU23+'[4]LCT-1'!AU23+'[4]LCT-2'!AU23+'[4]LCT-3'!AU23+'[4]LCT-4'!AU23+'[4]LCT-5'!AU23+'[4]LCT-6'!AU23+'[4]LCT-7'!AU23+'[4]LCT-8'!AU23+'[5]TB-1'!AU23+'[5]TB-2'!AU23+'[5]TB-3'!AU23+'[5]TB-4'!AU23+'[5]TB-5'!AU23+'[5]TB-6'!AU23+'[5]TB-7'!AU23+'[5]TB-8'!AU23+'[5]TB-9'!AU23+'[5]TB-10'!AU23+'[6]DSV-1'!AU23+'[6]DSV-2'!AU23+'[6]DSV-3'!AU23+'[7]TUB-1'!AU23+'[7]TUB-2'!AU23+'[8]Barge-1'!AU23+'[8]Barge-2'!AU23+'[8]Barge-3'!AU23+'[8]Barge-4'!AU23</f>
        <v>1845.4229797979797</v>
      </c>
      <c r="G23" s="160">
        <f>'[2]AHTS-1'!BQ23+'[2]AHTS-2'!BQ23+'[2]AHTS-3'!BQ23+'[2]AHTS-4'!BQ23+'[2]AHTS-5'!BQ23+'[2]AHTS-6'!BQ23+'[2]AHTS-7'!BQ23+'[2]AHTS-8'!BQ23+'[3]CB-1'!BQ23+'[3]CB-2'!BQ23+'[3]CB-3'!BQ23+'[3]CB-4'!BQ23+'[3]CB-5'!BQ23+'[3]CB-6'!BQ23+'[3]CB-7'!BQ23+'[3]CB-8'!BQ23+'[3]CB-9'!BQ23+'[3]CB-10'!BQ23+'[3]CB-11'!BQ23+'[3]CB-12'!BQ23+'[3]CB-13'!BQ23+'[3]CB-14'!BQ23+'[3]CB-15'!BQ23+'[3]CB-16'!BQ23+'[3]CB-17'!BQ23+'[3]CB-18'!BQ23+'[3]CB-19'!BQ23+'[3]CB-20'!BQ23+'[3]CB-21'!BQ23+'[3]CB-22'!BQ23+'[3]CB-23'!BQ23+'[3]CB-24'!BQ23+'[4]LCT-1'!BQ23+'[4]LCT-2'!BQ23+'[4]LCT-3'!BQ23+'[4]LCT-4'!BQ23+'[4]LCT-5'!BQ23+'[4]LCT-6'!BQ23+'[4]LCT-7'!BQ23+'[4]LCT-8'!BQ23+'[5]TB-1'!BQ23+'[5]TB-2'!BQ23+'[5]TB-3'!BQ23+'[5]TB-4'!BQ23+'[5]TB-5'!BQ23+'[5]TB-6'!BQ23+'[5]TB-7'!BQ23+'[5]TB-8'!BQ23+'[5]TB-9'!BQ23+'[5]TB-10'!BQ23+'[6]DSV-1'!BQ23+'[6]DSV-2'!BQ23+'[6]DSV-3'!BQ23+'[7]TUB-1'!BQ23+'[7]TUB-2'!BQ23+'[8]Barge-1'!BQ23+'[8]Barge-2'!BQ23+'[8]Barge-3'!BQ23+'[8]Barge-4'!BQ23</f>
        <v>2637.310606060606</v>
      </c>
      <c r="H23" s="161">
        <f>'[2]AHTS-1'!CM23+'[2]AHTS-2'!CM23+'[2]AHTS-3'!CM23+'[2]AHTS-4'!CM23+'[2]AHTS-5'!CM23+'[2]AHTS-6'!CM23+'[2]AHTS-7'!CM23+'[2]AHTS-8'!CM23+'[3]CB-1'!CM23+'[3]CB-2'!CM23+'[3]CB-3'!CM23+'[3]CB-4'!CM23+'[3]CB-5'!CM23+'[3]CB-6'!CM23+'[3]CB-7'!CM23+'[3]CB-8'!CM23+'[3]CB-9'!CM23+'[3]CB-10'!CM23+'[3]CB-11'!CM23+'[3]CB-12'!CM23+'[3]CB-13'!CM23+'[3]CB-14'!CM23+'[3]CB-15'!CM23+'[3]CB-16'!CM23+'[3]CB-17'!CM23+'[3]CB-18'!CM23+'[3]CB-19'!CM23+'[3]CB-20'!CM23+'[3]CB-21'!CM23+'[3]CB-22'!CM23+'[3]CB-23'!CM23+'[3]CB-24'!CM23+'[4]LCT-1'!CM23+'[4]LCT-2'!CM23+'[4]LCT-3'!CM23+'[4]LCT-4'!CM23+'[4]LCT-5'!CM23+'[4]LCT-6'!CM23+'[4]LCT-7'!CM23+'[4]LCT-8'!CM23+'[5]TB-1'!CM23+'[5]TB-2'!CM23+'[5]TB-3'!CM23+'[5]TB-4'!CM23+'[5]TB-5'!CM23+'[5]TB-6'!CM23+'[5]TB-7'!CM23+'[5]TB-8'!CM23+'[5]TB-9'!CM23+'[5]TB-10'!CM23+'[6]DSV-1'!CM23+'[6]DSV-2'!CM23+'[6]DSV-3'!CM23+'[7]TUB-1'!CM23+'[7]TUB-2'!CM23+'[8]Barge-1'!CM23+'[8]Barge-2'!CM23+'[8]Barge-3'!CM23+'[8]Barge-4'!CM23</f>
        <v>0</v>
      </c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110"/>
      <c r="U23" s="119">
        <f>[1]Control!AZ23</f>
        <v>45998</v>
      </c>
      <c r="V23" s="81"/>
      <c r="W23" s="145">
        <f>'[2]AHTS-1'!IA61+'[2]AHTS-2'!IA61+'[2]AHTS-3'!IA61+'[2]AHTS-4'!IA61+'[2]AHTS-5'!IA61+'[2]AHTS-6'!IA61+'[2]AHTS-7'!IA61+'[2]AHTS-8'!IA61+'[3]CB-1'!IA61+'[3]CB-2'!IA61+'[3]CB-3'!IA61+'[3]CB-4'!IA61+'[3]CB-5'!IA61+'[3]CB-6'!IA61+'[3]CB-7'!IA61+'[3]CB-8'!IA61+'[3]CB-9'!IA61+'[3]CB-10'!IA61+'[3]CB-11'!IA61+'[3]CB-12'!IA61+'[3]CB-13'!IA61+'[3]CB-14'!IA61+'[3]CB-15'!IA61+'[3]CB-16'!IA61+'[3]CB-17'!IA61+'[3]CB-18'!IA61+'[3]CB-19'!IA61+'[3]CB-20'!IA61+'[3]CB-21'!IA61+'[3]CB-22'!IA61+'[3]CB-23'!IA61+'[3]CB-24'!IA61+'[4]LCT-1'!IA61+'[4]LCT-2'!IA61+'[4]LCT-3'!IA61+'[4]LCT-4'!IA61+'[4]LCT-5'!IA61+'[4]LCT-6'!IA61+'[4]LCT-7'!IA61+'[4]LCT-8'!IA61+'[5]TB-1'!IA61+'[5]TB-2'!IA61+'[5]TB-3'!IA61+'[5]TB-4'!IA61+'[5]TB-5'!IA61+'[5]TB-6'!IA61+'[5]TB-7'!IA61+'[5]TB-8'!IA61+'[5]TB-9'!IA61+'[5]TB-10'!IA61+'[6]DSV-1'!IA61+'[6]DSV-2'!IA61+'[6]DSV-3'!IA61+'[7]TUB-1'!IA61+'[7]TUB-2'!IA61+'[8]Barge-1'!IA61+'[8]Barge-2'!IA61+'[8]Barge-3'!IA61+'[8]Barge-4'!IA61</f>
        <v>0</v>
      </c>
      <c r="X23" s="146">
        <f>'[2]AHTS-1'!IA23+'[2]AHTS-2'!IA23+'[2]AHTS-3'!IA23+'[2]AHTS-4'!IA23+'[2]AHTS-5'!IA23+'[2]AHTS-6'!IA23+'[2]AHTS-7'!IA23+'[2]AHTS-8'!IA23+'[3]CB-1'!IA23+'[3]CB-2'!IA23+'[3]CB-3'!IA23+'[3]CB-4'!IA23+'[3]CB-5'!IA23+'[3]CB-6'!IA23+'[3]CB-7'!IA23+'[3]CB-8'!IA23+'[3]CB-9'!IA23+'[3]CB-10'!IA23+'[3]CB-11'!IA23+'[3]CB-12'!IA23+'[3]CB-13'!IA23+'[3]CB-14'!IA23+'[3]CB-15'!IA23+'[3]CB-16'!IA23+'[3]CB-17'!IA23+'[3]CB-18'!IA23+'[3]CB-19'!IA23+'[3]CB-20'!IA23+'[3]CB-21'!IA23+'[3]CB-22'!IA23+'[3]CB-23'!IA23+'[3]CB-24'!IA23+'[4]LCT-1'!IA23+'[4]LCT-2'!IA23+'[4]LCT-3'!IA23+'[4]LCT-4'!IA23+'[4]LCT-5'!IA23+'[4]LCT-6'!IA23+'[4]LCT-7'!IA23+'[4]LCT-8'!IA23+'[5]TB-1'!IA23+'[5]TB-2'!IA23+'[5]TB-3'!IA23+'[5]TB-4'!IA23+'[5]TB-5'!IA23+'[5]TB-6'!IA23+'[5]TB-7'!IA23+'[5]TB-8'!IA23+'[5]TB-9'!IA23+'[5]TB-10'!IA23+'[6]DSV-1'!IA23+'[6]DSV-2'!IA23+'[6]DSV-3'!IA23+'[7]TUB-1'!IA23+'[7]TUB-2'!IA23+'[8]Barge-1'!IA23+'[8]Barge-2'!IA23+'[8]Barge-3'!IA23+'[8]Barge-4'!IA23</f>
        <v>0</v>
      </c>
      <c r="Y23" s="147">
        <f>'[2]AHTS-1'!IA94+'[2]AHTS-2'!IA94+'[2]AHTS-3'!IA94+'[2]AHTS-4'!IA94+'[2]AHTS-5'!IA94+'[2]AHTS-6'!IA94+'[2]AHTS-7'!IA94+'[2]AHTS-8'!IA94+'[3]CB-1'!IA94+'[3]CB-2'!IA94+'[3]CB-3'!IA94+'[3]CB-4'!IA94+'[3]CB-5'!IA94+'[3]CB-6'!IA94+'[3]CB-7'!IA94+'[3]CB-8'!IA94+'[3]CB-9'!IA94+'[3]CB-10'!IA94+'[3]CB-11'!IA94+'[3]CB-12'!IA94+'[3]CB-13'!IA94+'[3]CB-14'!IA94+'[3]CB-15'!IA94+'[3]CB-16'!IA94+'[3]CB-17'!IA94+'[3]CB-18'!IA94+'[3]CB-19'!IA94+'[3]CB-20'!IA94+'[3]CB-21'!IA94+'[3]CB-22'!IA94+'[3]CB-23'!IA94+'[3]CB-24'!IA94+'[4]LCT-1'!IA94+'[4]LCT-2'!IA94+'[4]LCT-3'!IA94+'[4]LCT-4'!IA94+'[4]LCT-5'!IA94+'[4]LCT-6'!IA94+'[4]LCT-7'!IA94+'[4]LCT-8'!IA94+'[5]TB-1'!IA94+'[5]TB-2'!IA94+'[5]TB-3'!IA94+'[5]TB-4'!IA94+'[5]TB-5'!IA94+'[5]TB-6'!IA94+'[5]TB-7'!IA94+'[5]TB-8'!IA94+'[5]TB-9'!IA94+'[5]TB-10'!IA94+'[6]DSV-1'!IA94+'[6]DSV-2'!IA94+'[6]DSV-3'!IA94+'[7]TUB-1'!IA94+'[7]TUB-2'!IA94+'[8]Barge-1'!IA94+'[8]Barge-2'!IA94+'[8]Barge-3'!IA94+'[8]Barge-4'!IA94</f>
        <v>0</v>
      </c>
      <c r="Z23" s="145">
        <f>'[2]AHTS-1'!IB61+'[2]AHTS-2'!IB61+'[2]AHTS-3'!IB61+'[2]AHTS-4'!IB61+'[2]AHTS-5'!IB61+'[2]AHTS-6'!IB61+'[2]AHTS-7'!IB61+'[2]AHTS-8'!IB61+'[3]CB-1'!IB61+'[3]CB-2'!IB61+'[3]CB-3'!IB61+'[3]CB-4'!IB61+'[3]CB-5'!IB61+'[3]CB-6'!IB61+'[3]CB-7'!IB61+'[3]CB-8'!IB61+'[3]CB-9'!IB61+'[3]CB-10'!IB61+'[3]CB-11'!IB61+'[3]CB-12'!IB61+'[3]CB-13'!IB61+'[3]CB-14'!IB61+'[3]CB-15'!IB61+'[3]CB-16'!IB61+'[3]CB-17'!IB61+'[3]CB-18'!IB61+'[3]CB-19'!IB61+'[3]CB-20'!IB61+'[3]CB-21'!IB61+'[3]CB-22'!IB61+'[3]CB-23'!IB61+'[3]CB-24'!IB61+'[4]LCT-1'!IB61+'[4]LCT-2'!IB61+'[4]LCT-3'!IB61+'[4]LCT-4'!IB61+'[4]LCT-5'!IB61+'[4]LCT-6'!IB61+'[4]LCT-7'!IB61+'[4]LCT-8'!IB61+'[5]TB-1'!IB61+'[5]TB-2'!IB61+'[5]TB-3'!IB61+'[5]TB-4'!IB61+'[5]TB-5'!IB61+'[5]TB-6'!IB61+'[5]TB-7'!IB61+'[5]TB-8'!IB61+'[5]TB-9'!IB61+'[5]TB-10'!IB61+'[6]DSV-1'!IB61+'[6]DSV-2'!IB61+'[6]DSV-3'!IB61+'[7]TUB-1'!IB61+'[7]TUB-2'!IB61+'[8]Barge-1'!IB61+'[8]Barge-2'!IB61+'[8]Barge-3'!IB61+'[8]Barge-4'!IB61</f>
        <v>29231500</v>
      </c>
      <c r="AA23" s="146">
        <f>'[2]AHTS-1'!IB23+'[2]AHTS-2'!IB23+'[2]AHTS-3'!IB23+'[2]AHTS-4'!IB23+'[2]AHTS-5'!IB23+'[2]AHTS-6'!IB23+'[2]AHTS-7'!IB23+'[2]AHTS-8'!IB23+'[3]CB-1'!IB23+'[3]CB-2'!IB23+'[3]CB-3'!IB23+'[3]CB-4'!IB23+'[3]CB-5'!IB23+'[3]CB-6'!IB23+'[3]CB-7'!IB23+'[3]CB-8'!IB23+'[3]CB-9'!IB23+'[3]CB-10'!IB23+'[3]CB-11'!IB23+'[3]CB-12'!IB23+'[3]CB-13'!IB23+'[3]CB-14'!IB23+'[3]CB-15'!IB23+'[3]CB-16'!IB23+'[3]CB-17'!IB23+'[3]CB-18'!IB23+'[3]CB-19'!IB23+'[3]CB-20'!IB23+'[3]CB-21'!IB23+'[3]CB-22'!IB23+'[3]CB-23'!IB23+'[3]CB-24'!IB23+'[4]LCT-1'!IB23+'[4]LCT-2'!IB23+'[4]LCT-3'!IB23+'[4]LCT-4'!IB23+'[4]LCT-5'!IB23+'[4]LCT-6'!IB23+'[4]LCT-7'!IB23+'[4]LCT-8'!IB23+'[5]TB-1'!IB23+'[5]TB-2'!IB23+'[5]TB-3'!IB23+'[5]TB-4'!IB23+'[5]TB-5'!IB23+'[5]TB-6'!IB23+'[5]TB-7'!IB23+'[5]TB-8'!IB23+'[5]TB-9'!IB23+'[5]TB-10'!IB23+'[6]DSV-1'!IB23+'[6]DSV-2'!IB23+'[6]DSV-3'!IB23+'[7]TUB-1'!IB23+'[7]TUB-2'!IB23+'[8]Barge-1'!IB23+'[8]Barge-2'!IB23+'[8]Barge-3'!IB23+'[8]Barge-4'!IB23</f>
        <v>41775000</v>
      </c>
      <c r="AB23" s="147">
        <f>'[2]AHTS-1'!IB94+'[2]AHTS-2'!IB94+'[2]AHTS-3'!IB94+'[2]AHTS-4'!IB94+'[2]AHTS-5'!IB94+'[2]AHTS-6'!IB94+'[2]AHTS-7'!IB94+'[2]AHTS-8'!IB94+'[3]CB-1'!IB94+'[3]CB-2'!IB94+'[3]CB-3'!IB94+'[3]CB-4'!IB94+'[3]CB-5'!IB94+'[3]CB-6'!IB94+'[3]CB-7'!IB94+'[3]CB-8'!IB94+'[3]CB-9'!IB94+'[3]CB-10'!IB94+'[3]CB-11'!IB94+'[3]CB-12'!IB94+'[3]CB-13'!IB94+'[3]CB-14'!IB94+'[3]CB-15'!IB94+'[3]CB-16'!IB94+'[3]CB-17'!IB94+'[3]CB-18'!IB94+'[3]CB-19'!IB94+'[3]CB-20'!IB94+'[3]CB-21'!IB94+'[3]CB-22'!IB94+'[3]CB-23'!IB94+'[3]CB-24'!IB94+'[4]LCT-1'!IB94+'[4]LCT-2'!IB94+'[4]LCT-3'!IB94+'[4]LCT-4'!IB94+'[4]LCT-5'!IB94+'[4]LCT-6'!IB94+'[4]LCT-7'!IB94+'[4]LCT-8'!IB94+'[5]TB-1'!IB94+'[5]TB-2'!IB94+'[5]TB-3'!IB94+'[5]TB-4'!IB94+'[5]TB-5'!IB94+'[5]TB-6'!IB94+'[5]TB-7'!IB94+'[5]TB-8'!IB94+'[5]TB-9'!IB94+'[5]TB-10'!IB94+'[6]DSV-1'!IB94+'[6]DSV-2'!IB94+'[6]DSV-3'!IB94+'[7]TUB-1'!IB94+'[7]TUB-2'!IB94+'[8]Barge-1'!IB94+'[8]Barge-2'!IB94+'[8]Barge-3'!IB94+'[8]Barge-4'!IB94</f>
        <v>0</v>
      </c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</row>
    <row r="24" spans="1:79" s="84" customFormat="1" ht="14.25" customHeight="1" thickBot="1" x14ac:dyDescent="0.3">
      <c r="A24" s="119">
        <f>[1]Control!AZ24</f>
        <v>45999</v>
      </c>
      <c r="B24" s="81"/>
      <c r="C24" s="159">
        <f>'[2]AHTS-1'!AT24+'[2]AHTS-2'!AT24+'[2]AHTS-3'!AT24+'[2]AHTS-4'!AT24+'[2]AHTS-5'!AT24+'[2]AHTS-6'!AT24+'[2]AHTS-7'!AT24+'[2]AHTS-8'!AT24+'[3]CB-1'!AT24+'[3]CB-2'!AT24+'[3]CB-3'!AT24+'[3]CB-4'!AT24+'[3]CB-5'!AT24+'[3]CB-6'!AT24+'[3]CB-7'!AT24+'[3]CB-8'!AT24+'[3]CB-9'!AT24+'[3]CB-10'!AT24+'[3]CB-11'!AT24+'[3]CB-12'!AT24+'[3]CB-13'!AT24+'[3]CB-14'!AT24+'[3]CB-15'!AT24+'[3]CB-16'!AT24+'[3]CB-17'!AT24+'[3]CB-18'!AT24+'[3]CB-19'!AT24+'[3]CB-20'!AT24+'[3]CB-21'!AT24+'[3]CB-22'!AT24+'[3]CB-23'!AT24+'[3]CB-24'!AT24+'[4]LCT-1'!AT24+'[4]LCT-2'!AT24+'[4]LCT-3'!AT24+'[4]LCT-4'!AT24+'[4]LCT-5'!AT24+'[4]LCT-6'!AT24+'[4]LCT-7'!AT24+'[4]LCT-8'!AT24+'[5]TB-1'!AT24+'[5]TB-2'!AT24+'[5]TB-3'!AT24+'[5]TB-4'!AT24+'[5]TB-5'!AT24+'[5]TB-6'!AT24+'[5]TB-7'!AT24+'[5]TB-8'!AT24+'[5]TB-9'!AT24+'[5]TB-10'!AT24+'[6]DSV-1'!AT24+'[6]DSV-2'!AT24+'[6]DSV-3'!AT24+'[7]TUB-1'!AT24+'[7]TUB-2'!AT24+'[8]Barge-1'!AT24+'[8]Barge-2'!AT24+'[8]Barge-3'!AT24+'[8]Barge-4'!AT24</f>
        <v>0</v>
      </c>
      <c r="D24" s="160">
        <f>'[2]AHTS-1'!BP24+'[2]AHTS-2'!BP24+'[2]AHTS-3'!BP24+'[2]AHTS-4'!BP24+'[2]AHTS-5'!BP24+'[2]AHTS-6'!BP24+'[2]AHTS-7'!BP24+'[2]AHTS-8'!BP24+'[3]CB-1'!BP24+'[3]CB-2'!BP24+'[3]CB-3'!BP24+'[3]CB-4'!BP24+'[3]CB-5'!BP24+'[3]CB-6'!BP24+'[3]CB-7'!BP24+'[3]CB-8'!BP24+'[3]CB-9'!BP24+'[3]CB-10'!BP24+'[3]CB-11'!BP24+'[3]CB-12'!BP24+'[3]CB-13'!BP24+'[3]CB-14'!BP24+'[3]CB-15'!BP24+'[3]CB-16'!BP24+'[3]CB-17'!BP24+'[3]CB-18'!BP24+'[3]CB-19'!BP24+'[3]CB-20'!BP24+'[3]CB-21'!BP24+'[3]CB-22'!BP24+'[3]CB-23'!BP24+'[3]CB-24'!BP24+'[4]LCT-1'!BP24+'[4]LCT-2'!BP24+'[4]LCT-3'!BP24+'[4]LCT-4'!BP24+'[4]LCT-5'!BP24+'[4]LCT-6'!BP24+'[4]LCT-7'!BP24+'[4]LCT-8'!BP24+'[5]TB-1'!BP24+'[5]TB-2'!BP24+'[5]TB-3'!BP24+'[5]TB-4'!BP24+'[5]TB-5'!BP24+'[5]TB-6'!BP24+'[5]TB-7'!BP24+'[5]TB-8'!BP24+'[5]TB-9'!BP24+'[5]TB-10'!BP24+'[6]DSV-1'!BP24+'[6]DSV-2'!BP24+'[6]DSV-3'!BP24+'[7]TUB-1'!BP24+'[7]TUB-2'!BP24+'[8]Barge-1'!BP24+'[8]Barge-2'!BP24+'[8]Barge-3'!BP24+'[8]Barge-4'!BP24</f>
        <v>0</v>
      </c>
      <c r="E24" s="161">
        <f>'[2]AHTS-1'!CL24+'[2]AHTS-2'!CL24+'[2]AHTS-3'!CL24+'[2]AHTS-4'!CL24+'[2]AHTS-5'!CL24+'[2]AHTS-6'!CL24+'[2]AHTS-7'!CL24+'[2]AHTS-8'!CL24+'[3]CB-1'!CL24+'[3]CB-2'!CL24+'[3]CB-3'!CL24+'[3]CB-4'!CL24+'[3]CB-5'!CL24+'[3]CB-6'!CL24+'[3]CB-7'!CL24+'[3]CB-8'!CL24+'[3]CB-9'!CL24+'[3]CB-10'!CL24+'[3]CB-11'!CL24+'[3]CB-12'!CL24+'[3]CB-13'!CL24+'[3]CB-14'!CL24+'[3]CB-15'!CL24+'[3]CB-16'!CL24+'[3]CB-17'!CL24+'[3]CB-18'!CL24+'[3]CB-19'!CL24+'[3]CB-20'!CL24+'[3]CB-21'!CL24+'[3]CB-22'!CL24+'[3]CB-23'!CL24+'[3]CB-24'!CL24+'[4]LCT-1'!CL24+'[4]LCT-2'!CL24+'[4]LCT-3'!CL24+'[4]LCT-4'!CL24+'[4]LCT-5'!CL24+'[4]LCT-6'!CL24+'[4]LCT-7'!CL24+'[4]LCT-8'!CL24+'[5]TB-1'!CL24+'[5]TB-2'!CL24+'[5]TB-3'!CL24+'[5]TB-4'!CL24+'[5]TB-5'!CL24+'[5]TB-6'!CL24+'[5]TB-7'!CL24+'[5]TB-8'!CL24+'[5]TB-9'!CL24+'[5]TB-10'!CL24+'[6]DSV-1'!CL24+'[6]DSV-2'!CL24+'[6]DSV-3'!CL24+'[7]TUB-1'!CL24+'[7]TUB-2'!CL24+'[8]Barge-1'!CL24+'[8]Barge-2'!CL24+'[8]Barge-3'!CL24+'[8]Barge-4'!CL24</f>
        <v>0</v>
      </c>
      <c r="F24" s="159">
        <f>'[2]AHTS-1'!AU24+'[2]AHTS-2'!AU24+'[2]AHTS-3'!AU24+'[2]AHTS-4'!AU24+'[2]AHTS-5'!AU24+'[2]AHTS-6'!AU24+'[2]AHTS-7'!AU24+'[2]AHTS-8'!AU24+'[3]CB-1'!AU24+'[3]CB-2'!AU24+'[3]CB-3'!AU24+'[3]CB-4'!AU24+'[3]CB-5'!AU24+'[3]CB-6'!AU24+'[3]CB-7'!AU24+'[3]CB-8'!AU24+'[3]CB-9'!AU24+'[3]CB-10'!AU24+'[3]CB-11'!AU24+'[3]CB-12'!AU24+'[3]CB-13'!AU24+'[3]CB-14'!AU24+'[3]CB-15'!AU24+'[3]CB-16'!AU24+'[3]CB-17'!AU24+'[3]CB-18'!AU24+'[3]CB-19'!AU24+'[3]CB-20'!AU24+'[3]CB-21'!AU24+'[3]CB-22'!AU24+'[3]CB-23'!AU24+'[3]CB-24'!AU24+'[4]LCT-1'!AU24+'[4]LCT-2'!AU24+'[4]LCT-3'!AU24+'[4]LCT-4'!AU24+'[4]LCT-5'!AU24+'[4]LCT-6'!AU24+'[4]LCT-7'!AU24+'[4]LCT-8'!AU24+'[5]TB-1'!AU24+'[5]TB-2'!AU24+'[5]TB-3'!AU24+'[5]TB-4'!AU24+'[5]TB-5'!AU24+'[5]TB-6'!AU24+'[5]TB-7'!AU24+'[5]TB-8'!AU24+'[5]TB-9'!AU24+'[5]TB-10'!AU24+'[6]DSV-1'!AU24+'[6]DSV-2'!AU24+'[6]DSV-3'!AU24+'[7]TUB-1'!AU24+'[7]TUB-2'!AU24+'[8]Barge-1'!AU24+'[8]Barge-2'!AU24+'[8]Barge-3'!AU24+'[8]Barge-4'!AU24</f>
        <v>2225.016648696645</v>
      </c>
      <c r="G24" s="160">
        <f>'[2]AHTS-1'!BQ24+'[2]AHTS-2'!BQ24+'[2]AHTS-3'!BQ24+'[2]AHTS-4'!BQ24+'[2]AHTS-5'!BQ24+'[2]AHTS-6'!BQ24+'[2]AHTS-7'!BQ24+'[2]AHTS-8'!BQ24+'[3]CB-1'!BQ24+'[3]CB-2'!BQ24+'[3]CB-3'!BQ24+'[3]CB-4'!BQ24+'[3]CB-5'!BQ24+'[3]CB-6'!BQ24+'[3]CB-7'!BQ24+'[3]CB-8'!BQ24+'[3]CB-9'!BQ24+'[3]CB-10'!BQ24+'[3]CB-11'!BQ24+'[3]CB-12'!BQ24+'[3]CB-13'!BQ24+'[3]CB-14'!BQ24+'[3]CB-15'!BQ24+'[3]CB-16'!BQ24+'[3]CB-17'!BQ24+'[3]CB-18'!BQ24+'[3]CB-19'!BQ24+'[3]CB-20'!BQ24+'[3]CB-21'!BQ24+'[3]CB-22'!BQ24+'[3]CB-23'!BQ24+'[3]CB-24'!BQ24+'[4]LCT-1'!BQ24+'[4]LCT-2'!BQ24+'[4]LCT-3'!BQ24+'[4]LCT-4'!BQ24+'[4]LCT-5'!BQ24+'[4]LCT-6'!BQ24+'[4]LCT-7'!BQ24+'[4]LCT-8'!BQ24+'[5]TB-1'!BQ24+'[5]TB-2'!BQ24+'[5]TB-3'!BQ24+'[5]TB-4'!BQ24+'[5]TB-5'!BQ24+'[5]TB-6'!BQ24+'[5]TB-7'!BQ24+'[5]TB-8'!BQ24+'[5]TB-9'!BQ24+'[5]TB-10'!BQ24+'[6]DSV-1'!BQ24+'[6]DSV-2'!BQ24+'[6]DSV-3'!BQ24+'[7]TUB-1'!BQ24+'[7]TUB-2'!BQ24+'[8]Barge-1'!BQ24+'[8]Barge-2'!BQ24+'[8]Barge-3'!BQ24+'[8]Barge-4'!BQ24</f>
        <v>2938.0985602841374</v>
      </c>
      <c r="H24" s="161">
        <f>'[2]AHTS-1'!CM24+'[2]AHTS-2'!CM24+'[2]AHTS-3'!CM24+'[2]AHTS-4'!CM24+'[2]AHTS-5'!CM24+'[2]AHTS-6'!CM24+'[2]AHTS-7'!CM24+'[2]AHTS-8'!CM24+'[3]CB-1'!CM24+'[3]CB-2'!CM24+'[3]CB-3'!CM24+'[3]CB-4'!CM24+'[3]CB-5'!CM24+'[3]CB-6'!CM24+'[3]CB-7'!CM24+'[3]CB-8'!CM24+'[3]CB-9'!CM24+'[3]CB-10'!CM24+'[3]CB-11'!CM24+'[3]CB-12'!CM24+'[3]CB-13'!CM24+'[3]CB-14'!CM24+'[3]CB-15'!CM24+'[3]CB-16'!CM24+'[3]CB-17'!CM24+'[3]CB-18'!CM24+'[3]CB-19'!CM24+'[3]CB-20'!CM24+'[3]CB-21'!CM24+'[3]CB-22'!CM24+'[3]CB-23'!CM24+'[3]CB-24'!CM24+'[4]LCT-1'!CM24+'[4]LCT-2'!CM24+'[4]LCT-3'!CM24+'[4]LCT-4'!CM24+'[4]LCT-5'!CM24+'[4]LCT-6'!CM24+'[4]LCT-7'!CM24+'[4]LCT-8'!CM24+'[5]TB-1'!CM24+'[5]TB-2'!CM24+'[5]TB-3'!CM24+'[5]TB-4'!CM24+'[5]TB-5'!CM24+'[5]TB-6'!CM24+'[5]TB-7'!CM24+'[5]TB-8'!CM24+'[5]TB-9'!CM24+'[5]TB-10'!CM24+'[6]DSV-1'!CM24+'[6]DSV-2'!CM24+'[6]DSV-3'!CM24+'[7]TUB-1'!CM24+'[7]TUB-2'!CM24+'[8]Barge-1'!CM24+'[8]Barge-2'!CM24+'[8]Barge-3'!CM24+'[8]Barge-4'!CM24</f>
        <v>0</v>
      </c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110"/>
      <c r="U24" s="119">
        <f>[1]Control!AZ24</f>
        <v>45999</v>
      </c>
      <c r="V24" s="81"/>
      <c r="W24" s="145">
        <f>'[2]AHTS-1'!IA62+'[2]AHTS-2'!IA62+'[2]AHTS-3'!IA62+'[2]AHTS-4'!IA62+'[2]AHTS-5'!IA62+'[2]AHTS-6'!IA62+'[2]AHTS-7'!IA62+'[2]AHTS-8'!IA62+'[3]CB-1'!IA62+'[3]CB-2'!IA62+'[3]CB-3'!IA62+'[3]CB-4'!IA62+'[3]CB-5'!IA62+'[3]CB-6'!IA62+'[3]CB-7'!IA62+'[3]CB-8'!IA62+'[3]CB-9'!IA62+'[3]CB-10'!IA62+'[3]CB-11'!IA62+'[3]CB-12'!IA62+'[3]CB-13'!IA62+'[3]CB-14'!IA62+'[3]CB-15'!IA62+'[3]CB-16'!IA62+'[3]CB-17'!IA62+'[3]CB-18'!IA62+'[3]CB-19'!IA62+'[3]CB-20'!IA62+'[3]CB-21'!IA62+'[3]CB-22'!IA62+'[3]CB-23'!IA62+'[3]CB-24'!IA62+'[4]LCT-1'!IA62+'[4]LCT-2'!IA62+'[4]LCT-3'!IA62+'[4]LCT-4'!IA62+'[4]LCT-5'!IA62+'[4]LCT-6'!IA62+'[4]LCT-7'!IA62+'[4]LCT-8'!IA62+'[5]TB-1'!IA62+'[5]TB-2'!IA62+'[5]TB-3'!IA62+'[5]TB-4'!IA62+'[5]TB-5'!IA62+'[5]TB-6'!IA62+'[5]TB-7'!IA62+'[5]TB-8'!IA62+'[5]TB-9'!IA62+'[5]TB-10'!IA62+'[6]DSV-1'!IA62+'[6]DSV-2'!IA62+'[6]DSV-3'!IA62+'[7]TUB-1'!IA62+'[7]TUB-2'!IA62+'[8]Barge-1'!IA62+'[8]Barge-2'!IA62+'[8]Barge-3'!IA62+'[8]Barge-4'!IA62</f>
        <v>0</v>
      </c>
      <c r="X24" s="146">
        <f>'[2]AHTS-1'!IA24+'[2]AHTS-2'!IA24+'[2]AHTS-3'!IA24+'[2]AHTS-4'!IA24+'[2]AHTS-5'!IA24+'[2]AHTS-6'!IA24+'[2]AHTS-7'!IA24+'[2]AHTS-8'!IA24+'[3]CB-1'!IA24+'[3]CB-2'!IA24+'[3]CB-3'!IA24+'[3]CB-4'!IA24+'[3]CB-5'!IA24+'[3]CB-6'!IA24+'[3]CB-7'!IA24+'[3]CB-8'!IA24+'[3]CB-9'!IA24+'[3]CB-10'!IA24+'[3]CB-11'!IA24+'[3]CB-12'!IA24+'[3]CB-13'!IA24+'[3]CB-14'!IA24+'[3]CB-15'!IA24+'[3]CB-16'!IA24+'[3]CB-17'!IA24+'[3]CB-18'!IA24+'[3]CB-19'!IA24+'[3]CB-20'!IA24+'[3]CB-21'!IA24+'[3]CB-22'!IA24+'[3]CB-23'!IA24+'[3]CB-24'!IA24+'[4]LCT-1'!IA24+'[4]LCT-2'!IA24+'[4]LCT-3'!IA24+'[4]LCT-4'!IA24+'[4]LCT-5'!IA24+'[4]LCT-6'!IA24+'[4]LCT-7'!IA24+'[4]LCT-8'!IA24+'[5]TB-1'!IA24+'[5]TB-2'!IA24+'[5]TB-3'!IA24+'[5]TB-4'!IA24+'[5]TB-5'!IA24+'[5]TB-6'!IA24+'[5]TB-7'!IA24+'[5]TB-8'!IA24+'[5]TB-9'!IA24+'[5]TB-10'!IA24+'[6]DSV-1'!IA24+'[6]DSV-2'!IA24+'[6]DSV-3'!IA24+'[7]TUB-1'!IA24+'[7]TUB-2'!IA24+'[8]Barge-1'!IA24+'[8]Barge-2'!IA24+'[8]Barge-3'!IA24+'[8]Barge-4'!IA24</f>
        <v>0</v>
      </c>
      <c r="Y24" s="147">
        <f>'[2]AHTS-1'!IA95+'[2]AHTS-2'!IA95+'[2]AHTS-3'!IA95+'[2]AHTS-4'!IA95+'[2]AHTS-5'!IA95+'[2]AHTS-6'!IA95+'[2]AHTS-7'!IA95+'[2]AHTS-8'!IA95+'[3]CB-1'!IA95+'[3]CB-2'!IA95+'[3]CB-3'!IA95+'[3]CB-4'!IA95+'[3]CB-5'!IA95+'[3]CB-6'!IA95+'[3]CB-7'!IA95+'[3]CB-8'!IA95+'[3]CB-9'!IA95+'[3]CB-10'!IA95+'[3]CB-11'!IA95+'[3]CB-12'!IA95+'[3]CB-13'!IA95+'[3]CB-14'!IA95+'[3]CB-15'!IA95+'[3]CB-16'!IA95+'[3]CB-17'!IA95+'[3]CB-18'!IA95+'[3]CB-19'!IA95+'[3]CB-20'!IA95+'[3]CB-21'!IA95+'[3]CB-22'!IA95+'[3]CB-23'!IA95+'[3]CB-24'!IA95+'[4]LCT-1'!IA95+'[4]LCT-2'!IA95+'[4]LCT-3'!IA95+'[4]LCT-4'!IA95+'[4]LCT-5'!IA95+'[4]LCT-6'!IA95+'[4]LCT-7'!IA95+'[4]LCT-8'!IA95+'[5]TB-1'!IA95+'[5]TB-2'!IA95+'[5]TB-3'!IA95+'[5]TB-4'!IA95+'[5]TB-5'!IA95+'[5]TB-6'!IA95+'[5]TB-7'!IA95+'[5]TB-8'!IA95+'[5]TB-9'!IA95+'[5]TB-10'!IA95+'[6]DSV-1'!IA95+'[6]DSV-2'!IA95+'[6]DSV-3'!IA95+'[7]TUB-1'!IA95+'[7]TUB-2'!IA95+'[8]Barge-1'!IA95+'[8]Barge-2'!IA95+'[8]Barge-3'!IA95+'[8]Barge-4'!IA95</f>
        <v>0</v>
      </c>
      <c r="Z24" s="145">
        <f>'[2]AHTS-1'!IB62+'[2]AHTS-2'!IB62+'[2]AHTS-3'!IB62+'[2]AHTS-4'!IB62+'[2]AHTS-5'!IB62+'[2]AHTS-6'!IB62+'[2]AHTS-7'!IB62+'[2]AHTS-8'!IB62+'[3]CB-1'!IB62+'[3]CB-2'!IB62+'[3]CB-3'!IB62+'[3]CB-4'!IB62+'[3]CB-5'!IB62+'[3]CB-6'!IB62+'[3]CB-7'!IB62+'[3]CB-8'!IB62+'[3]CB-9'!IB62+'[3]CB-10'!IB62+'[3]CB-11'!IB62+'[3]CB-12'!IB62+'[3]CB-13'!IB62+'[3]CB-14'!IB62+'[3]CB-15'!IB62+'[3]CB-16'!IB62+'[3]CB-17'!IB62+'[3]CB-18'!IB62+'[3]CB-19'!IB62+'[3]CB-20'!IB62+'[3]CB-21'!IB62+'[3]CB-22'!IB62+'[3]CB-23'!IB62+'[3]CB-24'!IB62+'[4]LCT-1'!IB62+'[4]LCT-2'!IB62+'[4]LCT-3'!IB62+'[4]LCT-4'!IB62+'[4]LCT-5'!IB62+'[4]LCT-6'!IB62+'[4]LCT-7'!IB62+'[4]LCT-8'!IB62+'[5]TB-1'!IB62+'[5]TB-2'!IB62+'[5]TB-3'!IB62+'[5]TB-4'!IB62+'[5]TB-5'!IB62+'[5]TB-6'!IB62+'[5]TB-7'!IB62+'[5]TB-8'!IB62+'[5]TB-9'!IB62+'[5]TB-10'!IB62+'[6]DSV-1'!IB62+'[6]DSV-2'!IB62+'[6]DSV-3'!IB62+'[7]TUB-1'!IB62+'[7]TUB-2'!IB62+'[8]Barge-1'!IB62+'[8]Barge-2'!IB62+'[8]Barge-3'!IB62+'[8]Barge-4'!IB62</f>
        <v>35081837.5</v>
      </c>
      <c r="AA24" s="146">
        <f>'[2]AHTS-1'!IB24+'[2]AHTS-2'!IB24+'[2]AHTS-3'!IB24+'[2]AHTS-4'!IB24+'[2]AHTS-5'!IB24+'[2]AHTS-6'!IB24+'[2]AHTS-7'!IB24+'[2]AHTS-8'!IB24+'[3]CB-1'!IB24+'[3]CB-2'!IB24+'[3]CB-3'!IB24+'[3]CB-4'!IB24+'[3]CB-5'!IB24+'[3]CB-6'!IB24+'[3]CB-7'!IB24+'[3]CB-8'!IB24+'[3]CB-9'!IB24+'[3]CB-10'!IB24+'[3]CB-11'!IB24+'[3]CB-12'!IB24+'[3]CB-13'!IB24+'[3]CB-14'!IB24+'[3]CB-15'!IB24+'[3]CB-16'!IB24+'[3]CB-17'!IB24+'[3]CB-18'!IB24+'[3]CB-19'!IB24+'[3]CB-20'!IB24+'[3]CB-21'!IB24+'[3]CB-22'!IB24+'[3]CB-23'!IB24+'[3]CB-24'!IB24+'[4]LCT-1'!IB24+'[4]LCT-2'!IB24+'[4]LCT-3'!IB24+'[4]LCT-4'!IB24+'[4]LCT-5'!IB24+'[4]LCT-6'!IB24+'[4]LCT-7'!IB24+'[4]LCT-8'!IB24+'[5]TB-1'!IB24+'[5]TB-2'!IB24+'[5]TB-3'!IB24+'[5]TB-4'!IB24+'[5]TB-5'!IB24+'[5]TB-6'!IB24+'[5]TB-7'!IB24+'[5]TB-8'!IB24+'[5]TB-9'!IB24+'[5]TB-10'!IB24+'[6]DSV-1'!IB24+'[6]DSV-2'!IB24+'[6]DSV-3'!IB24+'[7]TUB-1'!IB24+'[7]TUB-2'!IB24+'[8]Barge-1'!IB24+'[8]Barge-2'!IB24+'[8]Barge-3'!IB24+'[8]Barge-4'!IB24</f>
        <v>46325000</v>
      </c>
      <c r="AB24" s="147">
        <f>'[2]AHTS-1'!IB95+'[2]AHTS-2'!IB95+'[2]AHTS-3'!IB95+'[2]AHTS-4'!IB95+'[2]AHTS-5'!IB95+'[2]AHTS-6'!IB95+'[2]AHTS-7'!IB95+'[2]AHTS-8'!IB95+'[3]CB-1'!IB95+'[3]CB-2'!IB95+'[3]CB-3'!IB95+'[3]CB-4'!IB95+'[3]CB-5'!IB95+'[3]CB-6'!IB95+'[3]CB-7'!IB95+'[3]CB-8'!IB95+'[3]CB-9'!IB95+'[3]CB-10'!IB95+'[3]CB-11'!IB95+'[3]CB-12'!IB95+'[3]CB-13'!IB95+'[3]CB-14'!IB95+'[3]CB-15'!IB95+'[3]CB-16'!IB95+'[3]CB-17'!IB95+'[3]CB-18'!IB95+'[3]CB-19'!IB95+'[3]CB-20'!IB95+'[3]CB-21'!IB95+'[3]CB-22'!IB95+'[3]CB-23'!IB95+'[3]CB-24'!IB95+'[4]LCT-1'!IB95+'[4]LCT-2'!IB95+'[4]LCT-3'!IB95+'[4]LCT-4'!IB95+'[4]LCT-5'!IB95+'[4]LCT-6'!IB95+'[4]LCT-7'!IB95+'[4]LCT-8'!IB95+'[5]TB-1'!IB95+'[5]TB-2'!IB95+'[5]TB-3'!IB95+'[5]TB-4'!IB95+'[5]TB-5'!IB95+'[5]TB-6'!IB95+'[5]TB-7'!IB95+'[5]TB-8'!IB95+'[5]TB-9'!IB95+'[5]TB-10'!IB95+'[6]DSV-1'!IB95+'[6]DSV-2'!IB95+'[6]DSV-3'!IB95+'[7]TUB-1'!IB95+'[7]TUB-2'!IB95+'[8]Barge-1'!IB95+'[8]Barge-2'!IB95+'[8]Barge-3'!IB95+'[8]Barge-4'!IB95</f>
        <v>0</v>
      </c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</row>
    <row r="25" spans="1:79" s="84" customFormat="1" ht="14.25" customHeight="1" thickBot="1" x14ac:dyDescent="0.3">
      <c r="A25" s="119">
        <f>[1]Control!AZ25</f>
        <v>46000</v>
      </c>
      <c r="B25" s="81"/>
      <c r="C25" s="159">
        <f>'[2]AHTS-1'!AT25+'[2]AHTS-2'!AT25+'[2]AHTS-3'!AT25+'[2]AHTS-4'!AT25+'[2]AHTS-5'!AT25+'[2]AHTS-6'!AT25+'[2]AHTS-7'!AT25+'[2]AHTS-8'!AT25+'[3]CB-1'!AT25+'[3]CB-2'!AT25+'[3]CB-3'!AT25+'[3]CB-4'!AT25+'[3]CB-5'!AT25+'[3]CB-6'!AT25+'[3]CB-7'!AT25+'[3]CB-8'!AT25+'[3]CB-9'!AT25+'[3]CB-10'!AT25+'[3]CB-11'!AT25+'[3]CB-12'!AT25+'[3]CB-13'!AT25+'[3]CB-14'!AT25+'[3]CB-15'!AT25+'[3]CB-16'!AT25+'[3]CB-17'!AT25+'[3]CB-18'!AT25+'[3]CB-19'!AT25+'[3]CB-20'!AT25+'[3]CB-21'!AT25+'[3]CB-22'!AT25+'[3]CB-23'!AT25+'[3]CB-24'!AT25+'[4]LCT-1'!AT25+'[4]LCT-2'!AT25+'[4]LCT-3'!AT25+'[4]LCT-4'!AT25+'[4]LCT-5'!AT25+'[4]LCT-6'!AT25+'[4]LCT-7'!AT25+'[4]LCT-8'!AT25+'[5]TB-1'!AT25+'[5]TB-2'!AT25+'[5]TB-3'!AT25+'[5]TB-4'!AT25+'[5]TB-5'!AT25+'[5]TB-6'!AT25+'[5]TB-7'!AT25+'[5]TB-8'!AT25+'[5]TB-9'!AT25+'[5]TB-10'!AT25+'[6]DSV-1'!AT25+'[6]DSV-2'!AT25+'[6]DSV-3'!AT25+'[7]TUB-1'!AT25+'[7]TUB-2'!AT25+'[8]Barge-1'!AT25+'[8]Barge-2'!AT25+'[8]Barge-3'!AT25+'[8]Barge-4'!AT25</f>
        <v>0</v>
      </c>
      <c r="D25" s="160">
        <f>'[2]AHTS-1'!BP25+'[2]AHTS-2'!BP25+'[2]AHTS-3'!BP25+'[2]AHTS-4'!BP25+'[2]AHTS-5'!BP25+'[2]AHTS-6'!BP25+'[2]AHTS-7'!BP25+'[2]AHTS-8'!BP25+'[3]CB-1'!BP25+'[3]CB-2'!BP25+'[3]CB-3'!BP25+'[3]CB-4'!BP25+'[3]CB-5'!BP25+'[3]CB-6'!BP25+'[3]CB-7'!BP25+'[3]CB-8'!BP25+'[3]CB-9'!BP25+'[3]CB-10'!BP25+'[3]CB-11'!BP25+'[3]CB-12'!BP25+'[3]CB-13'!BP25+'[3]CB-14'!BP25+'[3]CB-15'!BP25+'[3]CB-16'!BP25+'[3]CB-17'!BP25+'[3]CB-18'!BP25+'[3]CB-19'!BP25+'[3]CB-20'!BP25+'[3]CB-21'!BP25+'[3]CB-22'!BP25+'[3]CB-23'!BP25+'[3]CB-24'!BP25+'[4]LCT-1'!BP25+'[4]LCT-2'!BP25+'[4]LCT-3'!BP25+'[4]LCT-4'!BP25+'[4]LCT-5'!BP25+'[4]LCT-6'!BP25+'[4]LCT-7'!BP25+'[4]LCT-8'!BP25+'[5]TB-1'!BP25+'[5]TB-2'!BP25+'[5]TB-3'!BP25+'[5]TB-4'!BP25+'[5]TB-5'!BP25+'[5]TB-6'!BP25+'[5]TB-7'!BP25+'[5]TB-8'!BP25+'[5]TB-9'!BP25+'[5]TB-10'!BP25+'[6]DSV-1'!BP25+'[6]DSV-2'!BP25+'[6]DSV-3'!BP25+'[7]TUB-1'!BP25+'[7]TUB-2'!BP25+'[8]Barge-1'!BP25+'[8]Barge-2'!BP25+'[8]Barge-3'!BP25+'[8]Barge-4'!BP25</f>
        <v>0</v>
      </c>
      <c r="E25" s="161">
        <f>'[2]AHTS-1'!CL25+'[2]AHTS-2'!CL25+'[2]AHTS-3'!CL25+'[2]AHTS-4'!CL25+'[2]AHTS-5'!CL25+'[2]AHTS-6'!CL25+'[2]AHTS-7'!CL25+'[2]AHTS-8'!CL25+'[3]CB-1'!CL25+'[3]CB-2'!CL25+'[3]CB-3'!CL25+'[3]CB-4'!CL25+'[3]CB-5'!CL25+'[3]CB-6'!CL25+'[3]CB-7'!CL25+'[3]CB-8'!CL25+'[3]CB-9'!CL25+'[3]CB-10'!CL25+'[3]CB-11'!CL25+'[3]CB-12'!CL25+'[3]CB-13'!CL25+'[3]CB-14'!CL25+'[3]CB-15'!CL25+'[3]CB-16'!CL25+'[3]CB-17'!CL25+'[3]CB-18'!CL25+'[3]CB-19'!CL25+'[3]CB-20'!CL25+'[3]CB-21'!CL25+'[3]CB-22'!CL25+'[3]CB-23'!CL25+'[3]CB-24'!CL25+'[4]LCT-1'!CL25+'[4]LCT-2'!CL25+'[4]LCT-3'!CL25+'[4]LCT-4'!CL25+'[4]LCT-5'!CL25+'[4]LCT-6'!CL25+'[4]LCT-7'!CL25+'[4]LCT-8'!CL25+'[5]TB-1'!CL25+'[5]TB-2'!CL25+'[5]TB-3'!CL25+'[5]TB-4'!CL25+'[5]TB-5'!CL25+'[5]TB-6'!CL25+'[5]TB-7'!CL25+'[5]TB-8'!CL25+'[5]TB-9'!CL25+'[5]TB-10'!CL25+'[6]DSV-1'!CL25+'[6]DSV-2'!CL25+'[6]DSV-3'!CL25+'[7]TUB-1'!CL25+'[7]TUB-2'!CL25+'[8]Barge-1'!CL25+'[8]Barge-2'!CL25+'[8]Barge-3'!CL25+'[8]Barge-4'!CL25</f>
        <v>0</v>
      </c>
      <c r="F25" s="159">
        <f>'[2]AHTS-1'!AU25+'[2]AHTS-2'!AU25+'[2]AHTS-3'!AU25+'[2]AHTS-4'!AU25+'[2]AHTS-5'!AU25+'[2]AHTS-6'!AU25+'[2]AHTS-7'!AU25+'[2]AHTS-8'!AU25+'[3]CB-1'!AU25+'[3]CB-2'!AU25+'[3]CB-3'!AU25+'[3]CB-4'!AU25+'[3]CB-5'!AU25+'[3]CB-6'!AU25+'[3]CB-7'!AU25+'[3]CB-8'!AU25+'[3]CB-9'!AU25+'[3]CB-10'!AU25+'[3]CB-11'!AU25+'[3]CB-12'!AU25+'[3]CB-13'!AU25+'[3]CB-14'!AU25+'[3]CB-15'!AU25+'[3]CB-16'!AU25+'[3]CB-17'!AU25+'[3]CB-18'!AU25+'[3]CB-19'!AU25+'[3]CB-20'!AU25+'[3]CB-21'!AU25+'[3]CB-22'!AU25+'[3]CB-23'!AU25+'[3]CB-24'!AU25+'[4]LCT-1'!AU25+'[4]LCT-2'!AU25+'[4]LCT-3'!AU25+'[4]LCT-4'!AU25+'[4]LCT-5'!AU25+'[4]LCT-6'!AU25+'[4]LCT-7'!AU25+'[4]LCT-8'!AU25+'[5]TB-1'!AU25+'[5]TB-2'!AU25+'[5]TB-3'!AU25+'[5]TB-4'!AU25+'[5]TB-5'!AU25+'[5]TB-6'!AU25+'[5]TB-7'!AU25+'[5]TB-8'!AU25+'[5]TB-9'!AU25+'[5]TB-10'!AU25+'[6]DSV-1'!AU25+'[6]DSV-2'!AU25+'[6]DSV-3'!AU25+'[7]TUB-1'!AU25+'[7]TUB-2'!AU25+'[8]Barge-1'!AU25+'[8]Barge-2'!AU25+'[8]Barge-3'!AU25+'[8]Barge-4'!AU25</f>
        <v>2695.1018867121861</v>
      </c>
      <c r="G25" s="160">
        <f>'[2]AHTS-1'!BQ25+'[2]AHTS-2'!BQ25+'[2]AHTS-3'!BQ25+'[2]AHTS-4'!BQ25+'[2]AHTS-5'!BQ25+'[2]AHTS-6'!BQ25+'[2]AHTS-7'!BQ25+'[2]AHTS-8'!BQ25+'[3]CB-1'!BQ25+'[3]CB-2'!BQ25+'[3]CB-3'!BQ25+'[3]CB-4'!BQ25+'[3]CB-5'!BQ25+'[3]CB-6'!BQ25+'[3]CB-7'!BQ25+'[3]CB-8'!BQ25+'[3]CB-9'!BQ25+'[3]CB-10'!BQ25+'[3]CB-11'!BQ25+'[3]CB-12'!BQ25+'[3]CB-13'!BQ25+'[3]CB-14'!BQ25+'[3]CB-15'!BQ25+'[3]CB-16'!BQ25+'[3]CB-17'!BQ25+'[3]CB-18'!BQ25+'[3]CB-19'!BQ25+'[3]CB-20'!BQ25+'[3]CB-21'!BQ25+'[3]CB-22'!BQ25+'[3]CB-23'!BQ25+'[3]CB-24'!BQ25+'[4]LCT-1'!BQ25+'[4]LCT-2'!BQ25+'[4]LCT-3'!BQ25+'[4]LCT-4'!BQ25+'[4]LCT-5'!BQ25+'[4]LCT-6'!BQ25+'[4]LCT-7'!BQ25+'[4]LCT-8'!BQ25+'[5]TB-1'!BQ25+'[5]TB-2'!BQ25+'[5]TB-3'!BQ25+'[5]TB-4'!BQ25+'[5]TB-5'!BQ25+'[5]TB-6'!BQ25+'[5]TB-7'!BQ25+'[5]TB-8'!BQ25+'[5]TB-9'!BQ25+'[5]TB-10'!BQ25+'[6]DSV-1'!BQ25+'[6]DSV-2'!BQ25+'[6]DSV-3'!BQ25+'[7]TUB-1'!BQ25+'[7]TUB-2'!BQ25+'[8]Barge-1'!BQ25+'[8]Barge-2'!BQ25+'[8]Barge-3'!BQ25+'[8]Barge-4'!BQ25</f>
        <v>3271.9673281858213</v>
      </c>
      <c r="H25" s="161">
        <f>'[2]AHTS-1'!CM25+'[2]AHTS-2'!CM25+'[2]AHTS-3'!CM25+'[2]AHTS-4'!CM25+'[2]AHTS-5'!CM25+'[2]AHTS-6'!CM25+'[2]AHTS-7'!CM25+'[2]AHTS-8'!CM25+'[3]CB-1'!CM25+'[3]CB-2'!CM25+'[3]CB-3'!CM25+'[3]CB-4'!CM25+'[3]CB-5'!CM25+'[3]CB-6'!CM25+'[3]CB-7'!CM25+'[3]CB-8'!CM25+'[3]CB-9'!CM25+'[3]CB-10'!CM25+'[3]CB-11'!CM25+'[3]CB-12'!CM25+'[3]CB-13'!CM25+'[3]CB-14'!CM25+'[3]CB-15'!CM25+'[3]CB-16'!CM25+'[3]CB-17'!CM25+'[3]CB-18'!CM25+'[3]CB-19'!CM25+'[3]CB-20'!CM25+'[3]CB-21'!CM25+'[3]CB-22'!CM25+'[3]CB-23'!CM25+'[3]CB-24'!CM25+'[4]LCT-1'!CM25+'[4]LCT-2'!CM25+'[4]LCT-3'!CM25+'[4]LCT-4'!CM25+'[4]LCT-5'!CM25+'[4]LCT-6'!CM25+'[4]LCT-7'!CM25+'[4]LCT-8'!CM25+'[5]TB-1'!CM25+'[5]TB-2'!CM25+'[5]TB-3'!CM25+'[5]TB-4'!CM25+'[5]TB-5'!CM25+'[5]TB-6'!CM25+'[5]TB-7'!CM25+'[5]TB-8'!CM25+'[5]TB-9'!CM25+'[5]TB-10'!CM25+'[6]DSV-1'!CM25+'[6]DSV-2'!CM25+'[6]DSV-3'!CM25+'[7]TUB-1'!CM25+'[7]TUB-2'!CM25+'[8]Barge-1'!CM25+'[8]Barge-2'!CM25+'[8]Barge-3'!CM25+'[8]Barge-4'!CM25</f>
        <v>0</v>
      </c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110"/>
      <c r="U25" s="119">
        <f>[1]Control!AZ25</f>
        <v>46000</v>
      </c>
      <c r="V25" s="81"/>
      <c r="W25" s="145">
        <f>'[2]AHTS-1'!IA63+'[2]AHTS-2'!IA63+'[2]AHTS-3'!IA63+'[2]AHTS-4'!IA63+'[2]AHTS-5'!IA63+'[2]AHTS-6'!IA63+'[2]AHTS-7'!IA63+'[2]AHTS-8'!IA63+'[3]CB-1'!IA63+'[3]CB-2'!IA63+'[3]CB-3'!IA63+'[3]CB-4'!IA63+'[3]CB-5'!IA63+'[3]CB-6'!IA63+'[3]CB-7'!IA63+'[3]CB-8'!IA63+'[3]CB-9'!IA63+'[3]CB-10'!IA63+'[3]CB-11'!IA63+'[3]CB-12'!IA63+'[3]CB-13'!IA63+'[3]CB-14'!IA63+'[3]CB-15'!IA63+'[3]CB-16'!IA63+'[3]CB-17'!IA63+'[3]CB-18'!IA63+'[3]CB-19'!IA63+'[3]CB-20'!IA63+'[3]CB-21'!IA63+'[3]CB-22'!IA63+'[3]CB-23'!IA63+'[3]CB-24'!IA63+'[4]LCT-1'!IA63+'[4]LCT-2'!IA63+'[4]LCT-3'!IA63+'[4]LCT-4'!IA63+'[4]LCT-5'!IA63+'[4]LCT-6'!IA63+'[4]LCT-7'!IA63+'[4]LCT-8'!IA63+'[5]TB-1'!IA63+'[5]TB-2'!IA63+'[5]TB-3'!IA63+'[5]TB-4'!IA63+'[5]TB-5'!IA63+'[5]TB-6'!IA63+'[5]TB-7'!IA63+'[5]TB-8'!IA63+'[5]TB-9'!IA63+'[5]TB-10'!IA63+'[6]DSV-1'!IA63+'[6]DSV-2'!IA63+'[6]DSV-3'!IA63+'[7]TUB-1'!IA63+'[7]TUB-2'!IA63+'[8]Barge-1'!IA63+'[8]Barge-2'!IA63+'[8]Barge-3'!IA63+'[8]Barge-4'!IA63</f>
        <v>0</v>
      </c>
      <c r="X25" s="146">
        <f>'[2]AHTS-1'!IA25+'[2]AHTS-2'!IA25+'[2]AHTS-3'!IA25+'[2]AHTS-4'!IA25+'[2]AHTS-5'!IA25+'[2]AHTS-6'!IA25+'[2]AHTS-7'!IA25+'[2]AHTS-8'!IA25+'[3]CB-1'!IA25+'[3]CB-2'!IA25+'[3]CB-3'!IA25+'[3]CB-4'!IA25+'[3]CB-5'!IA25+'[3]CB-6'!IA25+'[3]CB-7'!IA25+'[3]CB-8'!IA25+'[3]CB-9'!IA25+'[3]CB-10'!IA25+'[3]CB-11'!IA25+'[3]CB-12'!IA25+'[3]CB-13'!IA25+'[3]CB-14'!IA25+'[3]CB-15'!IA25+'[3]CB-16'!IA25+'[3]CB-17'!IA25+'[3]CB-18'!IA25+'[3]CB-19'!IA25+'[3]CB-20'!IA25+'[3]CB-21'!IA25+'[3]CB-22'!IA25+'[3]CB-23'!IA25+'[3]CB-24'!IA25+'[4]LCT-1'!IA25+'[4]LCT-2'!IA25+'[4]LCT-3'!IA25+'[4]LCT-4'!IA25+'[4]LCT-5'!IA25+'[4]LCT-6'!IA25+'[4]LCT-7'!IA25+'[4]LCT-8'!IA25+'[5]TB-1'!IA25+'[5]TB-2'!IA25+'[5]TB-3'!IA25+'[5]TB-4'!IA25+'[5]TB-5'!IA25+'[5]TB-6'!IA25+'[5]TB-7'!IA25+'[5]TB-8'!IA25+'[5]TB-9'!IA25+'[5]TB-10'!IA25+'[6]DSV-1'!IA25+'[6]DSV-2'!IA25+'[6]DSV-3'!IA25+'[7]TUB-1'!IA25+'[7]TUB-2'!IA25+'[8]Barge-1'!IA25+'[8]Barge-2'!IA25+'[8]Barge-3'!IA25+'[8]Barge-4'!IA25</f>
        <v>0</v>
      </c>
      <c r="Y25" s="147">
        <f>'[2]AHTS-1'!IA96+'[2]AHTS-2'!IA96+'[2]AHTS-3'!IA96+'[2]AHTS-4'!IA96+'[2]AHTS-5'!IA96+'[2]AHTS-6'!IA96+'[2]AHTS-7'!IA96+'[2]AHTS-8'!IA96+'[3]CB-1'!IA96+'[3]CB-2'!IA96+'[3]CB-3'!IA96+'[3]CB-4'!IA96+'[3]CB-5'!IA96+'[3]CB-6'!IA96+'[3]CB-7'!IA96+'[3]CB-8'!IA96+'[3]CB-9'!IA96+'[3]CB-10'!IA96+'[3]CB-11'!IA96+'[3]CB-12'!IA96+'[3]CB-13'!IA96+'[3]CB-14'!IA96+'[3]CB-15'!IA96+'[3]CB-16'!IA96+'[3]CB-17'!IA96+'[3]CB-18'!IA96+'[3]CB-19'!IA96+'[3]CB-20'!IA96+'[3]CB-21'!IA96+'[3]CB-22'!IA96+'[3]CB-23'!IA96+'[3]CB-24'!IA96+'[4]LCT-1'!IA96+'[4]LCT-2'!IA96+'[4]LCT-3'!IA96+'[4]LCT-4'!IA96+'[4]LCT-5'!IA96+'[4]LCT-6'!IA96+'[4]LCT-7'!IA96+'[4]LCT-8'!IA96+'[5]TB-1'!IA96+'[5]TB-2'!IA96+'[5]TB-3'!IA96+'[5]TB-4'!IA96+'[5]TB-5'!IA96+'[5]TB-6'!IA96+'[5]TB-7'!IA96+'[5]TB-8'!IA96+'[5]TB-9'!IA96+'[5]TB-10'!IA96+'[6]DSV-1'!IA96+'[6]DSV-2'!IA96+'[6]DSV-3'!IA96+'[7]TUB-1'!IA96+'[7]TUB-2'!IA96+'[8]Barge-1'!IA96+'[8]Barge-2'!IA96+'[8]Barge-3'!IA96+'[8]Barge-4'!IA96</f>
        <v>0</v>
      </c>
      <c r="Z25" s="145">
        <f>'[2]AHTS-1'!IB63+'[2]AHTS-2'!IB63+'[2]AHTS-3'!IB63+'[2]AHTS-4'!IB63+'[2]AHTS-5'!IB63+'[2]AHTS-6'!IB63+'[2]AHTS-7'!IB63+'[2]AHTS-8'!IB63+'[3]CB-1'!IB63+'[3]CB-2'!IB63+'[3]CB-3'!IB63+'[3]CB-4'!IB63+'[3]CB-5'!IB63+'[3]CB-6'!IB63+'[3]CB-7'!IB63+'[3]CB-8'!IB63+'[3]CB-9'!IB63+'[3]CB-10'!IB63+'[3]CB-11'!IB63+'[3]CB-12'!IB63+'[3]CB-13'!IB63+'[3]CB-14'!IB63+'[3]CB-15'!IB63+'[3]CB-16'!IB63+'[3]CB-17'!IB63+'[3]CB-18'!IB63+'[3]CB-19'!IB63+'[3]CB-20'!IB63+'[3]CB-21'!IB63+'[3]CB-22'!IB63+'[3]CB-23'!IB63+'[3]CB-24'!IB63+'[4]LCT-1'!IB63+'[4]LCT-2'!IB63+'[4]LCT-3'!IB63+'[4]LCT-4'!IB63+'[4]LCT-5'!IB63+'[4]LCT-6'!IB63+'[4]LCT-7'!IB63+'[4]LCT-8'!IB63+'[5]TB-1'!IB63+'[5]TB-2'!IB63+'[5]TB-3'!IB63+'[5]TB-4'!IB63+'[5]TB-5'!IB63+'[5]TB-6'!IB63+'[5]TB-7'!IB63+'[5]TB-8'!IB63+'[5]TB-9'!IB63+'[5]TB-10'!IB63+'[6]DSV-1'!IB63+'[6]DSV-2'!IB63+'[6]DSV-3'!IB63+'[7]TUB-1'!IB63+'[7]TUB-2'!IB63+'[8]Barge-1'!IB63+'[8]Barge-2'!IB63+'[8]Barge-3'!IB63+'[8]Barge-4'!IB63</f>
        <v>42234941.666666664</v>
      </c>
      <c r="AA25" s="146">
        <f>'[2]AHTS-1'!IB25+'[2]AHTS-2'!IB25+'[2]AHTS-3'!IB25+'[2]AHTS-4'!IB25+'[2]AHTS-5'!IB25+'[2]AHTS-6'!IB25+'[2]AHTS-7'!IB25+'[2]AHTS-8'!IB25+'[3]CB-1'!IB25+'[3]CB-2'!IB25+'[3]CB-3'!IB25+'[3]CB-4'!IB25+'[3]CB-5'!IB25+'[3]CB-6'!IB25+'[3]CB-7'!IB25+'[3]CB-8'!IB25+'[3]CB-9'!IB25+'[3]CB-10'!IB25+'[3]CB-11'!IB25+'[3]CB-12'!IB25+'[3]CB-13'!IB25+'[3]CB-14'!IB25+'[3]CB-15'!IB25+'[3]CB-16'!IB25+'[3]CB-17'!IB25+'[3]CB-18'!IB25+'[3]CB-19'!IB25+'[3]CB-20'!IB25+'[3]CB-21'!IB25+'[3]CB-22'!IB25+'[3]CB-23'!IB25+'[3]CB-24'!IB25+'[4]LCT-1'!IB25+'[4]LCT-2'!IB25+'[4]LCT-3'!IB25+'[4]LCT-4'!IB25+'[4]LCT-5'!IB25+'[4]LCT-6'!IB25+'[4]LCT-7'!IB25+'[4]LCT-8'!IB25+'[5]TB-1'!IB25+'[5]TB-2'!IB25+'[5]TB-3'!IB25+'[5]TB-4'!IB25+'[5]TB-5'!IB25+'[5]TB-6'!IB25+'[5]TB-7'!IB25+'[5]TB-8'!IB25+'[5]TB-9'!IB25+'[5]TB-10'!IB25+'[6]DSV-1'!IB25+'[6]DSV-2'!IB25+'[6]DSV-3'!IB25+'[7]TUB-1'!IB25+'[7]TUB-2'!IB25+'[8]Barge-1'!IB25+'[8]Barge-2'!IB25+'[8]Barge-3'!IB25+'[8]Barge-4'!IB25</f>
        <v>51275000</v>
      </c>
      <c r="AB25" s="147">
        <f>'[2]AHTS-1'!IB96+'[2]AHTS-2'!IB96+'[2]AHTS-3'!IB96+'[2]AHTS-4'!IB96+'[2]AHTS-5'!IB96+'[2]AHTS-6'!IB96+'[2]AHTS-7'!IB96+'[2]AHTS-8'!IB96+'[3]CB-1'!IB96+'[3]CB-2'!IB96+'[3]CB-3'!IB96+'[3]CB-4'!IB96+'[3]CB-5'!IB96+'[3]CB-6'!IB96+'[3]CB-7'!IB96+'[3]CB-8'!IB96+'[3]CB-9'!IB96+'[3]CB-10'!IB96+'[3]CB-11'!IB96+'[3]CB-12'!IB96+'[3]CB-13'!IB96+'[3]CB-14'!IB96+'[3]CB-15'!IB96+'[3]CB-16'!IB96+'[3]CB-17'!IB96+'[3]CB-18'!IB96+'[3]CB-19'!IB96+'[3]CB-20'!IB96+'[3]CB-21'!IB96+'[3]CB-22'!IB96+'[3]CB-23'!IB96+'[3]CB-24'!IB96+'[4]LCT-1'!IB96+'[4]LCT-2'!IB96+'[4]LCT-3'!IB96+'[4]LCT-4'!IB96+'[4]LCT-5'!IB96+'[4]LCT-6'!IB96+'[4]LCT-7'!IB96+'[4]LCT-8'!IB96+'[5]TB-1'!IB96+'[5]TB-2'!IB96+'[5]TB-3'!IB96+'[5]TB-4'!IB96+'[5]TB-5'!IB96+'[5]TB-6'!IB96+'[5]TB-7'!IB96+'[5]TB-8'!IB96+'[5]TB-9'!IB96+'[5]TB-10'!IB96+'[6]DSV-1'!IB96+'[6]DSV-2'!IB96+'[6]DSV-3'!IB96+'[7]TUB-1'!IB96+'[7]TUB-2'!IB96+'[8]Barge-1'!IB96+'[8]Barge-2'!IB96+'[8]Barge-3'!IB96+'[8]Barge-4'!IB96</f>
        <v>0</v>
      </c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</row>
    <row r="26" spans="1:79" s="84" customFormat="1" ht="14.25" customHeight="1" thickBot="1" x14ac:dyDescent="0.3">
      <c r="A26" s="119">
        <f>[1]Control!AZ26</f>
        <v>46001</v>
      </c>
      <c r="B26" s="81"/>
      <c r="C26" s="159">
        <f>'[2]AHTS-1'!AT26+'[2]AHTS-2'!AT26+'[2]AHTS-3'!AT26+'[2]AHTS-4'!AT26+'[2]AHTS-5'!AT26+'[2]AHTS-6'!AT26+'[2]AHTS-7'!AT26+'[2]AHTS-8'!AT26+'[3]CB-1'!AT26+'[3]CB-2'!AT26+'[3]CB-3'!AT26+'[3]CB-4'!AT26+'[3]CB-5'!AT26+'[3]CB-6'!AT26+'[3]CB-7'!AT26+'[3]CB-8'!AT26+'[3]CB-9'!AT26+'[3]CB-10'!AT26+'[3]CB-11'!AT26+'[3]CB-12'!AT26+'[3]CB-13'!AT26+'[3]CB-14'!AT26+'[3]CB-15'!AT26+'[3]CB-16'!AT26+'[3]CB-17'!AT26+'[3]CB-18'!AT26+'[3]CB-19'!AT26+'[3]CB-20'!AT26+'[3]CB-21'!AT26+'[3]CB-22'!AT26+'[3]CB-23'!AT26+'[3]CB-24'!AT26+'[4]LCT-1'!AT26+'[4]LCT-2'!AT26+'[4]LCT-3'!AT26+'[4]LCT-4'!AT26+'[4]LCT-5'!AT26+'[4]LCT-6'!AT26+'[4]LCT-7'!AT26+'[4]LCT-8'!AT26+'[5]TB-1'!AT26+'[5]TB-2'!AT26+'[5]TB-3'!AT26+'[5]TB-4'!AT26+'[5]TB-5'!AT26+'[5]TB-6'!AT26+'[5]TB-7'!AT26+'[5]TB-8'!AT26+'[5]TB-9'!AT26+'[5]TB-10'!AT26+'[6]DSV-1'!AT26+'[6]DSV-2'!AT26+'[6]DSV-3'!AT26+'[7]TUB-1'!AT26+'[7]TUB-2'!AT26+'[8]Barge-1'!AT26+'[8]Barge-2'!AT26+'[8]Barge-3'!AT26+'[8]Barge-4'!AT26</f>
        <v>0</v>
      </c>
      <c r="D26" s="160">
        <f>'[2]AHTS-1'!BP26+'[2]AHTS-2'!BP26+'[2]AHTS-3'!BP26+'[2]AHTS-4'!BP26+'[2]AHTS-5'!BP26+'[2]AHTS-6'!BP26+'[2]AHTS-7'!BP26+'[2]AHTS-8'!BP26+'[3]CB-1'!BP26+'[3]CB-2'!BP26+'[3]CB-3'!BP26+'[3]CB-4'!BP26+'[3]CB-5'!BP26+'[3]CB-6'!BP26+'[3]CB-7'!BP26+'[3]CB-8'!BP26+'[3]CB-9'!BP26+'[3]CB-10'!BP26+'[3]CB-11'!BP26+'[3]CB-12'!BP26+'[3]CB-13'!BP26+'[3]CB-14'!BP26+'[3]CB-15'!BP26+'[3]CB-16'!BP26+'[3]CB-17'!BP26+'[3]CB-18'!BP26+'[3]CB-19'!BP26+'[3]CB-20'!BP26+'[3]CB-21'!BP26+'[3]CB-22'!BP26+'[3]CB-23'!BP26+'[3]CB-24'!BP26+'[4]LCT-1'!BP26+'[4]LCT-2'!BP26+'[4]LCT-3'!BP26+'[4]LCT-4'!BP26+'[4]LCT-5'!BP26+'[4]LCT-6'!BP26+'[4]LCT-7'!BP26+'[4]LCT-8'!BP26+'[5]TB-1'!BP26+'[5]TB-2'!BP26+'[5]TB-3'!BP26+'[5]TB-4'!BP26+'[5]TB-5'!BP26+'[5]TB-6'!BP26+'[5]TB-7'!BP26+'[5]TB-8'!BP26+'[5]TB-9'!BP26+'[5]TB-10'!BP26+'[6]DSV-1'!BP26+'[6]DSV-2'!BP26+'[6]DSV-3'!BP26+'[7]TUB-1'!BP26+'[7]TUB-2'!BP26+'[8]Barge-1'!BP26+'[8]Barge-2'!BP26+'[8]Barge-3'!BP26+'[8]Barge-4'!BP26</f>
        <v>0</v>
      </c>
      <c r="E26" s="161">
        <f>'[2]AHTS-1'!CL26+'[2]AHTS-2'!CL26+'[2]AHTS-3'!CL26+'[2]AHTS-4'!CL26+'[2]AHTS-5'!CL26+'[2]AHTS-6'!CL26+'[2]AHTS-7'!CL26+'[2]AHTS-8'!CL26+'[3]CB-1'!CL26+'[3]CB-2'!CL26+'[3]CB-3'!CL26+'[3]CB-4'!CL26+'[3]CB-5'!CL26+'[3]CB-6'!CL26+'[3]CB-7'!CL26+'[3]CB-8'!CL26+'[3]CB-9'!CL26+'[3]CB-10'!CL26+'[3]CB-11'!CL26+'[3]CB-12'!CL26+'[3]CB-13'!CL26+'[3]CB-14'!CL26+'[3]CB-15'!CL26+'[3]CB-16'!CL26+'[3]CB-17'!CL26+'[3]CB-18'!CL26+'[3]CB-19'!CL26+'[3]CB-20'!CL26+'[3]CB-21'!CL26+'[3]CB-22'!CL26+'[3]CB-23'!CL26+'[3]CB-24'!CL26+'[4]LCT-1'!CL26+'[4]LCT-2'!CL26+'[4]LCT-3'!CL26+'[4]LCT-4'!CL26+'[4]LCT-5'!CL26+'[4]LCT-6'!CL26+'[4]LCT-7'!CL26+'[4]LCT-8'!CL26+'[5]TB-1'!CL26+'[5]TB-2'!CL26+'[5]TB-3'!CL26+'[5]TB-4'!CL26+'[5]TB-5'!CL26+'[5]TB-6'!CL26+'[5]TB-7'!CL26+'[5]TB-8'!CL26+'[5]TB-9'!CL26+'[5]TB-10'!CL26+'[6]DSV-1'!CL26+'[6]DSV-2'!CL26+'[6]DSV-3'!CL26+'[7]TUB-1'!CL26+'[7]TUB-2'!CL26+'[8]Barge-1'!CL26+'[8]Barge-2'!CL26+'[8]Barge-3'!CL26+'[8]Barge-4'!CL26</f>
        <v>0</v>
      </c>
      <c r="F26" s="159">
        <f>'[2]AHTS-1'!AU26+'[2]AHTS-2'!AU26+'[2]AHTS-3'!AU26+'[2]AHTS-4'!AU26+'[2]AHTS-5'!AU26+'[2]AHTS-6'!AU26+'[2]AHTS-7'!AU26+'[2]AHTS-8'!AU26+'[3]CB-1'!AU26+'[3]CB-2'!AU26+'[3]CB-3'!AU26+'[3]CB-4'!AU26+'[3]CB-5'!AU26+'[3]CB-6'!AU26+'[3]CB-7'!AU26+'[3]CB-8'!AU26+'[3]CB-9'!AU26+'[3]CB-10'!AU26+'[3]CB-11'!AU26+'[3]CB-12'!AU26+'[3]CB-13'!AU26+'[3]CB-14'!AU26+'[3]CB-15'!AU26+'[3]CB-16'!AU26+'[3]CB-17'!AU26+'[3]CB-18'!AU26+'[3]CB-19'!AU26+'[3]CB-20'!AU26+'[3]CB-21'!AU26+'[3]CB-22'!AU26+'[3]CB-23'!AU26+'[3]CB-24'!AU26+'[4]LCT-1'!AU26+'[4]LCT-2'!AU26+'[4]LCT-3'!AU26+'[4]LCT-4'!AU26+'[4]LCT-5'!AU26+'[4]LCT-6'!AU26+'[4]LCT-7'!AU26+'[4]LCT-8'!AU26+'[5]TB-1'!AU26+'[5]TB-2'!AU26+'[5]TB-3'!AU26+'[5]TB-4'!AU26+'[5]TB-5'!AU26+'[5]TB-6'!AU26+'[5]TB-7'!AU26+'[5]TB-8'!AU26+'[5]TB-9'!AU26+'[5]TB-10'!AU26+'[6]DSV-1'!AU26+'[6]DSV-2'!AU26+'[6]DSV-3'!AU26+'[7]TUB-1'!AU26+'[7]TUB-2'!AU26+'[8]Barge-1'!AU26+'[8]Barge-2'!AU26+'[8]Barge-3'!AU26+'[8]Barge-4'!AU26</f>
        <v>4113.2466020037009</v>
      </c>
      <c r="G26" s="160">
        <f>'[2]AHTS-1'!BQ26+'[2]AHTS-2'!BQ26+'[2]AHTS-3'!BQ26+'[2]AHTS-4'!BQ26+'[2]AHTS-5'!BQ26+'[2]AHTS-6'!BQ26+'[2]AHTS-7'!BQ26+'[2]AHTS-8'!BQ26+'[3]CB-1'!BQ26+'[3]CB-2'!BQ26+'[3]CB-3'!BQ26+'[3]CB-4'!BQ26+'[3]CB-5'!BQ26+'[3]CB-6'!BQ26+'[3]CB-7'!BQ26+'[3]CB-8'!BQ26+'[3]CB-9'!BQ26+'[3]CB-10'!BQ26+'[3]CB-11'!BQ26+'[3]CB-12'!BQ26+'[3]CB-13'!BQ26+'[3]CB-14'!BQ26+'[3]CB-15'!BQ26+'[3]CB-16'!BQ26+'[3]CB-17'!BQ26+'[3]CB-18'!BQ26+'[3]CB-19'!BQ26+'[3]CB-20'!BQ26+'[3]CB-21'!BQ26+'[3]CB-22'!BQ26+'[3]CB-23'!BQ26+'[3]CB-24'!BQ26+'[4]LCT-1'!BQ26+'[4]LCT-2'!BQ26+'[4]LCT-3'!BQ26+'[4]LCT-4'!BQ26+'[4]LCT-5'!BQ26+'[4]LCT-6'!BQ26+'[4]LCT-7'!BQ26+'[4]LCT-8'!BQ26+'[5]TB-1'!BQ26+'[5]TB-2'!BQ26+'[5]TB-3'!BQ26+'[5]TB-4'!BQ26+'[5]TB-5'!BQ26+'[5]TB-6'!BQ26+'[5]TB-7'!BQ26+'[5]TB-8'!BQ26+'[5]TB-9'!BQ26+'[5]TB-10'!BQ26+'[6]DSV-1'!BQ26+'[6]DSV-2'!BQ26+'[6]DSV-3'!BQ26+'[7]TUB-1'!BQ26+'[7]TUB-2'!BQ26+'[8]Barge-1'!BQ26+'[8]Barge-2'!BQ26+'[8]Barge-3'!BQ26+'[8]Barge-4'!BQ26</f>
        <v>3120.413502648204</v>
      </c>
      <c r="H26" s="161">
        <f>'[2]AHTS-1'!CM26+'[2]AHTS-2'!CM26+'[2]AHTS-3'!CM26+'[2]AHTS-4'!CM26+'[2]AHTS-5'!CM26+'[2]AHTS-6'!CM26+'[2]AHTS-7'!CM26+'[2]AHTS-8'!CM26+'[3]CB-1'!CM26+'[3]CB-2'!CM26+'[3]CB-3'!CM26+'[3]CB-4'!CM26+'[3]CB-5'!CM26+'[3]CB-6'!CM26+'[3]CB-7'!CM26+'[3]CB-8'!CM26+'[3]CB-9'!CM26+'[3]CB-10'!CM26+'[3]CB-11'!CM26+'[3]CB-12'!CM26+'[3]CB-13'!CM26+'[3]CB-14'!CM26+'[3]CB-15'!CM26+'[3]CB-16'!CM26+'[3]CB-17'!CM26+'[3]CB-18'!CM26+'[3]CB-19'!CM26+'[3]CB-20'!CM26+'[3]CB-21'!CM26+'[3]CB-22'!CM26+'[3]CB-23'!CM26+'[3]CB-24'!CM26+'[4]LCT-1'!CM26+'[4]LCT-2'!CM26+'[4]LCT-3'!CM26+'[4]LCT-4'!CM26+'[4]LCT-5'!CM26+'[4]LCT-6'!CM26+'[4]LCT-7'!CM26+'[4]LCT-8'!CM26+'[5]TB-1'!CM26+'[5]TB-2'!CM26+'[5]TB-3'!CM26+'[5]TB-4'!CM26+'[5]TB-5'!CM26+'[5]TB-6'!CM26+'[5]TB-7'!CM26+'[5]TB-8'!CM26+'[5]TB-9'!CM26+'[5]TB-10'!CM26+'[6]DSV-1'!CM26+'[6]DSV-2'!CM26+'[6]DSV-3'!CM26+'[7]TUB-1'!CM26+'[7]TUB-2'!CM26+'[8]Barge-1'!CM26+'[8]Barge-2'!CM26+'[8]Barge-3'!CM26+'[8]Barge-4'!CM26</f>
        <v>0</v>
      </c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110"/>
      <c r="U26" s="119">
        <f>[1]Control!AZ26</f>
        <v>46001</v>
      </c>
      <c r="V26" s="81"/>
      <c r="W26" s="145">
        <f>'[2]AHTS-1'!IA64+'[2]AHTS-2'!IA64+'[2]AHTS-3'!IA64+'[2]AHTS-4'!IA64+'[2]AHTS-5'!IA64+'[2]AHTS-6'!IA64+'[2]AHTS-7'!IA64+'[2]AHTS-8'!IA64+'[3]CB-1'!IA64+'[3]CB-2'!IA64+'[3]CB-3'!IA64+'[3]CB-4'!IA64+'[3]CB-5'!IA64+'[3]CB-6'!IA64+'[3]CB-7'!IA64+'[3]CB-8'!IA64+'[3]CB-9'!IA64+'[3]CB-10'!IA64+'[3]CB-11'!IA64+'[3]CB-12'!IA64+'[3]CB-13'!IA64+'[3]CB-14'!IA64+'[3]CB-15'!IA64+'[3]CB-16'!IA64+'[3]CB-17'!IA64+'[3]CB-18'!IA64+'[3]CB-19'!IA64+'[3]CB-20'!IA64+'[3]CB-21'!IA64+'[3]CB-22'!IA64+'[3]CB-23'!IA64+'[3]CB-24'!IA64+'[4]LCT-1'!IA64+'[4]LCT-2'!IA64+'[4]LCT-3'!IA64+'[4]LCT-4'!IA64+'[4]LCT-5'!IA64+'[4]LCT-6'!IA64+'[4]LCT-7'!IA64+'[4]LCT-8'!IA64+'[5]TB-1'!IA64+'[5]TB-2'!IA64+'[5]TB-3'!IA64+'[5]TB-4'!IA64+'[5]TB-5'!IA64+'[5]TB-6'!IA64+'[5]TB-7'!IA64+'[5]TB-8'!IA64+'[5]TB-9'!IA64+'[5]TB-10'!IA64+'[6]DSV-1'!IA64+'[6]DSV-2'!IA64+'[6]DSV-3'!IA64+'[7]TUB-1'!IA64+'[7]TUB-2'!IA64+'[8]Barge-1'!IA64+'[8]Barge-2'!IA64+'[8]Barge-3'!IA64+'[8]Barge-4'!IA64</f>
        <v>0</v>
      </c>
      <c r="X26" s="146">
        <f>'[2]AHTS-1'!IA26+'[2]AHTS-2'!IA26+'[2]AHTS-3'!IA26+'[2]AHTS-4'!IA26+'[2]AHTS-5'!IA26+'[2]AHTS-6'!IA26+'[2]AHTS-7'!IA26+'[2]AHTS-8'!IA26+'[3]CB-1'!IA26+'[3]CB-2'!IA26+'[3]CB-3'!IA26+'[3]CB-4'!IA26+'[3]CB-5'!IA26+'[3]CB-6'!IA26+'[3]CB-7'!IA26+'[3]CB-8'!IA26+'[3]CB-9'!IA26+'[3]CB-10'!IA26+'[3]CB-11'!IA26+'[3]CB-12'!IA26+'[3]CB-13'!IA26+'[3]CB-14'!IA26+'[3]CB-15'!IA26+'[3]CB-16'!IA26+'[3]CB-17'!IA26+'[3]CB-18'!IA26+'[3]CB-19'!IA26+'[3]CB-20'!IA26+'[3]CB-21'!IA26+'[3]CB-22'!IA26+'[3]CB-23'!IA26+'[3]CB-24'!IA26+'[4]LCT-1'!IA26+'[4]LCT-2'!IA26+'[4]LCT-3'!IA26+'[4]LCT-4'!IA26+'[4]LCT-5'!IA26+'[4]LCT-6'!IA26+'[4]LCT-7'!IA26+'[4]LCT-8'!IA26+'[5]TB-1'!IA26+'[5]TB-2'!IA26+'[5]TB-3'!IA26+'[5]TB-4'!IA26+'[5]TB-5'!IA26+'[5]TB-6'!IA26+'[5]TB-7'!IA26+'[5]TB-8'!IA26+'[5]TB-9'!IA26+'[5]TB-10'!IA26+'[6]DSV-1'!IA26+'[6]DSV-2'!IA26+'[6]DSV-3'!IA26+'[7]TUB-1'!IA26+'[7]TUB-2'!IA26+'[8]Barge-1'!IA26+'[8]Barge-2'!IA26+'[8]Barge-3'!IA26+'[8]Barge-4'!IA26</f>
        <v>0</v>
      </c>
      <c r="Y26" s="147">
        <f>'[2]AHTS-1'!IA97+'[2]AHTS-2'!IA97+'[2]AHTS-3'!IA97+'[2]AHTS-4'!IA97+'[2]AHTS-5'!IA97+'[2]AHTS-6'!IA97+'[2]AHTS-7'!IA97+'[2]AHTS-8'!IA97+'[3]CB-1'!IA97+'[3]CB-2'!IA97+'[3]CB-3'!IA97+'[3]CB-4'!IA97+'[3]CB-5'!IA97+'[3]CB-6'!IA97+'[3]CB-7'!IA97+'[3]CB-8'!IA97+'[3]CB-9'!IA97+'[3]CB-10'!IA97+'[3]CB-11'!IA97+'[3]CB-12'!IA97+'[3]CB-13'!IA97+'[3]CB-14'!IA97+'[3]CB-15'!IA97+'[3]CB-16'!IA97+'[3]CB-17'!IA97+'[3]CB-18'!IA97+'[3]CB-19'!IA97+'[3]CB-20'!IA97+'[3]CB-21'!IA97+'[3]CB-22'!IA97+'[3]CB-23'!IA97+'[3]CB-24'!IA97+'[4]LCT-1'!IA97+'[4]LCT-2'!IA97+'[4]LCT-3'!IA97+'[4]LCT-4'!IA97+'[4]LCT-5'!IA97+'[4]LCT-6'!IA97+'[4]LCT-7'!IA97+'[4]LCT-8'!IA97+'[5]TB-1'!IA97+'[5]TB-2'!IA97+'[5]TB-3'!IA97+'[5]TB-4'!IA97+'[5]TB-5'!IA97+'[5]TB-6'!IA97+'[5]TB-7'!IA97+'[5]TB-8'!IA97+'[5]TB-9'!IA97+'[5]TB-10'!IA97+'[6]DSV-1'!IA97+'[6]DSV-2'!IA97+'[6]DSV-3'!IA97+'[7]TUB-1'!IA97+'[7]TUB-2'!IA97+'[8]Barge-1'!IA97+'[8]Barge-2'!IA97+'[8]Barge-3'!IA97+'[8]Barge-4'!IA97</f>
        <v>0</v>
      </c>
      <c r="Z26" s="145">
        <f>'[2]AHTS-1'!IB64+'[2]AHTS-2'!IB64+'[2]AHTS-3'!IB64+'[2]AHTS-4'!IB64+'[2]AHTS-5'!IB64+'[2]AHTS-6'!IB64+'[2]AHTS-7'!IB64+'[2]AHTS-8'!IB64+'[3]CB-1'!IB64+'[3]CB-2'!IB64+'[3]CB-3'!IB64+'[3]CB-4'!IB64+'[3]CB-5'!IB64+'[3]CB-6'!IB64+'[3]CB-7'!IB64+'[3]CB-8'!IB64+'[3]CB-9'!IB64+'[3]CB-10'!IB64+'[3]CB-11'!IB64+'[3]CB-12'!IB64+'[3]CB-13'!IB64+'[3]CB-14'!IB64+'[3]CB-15'!IB64+'[3]CB-16'!IB64+'[3]CB-17'!IB64+'[3]CB-18'!IB64+'[3]CB-19'!IB64+'[3]CB-20'!IB64+'[3]CB-21'!IB64+'[3]CB-22'!IB64+'[3]CB-23'!IB64+'[3]CB-24'!IB64+'[4]LCT-1'!IB64+'[4]LCT-2'!IB64+'[4]LCT-3'!IB64+'[4]LCT-4'!IB64+'[4]LCT-5'!IB64+'[4]LCT-6'!IB64+'[4]LCT-7'!IB64+'[4]LCT-8'!IB64+'[5]TB-1'!IB64+'[5]TB-2'!IB64+'[5]TB-3'!IB64+'[5]TB-4'!IB64+'[5]TB-5'!IB64+'[5]TB-6'!IB64+'[5]TB-7'!IB64+'[5]TB-8'!IB64+'[5]TB-9'!IB64+'[5]TB-10'!IB64+'[6]DSV-1'!IB64+'[6]DSV-2'!IB64+'[6]DSV-3'!IB64+'[7]TUB-1'!IB64+'[7]TUB-2'!IB64+'[8]Barge-1'!IB64+'[8]Barge-2'!IB64+'[8]Barge-3'!IB64+'[8]Barge-4'!IB64</f>
        <v>64458687.5</v>
      </c>
      <c r="AA26" s="146">
        <f>'[2]AHTS-1'!IB26+'[2]AHTS-2'!IB26+'[2]AHTS-3'!IB26+'[2]AHTS-4'!IB26+'[2]AHTS-5'!IB26+'[2]AHTS-6'!IB26+'[2]AHTS-7'!IB26+'[2]AHTS-8'!IB26+'[3]CB-1'!IB26+'[3]CB-2'!IB26+'[3]CB-3'!IB26+'[3]CB-4'!IB26+'[3]CB-5'!IB26+'[3]CB-6'!IB26+'[3]CB-7'!IB26+'[3]CB-8'!IB26+'[3]CB-9'!IB26+'[3]CB-10'!IB26+'[3]CB-11'!IB26+'[3]CB-12'!IB26+'[3]CB-13'!IB26+'[3]CB-14'!IB26+'[3]CB-15'!IB26+'[3]CB-16'!IB26+'[3]CB-17'!IB26+'[3]CB-18'!IB26+'[3]CB-19'!IB26+'[3]CB-20'!IB26+'[3]CB-21'!IB26+'[3]CB-22'!IB26+'[3]CB-23'!IB26+'[3]CB-24'!IB26+'[4]LCT-1'!IB26+'[4]LCT-2'!IB26+'[4]LCT-3'!IB26+'[4]LCT-4'!IB26+'[4]LCT-5'!IB26+'[4]LCT-6'!IB26+'[4]LCT-7'!IB26+'[4]LCT-8'!IB26+'[5]TB-1'!IB26+'[5]TB-2'!IB26+'[5]TB-3'!IB26+'[5]TB-4'!IB26+'[5]TB-5'!IB26+'[5]TB-6'!IB26+'[5]TB-7'!IB26+'[5]TB-8'!IB26+'[5]TB-9'!IB26+'[5]TB-10'!IB26+'[6]DSV-1'!IB26+'[6]DSV-2'!IB26+'[6]DSV-3'!IB26+'[7]TUB-1'!IB26+'[7]TUB-2'!IB26+'[8]Barge-1'!IB26+'[8]Barge-2'!IB26+'[8]Barge-3'!IB26+'[8]Barge-4'!IB26</f>
        <v>48900000</v>
      </c>
      <c r="AB26" s="147">
        <f>'[2]AHTS-1'!IB97+'[2]AHTS-2'!IB97+'[2]AHTS-3'!IB97+'[2]AHTS-4'!IB97+'[2]AHTS-5'!IB97+'[2]AHTS-6'!IB97+'[2]AHTS-7'!IB97+'[2]AHTS-8'!IB97+'[3]CB-1'!IB97+'[3]CB-2'!IB97+'[3]CB-3'!IB97+'[3]CB-4'!IB97+'[3]CB-5'!IB97+'[3]CB-6'!IB97+'[3]CB-7'!IB97+'[3]CB-8'!IB97+'[3]CB-9'!IB97+'[3]CB-10'!IB97+'[3]CB-11'!IB97+'[3]CB-12'!IB97+'[3]CB-13'!IB97+'[3]CB-14'!IB97+'[3]CB-15'!IB97+'[3]CB-16'!IB97+'[3]CB-17'!IB97+'[3]CB-18'!IB97+'[3]CB-19'!IB97+'[3]CB-20'!IB97+'[3]CB-21'!IB97+'[3]CB-22'!IB97+'[3]CB-23'!IB97+'[3]CB-24'!IB97+'[4]LCT-1'!IB97+'[4]LCT-2'!IB97+'[4]LCT-3'!IB97+'[4]LCT-4'!IB97+'[4]LCT-5'!IB97+'[4]LCT-6'!IB97+'[4]LCT-7'!IB97+'[4]LCT-8'!IB97+'[5]TB-1'!IB97+'[5]TB-2'!IB97+'[5]TB-3'!IB97+'[5]TB-4'!IB97+'[5]TB-5'!IB97+'[5]TB-6'!IB97+'[5]TB-7'!IB97+'[5]TB-8'!IB97+'[5]TB-9'!IB97+'[5]TB-10'!IB97+'[6]DSV-1'!IB97+'[6]DSV-2'!IB97+'[6]DSV-3'!IB97+'[7]TUB-1'!IB97+'[7]TUB-2'!IB97+'[8]Barge-1'!IB97+'[8]Barge-2'!IB97+'[8]Barge-3'!IB97+'[8]Barge-4'!IB97</f>
        <v>0</v>
      </c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</row>
    <row r="27" spans="1:79" s="84" customFormat="1" ht="14.25" customHeight="1" thickBot="1" x14ac:dyDescent="0.3">
      <c r="A27" s="119">
        <f>[1]Control!AZ27</f>
        <v>46002</v>
      </c>
      <c r="B27" s="81"/>
      <c r="C27" s="159">
        <f>'[2]AHTS-1'!AT27+'[2]AHTS-2'!AT27+'[2]AHTS-3'!AT27+'[2]AHTS-4'!AT27+'[2]AHTS-5'!AT27+'[2]AHTS-6'!AT27+'[2]AHTS-7'!AT27+'[2]AHTS-8'!AT27+'[3]CB-1'!AT27+'[3]CB-2'!AT27+'[3]CB-3'!AT27+'[3]CB-4'!AT27+'[3]CB-5'!AT27+'[3]CB-6'!AT27+'[3]CB-7'!AT27+'[3]CB-8'!AT27+'[3]CB-9'!AT27+'[3]CB-10'!AT27+'[3]CB-11'!AT27+'[3]CB-12'!AT27+'[3]CB-13'!AT27+'[3]CB-14'!AT27+'[3]CB-15'!AT27+'[3]CB-16'!AT27+'[3]CB-17'!AT27+'[3]CB-18'!AT27+'[3]CB-19'!AT27+'[3]CB-20'!AT27+'[3]CB-21'!AT27+'[3]CB-22'!AT27+'[3]CB-23'!AT27+'[3]CB-24'!AT27+'[4]LCT-1'!AT27+'[4]LCT-2'!AT27+'[4]LCT-3'!AT27+'[4]LCT-4'!AT27+'[4]LCT-5'!AT27+'[4]LCT-6'!AT27+'[4]LCT-7'!AT27+'[4]LCT-8'!AT27+'[5]TB-1'!AT27+'[5]TB-2'!AT27+'[5]TB-3'!AT27+'[5]TB-4'!AT27+'[5]TB-5'!AT27+'[5]TB-6'!AT27+'[5]TB-7'!AT27+'[5]TB-8'!AT27+'[5]TB-9'!AT27+'[5]TB-10'!AT27+'[6]DSV-1'!AT27+'[6]DSV-2'!AT27+'[6]DSV-3'!AT27+'[7]TUB-1'!AT27+'[7]TUB-2'!AT27+'[8]Barge-1'!AT27+'[8]Barge-2'!AT27+'[8]Barge-3'!AT27+'[8]Barge-4'!AT27</f>
        <v>0</v>
      </c>
      <c r="D27" s="160">
        <f>'[2]AHTS-1'!BP27+'[2]AHTS-2'!BP27+'[2]AHTS-3'!BP27+'[2]AHTS-4'!BP27+'[2]AHTS-5'!BP27+'[2]AHTS-6'!BP27+'[2]AHTS-7'!BP27+'[2]AHTS-8'!BP27+'[3]CB-1'!BP27+'[3]CB-2'!BP27+'[3]CB-3'!BP27+'[3]CB-4'!BP27+'[3]CB-5'!BP27+'[3]CB-6'!BP27+'[3]CB-7'!BP27+'[3]CB-8'!BP27+'[3]CB-9'!BP27+'[3]CB-10'!BP27+'[3]CB-11'!BP27+'[3]CB-12'!BP27+'[3]CB-13'!BP27+'[3]CB-14'!BP27+'[3]CB-15'!BP27+'[3]CB-16'!BP27+'[3]CB-17'!BP27+'[3]CB-18'!BP27+'[3]CB-19'!BP27+'[3]CB-20'!BP27+'[3]CB-21'!BP27+'[3]CB-22'!BP27+'[3]CB-23'!BP27+'[3]CB-24'!BP27+'[4]LCT-1'!BP27+'[4]LCT-2'!BP27+'[4]LCT-3'!BP27+'[4]LCT-4'!BP27+'[4]LCT-5'!BP27+'[4]LCT-6'!BP27+'[4]LCT-7'!BP27+'[4]LCT-8'!BP27+'[5]TB-1'!BP27+'[5]TB-2'!BP27+'[5]TB-3'!BP27+'[5]TB-4'!BP27+'[5]TB-5'!BP27+'[5]TB-6'!BP27+'[5]TB-7'!BP27+'[5]TB-8'!BP27+'[5]TB-9'!BP27+'[5]TB-10'!BP27+'[6]DSV-1'!BP27+'[6]DSV-2'!BP27+'[6]DSV-3'!BP27+'[7]TUB-1'!BP27+'[7]TUB-2'!BP27+'[8]Barge-1'!BP27+'[8]Barge-2'!BP27+'[8]Barge-3'!BP27+'[8]Barge-4'!BP27</f>
        <v>0</v>
      </c>
      <c r="E27" s="161">
        <f>'[2]AHTS-1'!CL27+'[2]AHTS-2'!CL27+'[2]AHTS-3'!CL27+'[2]AHTS-4'!CL27+'[2]AHTS-5'!CL27+'[2]AHTS-6'!CL27+'[2]AHTS-7'!CL27+'[2]AHTS-8'!CL27+'[3]CB-1'!CL27+'[3]CB-2'!CL27+'[3]CB-3'!CL27+'[3]CB-4'!CL27+'[3]CB-5'!CL27+'[3]CB-6'!CL27+'[3]CB-7'!CL27+'[3]CB-8'!CL27+'[3]CB-9'!CL27+'[3]CB-10'!CL27+'[3]CB-11'!CL27+'[3]CB-12'!CL27+'[3]CB-13'!CL27+'[3]CB-14'!CL27+'[3]CB-15'!CL27+'[3]CB-16'!CL27+'[3]CB-17'!CL27+'[3]CB-18'!CL27+'[3]CB-19'!CL27+'[3]CB-20'!CL27+'[3]CB-21'!CL27+'[3]CB-22'!CL27+'[3]CB-23'!CL27+'[3]CB-24'!CL27+'[4]LCT-1'!CL27+'[4]LCT-2'!CL27+'[4]LCT-3'!CL27+'[4]LCT-4'!CL27+'[4]LCT-5'!CL27+'[4]LCT-6'!CL27+'[4]LCT-7'!CL27+'[4]LCT-8'!CL27+'[5]TB-1'!CL27+'[5]TB-2'!CL27+'[5]TB-3'!CL27+'[5]TB-4'!CL27+'[5]TB-5'!CL27+'[5]TB-6'!CL27+'[5]TB-7'!CL27+'[5]TB-8'!CL27+'[5]TB-9'!CL27+'[5]TB-10'!CL27+'[6]DSV-1'!CL27+'[6]DSV-2'!CL27+'[6]DSV-3'!CL27+'[7]TUB-1'!CL27+'[7]TUB-2'!CL27+'[8]Barge-1'!CL27+'[8]Barge-2'!CL27+'[8]Barge-3'!CL27+'[8]Barge-4'!CL27</f>
        <v>0</v>
      </c>
      <c r="F27" s="159">
        <f>'[2]AHTS-1'!AU27+'[2]AHTS-2'!AU27+'[2]AHTS-3'!AU27+'[2]AHTS-4'!AU27+'[2]AHTS-5'!AU27+'[2]AHTS-6'!AU27+'[2]AHTS-7'!AU27+'[2]AHTS-8'!AU27+'[3]CB-1'!AU27+'[3]CB-2'!AU27+'[3]CB-3'!AU27+'[3]CB-4'!AU27+'[3]CB-5'!AU27+'[3]CB-6'!AU27+'[3]CB-7'!AU27+'[3]CB-8'!AU27+'[3]CB-9'!AU27+'[3]CB-10'!AU27+'[3]CB-11'!AU27+'[3]CB-12'!AU27+'[3]CB-13'!AU27+'[3]CB-14'!AU27+'[3]CB-15'!AU27+'[3]CB-16'!AU27+'[3]CB-17'!AU27+'[3]CB-18'!AU27+'[3]CB-19'!AU27+'[3]CB-20'!AU27+'[3]CB-21'!AU27+'[3]CB-22'!AU27+'[3]CB-23'!AU27+'[3]CB-24'!AU27+'[4]LCT-1'!AU27+'[4]LCT-2'!AU27+'[4]LCT-3'!AU27+'[4]LCT-4'!AU27+'[4]LCT-5'!AU27+'[4]LCT-6'!AU27+'[4]LCT-7'!AU27+'[4]LCT-8'!AU27+'[5]TB-1'!AU27+'[5]TB-2'!AU27+'[5]TB-3'!AU27+'[5]TB-4'!AU27+'[5]TB-5'!AU27+'[5]TB-6'!AU27+'[5]TB-7'!AU27+'[5]TB-8'!AU27+'[5]TB-9'!AU27+'[5]TB-10'!AU27+'[6]DSV-1'!AU27+'[6]DSV-2'!AU27+'[6]DSV-3'!AU27+'[7]TUB-1'!AU27+'[7]TUB-2'!AU27+'[8]Barge-1'!AU27+'[8]Barge-2'!AU27+'[8]Barge-3'!AU27+'[8]Barge-4'!AU27</f>
        <v>3835.766702826877</v>
      </c>
      <c r="G27" s="160">
        <f>'[2]AHTS-1'!BQ27+'[2]AHTS-2'!BQ27+'[2]AHTS-3'!BQ27+'[2]AHTS-4'!BQ27+'[2]AHTS-5'!BQ27+'[2]AHTS-6'!BQ27+'[2]AHTS-7'!BQ27+'[2]AHTS-8'!BQ27+'[3]CB-1'!BQ27+'[3]CB-2'!BQ27+'[3]CB-3'!BQ27+'[3]CB-4'!BQ27+'[3]CB-5'!BQ27+'[3]CB-6'!BQ27+'[3]CB-7'!BQ27+'[3]CB-8'!BQ27+'[3]CB-9'!BQ27+'[3]CB-10'!BQ27+'[3]CB-11'!BQ27+'[3]CB-12'!BQ27+'[3]CB-13'!BQ27+'[3]CB-14'!BQ27+'[3]CB-15'!BQ27+'[3]CB-16'!BQ27+'[3]CB-17'!BQ27+'[3]CB-18'!BQ27+'[3]CB-19'!BQ27+'[3]CB-20'!BQ27+'[3]CB-21'!BQ27+'[3]CB-22'!BQ27+'[3]CB-23'!BQ27+'[3]CB-24'!BQ27+'[4]LCT-1'!BQ27+'[4]LCT-2'!BQ27+'[4]LCT-3'!BQ27+'[4]LCT-4'!BQ27+'[4]LCT-5'!BQ27+'[4]LCT-6'!BQ27+'[4]LCT-7'!BQ27+'[4]LCT-8'!BQ27+'[5]TB-1'!BQ27+'[5]TB-2'!BQ27+'[5]TB-3'!BQ27+'[5]TB-4'!BQ27+'[5]TB-5'!BQ27+'[5]TB-6'!BQ27+'[5]TB-7'!BQ27+'[5]TB-8'!BQ27+'[5]TB-9'!BQ27+'[5]TB-10'!BQ27+'[6]DSV-1'!BQ27+'[6]DSV-2'!BQ27+'[6]DSV-3'!BQ27+'[7]TUB-1'!BQ27+'[7]TUB-2'!BQ27+'[8]Barge-1'!BQ27+'[8]Barge-2'!BQ27+'[8]Barge-3'!BQ27+'[8]Barge-4'!BQ27</f>
        <v>3191.1386212324251</v>
      </c>
      <c r="H27" s="161">
        <f>'[2]AHTS-1'!CM27+'[2]AHTS-2'!CM27+'[2]AHTS-3'!CM27+'[2]AHTS-4'!CM27+'[2]AHTS-5'!CM27+'[2]AHTS-6'!CM27+'[2]AHTS-7'!CM27+'[2]AHTS-8'!CM27+'[3]CB-1'!CM27+'[3]CB-2'!CM27+'[3]CB-3'!CM27+'[3]CB-4'!CM27+'[3]CB-5'!CM27+'[3]CB-6'!CM27+'[3]CB-7'!CM27+'[3]CB-8'!CM27+'[3]CB-9'!CM27+'[3]CB-10'!CM27+'[3]CB-11'!CM27+'[3]CB-12'!CM27+'[3]CB-13'!CM27+'[3]CB-14'!CM27+'[3]CB-15'!CM27+'[3]CB-16'!CM27+'[3]CB-17'!CM27+'[3]CB-18'!CM27+'[3]CB-19'!CM27+'[3]CB-20'!CM27+'[3]CB-21'!CM27+'[3]CB-22'!CM27+'[3]CB-23'!CM27+'[3]CB-24'!CM27+'[4]LCT-1'!CM27+'[4]LCT-2'!CM27+'[4]LCT-3'!CM27+'[4]LCT-4'!CM27+'[4]LCT-5'!CM27+'[4]LCT-6'!CM27+'[4]LCT-7'!CM27+'[4]LCT-8'!CM27+'[5]TB-1'!CM27+'[5]TB-2'!CM27+'[5]TB-3'!CM27+'[5]TB-4'!CM27+'[5]TB-5'!CM27+'[5]TB-6'!CM27+'[5]TB-7'!CM27+'[5]TB-8'!CM27+'[5]TB-9'!CM27+'[5]TB-10'!CM27+'[6]DSV-1'!CM27+'[6]DSV-2'!CM27+'[6]DSV-3'!CM27+'[7]TUB-1'!CM27+'[7]TUB-2'!CM27+'[8]Barge-1'!CM27+'[8]Barge-2'!CM27+'[8]Barge-3'!CM27+'[8]Barge-4'!CM27</f>
        <v>0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110"/>
      <c r="U27" s="119">
        <f>[1]Control!AZ27</f>
        <v>46002</v>
      </c>
      <c r="V27" s="81"/>
      <c r="W27" s="145">
        <f>'[2]AHTS-1'!IA65+'[2]AHTS-2'!IA65+'[2]AHTS-3'!IA65+'[2]AHTS-4'!IA65+'[2]AHTS-5'!IA65+'[2]AHTS-6'!IA65+'[2]AHTS-7'!IA65+'[2]AHTS-8'!IA65+'[3]CB-1'!IA65+'[3]CB-2'!IA65+'[3]CB-3'!IA65+'[3]CB-4'!IA65+'[3]CB-5'!IA65+'[3]CB-6'!IA65+'[3]CB-7'!IA65+'[3]CB-8'!IA65+'[3]CB-9'!IA65+'[3]CB-10'!IA65+'[3]CB-11'!IA65+'[3]CB-12'!IA65+'[3]CB-13'!IA65+'[3]CB-14'!IA65+'[3]CB-15'!IA65+'[3]CB-16'!IA65+'[3]CB-17'!IA65+'[3]CB-18'!IA65+'[3]CB-19'!IA65+'[3]CB-20'!IA65+'[3]CB-21'!IA65+'[3]CB-22'!IA65+'[3]CB-23'!IA65+'[3]CB-24'!IA65+'[4]LCT-1'!IA65+'[4]LCT-2'!IA65+'[4]LCT-3'!IA65+'[4]LCT-4'!IA65+'[4]LCT-5'!IA65+'[4]LCT-6'!IA65+'[4]LCT-7'!IA65+'[4]LCT-8'!IA65+'[5]TB-1'!IA65+'[5]TB-2'!IA65+'[5]TB-3'!IA65+'[5]TB-4'!IA65+'[5]TB-5'!IA65+'[5]TB-6'!IA65+'[5]TB-7'!IA65+'[5]TB-8'!IA65+'[5]TB-9'!IA65+'[5]TB-10'!IA65+'[6]DSV-1'!IA65+'[6]DSV-2'!IA65+'[6]DSV-3'!IA65+'[7]TUB-1'!IA65+'[7]TUB-2'!IA65+'[8]Barge-1'!IA65+'[8]Barge-2'!IA65+'[8]Barge-3'!IA65+'[8]Barge-4'!IA65</f>
        <v>0</v>
      </c>
      <c r="X27" s="146">
        <f>'[2]AHTS-1'!IA27+'[2]AHTS-2'!IA27+'[2]AHTS-3'!IA27+'[2]AHTS-4'!IA27+'[2]AHTS-5'!IA27+'[2]AHTS-6'!IA27+'[2]AHTS-7'!IA27+'[2]AHTS-8'!IA27+'[3]CB-1'!IA27+'[3]CB-2'!IA27+'[3]CB-3'!IA27+'[3]CB-4'!IA27+'[3]CB-5'!IA27+'[3]CB-6'!IA27+'[3]CB-7'!IA27+'[3]CB-8'!IA27+'[3]CB-9'!IA27+'[3]CB-10'!IA27+'[3]CB-11'!IA27+'[3]CB-12'!IA27+'[3]CB-13'!IA27+'[3]CB-14'!IA27+'[3]CB-15'!IA27+'[3]CB-16'!IA27+'[3]CB-17'!IA27+'[3]CB-18'!IA27+'[3]CB-19'!IA27+'[3]CB-20'!IA27+'[3]CB-21'!IA27+'[3]CB-22'!IA27+'[3]CB-23'!IA27+'[3]CB-24'!IA27+'[4]LCT-1'!IA27+'[4]LCT-2'!IA27+'[4]LCT-3'!IA27+'[4]LCT-4'!IA27+'[4]LCT-5'!IA27+'[4]LCT-6'!IA27+'[4]LCT-7'!IA27+'[4]LCT-8'!IA27+'[5]TB-1'!IA27+'[5]TB-2'!IA27+'[5]TB-3'!IA27+'[5]TB-4'!IA27+'[5]TB-5'!IA27+'[5]TB-6'!IA27+'[5]TB-7'!IA27+'[5]TB-8'!IA27+'[5]TB-9'!IA27+'[5]TB-10'!IA27+'[6]DSV-1'!IA27+'[6]DSV-2'!IA27+'[6]DSV-3'!IA27+'[7]TUB-1'!IA27+'[7]TUB-2'!IA27+'[8]Barge-1'!IA27+'[8]Barge-2'!IA27+'[8]Barge-3'!IA27+'[8]Barge-4'!IA27</f>
        <v>0</v>
      </c>
      <c r="Y27" s="147">
        <f>'[2]AHTS-1'!IA98+'[2]AHTS-2'!IA98+'[2]AHTS-3'!IA98+'[2]AHTS-4'!IA98+'[2]AHTS-5'!IA98+'[2]AHTS-6'!IA98+'[2]AHTS-7'!IA98+'[2]AHTS-8'!IA98+'[3]CB-1'!IA98+'[3]CB-2'!IA98+'[3]CB-3'!IA98+'[3]CB-4'!IA98+'[3]CB-5'!IA98+'[3]CB-6'!IA98+'[3]CB-7'!IA98+'[3]CB-8'!IA98+'[3]CB-9'!IA98+'[3]CB-10'!IA98+'[3]CB-11'!IA98+'[3]CB-12'!IA98+'[3]CB-13'!IA98+'[3]CB-14'!IA98+'[3]CB-15'!IA98+'[3]CB-16'!IA98+'[3]CB-17'!IA98+'[3]CB-18'!IA98+'[3]CB-19'!IA98+'[3]CB-20'!IA98+'[3]CB-21'!IA98+'[3]CB-22'!IA98+'[3]CB-23'!IA98+'[3]CB-24'!IA98+'[4]LCT-1'!IA98+'[4]LCT-2'!IA98+'[4]LCT-3'!IA98+'[4]LCT-4'!IA98+'[4]LCT-5'!IA98+'[4]LCT-6'!IA98+'[4]LCT-7'!IA98+'[4]LCT-8'!IA98+'[5]TB-1'!IA98+'[5]TB-2'!IA98+'[5]TB-3'!IA98+'[5]TB-4'!IA98+'[5]TB-5'!IA98+'[5]TB-6'!IA98+'[5]TB-7'!IA98+'[5]TB-8'!IA98+'[5]TB-9'!IA98+'[5]TB-10'!IA98+'[6]DSV-1'!IA98+'[6]DSV-2'!IA98+'[6]DSV-3'!IA98+'[7]TUB-1'!IA98+'[7]TUB-2'!IA98+'[8]Barge-1'!IA98+'[8]Barge-2'!IA98+'[8]Barge-3'!IA98+'[8]Barge-4'!IA98</f>
        <v>0</v>
      </c>
      <c r="Z27" s="145">
        <f>'[2]AHTS-1'!IB65+'[2]AHTS-2'!IB65+'[2]AHTS-3'!IB65+'[2]AHTS-4'!IB65+'[2]AHTS-5'!IB65+'[2]AHTS-6'!IB65+'[2]AHTS-7'!IB65+'[2]AHTS-8'!IB65+'[3]CB-1'!IB65+'[3]CB-2'!IB65+'[3]CB-3'!IB65+'[3]CB-4'!IB65+'[3]CB-5'!IB65+'[3]CB-6'!IB65+'[3]CB-7'!IB65+'[3]CB-8'!IB65+'[3]CB-9'!IB65+'[3]CB-10'!IB65+'[3]CB-11'!IB65+'[3]CB-12'!IB65+'[3]CB-13'!IB65+'[3]CB-14'!IB65+'[3]CB-15'!IB65+'[3]CB-16'!IB65+'[3]CB-17'!IB65+'[3]CB-18'!IB65+'[3]CB-19'!IB65+'[3]CB-20'!IB65+'[3]CB-21'!IB65+'[3]CB-22'!IB65+'[3]CB-23'!IB65+'[3]CB-24'!IB65+'[4]LCT-1'!IB65+'[4]LCT-2'!IB65+'[4]LCT-3'!IB65+'[4]LCT-4'!IB65+'[4]LCT-5'!IB65+'[4]LCT-6'!IB65+'[4]LCT-7'!IB65+'[4]LCT-8'!IB65+'[5]TB-1'!IB65+'[5]TB-2'!IB65+'[5]TB-3'!IB65+'[5]TB-4'!IB65+'[5]TB-5'!IB65+'[5]TB-6'!IB65+'[5]TB-7'!IB65+'[5]TB-8'!IB65+'[5]TB-9'!IB65+'[5]TB-10'!IB65+'[6]DSV-1'!IB65+'[6]DSV-2'!IB65+'[6]DSV-3'!IB65+'[7]TUB-1'!IB65+'[7]TUB-2'!IB65+'[8]Barge-1'!IB65+'[8]Barge-2'!IB65+'[8]Barge-3'!IB65+'[8]Barge-4'!IB65</f>
        <v>60110300</v>
      </c>
      <c r="AA27" s="146">
        <f>'[2]AHTS-1'!IB27+'[2]AHTS-2'!IB27+'[2]AHTS-3'!IB27+'[2]AHTS-4'!IB27+'[2]AHTS-5'!IB27+'[2]AHTS-6'!IB27+'[2]AHTS-7'!IB27+'[2]AHTS-8'!IB27+'[3]CB-1'!IB27+'[3]CB-2'!IB27+'[3]CB-3'!IB27+'[3]CB-4'!IB27+'[3]CB-5'!IB27+'[3]CB-6'!IB27+'[3]CB-7'!IB27+'[3]CB-8'!IB27+'[3]CB-9'!IB27+'[3]CB-10'!IB27+'[3]CB-11'!IB27+'[3]CB-12'!IB27+'[3]CB-13'!IB27+'[3]CB-14'!IB27+'[3]CB-15'!IB27+'[3]CB-16'!IB27+'[3]CB-17'!IB27+'[3]CB-18'!IB27+'[3]CB-19'!IB27+'[3]CB-20'!IB27+'[3]CB-21'!IB27+'[3]CB-22'!IB27+'[3]CB-23'!IB27+'[3]CB-24'!IB27+'[4]LCT-1'!IB27+'[4]LCT-2'!IB27+'[4]LCT-3'!IB27+'[4]LCT-4'!IB27+'[4]LCT-5'!IB27+'[4]LCT-6'!IB27+'[4]LCT-7'!IB27+'[4]LCT-8'!IB27+'[5]TB-1'!IB27+'[5]TB-2'!IB27+'[5]TB-3'!IB27+'[5]TB-4'!IB27+'[5]TB-5'!IB27+'[5]TB-6'!IB27+'[5]TB-7'!IB27+'[5]TB-8'!IB27+'[5]TB-9'!IB27+'[5]TB-10'!IB27+'[6]DSV-1'!IB27+'[6]DSV-2'!IB27+'[6]DSV-3'!IB27+'[7]TUB-1'!IB27+'[7]TUB-2'!IB27+'[8]Barge-1'!IB27+'[8]Barge-2'!IB27+'[8]Barge-3'!IB27+'[8]Barge-4'!IB27</f>
        <v>50008333.333333336</v>
      </c>
      <c r="AB27" s="147">
        <f>'[2]AHTS-1'!IB98+'[2]AHTS-2'!IB98+'[2]AHTS-3'!IB98+'[2]AHTS-4'!IB98+'[2]AHTS-5'!IB98+'[2]AHTS-6'!IB98+'[2]AHTS-7'!IB98+'[2]AHTS-8'!IB98+'[3]CB-1'!IB98+'[3]CB-2'!IB98+'[3]CB-3'!IB98+'[3]CB-4'!IB98+'[3]CB-5'!IB98+'[3]CB-6'!IB98+'[3]CB-7'!IB98+'[3]CB-8'!IB98+'[3]CB-9'!IB98+'[3]CB-10'!IB98+'[3]CB-11'!IB98+'[3]CB-12'!IB98+'[3]CB-13'!IB98+'[3]CB-14'!IB98+'[3]CB-15'!IB98+'[3]CB-16'!IB98+'[3]CB-17'!IB98+'[3]CB-18'!IB98+'[3]CB-19'!IB98+'[3]CB-20'!IB98+'[3]CB-21'!IB98+'[3]CB-22'!IB98+'[3]CB-23'!IB98+'[3]CB-24'!IB98+'[4]LCT-1'!IB98+'[4]LCT-2'!IB98+'[4]LCT-3'!IB98+'[4]LCT-4'!IB98+'[4]LCT-5'!IB98+'[4]LCT-6'!IB98+'[4]LCT-7'!IB98+'[4]LCT-8'!IB98+'[5]TB-1'!IB98+'[5]TB-2'!IB98+'[5]TB-3'!IB98+'[5]TB-4'!IB98+'[5]TB-5'!IB98+'[5]TB-6'!IB98+'[5]TB-7'!IB98+'[5]TB-8'!IB98+'[5]TB-9'!IB98+'[5]TB-10'!IB98+'[6]DSV-1'!IB98+'[6]DSV-2'!IB98+'[6]DSV-3'!IB98+'[7]TUB-1'!IB98+'[7]TUB-2'!IB98+'[8]Barge-1'!IB98+'[8]Barge-2'!IB98+'[8]Barge-3'!IB98+'[8]Barge-4'!IB98</f>
        <v>0</v>
      </c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</row>
    <row r="28" spans="1:79" s="84" customFormat="1" ht="14.25" customHeight="1" thickBot="1" x14ac:dyDescent="0.3">
      <c r="A28" s="119">
        <f>[1]Control!AZ28</f>
        <v>46003</v>
      </c>
      <c r="B28" s="81"/>
      <c r="C28" s="159">
        <f>'[2]AHTS-1'!AT28+'[2]AHTS-2'!AT28+'[2]AHTS-3'!AT28+'[2]AHTS-4'!AT28+'[2]AHTS-5'!AT28+'[2]AHTS-6'!AT28+'[2]AHTS-7'!AT28+'[2]AHTS-8'!AT28+'[3]CB-1'!AT28+'[3]CB-2'!AT28+'[3]CB-3'!AT28+'[3]CB-4'!AT28+'[3]CB-5'!AT28+'[3]CB-6'!AT28+'[3]CB-7'!AT28+'[3]CB-8'!AT28+'[3]CB-9'!AT28+'[3]CB-10'!AT28+'[3]CB-11'!AT28+'[3]CB-12'!AT28+'[3]CB-13'!AT28+'[3]CB-14'!AT28+'[3]CB-15'!AT28+'[3]CB-16'!AT28+'[3]CB-17'!AT28+'[3]CB-18'!AT28+'[3]CB-19'!AT28+'[3]CB-20'!AT28+'[3]CB-21'!AT28+'[3]CB-22'!AT28+'[3]CB-23'!AT28+'[3]CB-24'!AT28+'[4]LCT-1'!AT28+'[4]LCT-2'!AT28+'[4]LCT-3'!AT28+'[4]LCT-4'!AT28+'[4]LCT-5'!AT28+'[4]LCT-6'!AT28+'[4]LCT-7'!AT28+'[4]LCT-8'!AT28+'[5]TB-1'!AT28+'[5]TB-2'!AT28+'[5]TB-3'!AT28+'[5]TB-4'!AT28+'[5]TB-5'!AT28+'[5]TB-6'!AT28+'[5]TB-7'!AT28+'[5]TB-8'!AT28+'[5]TB-9'!AT28+'[5]TB-10'!AT28+'[6]DSV-1'!AT28+'[6]DSV-2'!AT28+'[6]DSV-3'!AT28+'[7]TUB-1'!AT28+'[7]TUB-2'!AT28+'[8]Barge-1'!AT28+'[8]Barge-2'!AT28+'[8]Barge-3'!AT28+'[8]Barge-4'!AT28</f>
        <v>0</v>
      </c>
      <c r="D28" s="160">
        <f>'[2]AHTS-1'!BP28+'[2]AHTS-2'!BP28+'[2]AHTS-3'!BP28+'[2]AHTS-4'!BP28+'[2]AHTS-5'!BP28+'[2]AHTS-6'!BP28+'[2]AHTS-7'!BP28+'[2]AHTS-8'!BP28+'[3]CB-1'!BP28+'[3]CB-2'!BP28+'[3]CB-3'!BP28+'[3]CB-4'!BP28+'[3]CB-5'!BP28+'[3]CB-6'!BP28+'[3]CB-7'!BP28+'[3]CB-8'!BP28+'[3]CB-9'!BP28+'[3]CB-10'!BP28+'[3]CB-11'!BP28+'[3]CB-12'!BP28+'[3]CB-13'!BP28+'[3]CB-14'!BP28+'[3]CB-15'!BP28+'[3]CB-16'!BP28+'[3]CB-17'!BP28+'[3]CB-18'!BP28+'[3]CB-19'!BP28+'[3]CB-20'!BP28+'[3]CB-21'!BP28+'[3]CB-22'!BP28+'[3]CB-23'!BP28+'[3]CB-24'!BP28+'[4]LCT-1'!BP28+'[4]LCT-2'!BP28+'[4]LCT-3'!BP28+'[4]LCT-4'!BP28+'[4]LCT-5'!BP28+'[4]LCT-6'!BP28+'[4]LCT-7'!BP28+'[4]LCT-8'!BP28+'[5]TB-1'!BP28+'[5]TB-2'!BP28+'[5]TB-3'!BP28+'[5]TB-4'!BP28+'[5]TB-5'!BP28+'[5]TB-6'!BP28+'[5]TB-7'!BP28+'[5]TB-8'!BP28+'[5]TB-9'!BP28+'[5]TB-10'!BP28+'[6]DSV-1'!BP28+'[6]DSV-2'!BP28+'[6]DSV-3'!BP28+'[7]TUB-1'!BP28+'[7]TUB-2'!BP28+'[8]Barge-1'!BP28+'[8]Barge-2'!BP28+'[8]Barge-3'!BP28+'[8]Barge-4'!BP28</f>
        <v>0</v>
      </c>
      <c r="E28" s="161">
        <f>'[2]AHTS-1'!CL28+'[2]AHTS-2'!CL28+'[2]AHTS-3'!CL28+'[2]AHTS-4'!CL28+'[2]AHTS-5'!CL28+'[2]AHTS-6'!CL28+'[2]AHTS-7'!CL28+'[2]AHTS-8'!CL28+'[3]CB-1'!CL28+'[3]CB-2'!CL28+'[3]CB-3'!CL28+'[3]CB-4'!CL28+'[3]CB-5'!CL28+'[3]CB-6'!CL28+'[3]CB-7'!CL28+'[3]CB-8'!CL28+'[3]CB-9'!CL28+'[3]CB-10'!CL28+'[3]CB-11'!CL28+'[3]CB-12'!CL28+'[3]CB-13'!CL28+'[3]CB-14'!CL28+'[3]CB-15'!CL28+'[3]CB-16'!CL28+'[3]CB-17'!CL28+'[3]CB-18'!CL28+'[3]CB-19'!CL28+'[3]CB-20'!CL28+'[3]CB-21'!CL28+'[3]CB-22'!CL28+'[3]CB-23'!CL28+'[3]CB-24'!CL28+'[4]LCT-1'!CL28+'[4]LCT-2'!CL28+'[4]LCT-3'!CL28+'[4]LCT-4'!CL28+'[4]LCT-5'!CL28+'[4]LCT-6'!CL28+'[4]LCT-7'!CL28+'[4]LCT-8'!CL28+'[5]TB-1'!CL28+'[5]TB-2'!CL28+'[5]TB-3'!CL28+'[5]TB-4'!CL28+'[5]TB-5'!CL28+'[5]TB-6'!CL28+'[5]TB-7'!CL28+'[5]TB-8'!CL28+'[5]TB-9'!CL28+'[5]TB-10'!CL28+'[6]DSV-1'!CL28+'[6]DSV-2'!CL28+'[6]DSV-3'!CL28+'[7]TUB-1'!CL28+'[7]TUB-2'!CL28+'[8]Barge-1'!CL28+'[8]Barge-2'!CL28+'[8]Barge-3'!CL28+'[8]Barge-4'!CL28</f>
        <v>0</v>
      </c>
      <c r="F28" s="159">
        <f>'[2]AHTS-1'!AU28+'[2]AHTS-2'!AU28+'[2]AHTS-3'!AU28+'[2]AHTS-4'!AU28+'[2]AHTS-5'!AU28+'[2]AHTS-6'!AU28+'[2]AHTS-7'!AU28+'[2]AHTS-8'!AU28+'[3]CB-1'!AU28+'[3]CB-2'!AU28+'[3]CB-3'!AU28+'[3]CB-4'!AU28+'[3]CB-5'!AU28+'[3]CB-6'!AU28+'[3]CB-7'!AU28+'[3]CB-8'!AU28+'[3]CB-9'!AU28+'[3]CB-10'!AU28+'[3]CB-11'!AU28+'[3]CB-12'!AU28+'[3]CB-13'!AU28+'[3]CB-14'!AU28+'[3]CB-15'!AU28+'[3]CB-16'!AU28+'[3]CB-17'!AU28+'[3]CB-18'!AU28+'[3]CB-19'!AU28+'[3]CB-20'!AU28+'[3]CB-21'!AU28+'[3]CB-22'!AU28+'[3]CB-23'!AU28+'[3]CB-24'!AU28+'[4]LCT-1'!AU28+'[4]LCT-2'!AU28+'[4]LCT-3'!AU28+'[4]LCT-4'!AU28+'[4]LCT-5'!AU28+'[4]LCT-6'!AU28+'[4]LCT-7'!AU28+'[4]LCT-8'!AU28+'[5]TB-1'!AU28+'[5]TB-2'!AU28+'[5]TB-3'!AU28+'[5]TB-4'!AU28+'[5]TB-5'!AU28+'[5]TB-6'!AU28+'[5]TB-7'!AU28+'[5]TB-8'!AU28+'[5]TB-9'!AU28+'[5]TB-10'!AU28+'[6]DSV-1'!AU28+'[6]DSV-2'!AU28+'[6]DSV-3'!AU28+'[7]TUB-1'!AU28+'[7]TUB-2'!AU28+'[8]Barge-1'!AU28+'[8]Barge-2'!AU28+'[8]Barge-3'!AU28+'[8]Barge-4'!AU28</f>
        <v>3652.9884544236775</v>
      </c>
      <c r="G28" s="160">
        <f>'[2]AHTS-1'!BQ28+'[2]AHTS-2'!BQ28+'[2]AHTS-3'!BQ28+'[2]AHTS-4'!BQ28+'[2]AHTS-5'!BQ28+'[2]AHTS-6'!BQ28+'[2]AHTS-7'!BQ28+'[2]AHTS-8'!BQ28+'[3]CB-1'!BQ28+'[3]CB-2'!BQ28+'[3]CB-3'!BQ28+'[3]CB-4'!BQ28+'[3]CB-5'!BQ28+'[3]CB-6'!BQ28+'[3]CB-7'!BQ28+'[3]CB-8'!BQ28+'[3]CB-9'!BQ28+'[3]CB-10'!BQ28+'[3]CB-11'!BQ28+'[3]CB-12'!BQ28+'[3]CB-13'!BQ28+'[3]CB-14'!BQ28+'[3]CB-15'!BQ28+'[3]CB-16'!BQ28+'[3]CB-17'!BQ28+'[3]CB-18'!BQ28+'[3]CB-19'!BQ28+'[3]CB-20'!BQ28+'[3]CB-21'!BQ28+'[3]CB-22'!BQ28+'[3]CB-23'!BQ28+'[3]CB-24'!BQ28+'[4]LCT-1'!BQ28+'[4]LCT-2'!BQ28+'[4]LCT-3'!BQ28+'[4]LCT-4'!BQ28+'[4]LCT-5'!BQ28+'[4]LCT-6'!BQ28+'[4]LCT-7'!BQ28+'[4]LCT-8'!BQ28+'[5]TB-1'!BQ28+'[5]TB-2'!BQ28+'[5]TB-3'!BQ28+'[5]TB-4'!BQ28+'[5]TB-5'!BQ28+'[5]TB-6'!BQ28+'[5]TB-7'!BQ28+'[5]TB-8'!BQ28+'[5]TB-9'!BQ28+'[5]TB-10'!BQ28+'[6]DSV-1'!BQ28+'[6]DSV-2'!BQ28+'[6]DSV-3'!BQ28+'[7]TUB-1'!BQ28+'[7]TUB-2'!BQ28+'[8]Barge-1'!BQ28+'[8]Barge-2'!BQ28+'[8]Barge-3'!BQ28+'[8]Barge-4'!BQ28</f>
        <v>2739.6823371818591</v>
      </c>
      <c r="H28" s="161">
        <f>'[2]AHTS-1'!CM28+'[2]AHTS-2'!CM28+'[2]AHTS-3'!CM28+'[2]AHTS-4'!CM28+'[2]AHTS-5'!CM28+'[2]AHTS-6'!CM28+'[2]AHTS-7'!CM28+'[2]AHTS-8'!CM28+'[3]CB-1'!CM28+'[3]CB-2'!CM28+'[3]CB-3'!CM28+'[3]CB-4'!CM28+'[3]CB-5'!CM28+'[3]CB-6'!CM28+'[3]CB-7'!CM28+'[3]CB-8'!CM28+'[3]CB-9'!CM28+'[3]CB-10'!CM28+'[3]CB-11'!CM28+'[3]CB-12'!CM28+'[3]CB-13'!CM28+'[3]CB-14'!CM28+'[3]CB-15'!CM28+'[3]CB-16'!CM28+'[3]CB-17'!CM28+'[3]CB-18'!CM28+'[3]CB-19'!CM28+'[3]CB-20'!CM28+'[3]CB-21'!CM28+'[3]CB-22'!CM28+'[3]CB-23'!CM28+'[3]CB-24'!CM28+'[4]LCT-1'!CM28+'[4]LCT-2'!CM28+'[4]LCT-3'!CM28+'[4]LCT-4'!CM28+'[4]LCT-5'!CM28+'[4]LCT-6'!CM28+'[4]LCT-7'!CM28+'[4]LCT-8'!CM28+'[5]TB-1'!CM28+'[5]TB-2'!CM28+'[5]TB-3'!CM28+'[5]TB-4'!CM28+'[5]TB-5'!CM28+'[5]TB-6'!CM28+'[5]TB-7'!CM28+'[5]TB-8'!CM28+'[5]TB-9'!CM28+'[5]TB-10'!CM28+'[6]DSV-1'!CM28+'[6]DSV-2'!CM28+'[6]DSV-3'!CM28+'[7]TUB-1'!CM28+'[7]TUB-2'!CM28+'[8]Barge-1'!CM28+'[8]Barge-2'!CM28+'[8]Barge-3'!CM28+'[8]Barge-4'!CM28</f>
        <v>0</v>
      </c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110"/>
      <c r="U28" s="119">
        <f>[1]Control!AZ28</f>
        <v>46003</v>
      </c>
      <c r="V28" s="81"/>
      <c r="W28" s="145">
        <f>'[2]AHTS-1'!IA66+'[2]AHTS-2'!IA66+'[2]AHTS-3'!IA66+'[2]AHTS-4'!IA66+'[2]AHTS-5'!IA66+'[2]AHTS-6'!IA66+'[2]AHTS-7'!IA66+'[2]AHTS-8'!IA66+'[3]CB-1'!IA66+'[3]CB-2'!IA66+'[3]CB-3'!IA66+'[3]CB-4'!IA66+'[3]CB-5'!IA66+'[3]CB-6'!IA66+'[3]CB-7'!IA66+'[3]CB-8'!IA66+'[3]CB-9'!IA66+'[3]CB-10'!IA66+'[3]CB-11'!IA66+'[3]CB-12'!IA66+'[3]CB-13'!IA66+'[3]CB-14'!IA66+'[3]CB-15'!IA66+'[3]CB-16'!IA66+'[3]CB-17'!IA66+'[3]CB-18'!IA66+'[3]CB-19'!IA66+'[3]CB-20'!IA66+'[3]CB-21'!IA66+'[3]CB-22'!IA66+'[3]CB-23'!IA66+'[3]CB-24'!IA66+'[4]LCT-1'!IA66+'[4]LCT-2'!IA66+'[4]LCT-3'!IA66+'[4]LCT-4'!IA66+'[4]LCT-5'!IA66+'[4]LCT-6'!IA66+'[4]LCT-7'!IA66+'[4]LCT-8'!IA66+'[5]TB-1'!IA66+'[5]TB-2'!IA66+'[5]TB-3'!IA66+'[5]TB-4'!IA66+'[5]TB-5'!IA66+'[5]TB-6'!IA66+'[5]TB-7'!IA66+'[5]TB-8'!IA66+'[5]TB-9'!IA66+'[5]TB-10'!IA66+'[6]DSV-1'!IA66+'[6]DSV-2'!IA66+'[6]DSV-3'!IA66+'[7]TUB-1'!IA66+'[7]TUB-2'!IA66+'[8]Barge-1'!IA66+'[8]Barge-2'!IA66+'[8]Barge-3'!IA66+'[8]Barge-4'!IA66</f>
        <v>0</v>
      </c>
      <c r="X28" s="146">
        <f>'[2]AHTS-1'!IA28+'[2]AHTS-2'!IA28+'[2]AHTS-3'!IA28+'[2]AHTS-4'!IA28+'[2]AHTS-5'!IA28+'[2]AHTS-6'!IA28+'[2]AHTS-7'!IA28+'[2]AHTS-8'!IA28+'[3]CB-1'!IA28+'[3]CB-2'!IA28+'[3]CB-3'!IA28+'[3]CB-4'!IA28+'[3]CB-5'!IA28+'[3]CB-6'!IA28+'[3]CB-7'!IA28+'[3]CB-8'!IA28+'[3]CB-9'!IA28+'[3]CB-10'!IA28+'[3]CB-11'!IA28+'[3]CB-12'!IA28+'[3]CB-13'!IA28+'[3]CB-14'!IA28+'[3]CB-15'!IA28+'[3]CB-16'!IA28+'[3]CB-17'!IA28+'[3]CB-18'!IA28+'[3]CB-19'!IA28+'[3]CB-20'!IA28+'[3]CB-21'!IA28+'[3]CB-22'!IA28+'[3]CB-23'!IA28+'[3]CB-24'!IA28+'[4]LCT-1'!IA28+'[4]LCT-2'!IA28+'[4]LCT-3'!IA28+'[4]LCT-4'!IA28+'[4]LCT-5'!IA28+'[4]LCT-6'!IA28+'[4]LCT-7'!IA28+'[4]LCT-8'!IA28+'[5]TB-1'!IA28+'[5]TB-2'!IA28+'[5]TB-3'!IA28+'[5]TB-4'!IA28+'[5]TB-5'!IA28+'[5]TB-6'!IA28+'[5]TB-7'!IA28+'[5]TB-8'!IA28+'[5]TB-9'!IA28+'[5]TB-10'!IA28+'[6]DSV-1'!IA28+'[6]DSV-2'!IA28+'[6]DSV-3'!IA28+'[7]TUB-1'!IA28+'[7]TUB-2'!IA28+'[8]Barge-1'!IA28+'[8]Barge-2'!IA28+'[8]Barge-3'!IA28+'[8]Barge-4'!IA28</f>
        <v>0</v>
      </c>
      <c r="Y28" s="147">
        <f>'[2]AHTS-1'!IA99+'[2]AHTS-2'!IA99+'[2]AHTS-3'!IA99+'[2]AHTS-4'!IA99+'[2]AHTS-5'!IA99+'[2]AHTS-6'!IA99+'[2]AHTS-7'!IA99+'[2]AHTS-8'!IA99+'[3]CB-1'!IA99+'[3]CB-2'!IA99+'[3]CB-3'!IA99+'[3]CB-4'!IA99+'[3]CB-5'!IA99+'[3]CB-6'!IA99+'[3]CB-7'!IA99+'[3]CB-8'!IA99+'[3]CB-9'!IA99+'[3]CB-10'!IA99+'[3]CB-11'!IA99+'[3]CB-12'!IA99+'[3]CB-13'!IA99+'[3]CB-14'!IA99+'[3]CB-15'!IA99+'[3]CB-16'!IA99+'[3]CB-17'!IA99+'[3]CB-18'!IA99+'[3]CB-19'!IA99+'[3]CB-20'!IA99+'[3]CB-21'!IA99+'[3]CB-22'!IA99+'[3]CB-23'!IA99+'[3]CB-24'!IA99+'[4]LCT-1'!IA99+'[4]LCT-2'!IA99+'[4]LCT-3'!IA99+'[4]LCT-4'!IA99+'[4]LCT-5'!IA99+'[4]LCT-6'!IA99+'[4]LCT-7'!IA99+'[4]LCT-8'!IA99+'[5]TB-1'!IA99+'[5]TB-2'!IA99+'[5]TB-3'!IA99+'[5]TB-4'!IA99+'[5]TB-5'!IA99+'[5]TB-6'!IA99+'[5]TB-7'!IA99+'[5]TB-8'!IA99+'[5]TB-9'!IA99+'[5]TB-10'!IA99+'[6]DSV-1'!IA99+'[6]DSV-2'!IA99+'[6]DSV-3'!IA99+'[7]TUB-1'!IA99+'[7]TUB-2'!IA99+'[8]Barge-1'!IA99+'[8]Barge-2'!IA99+'[8]Barge-3'!IA99+'[8]Barge-4'!IA99</f>
        <v>0</v>
      </c>
      <c r="Z28" s="145">
        <f>'[2]AHTS-1'!IB66+'[2]AHTS-2'!IB66+'[2]AHTS-3'!IB66+'[2]AHTS-4'!IB66+'[2]AHTS-5'!IB66+'[2]AHTS-6'!IB66+'[2]AHTS-7'!IB66+'[2]AHTS-8'!IB66+'[3]CB-1'!IB66+'[3]CB-2'!IB66+'[3]CB-3'!IB66+'[3]CB-4'!IB66+'[3]CB-5'!IB66+'[3]CB-6'!IB66+'[3]CB-7'!IB66+'[3]CB-8'!IB66+'[3]CB-9'!IB66+'[3]CB-10'!IB66+'[3]CB-11'!IB66+'[3]CB-12'!IB66+'[3]CB-13'!IB66+'[3]CB-14'!IB66+'[3]CB-15'!IB66+'[3]CB-16'!IB66+'[3]CB-17'!IB66+'[3]CB-18'!IB66+'[3]CB-19'!IB66+'[3]CB-20'!IB66+'[3]CB-21'!IB66+'[3]CB-22'!IB66+'[3]CB-23'!IB66+'[3]CB-24'!IB66+'[4]LCT-1'!IB66+'[4]LCT-2'!IB66+'[4]LCT-3'!IB66+'[4]LCT-4'!IB66+'[4]LCT-5'!IB66+'[4]LCT-6'!IB66+'[4]LCT-7'!IB66+'[4]LCT-8'!IB66+'[5]TB-1'!IB66+'[5]TB-2'!IB66+'[5]TB-3'!IB66+'[5]TB-4'!IB66+'[5]TB-5'!IB66+'[5]TB-6'!IB66+'[5]TB-7'!IB66+'[5]TB-8'!IB66+'[5]TB-9'!IB66+'[5]TB-10'!IB66+'[6]DSV-1'!IB66+'[6]DSV-2'!IB66+'[6]DSV-3'!IB66+'[7]TUB-1'!IB66+'[7]TUB-2'!IB66+'[8]Barge-1'!IB66+'[8]Barge-2'!IB66+'[8]Barge-3'!IB66+'[8]Barge-4'!IB66</f>
        <v>57267900</v>
      </c>
      <c r="AA28" s="146">
        <f>'[2]AHTS-1'!IB28+'[2]AHTS-2'!IB28+'[2]AHTS-3'!IB28+'[2]AHTS-4'!IB28+'[2]AHTS-5'!IB28+'[2]AHTS-6'!IB28+'[2]AHTS-7'!IB28+'[2]AHTS-8'!IB28+'[3]CB-1'!IB28+'[3]CB-2'!IB28+'[3]CB-3'!IB28+'[3]CB-4'!IB28+'[3]CB-5'!IB28+'[3]CB-6'!IB28+'[3]CB-7'!IB28+'[3]CB-8'!IB28+'[3]CB-9'!IB28+'[3]CB-10'!IB28+'[3]CB-11'!IB28+'[3]CB-12'!IB28+'[3]CB-13'!IB28+'[3]CB-14'!IB28+'[3]CB-15'!IB28+'[3]CB-16'!IB28+'[3]CB-17'!IB28+'[3]CB-18'!IB28+'[3]CB-19'!IB28+'[3]CB-20'!IB28+'[3]CB-21'!IB28+'[3]CB-22'!IB28+'[3]CB-23'!IB28+'[3]CB-24'!IB28+'[4]LCT-1'!IB28+'[4]LCT-2'!IB28+'[4]LCT-3'!IB28+'[4]LCT-4'!IB28+'[4]LCT-5'!IB28+'[4]LCT-6'!IB28+'[4]LCT-7'!IB28+'[4]LCT-8'!IB28+'[5]TB-1'!IB28+'[5]TB-2'!IB28+'[5]TB-3'!IB28+'[5]TB-4'!IB28+'[5]TB-5'!IB28+'[5]TB-6'!IB28+'[5]TB-7'!IB28+'[5]TB-8'!IB28+'[5]TB-9'!IB28+'[5]TB-10'!IB28+'[6]DSV-1'!IB28+'[6]DSV-2'!IB28+'[6]DSV-3'!IB28+'[7]TUB-1'!IB28+'[7]TUB-2'!IB28+'[8]Barge-1'!IB28+'[8]Barge-2'!IB28+'[8]Barge-3'!IB28+'[8]Barge-4'!IB28</f>
        <v>42950000</v>
      </c>
      <c r="AB28" s="147">
        <f>'[2]AHTS-1'!IB99+'[2]AHTS-2'!IB99+'[2]AHTS-3'!IB99+'[2]AHTS-4'!IB99+'[2]AHTS-5'!IB99+'[2]AHTS-6'!IB99+'[2]AHTS-7'!IB99+'[2]AHTS-8'!IB99+'[3]CB-1'!IB99+'[3]CB-2'!IB99+'[3]CB-3'!IB99+'[3]CB-4'!IB99+'[3]CB-5'!IB99+'[3]CB-6'!IB99+'[3]CB-7'!IB99+'[3]CB-8'!IB99+'[3]CB-9'!IB99+'[3]CB-10'!IB99+'[3]CB-11'!IB99+'[3]CB-12'!IB99+'[3]CB-13'!IB99+'[3]CB-14'!IB99+'[3]CB-15'!IB99+'[3]CB-16'!IB99+'[3]CB-17'!IB99+'[3]CB-18'!IB99+'[3]CB-19'!IB99+'[3]CB-20'!IB99+'[3]CB-21'!IB99+'[3]CB-22'!IB99+'[3]CB-23'!IB99+'[3]CB-24'!IB99+'[4]LCT-1'!IB99+'[4]LCT-2'!IB99+'[4]LCT-3'!IB99+'[4]LCT-4'!IB99+'[4]LCT-5'!IB99+'[4]LCT-6'!IB99+'[4]LCT-7'!IB99+'[4]LCT-8'!IB99+'[5]TB-1'!IB99+'[5]TB-2'!IB99+'[5]TB-3'!IB99+'[5]TB-4'!IB99+'[5]TB-5'!IB99+'[5]TB-6'!IB99+'[5]TB-7'!IB99+'[5]TB-8'!IB99+'[5]TB-9'!IB99+'[5]TB-10'!IB99+'[6]DSV-1'!IB99+'[6]DSV-2'!IB99+'[6]DSV-3'!IB99+'[7]TUB-1'!IB99+'[7]TUB-2'!IB99+'[8]Barge-1'!IB99+'[8]Barge-2'!IB99+'[8]Barge-3'!IB99+'[8]Barge-4'!IB99</f>
        <v>0</v>
      </c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</row>
    <row r="29" spans="1:79" s="84" customFormat="1" ht="14.25" customHeight="1" thickBot="1" x14ac:dyDescent="0.3">
      <c r="A29" s="119">
        <f>[1]Control!AZ29</f>
        <v>46004</v>
      </c>
      <c r="B29" s="81"/>
      <c r="C29" s="159">
        <f>'[2]AHTS-1'!AT29+'[2]AHTS-2'!AT29+'[2]AHTS-3'!AT29+'[2]AHTS-4'!AT29+'[2]AHTS-5'!AT29+'[2]AHTS-6'!AT29+'[2]AHTS-7'!AT29+'[2]AHTS-8'!AT29+'[3]CB-1'!AT29+'[3]CB-2'!AT29+'[3]CB-3'!AT29+'[3]CB-4'!AT29+'[3]CB-5'!AT29+'[3]CB-6'!AT29+'[3]CB-7'!AT29+'[3]CB-8'!AT29+'[3]CB-9'!AT29+'[3]CB-10'!AT29+'[3]CB-11'!AT29+'[3]CB-12'!AT29+'[3]CB-13'!AT29+'[3]CB-14'!AT29+'[3]CB-15'!AT29+'[3]CB-16'!AT29+'[3]CB-17'!AT29+'[3]CB-18'!AT29+'[3]CB-19'!AT29+'[3]CB-20'!AT29+'[3]CB-21'!AT29+'[3]CB-22'!AT29+'[3]CB-23'!AT29+'[3]CB-24'!AT29+'[4]LCT-1'!AT29+'[4]LCT-2'!AT29+'[4]LCT-3'!AT29+'[4]LCT-4'!AT29+'[4]LCT-5'!AT29+'[4]LCT-6'!AT29+'[4]LCT-7'!AT29+'[4]LCT-8'!AT29+'[5]TB-1'!AT29+'[5]TB-2'!AT29+'[5]TB-3'!AT29+'[5]TB-4'!AT29+'[5]TB-5'!AT29+'[5]TB-6'!AT29+'[5]TB-7'!AT29+'[5]TB-8'!AT29+'[5]TB-9'!AT29+'[5]TB-10'!AT29+'[6]DSV-1'!AT29+'[6]DSV-2'!AT29+'[6]DSV-3'!AT29+'[7]TUB-1'!AT29+'[7]TUB-2'!AT29+'[8]Barge-1'!AT29+'[8]Barge-2'!AT29+'[8]Barge-3'!AT29+'[8]Barge-4'!AT29</f>
        <v>0</v>
      </c>
      <c r="D29" s="160">
        <f>'[2]AHTS-1'!BP29+'[2]AHTS-2'!BP29+'[2]AHTS-3'!BP29+'[2]AHTS-4'!BP29+'[2]AHTS-5'!BP29+'[2]AHTS-6'!BP29+'[2]AHTS-7'!BP29+'[2]AHTS-8'!BP29+'[3]CB-1'!BP29+'[3]CB-2'!BP29+'[3]CB-3'!BP29+'[3]CB-4'!BP29+'[3]CB-5'!BP29+'[3]CB-6'!BP29+'[3]CB-7'!BP29+'[3]CB-8'!BP29+'[3]CB-9'!BP29+'[3]CB-10'!BP29+'[3]CB-11'!BP29+'[3]CB-12'!BP29+'[3]CB-13'!BP29+'[3]CB-14'!BP29+'[3]CB-15'!BP29+'[3]CB-16'!BP29+'[3]CB-17'!BP29+'[3]CB-18'!BP29+'[3]CB-19'!BP29+'[3]CB-20'!BP29+'[3]CB-21'!BP29+'[3]CB-22'!BP29+'[3]CB-23'!BP29+'[3]CB-24'!BP29+'[4]LCT-1'!BP29+'[4]LCT-2'!BP29+'[4]LCT-3'!BP29+'[4]LCT-4'!BP29+'[4]LCT-5'!BP29+'[4]LCT-6'!BP29+'[4]LCT-7'!BP29+'[4]LCT-8'!BP29+'[5]TB-1'!BP29+'[5]TB-2'!BP29+'[5]TB-3'!BP29+'[5]TB-4'!BP29+'[5]TB-5'!BP29+'[5]TB-6'!BP29+'[5]TB-7'!BP29+'[5]TB-8'!BP29+'[5]TB-9'!BP29+'[5]TB-10'!BP29+'[6]DSV-1'!BP29+'[6]DSV-2'!BP29+'[6]DSV-3'!BP29+'[7]TUB-1'!BP29+'[7]TUB-2'!BP29+'[8]Barge-1'!BP29+'[8]Barge-2'!BP29+'[8]Barge-3'!BP29+'[8]Barge-4'!BP29</f>
        <v>0</v>
      </c>
      <c r="E29" s="161">
        <f>'[2]AHTS-1'!CL29+'[2]AHTS-2'!CL29+'[2]AHTS-3'!CL29+'[2]AHTS-4'!CL29+'[2]AHTS-5'!CL29+'[2]AHTS-6'!CL29+'[2]AHTS-7'!CL29+'[2]AHTS-8'!CL29+'[3]CB-1'!CL29+'[3]CB-2'!CL29+'[3]CB-3'!CL29+'[3]CB-4'!CL29+'[3]CB-5'!CL29+'[3]CB-6'!CL29+'[3]CB-7'!CL29+'[3]CB-8'!CL29+'[3]CB-9'!CL29+'[3]CB-10'!CL29+'[3]CB-11'!CL29+'[3]CB-12'!CL29+'[3]CB-13'!CL29+'[3]CB-14'!CL29+'[3]CB-15'!CL29+'[3]CB-16'!CL29+'[3]CB-17'!CL29+'[3]CB-18'!CL29+'[3]CB-19'!CL29+'[3]CB-20'!CL29+'[3]CB-21'!CL29+'[3]CB-22'!CL29+'[3]CB-23'!CL29+'[3]CB-24'!CL29+'[4]LCT-1'!CL29+'[4]LCT-2'!CL29+'[4]LCT-3'!CL29+'[4]LCT-4'!CL29+'[4]LCT-5'!CL29+'[4]LCT-6'!CL29+'[4]LCT-7'!CL29+'[4]LCT-8'!CL29+'[5]TB-1'!CL29+'[5]TB-2'!CL29+'[5]TB-3'!CL29+'[5]TB-4'!CL29+'[5]TB-5'!CL29+'[5]TB-6'!CL29+'[5]TB-7'!CL29+'[5]TB-8'!CL29+'[5]TB-9'!CL29+'[5]TB-10'!CL29+'[6]DSV-1'!CL29+'[6]DSV-2'!CL29+'[6]DSV-3'!CL29+'[7]TUB-1'!CL29+'[7]TUB-2'!CL29+'[8]Barge-1'!CL29+'[8]Barge-2'!CL29+'[8]Barge-3'!CL29+'[8]Barge-4'!CL29</f>
        <v>0</v>
      </c>
      <c r="F29" s="159">
        <f>'[2]AHTS-1'!AU29+'[2]AHTS-2'!AU29+'[2]AHTS-3'!AU29+'[2]AHTS-4'!AU29+'[2]AHTS-5'!AU29+'[2]AHTS-6'!AU29+'[2]AHTS-7'!AU29+'[2]AHTS-8'!AU29+'[3]CB-1'!AU29+'[3]CB-2'!AU29+'[3]CB-3'!AU29+'[3]CB-4'!AU29+'[3]CB-5'!AU29+'[3]CB-6'!AU29+'[3]CB-7'!AU29+'[3]CB-8'!AU29+'[3]CB-9'!AU29+'[3]CB-10'!AU29+'[3]CB-11'!AU29+'[3]CB-12'!AU29+'[3]CB-13'!AU29+'[3]CB-14'!AU29+'[3]CB-15'!AU29+'[3]CB-16'!AU29+'[3]CB-17'!AU29+'[3]CB-18'!AU29+'[3]CB-19'!AU29+'[3]CB-20'!AU29+'[3]CB-21'!AU29+'[3]CB-22'!AU29+'[3]CB-23'!AU29+'[3]CB-24'!AU29+'[4]LCT-1'!AU29+'[4]LCT-2'!AU29+'[4]LCT-3'!AU29+'[4]LCT-4'!AU29+'[4]LCT-5'!AU29+'[4]LCT-6'!AU29+'[4]LCT-7'!AU29+'[4]LCT-8'!AU29+'[5]TB-1'!AU29+'[5]TB-2'!AU29+'[5]TB-3'!AU29+'[5]TB-4'!AU29+'[5]TB-5'!AU29+'[5]TB-6'!AU29+'[5]TB-7'!AU29+'[5]TB-8'!AU29+'[5]TB-9'!AU29+'[5]TB-10'!AU29+'[6]DSV-1'!AU29+'[6]DSV-2'!AU29+'[6]DSV-3'!AU29+'[7]TUB-1'!AU29+'[7]TUB-2'!AU29+'[8]Barge-1'!AU29+'[8]Barge-2'!AU29+'[8]Barge-3'!AU29+'[8]Barge-4'!AU29</f>
        <v>2175.3841438927993</v>
      </c>
      <c r="G29" s="160">
        <f>'[2]AHTS-1'!BQ29+'[2]AHTS-2'!BQ29+'[2]AHTS-3'!BQ29+'[2]AHTS-4'!BQ29+'[2]AHTS-5'!BQ29+'[2]AHTS-6'!BQ29+'[2]AHTS-7'!BQ29+'[2]AHTS-8'!BQ29+'[3]CB-1'!BQ29+'[3]CB-2'!BQ29+'[3]CB-3'!BQ29+'[3]CB-4'!BQ29+'[3]CB-5'!BQ29+'[3]CB-6'!BQ29+'[3]CB-7'!BQ29+'[3]CB-8'!BQ29+'[3]CB-9'!BQ29+'[3]CB-10'!BQ29+'[3]CB-11'!BQ29+'[3]CB-12'!BQ29+'[3]CB-13'!BQ29+'[3]CB-14'!BQ29+'[3]CB-15'!BQ29+'[3]CB-16'!BQ29+'[3]CB-17'!BQ29+'[3]CB-18'!BQ29+'[3]CB-19'!BQ29+'[3]CB-20'!BQ29+'[3]CB-21'!BQ29+'[3]CB-22'!BQ29+'[3]CB-23'!BQ29+'[3]CB-24'!BQ29+'[4]LCT-1'!BQ29+'[4]LCT-2'!BQ29+'[4]LCT-3'!BQ29+'[4]LCT-4'!BQ29+'[4]LCT-5'!BQ29+'[4]LCT-6'!BQ29+'[4]LCT-7'!BQ29+'[4]LCT-8'!BQ29+'[5]TB-1'!BQ29+'[5]TB-2'!BQ29+'[5]TB-3'!BQ29+'[5]TB-4'!BQ29+'[5]TB-5'!BQ29+'[5]TB-6'!BQ29+'[5]TB-7'!BQ29+'[5]TB-8'!BQ29+'[5]TB-9'!BQ29+'[5]TB-10'!BQ29+'[6]DSV-1'!BQ29+'[6]DSV-2'!BQ29+'[6]DSV-3'!BQ29+'[7]TUB-1'!BQ29+'[7]TUB-2'!BQ29+'[8]Barge-1'!BQ29+'[8]Barge-2'!BQ29+'[8]Barge-3'!BQ29+'[8]Barge-4'!BQ29</f>
        <v>2860.7359499503309</v>
      </c>
      <c r="H29" s="161">
        <f>'[2]AHTS-1'!CM29+'[2]AHTS-2'!CM29+'[2]AHTS-3'!CM29+'[2]AHTS-4'!CM29+'[2]AHTS-5'!CM29+'[2]AHTS-6'!CM29+'[2]AHTS-7'!CM29+'[2]AHTS-8'!CM29+'[3]CB-1'!CM29+'[3]CB-2'!CM29+'[3]CB-3'!CM29+'[3]CB-4'!CM29+'[3]CB-5'!CM29+'[3]CB-6'!CM29+'[3]CB-7'!CM29+'[3]CB-8'!CM29+'[3]CB-9'!CM29+'[3]CB-10'!CM29+'[3]CB-11'!CM29+'[3]CB-12'!CM29+'[3]CB-13'!CM29+'[3]CB-14'!CM29+'[3]CB-15'!CM29+'[3]CB-16'!CM29+'[3]CB-17'!CM29+'[3]CB-18'!CM29+'[3]CB-19'!CM29+'[3]CB-20'!CM29+'[3]CB-21'!CM29+'[3]CB-22'!CM29+'[3]CB-23'!CM29+'[3]CB-24'!CM29+'[4]LCT-1'!CM29+'[4]LCT-2'!CM29+'[4]LCT-3'!CM29+'[4]LCT-4'!CM29+'[4]LCT-5'!CM29+'[4]LCT-6'!CM29+'[4]LCT-7'!CM29+'[4]LCT-8'!CM29+'[5]TB-1'!CM29+'[5]TB-2'!CM29+'[5]TB-3'!CM29+'[5]TB-4'!CM29+'[5]TB-5'!CM29+'[5]TB-6'!CM29+'[5]TB-7'!CM29+'[5]TB-8'!CM29+'[5]TB-9'!CM29+'[5]TB-10'!CM29+'[6]DSV-1'!CM29+'[6]DSV-2'!CM29+'[6]DSV-3'!CM29+'[7]TUB-1'!CM29+'[7]TUB-2'!CM29+'[8]Barge-1'!CM29+'[8]Barge-2'!CM29+'[8]Barge-3'!CM29+'[8]Barge-4'!CM29</f>
        <v>0</v>
      </c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110"/>
      <c r="U29" s="119">
        <f>[1]Control!AZ29</f>
        <v>46004</v>
      </c>
      <c r="V29" s="81"/>
      <c r="W29" s="145">
        <f>'[2]AHTS-1'!IA67+'[2]AHTS-2'!IA67+'[2]AHTS-3'!IA67+'[2]AHTS-4'!IA67+'[2]AHTS-5'!IA67+'[2]AHTS-6'!IA67+'[2]AHTS-7'!IA67+'[2]AHTS-8'!IA67+'[3]CB-1'!IA67+'[3]CB-2'!IA67+'[3]CB-3'!IA67+'[3]CB-4'!IA67+'[3]CB-5'!IA67+'[3]CB-6'!IA67+'[3]CB-7'!IA67+'[3]CB-8'!IA67+'[3]CB-9'!IA67+'[3]CB-10'!IA67+'[3]CB-11'!IA67+'[3]CB-12'!IA67+'[3]CB-13'!IA67+'[3]CB-14'!IA67+'[3]CB-15'!IA67+'[3]CB-16'!IA67+'[3]CB-17'!IA67+'[3]CB-18'!IA67+'[3]CB-19'!IA67+'[3]CB-20'!IA67+'[3]CB-21'!IA67+'[3]CB-22'!IA67+'[3]CB-23'!IA67+'[3]CB-24'!IA67+'[4]LCT-1'!IA67+'[4]LCT-2'!IA67+'[4]LCT-3'!IA67+'[4]LCT-4'!IA67+'[4]LCT-5'!IA67+'[4]LCT-6'!IA67+'[4]LCT-7'!IA67+'[4]LCT-8'!IA67+'[5]TB-1'!IA67+'[5]TB-2'!IA67+'[5]TB-3'!IA67+'[5]TB-4'!IA67+'[5]TB-5'!IA67+'[5]TB-6'!IA67+'[5]TB-7'!IA67+'[5]TB-8'!IA67+'[5]TB-9'!IA67+'[5]TB-10'!IA67+'[6]DSV-1'!IA67+'[6]DSV-2'!IA67+'[6]DSV-3'!IA67+'[7]TUB-1'!IA67+'[7]TUB-2'!IA67+'[8]Barge-1'!IA67+'[8]Barge-2'!IA67+'[8]Barge-3'!IA67+'[8]Barge-4'!IA67</f>
        <v>0</v>
      </c>
      <c r="X29" s="146">
        <f>'[2]AHTS-1'!IA29+'[2]AHTS-2'!IA29+'[2]AHTS-3'!IA29+'[2]AHTS-4'!IA29+'[2]AHTS-5'!IA29+'[2]AHTS-6'!IA29+'[2]AHTS-7'!IA29+'[2]AHTS-8'!IA29+'[3]CB-1'!IA29+'[3]CB-2'!IA29+'[3]CB-3'!IA29+'[3]CB-4'!IA29+'[3]CB-5'!IA29+'[3]CB-6'!IA29+'[3]CB-7'!IA29+'[3]CB-8'!IA29+'[3]CB-9'!IA29+'[3]CB-10'!IA29+'[3]CB-11'!IA29+'[3]CB-12'!IA29+'[3]CB-13'!IA29+'[3]CB-14'!IA29+'[3]CB-15'!IA29+'[3]CB-16'!IA29+'[3]CB-17'!IA29+'[3]CB-18'!IA29+'[3]CB-19'!IA29+'[3]CB-20'!IA29+'[3]CB-21'!IA29+'[3]CB-22'!IA29+'[3]CB-23'!IA29+'[3]CB-24'!IA29+'[4]LCT-1'!IA29+'[4]LCT-2'!IA29+'[4]LCT-3'!IA29+'[4]LCT-4'!IA29+'[4]LCT-5'!IA29+'[4]LCT-6'!IA29+'[4]LCT-7'!IA29+'[4]LCT-8'!IA29+'[5]TB-1'!IA29+'[5]TB-2'!IA29+'[5]TB-3'!IA29+'[5]TB-4'!IA29+'[5]TB-5'!IA29+'[5]TB-6'!IA29+'[5]TB-7'!IA29+'[5]TB-8'!IA29+'[5]TB-9'!IA29+'[5]TB-10'!IA29+'[6]DSV-1'!IA29+'[6]DSV-2'!IA29+'[6]DSV-3'!IA29+'[7]TUB-1'!IA29+'[7]TUB-2'!IA29+'[8]Barge-1'!IA29+'[8]Barge-2'!IA29+'[8]Barge-3'!IA29+'[8]Barge-4'!IA29</f>
        <v>0</v>
      </c>
      <c r="Y29" s="147">
        <f>'[2]AHTS-1'!IA100+'[2]AHTS-2'!IA100+'[2]AHTS-3'!IA100+'[2]AHTS-4'!IA100+'[2]AHTS-5'!IA100+'[2]AHTS-6'!IA100+'[2]AHTS-7'!IA100+'[2]AHTS-8'!IA100+'[3]CB-1'!IA100+'[3]CB-2'!IA100+'[3]CB-3'!IA100+'[3]CB-4'!IA100+'[3]CB-5'!IA100+'[3]CB-6'!IA100+'[3]CB-7'!IA100+'[3]CB-8'!IA100+'[3]CB-9'!IA100+'[3]CB-10'!IA100+'[3]CB-11'!IA100+'[3]CB-12'!IA100+'[3]CB-13'!IA100+'[3]CB-14'!IA100+'[3]CB-15'!IA100+'[3]CB-16'!IA100+'[3]CB-17'!IA100+'[3]CB-18'!IA100+'[3]CB-19'!IA100+'[3]CB-20'!IA100+'[3]CB-21'!IA100+'[3]CB-22'!IA100+'[3]CB-23'!IA100+'[3]CB-24'!IA100+'[4]LCT-1'!IA100+'[4]LCT-2'!IA100+'[4]LCT-3'!IA100+'[4]LCT-4'!IA100+'[4]LCT-5'!IA100+'[4]LCT-6'!IA100+'[4]LCT-7'!IA100+'[4]LCT-8'!IA100+'[5]TB-1'!IA100+'[5]TB-2'!IA100+'[5]TB-3'!IA100+'[5]TB-4'!IA100+'[5]TB-5'!IA100+'[5]TB-6'!IA100+'[5]TB-7'!IA100+'[5]TB-8'!IA100+'[5]TB-9'!IA100+'[5]TB-10'!IA100+'[6]DSV-1'!IA100+'[6]DSV-2'!IA100+'[6]DSV-3'!IA100+'[7]TUB-1'!IA100+'[7]TUB-2'!IA100+'[8]Barge-1'!IA100+'[8]Barge-2'!IA100+'[8]Barge-3'!IA100+'[8]Barge-4'!IA100</f>
        <v>0</v>
      </c>
      <c r="Z29" s="145">
        <f>'[2]AHTS-1'!IB67+'[2]AHTS-2'!IB67+'[2]AHTS-3'!IB67+'[2]AHTS-4'!IB67+'[2]AHTS-5'!IB67+'[2]AHTS-6'!IB67+'[2]AHTS-7'!IB67+'[2]AHTS-8'!IB67+'[3]CB-1'!IB67+'[3]CB-2'!IB67+'[3]CB-3'!IB67+'[3]CB-4'!IB67+'[3]CB-5'!IB67+'[3]CB-6'!IB67+'[3]CB-7'!IB67+'[3]CB-8'!IB67+'[3]CB-9'!IB67+'[3]CB-10'!IB67+'[3]CB-11'!IB67+'[3]CB-12'!IB67+'[3]CB-13'!IB67+'[3]CB-14'!IB67+'[3]CB-15'!IB67+'[3]CB-16'!IB67+'[3]CB-17'!IB67+'[3]CB-18'!IB67+'[3]CB-19'!IB67+'[3]CB-20'!IB67+'[3]CB-21'!IB67+'[3]CB-22'!IB67+'[3]CB-23'!IB67+'[3]CB-24'!IB67+'[4]LCT-1'!IB67+'[4]LCT-2'!IB67+'[4]LCT-3'!IB67+'[4]LCT-4'!IB67+'[4]LCT-5'!IB67+'[4]LCT-6'!IB67+'[4]LCT-7'!IB67+'[4]LCT-8'!IB67+'[5]TB-1'!IB67+'[5]TB-2'!IB67+'[5]TB-3'!IB67+'[5]TB-4'!IB67+'[5]TB-5'!IB67+'[5]TB-6'!IB67+'[5]TB-7'!IB67+'[5]TB-8'!IB67+'[5]TB-9'!IB67+'[5]TB-10'!IB67+'[6]DSV-1'!IB67+'[6]DSV-2'!IB67+'[6]DSV-3'!IB67+'[7]TUB-1'!IB67+'[7]TUB-2'!IB67+'[8]Barge-1'!IB67+'[8]Barge-2'!IB67+'[8]Barge-3'!IB67+'[8]Barge-4'!IB67</f>
        <v>34307983.333333328</v>
      </c>
      <c r="AA29" s="146">
        <f>'[2]AHTS-1'!IB29+'[2]AHTS-2'!IB29+'[2]AHTS-3'!IB29+'[2]AHTS-4'!IB29+'[2]AHTS-5'!IB29+'[2]AHTS-6'!IB29+'[2]AHTS-7'!IB29+'[2]AHTS-8'!IB29+'[3]CB-1'!IB29+'[3]CB-2'!IB29+'[3]CB-3'!IB29+'[3]CB-4'!IB29+'[3]CB-5'!IB29+'[3]CB-6'!IB29+'[3]CB-7'!IB29+'[3]CB-8'!IB29+'[3]CB-9'!IB29+'[3]CB-10'!IB29+'[3]CB-11'!IB29+'[3]CB-12'!IB29+'[3]CB-13'!IB29+'[3]CB-14'!IB29+'[3]CB-15'!IB29+'[3]CB-16'!IB29+'[3]CB-17'!IB29+'[3]CB-18'!IB29+'[3]CB-19'!IB29+'[3]CB-20'!IB29+'[3]CB-21'!IB29+'[3]CB-22'!IB29+'[3]CB-23'!IB29+'[3]CB-24'!IB29+'[4]LCT-1'!IB29+'[4]LCT-2'!IB29+'[4]LCT-3'!IB29+'[4]LCT-4'!IB29+'[4]LCT-5'!IB29+'[4]LCT-6'!IB29+'[4]LCT-7'!IB29+'[4]LCT-8'!IB29+'[5]TB-1'!IB29+'[5]TB-2'!IB29+'[5]TB-3'!IB29+'[5]TB-4'!IB29+'[5]TB-5'!IB29+'[5]TB-6'!IB29+'[5]TB-7'!IB29+'[5]TB-8'!IB29+'[5]TB-9'!IB29+'[5]TB-10'!IB29+'[6]DSV-1'!IB29+'[6]DSV-2'!IB29+'[6]DSV-3'!IB29+'[7]TUB-1'!IB29+'[7]TUB-2'!IB29+'[8]Barge-1'!IB29+'[8]Barge-2'!IB29+'[8]Barge-3'!IB29+'[8]Barge-4'!IB29</f>
        <v>45116666.666666672</v>
      </c>
      <c r="AB29" s="147">
        <f>'[2]AHTS-1'!IB100+'[2]AHTS-2'!IB100+'[2]AHTS-3'!IB100+'[2]AHTS-4'!IB100+'[2]AHTS-5'!IB100+'[2]AHTS-6'!IB100+'[2]AHTS-7'!IB100+'[2]AHTS-8'!IB100+'[3]CB-1'!IB100+'[3]CB-2'!IB100+'[3]CB-3'!IB100+'[3]CB-4'!IB100+'[3]CB-5'!IB100+'[3]CB-6'!IB100+'[3]CB-7'!IB100+'[3]CB-8'!IB100+'[3]CB-9'!IB100+'[3]CB-10'!IB100+'[3]CB-11'!IB100+'[3]CB-12'!IB100+'[3]CB-13'!IB100+'[3]CB-14'!IB100+'[3]CB-15'!IB100+'[3]CB-16'!IB100+'[3]CB-17'!IB100+'[3]CB-18'!IB100+'[3]CB-19'!IB100+'[3]CB-20'!IB100+'[3]CB-21'!IB100+'[3]CB-22'!IB100+'[3]CB-23'!IB100+'[3]CB-24'!IB100+'[4]LCT-1'!IB100+'[4]LCT-2'!IB100+'[4]LCT-3'!IB100+'[4]LCT-4'!IB100+'[4]LCT-5'!IB100+'[4]LCT-6'!IB100+'[4]LCT-7'!IB100+'[4]LCT-8'!IB100+'[5]TB-1'!IB100+'[5]TB-2'!IB100+'[5]TB-3'!IB100+'[5]TB-4'!IB100+'[5]TB-5'!IB100+'[5]TB-6'!IB100+'[5]TB-7'!IB100+'[5]TB-8'!IB100+'[5]TB-9'!IB100+'[5]TB-10'!IB100+'[6]DSV-1'!IB100+'[6]DSV-2'!IB100+'[6]DSV-3'!IB100+'[7]TUB-1'!IB100+'[7]TUB-2'!IB100+'[8]Barge-1'!IB100+'[8]Barge-2'!IB100+'[8]Barge-3'!IB100+'[8]Barge-4'!IB100</f>
        <v>0</v>
      </c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</row>
    <row r="30" spans="1:79" s="84" customFormat="1" ht="14.25" customHeight="1" thickBot="1" x14ac:dyDescent="0.3">
      <c r="A30" s="119">
        <f>[1]Control!AZ30</f>
        <v>46005</v>
      </c>
      <c r="B30" s="81"/>
      <c r="C30" s="159">
        <f>'[2]AHTS-1'!AT30+'[2]AHTS-2'!AT30+'[2]AHTS-3'!AT30+'[2]AHTS-4'!AT30+'[2]AHTS-5'!AT30+'[2]AHTS-6'!AT30+'[2]AHTS-7'!AT30+'[2]AHTS-8'!AT30+'[3]CB-1'!AT30+'[3]CB-2'!AT30+'[3]CB-3'!AT30+'[3]CB-4'!AT30+'[3]CB-5'!AT30+'[3]CB-6'!AT30+'[3]CB-7'!AT30+'[3]CB-8'!AT30+'[3]CB-9'!AT30+'[3]CB-10'!AT30+'[3]CB-11'!AT30+'[3]CB-12'!AT30+'[3]CB-13'!AT30+'[3]CB-14'!AT30+'[3]CB-15'!AT30+'[3]CB-16'!AT30+'[3]CB-17'!AT30+'[3]CB-18'!AT30+'[3]CB-19'!AT30+'[3]CB-20'!AT30+'[3]CB-21'!AT30+'[3]CB-22'!AT30+'[3]CB-23'!AT30+'[3]CB-24'!AT30+'[4]LCT-1'!AT30+'[4]LCT-2'!AT30+'[4]LCT-3'!AT30+'[4]LCT-4'!AT30+'[4]LCT-5'!AT30+'[4]LCT-6'!AT30+'[4]LCT-7'!AT30+'[4]LCT-8'!AT30+'[5]TB-1'!AT30+'[5]TB-2'!AT30+'[5]TB-3'!AT30+'[5]TB-4'!AT30+'[5]TB-5'!AT30+'[5]TB-6'!AT30+'[5]TB-7'!AT30+'[5]TB-8'!AT30+'[5]TB-9'!AT30+'[5]TB-10'!AT30+'[6]DSV-1'!AT30+'[6]DSV-2'!AT30+'[6]DSV-3'!AT30+'[7]TUB-1'!AT30+'[7]TUB-2'!AT30+'[8]Barge-1'!AT30+'[8]Barge-2'!AT30+'[8]Barge-3'!AT30+'[8]Barge-4'!AT30</f>
        <v>0</v>
      </c>
      <c r="D30" s="160">
        <f>'[2]AHTS-1'!BP30+'[2]AHTS-2'!BP30+'[2]AHTS-3'!BP30+'[2]AHTS-4'!BP30+'[2]AHTS-5'!BP30+'[2]AHTS-6'!BP30+'[2]AHTS-7'!BP30+'[2]AHTS-8'!BP30+'[3]CB-1'!BP30+'[3]CB-2'!BP30+'[3]CB-3'!BP30+'[3]CB-4'!BP30+'[3]CB-5'!BP30+'[3]CB-6'!BP30+'[3]CB-7'!BP30+'[3]CB-8'!BP30+'[3]CB-9'!BP30+'[3]CB-10'!BP30+'[3]CB-11'!BP30+'[3]CB-12'!BP30+'[3]CB-13'!BP30+'[3]CB-14'!BP30+'[3]CB-15'!BP30+'[3]CB-16'!BP30+'[3]CB-17'!BP30+'[3]CB-18'!BP30+'[3]CB-19'!BP30+'[3]CB-20'!BP30+'[3]CB-21'!BP30+'[3]CB-22'!BP30+'[3]CB-23'!BP30+'[3]CB-24'!BP30+'[4]LCT-1'!BP30+'[4]LCT-2'!BP30+'[4]LCT-3'!BP30+'[4]LCT-4'!BP30+'[4]LCT-5'!BP30+'[4]LCT-6'!BP30+'[4]LCT-7'!BP30+'[4]LCT-8'!BP30+'[5]TB-1'!BP30+'[5]TB-2'!BP30+'[5]TB-3'!BP30+'[5]TB-4'!BP30+'[5]TB-5'!BP30+'[5]TB-6'!BP30+'[5]TB-7'!BP30+'[5]TB-8'!BP30+'[5]TB-9'!BP30+'[5]TB-10'!BP30+'[6]DSV-1'!BP30+'[6]DSV-2'!BP30+'[6]DSV-3'!BP30+'[7]TUB-1'!BP30+'[7]TUB-2'!BP30+'[8]Barge-1'!BP30+'[8]Barge-2'!BP30+'[8]Barge-3'!BP30+'[8]Barge-4'!BP30</f>
        <v>0</v>
      </c>
      <c r="E30" s="161">
        <f>'[2]AHTS-1'!CL30+'[2]AHTS-2'!CL30+'[2]AHTS-3'!CL30+'[2]AHTS-4'!CL30+'[2]AHTS-5'!CL30+'[2]AHTS-6'!CL30+'[2]AHTS-7'!CL30+'[2]AHTS-8'!CL30+'[3]CB-1'!CL30+'[3]CB-2'!CL30+'[3]CB-3'!CL30+'[3]CB-4'!CL30+'[3]CB-5'!CL30+'[3]CB-6'!CL30+'[3]CB-7'!CL30+'[3]CB-8'!CL30+'[3]CB-9'!CL30+'[3]CB-10'!CL30+'[3]CB-11'!CL30+'[3]CB-12'!CL30+'[3]CB-13'!CL30+'[3]CB-14'!CL30+'[3]CB-15'!CL30+'[3]CB-16'!CL30+'[3]CB-17'!CL30+'[3]CB-18'!CL30+'[3]CB-19'!CL30+'[3]CB-20'!CL30+'[3]CB-21'!CL30+'[3]CB-22'!CL30+'[3]CB-23'!CL30+'[3]CB-24'!CL30+'[4]LCT-1'!CL30+'[4]LCT-2'!CL30+'[4]LCT-3'!CL30+'[4]LCT-4'!CL30+'[4]LCT-5'!CL30+'[4]LCT-6'!CL30+'[4]LCT-7'!CL30+'[4]LCT-8'!CL30+'[5]TB-1'!CL30+'[5]TB-2'!CL30+'[5]TB-3'!CL30+'[5]TB-4'!CL30+'[5]TB-5'!CL30+'[5]TB-6'!CL30+'[5]TB-7'!CL30+'[5]TB-8'!CL30+'[5]TB-9'!CL30+'[5]TB-10'!CL30+'[6]DSV-1'!CL30+'[6]DSV-2'!CL30+'[6]DSV-3'!CL30+'[7]TUB-1'!CL30+'[7]TUB-2'!CL30+'[8]Barge-1'!CL30+'[8]Barge-2'!CL30+'[8]Barge-3'!CL30+'[8]Barge-4'!CL30</f>
        <v>0</v>
      </c>
      <c r="F30" s="159">
        <f>'[2]AHTS-1'!AU30+'[2]AHTS-2'!AU30+'[2]AHTS-3'!AU30+'[2]AHTS-4'!AU30+'[2]AHTS-5'!AU30+'[2]AHTS-6'!AU30+'[2]AHTS-7'!AU30+'[2]AHTS-8'!AU30+'[3]CB-1'!AU30+'[3]CB-2'!AU30+'[3]CB-3'!AU30+'[3]CB-4'!AU30+'[3]CB-5'!AU30+'[3]CB-6'!AU30+'[3]CB-7'!AU30+'[3]CB-8'!AU30+'[3]CB-9'!AU30+'[3]CB-10'!AU30+'[3]CB-11'!AU30+'[3]CB-12'!AU30+'[3]CB-13'!AU30+'[3]CB-14'!AU30+'[3]CB-15'!AU30+'[3]CB-16'!AU30+'[3]CB-17'!AU30+'[3]CB-18'!AU30+'[3]CB-19'!AU30+'[3]CB-20'!AU30+'[3]CB-21'!AU30+'[3]CB-22'!AU30+'[3]CB-23'!AU30+'[3]CB-24'!AU30+'[4]LCT-1'!AU30+'[4]LCT-2'!AU30+'[4]LCT-3'!AU30+'[4]LCT-4'!AU30+'[4]LCT-5'!AU30+'[4]LCT-6'!AU30+'[4]LCT-7'!AU30+'[4]LCT-8'!AU30+'[5]TB-1'!AU30+'[5]TB-2'!AU30+'[5]TB-3'!AU30+'[5]TB-4'!AU30+'[5]TB-5'!AU30+'[5]TB-6'!AU30+'[5]TB-7'!AU30+'[5]TB-8'!AU30+'[5]TB-9'!AU30+'[5]TB-10'!AU30+'[6]DSV-1'!AU30+'[6]DSV-2'!AU30+'[6]DSV-3'!AU30+'[7]TUB-1'!AU30+'[7]TUB-2'!AU30+'[8]Barge-1'!AU30+'[8]Barge-2'!AU30+'[8]Barge-3'!AU30+'[8]Barge-4'!AU30</f>
        <v>2019.0058294259284</v>
      </c>
      <c r="G30" s="160">
        <f>'[2]AHTS-1'!BQ30+'[2]AHTS-2'!BQ30+'[2]AHTS-3'!BQ30+'[2]AHTS-4'!BQ30+'[2]AHTS-5'!BQ30+'[2]AHTS-6'!BQ30+'[2]AHTS-7'!BQ30+'[2]AHTS-8'!BQ30+'[3]CB-1'!BQ30+'[3]CB-2'!BQ30+'[3]CB-3'!BQ30+'[3]CB-4'!BQ30+'[3]CB-5'!BQ30+'[3]CB-6'!BQ30+'[3]CB-7'!BQ30+'[3]CB-8'!BQ30+'[3]CB-9'!BQ30+'[3]CB-10'!BQ30+'[3]CB-11'!BQ30+'[3]CB-12'!BQ30+'[3]CB-13'!BQ30+'[3]CB-14'!BQ30+'[3]CB-15'!BQ30+'[3]CB-16'!BQ30+'[3]CB-17'!BQ30+'[3]CB-18'!BQ30+'[3]CB-19'!BQ30+'[3]CB-20'!BQ30+'[3]CB-21'!BQ30+'[3]CB-22'!BQ30+'[3]CB-23'!BQ30+'[3]CB-24'!BQ30+'[4]LCT-1'!BQ30+'[4]LCT-2'!BQ30+'[4]LCT-3'!BQ30+'[4]LCT-4'!BQ30+'[4]LCT-5'!BQ30+'[4]LCT-6'!BQ30+'[4]LCT-7'!BQ30+'[4]LCT-8'!BQ30+'[5]TB-1'!BQ30+'[5]TB-2'!BQ30+'[5]TB-3'!BQ30+'[5]TB-4'!BQ30+'[5]TB-5'!BQ30+'[5]TB-6'!BQ30+'[5]TB-7'!BQ30+'[5]TB-8'!BQ30+'[5]TB-9'!BQ30+'[5]TB-10'!BQ30+'[6]DSV-1'!BQ30+'[6]DSV-2'!BQ30+'[6]DSV-3'!BQ30+'[7]TUB-1'!BQ30+'[7]TUB-2'!BQ30+'[8]Barge-1'!BQ30+'[8]Barge-2'!BQ30+'[8]Barge-3'!BQ30+'[8]Barge-4'!BQ30</f>
        <v>2721.4548219490562</v>
      </c>
      <c r="H30" s="161">
        <f>'[2]AHTS-1'!CM30+'[2]AHTS-2'!CM30+'[2]AHTS-3'!CM30+'[2]AHTS-4'!CM30+'[2]AHTS-5'!CM30+'[2]AHTS-6'!CM30+'[2]AHTS-7'!CM30+'[2]AHTS-8'!CM30+'[3]CB-1'!CM30+'[3]CB-2'!CM30+'[3]CB-3'!CM30+'[3]CB-4'!CM30+'[3]CB-5'!CM30+'[3]CB-6'!CM30+'[3]CB-7'!CM30+'[3]CB-8'!CM30+'[3]CB-9'!CM30+'[3]CB-10'!CM30+'[3]CB-11'!CM30+'[3]CB-12'!CM30+'[3]CB-13'!CM30+'[3]CB-14'!CM30+'[3]CB-15'!CM30+'[3]CB-16'!CM30+'[3]CB-17'!CM30+'[3]CB-18'!CM30+'[3]CB-19'!CM30+'[3]CB-20'!CM30+'[3]CB-21'!CM30+'[3]CB-22'!CM30+'[3]CB-23'!CM30+'[3]CB-24'!CM30+'[4]LCT-1'!CM30+'[4]LCT-2'!CM30+'[4]LCT-3'!CM30+'[4]LCT-4'!CM30+'[4]LCT-5'!CM30+'[4]LCT-6'!CM30+'[4]LCT-7'!CM30+'[4]LCT-8'!CM30+'[5]TB-1'!CM30+'[5]TB-2'!CM30+'[5]TB-3'!CM30+'[5]TB-4'!CM30+'[5]TB-5'!CM30+'[5]TB-6'!CM30+'[5]TB-7'!CM30+'[5]TB-8'!CM30+'[5]TB-9'!CM30+'[5]TB-10'!CM30+'[6]DSV-1'!CM30+'[6]DSV-2'!CM30+'[6]DSV-3'!CM30+'[7]TUB-1'!CM30+'[7]TUB-2'!CM30+'[8]Barge-1'!CM30+'[8]Barge-2'!CM30+'[8]Barge-3'!CM30+'[8]Barge-4'!CM30</f>
        <v>0</v>
      </c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110"/>
      <c r="U30" s="119">
        <f>[1]Control!AZ30</f>
        <v>46005</v>
      </c>
      <c r="V30" s="81"/>
      <c r="W30" s="145">
        <f>'[2]AHTS-1'!IA68+'[2]AHTS-2'!IA68+'[2]AHTS-3'!IA68+'[2]AHTS-4'!IA68+'[2]AHTS-5'!IA68+'[2]AHTS-6'!IA68+'[2]AHTS-7'!IA68+'[2]AHTS-8'!IA68+'[3]CB-1'!IA68+'[3]CB-2'!IA68+'[3]CB-3'!IA68+'[3]CB-4'!IA68+'[3]CB-5'!IA68+'[3]CB-6'!IA68+'[3]CB-7'!IA68+'[3]CB-8'!IA68+'[3]CB-9'!IA68+'[3]CB-10'!IA68+'[3]CB-11'!IA68+'[3]CB-12'!IA68+'[3]CB-13'!IA68+'[3]CB-14'!IA68+'[3]CB-15'!IA68+'[3]CB-16'!IA68+'[3]CB-17'!IA68+'[3]CB-18'!IA68+'[3]CB-19'!IA68+'[3]CB-20'!IA68+'[3]CB-21'!IA68+'[3]CB-22'!IA68+'[3]CB-23'!IA68+'[3]CB-24'!IA68+'[4]LCT-1'!IA68+'[4]LCT-2'!IA68+'[4]LCT-3'!IA68+'[4]LCT-4'!IA68+'[4]LCT-5'!IA68+'[4]LCT-6'!IA68+'[4]LCT-7'!IA68+'[4]LCT-8'!IA68+'[5]TB-1'!IA68+'[5]TB-2'!IA68+'[5]TB-3'!IA68+'[5]TB-4'!IA68+'[5]TB-5'!IA68+'[5]TB-6'!IA68+'[5]TB-7'!IA68+'[5]TB-8'!IA68+'[5]TB-9'!IA68+'[5]TB-10'!IA68+'[6]DSV-1'!IA68+'[6]DSV-2'!IA68+'[6]DSV-3'!IA68+'[7]TUB-1'!IA68+'[7]TUB-2'!IA68+'[8]Barge-1'!IA68+'[8]Barge-2'!IA68+'[8]Barge-3'!IA68+'[8]Barge-4'!IA68</f>
        <v>0</v>
      </c>
      <c r="X30" s="146">
        <f>'[2]AHTS-1'!IA30+'[2]AHTS-2'!IA30+'[2]AHTS-3'!IA30+'[2]AHTS-4'!IA30+'[2]AHTS-5'!IA30+'[2]AHTS-6'!IA30+'[2]AHTS-7'!IA30+'[2]AHTS-8'!IA30+'[3]CB-1'!IA30+'[3]CB-2'!IA30+'[3]CB-3'!IA30+'[3]CB-4'!IA30+'[3]CB-5'!IA30+'[3]CB-6'!IA30+'[3]CB-7'!IA30+'[3]CB-8'!IA30+'[3]CB-9'!IA30+'[3]CB-10'!IA30+'[3]CB-11'!IA30+'[3]CB-12'!IA30+'[3]CB-13'!IA30+'[3]CB-14'!IA30+'[3]CB-15'!IA30+'[3]CB-16'!IA30+'[3]CB-17'!IA30+'[3]CB-18'!IA30+'[3]CB-19'!IA30+'[3]CB-20'!IA30+'[3]CB-21'!IA30+'[3]CB-22'!IA30+'[3]CB-23'!IA30+'[3]CB-24'!IA30+'[4]LCT-1'!IA30+'[4]LCT-2'!IA30+'[4]LCT-3'!IA30+'[4]LCT-4'!IA30+'[4]LCT-5'!IA30+'[4]LCT-6'!IA30+'[4]LCT-7'!IA30+'[4]LCT-8'!IA30+'[5]TB-1'!IA30+'[5]TB-2'!IA30+'[5]TB-3'!IA30+'[5]TB-4'!IA30+'[5]TB-5'!IA30+'[5]TB-6'!IA30+'[5]TB-7'!IA30+'[5]TB-8'!IA30+'[5]TB-9'!IA30+'[5]TB-10'!IA30+'[6]DSV-1'!IA30+'[6]DSV-2'!IA30+'[6]DSV-3'!IA30+'[7]TUB-1'!IA30+'[7]TUB-2'!IA30+'[8]Barge-1'!IA30+'[8]Barge-2'!IA30+'[8]Barge-3'!IA30+'[8]Barge-4'!IA30</f>
        <v>0</v>
      </c>
      <c r="Y30" s="147">
        <f>'[2]AHTS-1'!IA101+'[2]AHTS-2'!IA101+'[2]AHTS-3'!IA101+'[2]AHTS-4'!IA101+'[2]AHTS-5'!IA101+'[2]AHTS-6'!IA101+'[2]AHTS-7'!IA101+'[2]AHTS-8'!IA101+'[3]CB-1'!IA101+'[3]CB-2'!IA101+'[3]CB-3'!IA101+'[3]CB-4'!IA101+'[3]CB-5'!IA101+'[3]CB-6'!IA101+'[3]CB-7'!IA101+'[3]CB-8'!IA101+'[3]CB-9'!IA101+'[3]CB-10'!IA101+'[3]CB-11'!IA101+'[3]CB-12'!IA101+'[3]CB-13'!IA101+'[3]CB-14'!IA101+'[3]CB-15'!IA101+'[3]CB-16'!IA101+'[3]CB-17'!IA101+'[3]CB-18'!IA101+'[3]CB-19'!IA101+'[3]CB-20'!IA101+'[3]CB-21'!IA101+'[3]CB-22'!IA101+'[3]CB-23'!IA101+'[3]CB-24'!IA101+'[4]LCT-1'!IA101+'[4]LCT-2'!IA101+'[4]LCT-3'!IA101+'[4]LCT-4'!IA101+'[4]LCT-5'!IA101+'[4]LCT-6'!IA101+'[4]LCT-7'!IA101+'[4]LCT-8'!IA101+'[5]TB-1'!IA101+'[5]TB-2'!IA101+'[5]TB-3'!IA101+'[5]TB-4'!IA101+'[5]TB-5'!IA101+'[5]TB-6'!IA101+'[5]TB-7'!IA101+'[5]TB-8'!IA101+'[5]TB-9'!IA101+'[5]TB-10'!IA101+'[6]DSV-1'!IA101+'[6]DSV-2'!IA101+'[6]DSV-3'!IA101+'[7]TUB-1'!IA101+'[7]TUB-2'!IA101+'[8]Barge-1'!IA101+'[8]Barge-2'!IA101+'[8]Barge-3'!IA101+'[8]Barge-4'!IA101</f>
        <v>0</v>
      </c>
      <c r="Z30" s="145">
        <f>'[2]AHTS-1'!IB68+'[2]AHTS-2'!IB68+'[2]AHTS-3'!IB68+'[2]AHTS-4'!IB68+'[2]AHTS-5'!IB68+'[2]AHTS-6'!IB68+'[2]AHTS-7'!IB68+'[2]AHTS-8'!IB68+'[3]CB-1'!IB68+'[3]CB-2'!IB68+'[3]CB-3'!IB68+'[3]CB-4'!IB68+'[3]CB-5'!IB68+'[3]CB-6'!IB68+'[3]CB-7'!IB68+'[3]CB-8'!IB68+'[3]CB-9'!IB68+'[3]CB-10'!IB68+'[3]CB-11'!IB68+'[3]CB-12'!IB68+'[3]CB-13'!IB68+'[3]CB-14'!IB68+'[3]CB-15'!IB68+'[3]CB-16'!IB68+'[3]CB-17'!IB68+'[3]CB-18'!IB68+'[3]CB-19'!IB68+'[3]CB-20'!IB68+'[3]CB-21'!IB68+'[3]CB-22'!IB68+'[3]CB-23'!IB68+'[3]CB-24'!IB68+'[4]LCT-1'!IB68+'[4]LCT-2'!IB68+'[4]LCT-3'!IB68+'[4]LCT-4'!IB68+'[4]LCT-5'!IB68+'[4]LCT-6'!IB68+'[4]LCT-7'!IB68+'[4]LCT-8'!IB68+'[5]TB-1'!IB68+'[5]TB-2'!IB68+'[5]TB-3'!IB68+'[5]TB-4'!IB68+'[5]TB-5'!IB68+'[5]TB-6'!IB68+'[5]TB-7'!IB68+'[5]TB-8'!IB68+'[5]TB-9'!IB68+'[5]TB-10'!IB68+'[6]DSV-1'!IB68+'[6]DSV-2'!IB68+'[6]DSV-3'!IB68+'[7]TUB-1'!IB68+'[7]TUB-2'!IB68+'[8]Barge-1'!IB68+'[8]Barge-2'!IB68+'[8]Barge-3'!IB68+'[8]Barge-4'!IB68</f>
        <v>31863950</v>
      </c>
      <c r="AA30" s="146">
        <f>'[2]AHTS-1'!IB30+'[2]AHTS-2'!IB30+'[2]AHTS-3'!IB30+'[2]AHTS-4'!IB30+'[2]AHTS-5'!IB30+'[2]AHTS-6'!IB30+'[2]AHTS-7'!IB30+'[2]AHTS-8'!IB30+'[3]CB-1'!IB30+'[3]CB-2'!IB30+'[3]CB-3'!IB30+'[3]CB-4'!IB30+'[3]CB-5'!IB30+'[3]CB-6'!IB30+'[3]CB-7'!IB30+'[3]CB-8'!IB30+'[3]CB-9'!IB30+'[3]CB-10'!IB30+'[3]CB-11'!IB30+'[3]CB-12'!IB30+'[3]CB-13'!IB30+'[3]CB-14'!IB30+'[3]CB-15'!IB30+'[3]CB-16'!IB30+'[3]CB-17'!IB30+'[3]CB-18'!IB30+'[3]CB-19'!IB30+'[3]CB-20'!IB30+'[3]CB-21'!IB30+'[3]CB-22'!IB30+'[3]CB-23'!IB30+'[3]CB-24'!IB30+'[4]LCT-1'!IB30+'[4]LCT-2'!IB30+'[4]LCT-3'!IB30+'[4]LCT-4'!IB30+'[4]LCT-5'!IB30+'[4]LCT-6'!IB30+'[4]LCT-7'!IB30+'[4]LCT-8'!IB30+'[5]TB-1'!IB30+'[5]TB-2'!IB30+'[5]TB-3'!IB30+'[5]TB-4'!IB30+'[5]TB-5'!IB30+'[5]TB-6'!IB30+'[5]TB-7'!IB30+'[5]TB-8'!IB30+'[5]TB-9'!IB30+'[5]TB-10'!IB30+'[6]DSV-1'!IB30+'[6]DSV-2'!IB30+'[6]DSV-3'!IB30+'[7]TUB-1'!IB30+'[7]TUB-2'!IB30+'[8]Barge-1'!IB30+'[8]Barge-2'!IB30+'[8]Barge-3'!IB30+'[8]Barge-4'!IB30</f>
        <v>42950000</v>
      </c>
      <c r="AB30" s="147">
        <f>'[2]AHTS-1'!IB101+'[2]AHTS-2'!IB101+'[2]AHTS-3'!IB101+'[2]AHTS-4'!IB101+'[2]AHTS-5'!IB101+'[2]AHTS-6'!IB101+'[2]AHTS-7'!IB101+'[2]AHTS-8'!IB101+'[3]CB-1'!IB101+'[3]CB-2'!IB101+'[3]CB-3'!IB101+'[3]CB-4'!IB101+'[3]CB-5'!IB101+'[3]CB-6'!IB101+'[3]CB-7'!IB101+'[3]CB-8'!IB101+'[3]CB-9'!IB101+'[3]CB-10'!IB101+'[3]CB-11'!IB101+'[3]CB-12'!IB101+'[3]CB-13'!IB101+'[3]CB-14'!IB101+'[3]CB-15'!IB101+'[3]CB-16'!IB101+'[3]CB-17'!IB101+'[3]CB-18'!IB101+'[3]CB-19'!IB101+'[3]CB-20'!IB101+'[3]CB-21'!IB101+'[3]CB-22'!IB101+'[3]CB-23'!IB101+'[3]CB-24'!IB101+'[4]LCT-1'!IB101+'[4]LCT-2'!IB101+'[4]LCT-3'!IB101+'[4]LCT-4'!IB101+'[4]LCT-5'!IB101+'[4]LCT-6'!IB101+'[4]LCT-7'!IB101+'[4]LCT-8'!IB101+'[5]TB-1'!IB101+'[5]TB-2'!IB101+'[5]TB-3'!IB101+'[5]TB-4'!IB101+'[5]TB-5'!IB101+'[5]TB-6'!IB101+'[5]TB-7'!IB101+'[5]TB-8'!IB101+'[5]TB-9'!IB101+'[5]TB-10'!IB101+'[6]DSV-1'!IB101+'[6]DSV-2'!IB101+'[6]DSV-3'!IB101+'[7]TUB-1'!IB101+'[7]TUB-2'!IB101+'[8]Barge-1'!IB101+'[8]Barge-2'!IB101+'[8]Barge-3'!IB101+'[8]Barge-4'!IB101</f>
        <v>0</v>
      </c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</row>
    <row r="31" spans="1:79" s="84" customFormat="1" ht="14.25" customHeight="1" thickBot="1" x14ac:dyDescent="0.3">
      <c r="A31" s="119">
        <f>[1]Control!AZ31</f>
        <v>46006</v>
      </c>
      <c r="B31" s="81"/>
      <c r="C31" s="159">
        <f>'[2]AHTS-1'!AT31+'[2]AHTS-2'!AT31+'[2]AHTS-3'!AT31+'[2]AHTS-4'!AT31+'[2]AHTS-5'!AT31+'[2]AHTS-6'!AT31+'[2]AHTS-7'!AT31+'[2]AHTS-8'!AT31+'[3]CB-1'!AT31+'[3]CB-2'!AT31+'[3]CB-3'!AT31+'[3]CB-4'!AT31+'[3]CB-5'!AT31+'[3]CB-6'!AT31+'[3]CB-7'!AT31+'[3]CB-8'!AT31+'[3]CB-9'!AT31+'[3]CB-10'!AT31+'[3]CB-11'!AT31+'[3]CB-12'!AT31+'[3]CB-13'!AT31+'[3]CB-14'!AT31+'[3]CB-15'!AT31+'[3]CB-16'!AT31+'[3]CB-17'!AT31+'[3]CB-18'!AT31+'[3]CB-19'!AT31+'[3]CB-20'!AT31+'[3]CB-21'!AT31+'[3]CB-22'!AT31+'[3]CB-23'!AT31+'[3]CB-24'!AT31+'[4]LCT-1'!AT31+'[4]LCT-2'!AT31+'[4]LCT-3'!AT31+'[4]LCT-4'!AT31+'[4]LCT-5'!AT31+'[4]LCT-6'!AT31+'[4]LCT-7'!AT31+'[4]LCT-8'!AT31+'[5]TB-1'!AT31+'[5]TB-2'!AT31+'[5]TB-3'!AT31+'[5]TB-4'!AT31+'[5]TB-5'!AT31+'[5]TB-6'!AT31+'[5]TB-7'!AT31+'[5]TB-8'!AT31+'[5]TB-9'!AT31+'[5]TB-10'!AT31+'[6]DSV-1'!AT31+'[6]DSV-2'!AT31+'[6]DSV-3'!AT31+'[7]TUB-1'!AT31+'[7]TUB-2'!AT31+'[8]Barge-1'!AT31+'[8]Barge-2'!AT31+'[8]Barge-3'!AT31+'[8]Barge-4'!AT31</f>
        <v>0</v>
      </c>
      <c r="D31" s="160">
        <f>'[2]AHTS-1'!BP31+'[2]AHTS-2'!BP31+'[2]AHTS-3'!BP31+'[2]AHTS-4'!BP31+'[2]AHTS-5'!BP31+'[2]AHTS-6'!BP31+'[2]AHTS-7'!BP31+'[2]AHTS-8'!BP31+'[3]CB-1'!BP31+'[3]CB-2'!BP31+'[3]CB-3'!BP31+'[3]CB-4'!BP31+'[3]CB-5'!BP31+'[3]CB-6'!BP31+'[3]CB-7'!BP31+'[3]CB-8'!BP31+'[3]CB-9'!BP31+'[3]CB-10'!BP31+'[3]CB-11'!BP31+'[3]CB-12'!BP31+'[3]CB-13'!BP31+'[3]CB-14'!BP31+'[3]CB-15'!BP31+'[3]CB-16'!BP31+'[3]CB-17'!BP31+'[3]CB-18'!BP31+'[3]CB-19'!BP31+'[3]CB-20'!BP31+'[3]CB-21'!BP31+'[3]CB-22'!BP31+'[3]CB-23'!BP31+'[3]CB-24'!BP31+'[4]LCT-1'!BP31+'[4]LCT-2'!BP31+'[4]LCT-3'!BP31+'[4]LCT-4'!BP31+'[4]LCT-5'!BP31+'[4]LCT-6'!BP31+'[4]LCT-7'!BP31+'[4]LCT-8'!BP31+'[5]TB-1'!BP31+'[5]TB-2'!BP31+'[5]TB-3'!BP31+'[5]TB-4'!BP31+'[5]TB-5'!BP31+'[5]TB-6'!BP31+'[5]TB-7'!BP31+'[5]TB-8'!BP31+'[5]TB-9'!BP31+'[5]TB-10'!BP31+'[6]DSV-1'!BP31+'[6]DSV-2'!BP31+'[6]DSV-3'!BP31+'[7]TUB-1'!BP31+'[7]TUB-2'!BP31+'[8]Barge-1'!BP31+'[8]Barge-2'!BP31+'[8]Barge-3'!BP31+'[8]Barge-4'!BP31</f>
        <v>0</v>
      </c>
      <c r="E31" s="161">
        <f>'[2]AHTS-1'!CL31+'[2]AHTS-2'!CL31+'[2]AHTS-3'!CL31+'[2]AHTS-4'!CL31+'[2]AHTS-5'!CL31+'[2]AHTS-6'!CL31+'[2]AHTS-7'!CL31+'[2]AHTS-8'!CL31+'[3]CB-1'!CL31+'[3]CB-2'!CL31+'[3]CB-3'!CL31+'[3]CB-4'!CL31+'[3]CB-5'!CL31+'[3]CB-6'!CL31+'[3]CB-7'!CL31+'[3]CB-8'!CL31+'[3]CB-9'!CL31+'[3]CB-10'!CL31+'[3]CB-11'!CL31+'[3]CB-12'!CL31+'[3]CB-13'!CL31+'[3]CB-14'!CL31+'[3]CB-15'!CL31+'[3]CB-16'!CL31+'[3]CB-17'!CL31+'[3]CB-18'!CL31+'[3]CB-19'!CL31+'[3]CB-20'!CL31+'[3]CB-21'!CL31+'[3]CB-22'!CL31+'[3]CB-23'!CL31+'[3]CB-24'!CL31+'[4]LCT-1'!CL31+'[4]LCT-2'!CL31+'[4]LCT-3'!CL31+'[4]LCT-4'!CL31+'[4]LCT-5'!CL31+'[4]LCT-6'!CL31+'[4]LCT-7'!CL31+'[4]LCT-8'!CL31+'[5]TB-1'!CL31+'[5]TB-2'!CL31+'[5]TB-3'!CL31+'[5]TB-4'!CL31+'[5]TB-5'!CL31+'[5]TB-6'!CL31+'[5]TB-7'!CL31+'[5]TB-8'!CL31+'[5]TB-9'!CL31+'[5]TB-10'!CL31+'[6]DSV-1'!CL31+'[6]DSV-2'!CL31+'[6]DSV-3'!CL31+'[7]TUB-1'!CL31+'[7]TUB-2'!CL31+'[8]Barge-1'!CL31+'[8]Barge-2'!CL31+'[8]Barge-3'!CL31+'[8]Barge-4'!CL31</f>
        <v>0</v>
      </c>
      <c r="F31" s="159">
        <f>'[2]AHTS-1'!AU31+'[2]AHTS-2'!AU31+'[2]AHTS-3'!AU31+'[2]AHTS-4'!AU31+'[2]AHTS-5'!AU31+'[2]AHTS-6'!AU31+'[2]AHTS-7'!AU31+'[2]AHTS-8'!AU31+'[3]CB-1'!AU31+'[3]CB-2'!AU31+'[3]CB-3'!AU31+'[3]CB-4'!AU31+'[3]CB-5'!AU31+'[3]CB-6'!AU31+'[3]CB-7'!AU31+'[3]CB-8'!AU31+'[3]CB-9'!AU31+'[3]CB-10'!AU31+'[3]CB-11'!AU31+'[3]CB-12'!AU31+'[3]CB-13'!AU31+'[3]CB-14'!AU31+'[3]CB-15'!AU31+'[3]CB-16'!AU31+'[3]CB-17'!AU31+'[3]CB-18'!AU31+'[3]CB-19'!AU31+'[3]CB-20'!AU31+'[3]CB-21'!AU31+'[3]CB-22'!AU31+'[3]CB-23'!AU31+'[3]CB-24'!AU31+'[4]LCT-1'!AU31+'[4]LCT-2'!AU31+'[4]LCT-3'!AU31+'[4]LCT-4'!AU31+'[4]LCT-5'!AU31+'[4]LCT-6'!AU31+'[4]LCT-7'!AU31+'[4]LCT-8'!AU31+'[5]TB-1'!AU31+'[5]TB-2'!AU31+'[5]TB-3'!AU31+'[5]TB-4'!AU31+'[5]TB-5'!AU31+'[5]TB-6'!AU31+'[5]TB-7'!AU31+'[5]TB-8'!AU31+'[5]TB-9'!AU31+'[5]TB-10'!AU31+'[6]DSV-1'!AU31+'[6]DSV-2'!AU31+'[6]DSV-3'!AU31+'[7]TUB-1'!AU31+'[7]TUB-2'!AU31+'[8]Barge-1'!AU31+'[8]Barge-2'!AU31+'[8]Barge-3'!AU31+'[8]Barge-4'!AU31</f>
        <v>2937.3810873810871</v>
      </c>
      <c r="G31" s="160">
        <f>'[2]AHTS-1'!BQ31+'[2]AHTS-2'!BQ31+'[2]AHTS-3'!BQ31+'[2]AHTS-4'!BQ31+'[2]AHTS-5'!BQ31+'[2]AHTS-6'!BQ31+'[2]AHTS-7'!BQ31+'[2]AHTS-8'!BQ31+'[3]CB-1'!BQ31+'[3]CB-2'!BQ31+'[3]CB-3'!BQ31+'[3]CB-4'!BQ31+'[3]CB-5'!BQ31+'[3]CB-6'!BQ31+'[3]CB-7'!BQ31+'[3]CB-8'!BQ31+'[3]CB-9'!BQ31+'[3]CB-10'!BQ31+'[3]CB-11'!BQ31+'[3]CB-12'!BQ31+'[3]CB-13'!BQ31+'[3]CB-14'!BQ31+'[3]CB-15'!BQ31+'[3]CB-16'!BQ31+'[3]CB-17'!BQ31+'[3]CB-18'!BQ31+'[3]CB-19'!BQ31+'[3]CB-20'!BQ31+'[3]CB-21'!BQ31+'[3]CB-22'!BQ31+'[3]CB-23'!BQ31+'[3]CB-24'!BQ31+'[4]LCT-1'!BQ31+'[4]LCT-2'!BQ31+'[4]LCT-3'!BQ31+'[4]LCT-4'!BQ31+'[4]LCT-5'!BQ31+'[4]LCT-6'!BQ31+'[4]LCT-7'!BQ31+'[4]LCT-8'!BQ31+'[5]TB-1'!BQ31+'[5]TB-2'!BQ31+'[5]TB-3'!BQ31+'[5]TB-4'!BQ31+'[5]TB-5'!BQ31+'[5]TB-6'!BQ31+'[5]TB-7'!BQ31+'[5]TB-8'!BQ31+'[5]TB-9'!BQ31+'[5]TB-10'!BQ31+'[6]DSV-1'!BQ31+'[6]DSV-2'!BQ31+'[6]DSV-3'!BQ31+'[7]TUB-1'!BQ31+'[7]TUB-2'!BQ31+'[8]Barge-1'!BQ31+'[8]Barge-2'!BQ31+'[8]Barge-3'!BQ31+'[8]Barge-4'!BQ31</f>
        <v>3115.3531153531148</v>
      </c>
      <c r="H31" s="161">
        <f>'[2]AHTS-1'!CM31+'[2]AHTS-2'!CM31+'[2]AHTS-3'!CM31+'[2]AHTS-4'!CM31+'[2]AHTS-5'!CM31+'[2]AHTS-6'!CM31+'[2]AHTS-7'!CM31+'[2]AHTS-8'!CM31+'[3]CB-1'!CM31+'[3]CB-2'!CM31+'[3]CB-3'!CM31+'[3]CB-4'!CM31+'[3]CB-5'!CM31+'[3]CB-6'!CM31+'[3]CB-7'!CM31+'[3]CB-8'!CM31+'[3]CB-9'!CM31+'[3]CB-10'!CM31+'[3]CB-11'!CM31+'[3]CB-12'!CM31+'[3]CB-13'!CM31+'[3]CB-14'!CM31+'[3]CB-15'!CM31+'[3]CB-16'!CM31+'[3]CB-17'!CM31+'[3]CB-18'!CM31+'[3]CB-19'!CM31+'[3]CB-20'!CM31+'[3]CB-21'!CM31+'[3]CB-22'!CM31+'[3]CB-23'!CM31+'[3]CB-24'!CM31+'[4]LCT-1'!CM31+'[4]LCT-2'!CM31+'[4]LCT-3'!CM31+'[4]LCT-4'!CM31+'[4]LCT-5'!CM31+'[4]LCT-6'!CM31+'[4]LCT-7'!CM31+'[4]LCT-8'!CM31+'[5]TB-1'!CM31+'[5]TB-2'!CM31+'[5]TB-3'!CM31+'[5]TB-4'!CM31+'[5]TB-5'!CM31+'[5]TB-6'!CM31+'[5]TB-7'!CM31+'[5]TB-8'!CM31+'[5]TB-9'!CM31+'[5]TB-10'!CM31+'[6]DSV-1'!CM31+'[6]DSV-2'!CM31+'[6]DSV-3'!CM31+'[7]TUB-1'!CM31+'[7]TUB-2'!CM31+'[8]Barge-1'!CM31+'[8]Barge-2'!CM31+'[8]Barge-3'!CM31+'[8]Barge-4'!CM31</f>
        <v>0</v>
      </c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110"/>
      <c r="U31" s="119">
        <f>[1]Control!AZ31</f>
        <v>46006</v>
      </c>
      <c r="V31" s="81"/>
      <c r="W31" s="145">
        <f>'[2]AHTS-1'!IA69+'[2]AHTS-2'!IA69+'[2]AHTS-3'!IA69+'[2]AHTS-4'!IA69+'[2]AHTS-5'!IA69+'[2]AHTS-6'!IA69+'[2]AHTS-7'!IA69+'[2]AHTS-8'!IA69+'[3]CB-1'!IA69+'[3]CB-2'!IA69+'[3]CB-3'!IA69+'[3]CB-4'!IA69+'[3]CB-5'!IA69+'[3]CB-6'!IA69+'[3]CB-7'!IA69+'[3]CB-8'!IA69+'[3]CB-9'!IA69+'[3]CB-10'!IA69+'[3]CB-11'!IA69+'[3]CB-12'!IA69+'[3]CB-13'!IA69+'[3]CB-14'!IA69+'[3]CB-15'!IA69+'[3]CB-16'!IA69+'[3]CB-17'!IA69+'[3]CB-18'!IA69+'[3]CB-19'!IA69+'[3]CB-20'!IA69+'[3]CB-21'!IA69+'[3]CB-22'!IA69+'[3]CB-23'!IA69+'[3]CB-24'!IA69+'[4]LCT-1'!IA69+'[4]LCT-2'!IA69+'[4]LCT-3'!IA69+'[4]LCT-4'!IA69+'[4]LCT-5'!IA69+'[4]LCT-6'!IA69+'[4]LCT-7'!IA69+'[4]LCT-8'!IA69+'[5]TB-1'!IA69+'[5]TB-2'!IA69+'[5]TB-3'!IA69+'[5]TB-4'!IA69+'[5]TB-5'!IA69+'[5]TB-6'!IA69+'[5]TB-7'!IA69+'[5]TB-8'!IA69+'[5]TB-9'!IA69+'[5]TB-10'!IA69+'[6]DSV-1'!IA69+'[6]DSV-2'!IA69+'[6]DSV-3'!IA69+'[7]TUB-1'!IA69+'[7]TUB-2'!IA69+'[8]Barge-1'!IA69+'[8]Barge-2'!IA69+'[8]Barge-3'!IA69+'[8]Barge-4'!IA69</f>
        <v>0</v>
      </c>
      <c r="X31" s="146">
        <f>'[2]AHTS-1'!IA31+'[2]AHTS-2'!IA31+'[2]AHTS-3'!IA31+'[2]AHTS-4'!IA31+'[2]AHTS-5'!IA31+'[2]AHTS-6'!IA31+'[2]AHTS-7'!IA31+'[2]AHTS-8'!IA31+'[3]CB-1'!IA31+'[3]CB-2'!IA31+'[3]CB-3'!IA31+'[3]CB-4'!IA31+'[3]CB-5'!IA31+'[3]CB-6'!IA31+'[3]CB-7'!IA31+'[3]CB-8'!IA31+'[3]CB-9'!IA31+'[3]CB-10'!IA31+'[3]CB-11'!IA31+'[3]CB-12'!IA31+'[3]CB-13'!IA31+'[3]CB-14'!IA31+'[3]CB-15'!IA31+'[3]CB-16'!IA31+'[3]CB-17'!IA31+'[3]CB-18'!IA31+'[3]CB-19'!IA31+'[3]CB-20'!IA31+'[3]CB-21'!IA31+'[3]CB-22'!IA31+'[3]CB-23'!IA31+'[3]CB-24'!IA31+'[4]LCT-1'!IA31+'[4]LCT-2'!IA31+'[4]LCT-3'!IA31+'[4]LCT-4'!IA31+'[4]LCT-5'!IA31+'[4]LCT-6'!IA31+'[4]LCT-7'!IA31+'[4]LCT-8'!IA31+'[5]TB-1'!IA31+'[5]TB-2'!IA31+'[5]TB-3'!IA31+'[5]TB-4'!IA31+'[5]TB-5'!IA31+'[5]TB-6'!IA31+'[5]TB-7'!IA31+'[5]TB-8'!IA31+'[5]TB-9'!IA31+'[5]TB-10'!IA31+'[6]DSV-1'!IA31+'[6]DSV-2'!IA31+'[6]DSV-3'!IA31+'[7]TUB-1'!IA31+'[7]TUB-2'!IA31+'[8]Barge-1'!IA31+'[8]Barge-2'!IA31+'[8]Barge-3'!IA31+'[8]Barge-4'!IA31</f>
        <v>0</v>
      </c>
      <c r="Y31" s="147">
        <f>'[2]AHTS-1'!IA102+'[2]AHTS-2'!IA102+'[2]AHTS-3'!IA102+'[2]AHTS-4'!IA102+'[2]AHTS-5'!IA102+'[2]AHTS-6'!IA102+'[2]AHTS-7'!IA102+'[2]AHTS-8'!IA102+'[3]CB-1'!IA102+'[3]CB-2'!IA102+'[3]CB-3'!IA102+'[3]CB-4'!IA102+'[3]CB-5'!IA102+'[3]CB-6'!IA102+'[3]CB-7'!IA102+'[3]CB-8'!IA102+'[3]CB-9'!IA102+'[3]CB-10'!IA102+'[3]CB-11'!IA102+'[3]CB-12'!IA102+'[3]CB-13'!IA102+'[3]CB-14'!IA102+'[3]CB-15'!IA102+'[3]CB-16'!IA102+'[3]CB-17'!IA102+'[3]CB-18'!IA102+'[3]CB-19'!IA102+'[3]CB-20'!IA102+'[3]CB-21'!IA102+'[3]CB-22'!IA102+'[3]CB-23'!IA102+'[3]CB-24'!IA102+'[4]LCT-1'!IA102+'[4]LCT-2'!IA102+'[4]LCT-3'!IA102+'[4]LCT-4'!IA102+'[4]LCT-5'!IA102+'[4]LCT-6'!IA102+'[4]LCT-7'!IA102+'[4]LCT-8'!IA102+'[5]TB-1'!IA102+'[5]TB-2'!IA102+'[5]TB-3'!IA102+'[5]TB-4'!IA102+'[5]TB-5'!IA102+'[5]TB-6'!IA102+'[5]TB-7'!IA102+'[5]TB-8'!IA102+'[5]TB-9'!IA102+'[5]TB-10'!IA102+'[6]DSV-1'!IA102+'[6]DSV-2'!IA102+'[6]DSV-3'!IA102+'[7]TUB-1'!IA102+'[7]TUB-2'!IA102+'[8]Barge-1'!IA102+'[8]Barge-2'!IA102+'[8]Barge-3'!IA102+'[8]Barge-4'!IA102</f>
        <v>0</v>
      </c>
      <c r="Z31" s="145">
        <f>'[2]AHTS-1'!IB69+'[2]AHTS-2'!IB69+'[2]AHTS-3'!IB69+'[2]AHTS-4'!IB69+'[2]AHTS-5'!IB69+'[2]AHTS-6'!IB69+'[2]AHTS-7'!IB69+'[2]AHTS-8'!IB69+'[3]CB-1'!IB69+'[3]CB-2'!IB69+'[3]CB-3'!IB69+'[3]CB-4'!IB69+'[3]CB-5'!IB69+'[3]CB-6'!IB69+'[3]CB-7'!IB69+'[3]CB-8'!IB69+'[3]CB-9'!IB69+'[3]CB-10'!IB69+'[3]CB-11'!IB69+'[3]CB-12'!IB69+'[3]CB-13'!IB69+'[3]CB-14'!IB69+'[3]CB-15'!IB69+'[3]CB-16'!IB69+'[3]CB-17'!IB69+'[3]CB-18'!IB69+'[3]CB-19'!IB69+'[3]CB-20'!IB69+'[3]CB-21'!IB69+'[3]CB-22'!IB69+'[3]CB-23'!IB69+'[3]CB-24'!IB69+'[4]LCT-1'!IB69+'[4]LCT-2'!IB69+'[4]LCT-3'!IB69+'[4]LCT-4'!IB69+'[4]LCT-5'!IB69+'[4]LCT-6'!IB69+'[4]LCT-7'!IB69+'[4]LCT-8'!IB69+'[5]TB-1'!IB69+'[5]TB-2'!IB69+'[5]TB-3'!IB69+'[5]TB-4'!IB69+'[5]TB-5'!IB69+'[5]TB-6'!IB69+'[5]TB-7'!IB69+'[5]TB-8'!IB69+'[5]TB-9'!IB69+'[5]TB-10'!IB69+'[6]DSV-1'!IB69+'[6]DSV-2'!IB69+'[6]DSV-3'!IB69+'[7]TUB-1'!IB69+'[7]TUB-2'!IB69+'[8]Barge-1'!IB69+'[8]Barge-2'!IB69+'[8]Barge-3'!IB69+'[8]Barge-4'!IB69</f>
        <v>46625050</v>
      </c>
      <c r="AA31" s="146">
        <f>'[2]AHTS-1'!IB31+'[2]AHTS-2'!IB31+'[2]AHTS-3'!IB31+'[2]AHTS-4'!IB31+'[2]AHTS-5'!IB31+'[2]AHTS-6'!IB31+'[2]AHTS-7'!IB31+'[2]AHTS-8'!IB31+'[3]CB-1'!IB31+'[3]CB-2'!IB31+'[3]CB-3'!IB31+'[3]CB-4'!IB31+'[3]CB-5'!IB31+'[3]CB-6'!IB31+'[3]CB-7'!IB31+'[3]CB-8'!IB31+'[3]CB-9'!IB31+'[3]CB-10'!IB31+'[3]CB-11'!IB31+'[3]CB-12'!IB31+'[3]CB-13'!IB31+'[3]CB-14'!IB31+'[3]CB-15'!IB31+'[3]CB-16'!IB31+'[3]CB-17'!IB31+'[3]CB-18'!IB31+'[3]CB-19'!IB31+'[3]CB-20'!IB31+'[3]CB-21'!IB31+'[3]CB-22'!IB31+'[3]CB-23'!IB31+'[3]CB-24'!IB31+'[4]LCT-1'!IB31+'[4]LCT-2'!IB31+'[4]LCT-3'!IB31+'[4]LCT-4'!IB31+'[4]LCT-5'!IB31+'[4]LCT-6'!IB31+'[4]LCT-7'!IB31+'[4]LCT-8'!IB31+'[5]TB-1'!IB31+'[5]TB-2'!IB31+'[5]TB-3'!IB31+'[5]TB-4'!IB31+'[5]TB-5'!IB31+'[5]TB-6'!IB31+'[5]TB-7'!IB31+'[5]TB-8'!IB31+'[5]TB-9'!IB31+'[5]TB-10'!IB31+'[6]DSV-1'!IB31+'[6]DSV-2'!IB31+'[6]DSV-3'!IB31+'[7]TUB-1'!IB31+'[7]TUB-2'!IB31+'[8]Barge-1'!IB31+'[8]Barge-2'!IB31+'[8]Barge-3'!IB31+'[8]Barge-4'!IB31</f>
        <v>49450000</v>
      </c>
      <c r="AB31" s="147">
        <f>'[2]AHTS-1'!IB102+'[2]AHTS-2'!IB102+'[2]AHTS-3'!IB102+'[2]AHTS-4'!IB102+'[2]AHTS-5'!IB102+'[2]AHTS-6'!IB102+'[2]AHTS-7'!IB102+'[2]AHTS-8'!IB102+'[3]CB-1'!IB102+'[3]CB-2'!IB102+'[3]CB-3'!IB102+'[3]CB-4'!IB102+'[3]CB-5'!IB102+'[3]CB-6'!IB102+'[3]CB-7'!IB102+'[3]CB-8'!IB102+'[3]CB-9'!IB102+'[3]CB-10'!IB102+'[3]CB-11'!IB102+'[3]CB-12'!IB102+'[3]CB-13'!IB102+'[3]CB-14'!IB102+'[3]CB-15'!IB102+'[3]CB-16'!IB102+'[3]CB-17'!IB102+'[3]CB-18'!IB102+'[3]CB-19'!IB102+'[3]CB-20'!IB102+'[3]CB-21'!IB102+'[3]CB-22'!IB102+'[3]CB-23'!IB102+'[3]CB-24'!IB102+'[4]LCT-1'!IB102+'[4]LCT-2'!IB102+'[4]LCT-3'!IB102+'[4]LCT-4'!IB102+'[4]LCT-5'!IB102+'[4]LCT-6'!IB102+'[4]LCT-7'!IB102+'[4]LCT-8'!IB102+'[5]TB-1'!IB102+'[5]TB-2'!IB102+'[5]TB-3'!IB102+'[5]TB-4'!IB102+'[5]TB-5'!IB102+'[5]TB-6'!IB102+'[5]TB-7'!IB102+'[5]TB-8'!IB102+'[5]TB-9'!IB102+'[5]TB-10'!IB102+'[6]DSV-1'!IB102+'[6]DSV-2'!IB102+'[6]DSV-3'!IB102+'[7]TUB-1'!IB102+'[7]TUB-2'!IB102+'[8]Barge-1'!IB102+'[8]Barge-2'!IB102+'[8]Barge-3'!IB102+'[8]Barge-4'!IB102</f>
        <v>0</v>
      </c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</row>
    <row r="32" spans="1:79" s="84" customFormat="1" ht="14.25" customHeight="1" thickBot="1" x14ac:dyDescent="0.3">
      <c r="A32" s="119">
        <f>[1]Control!AZ32</f>
        <v>46007</v>
      </c>
      <c r="B32" s="81"/>
      <c r="C32" s="159">
        <f>'[2]AHTS-1'!AT32+'[2]AHTS-2'!AT32+'[2]AHTS-3'!AT32+'[2]AHTS-4'!AT32+'[2]AHTS-5'!AT32+'[2]AHTS-6'!AT32+'[2]AHTS-7'!AT32+'[2]AHTS-8'!AT32+'[3]CB-1'!AT32+'[3]CB-2'!AT32+'[3]CB-3'!AT32+'[3]CB-4'!AT32+'[3]CB-5'!AT32+'[3]CB-6'!AT32+'[3]CB-7'!AT32+'[3]CB-8'!AT32+'[3]CB-9'!AT32+'[3]CB-10'!AT32+'[3]CB-11'!AT32+'[3]CB-12'!AT32+'[3]CB-13'!AT32+'[3]CB-14'!AT32+'[3]CB-15'!AT32+'[3]CB-16'!AT32+'[3]CB-17'!AT32+'[3]CB-18'!AT32+'[3]CB-19'!AT32+'[3]CB-20'!AT32+'[3]CB-21'!AT32+'[3]CB-22'!AT32+'[3]CB-23'!AT32+'[3]CB-24'!AT32+'[4]LCT-1'!AT32+'[4]LCT-2'!AT32+'[4]LCT-3'!AT32+'[4]LCT-4'!AT32+'[4]LCT-5'!AT32+'[4]LCT-6'!AT32+'[4]LCT-7'!AT32+'[4]LCT-8'!AT32+'[5]TB-1'!AT32+'[5]TB-2'!AT32+'[5]TB-3'!AT32+'[5]TB-4'!AT32+'[5]TB-5'!AT32+'[5]TB-6'!AT32+'[5]TB-7'!AT32+'[5]TB-8'!AT32+'[5]TB-9'!AT32+'[5]TB-10'!AT32+'[6]DSV-1'!AT32+'[6]DSV-2'!AT32+'[6]DSV-3'!AT32+'[7]TUB-1'!AT32+'[7]TUB-2'!AT32+'[8]Barge-1'!AT32+'[8]Barge-2'!AT32+'[8]Barge-3'!AT32+'[8]Barge-4'!AT32</f>
        <v>0</v>
      </c>
      <c r="D32" s="160">
        <f>'[2]AHTS-1'!BP32+'[2]AHTS-2'!BP32+'[2]AHTS-3'!BP32+'[2]AHTS-4'!BP32+'[2]AHTS-5'!BP32+'[2]AHTS-6'!BP32+'[2]AHTS-7'!BP32+'[2]AHTS-8'!BP32+'[3]CB-1'!BP32+'[3]CB-2'!BP32+'[3]CB-3'!BP32+'[3]CB-4'!BP32+'[3]CB-5'!BP32+'[3]CB-6'!BP32+'[3]CB-7'!BP32+'[3]CB-8'!BP32+'[3]CB-9'!BP32+'[3]CB-10'!BP32+'[3]CB-11'!BP32+'[3]CB-12'!BP32+'[3]CB-13'!BP32+'[3]CB-14'!BP32+'[3]CB-15'!BP32+'[3]CB-16'!BP32+'[3]CB-17'!BP32+'[3]CB-18'!BP32+'[3]CB-19'!BP32+'[3]CB-20'!BP32+'[3]CB-21'!BP32+'[3]CB-22'!BP32+'[3]CB-23'!BP32+'[3]CB-24'!BP32+'[4]LCT-1'!BP32+'[4]LCT-2'!BP32+'[4]LCT-3'!BP32+'[4]LCT-4'!BP32+'[4]LCT-5'!BP32+'[4]LCT-6'!BP32+'[4]LCT-7'!BP32+'[4]LCT-8'!BP32+'[5]TB-1'!BP32+'[5]TB-2'!BP32+'[5]TB-3'!BP32+'[5]TB-4'!BP32+'[5]TB-5'!BP32+'[5]TB-6'!BP32+'[5]TB-7'!BP32+'[5]TB-8'!BP32+'[5]TB-9'!BP32+'[5]TB-10'!BP32+'[6]DSV-1'!BP32+'[6]DSV-2'!BP32+'[6]DSV-3'!BP32+'[7]TUB-1'!BP32+'[7]TUB-2'!BP32+'[8]Barge-1'!BP32+'[8]Barge-2'!BP32+'[8]Barge-3'!BP32+'[8]Barge-4'!BP32</f>
        <v>0</v>
      </c>
      <c r="E32" s="161">
        <f>'[2]AHTS-1'!CL32+'[2]AHTS-2'!CL32+'[2]AHTS-3'!CL32+'[2]AHTS-4'!CL32+'[2]AHTS-5'!CL32+'[2]AHTS-6'!CL32+'[2]AHTS-7'!CL32+'[2]AHTS-8'!CL32+'[3]CB-1'!CL32+'[3]CB-2'!CL32+'[3]CB-3'!CL32+'[3]CB-4'!CL32+'[3]CB-5'!CL32+'[3]CB-6'!CL32+'[3]CB-7'!CL32+'[3]CB-8'!CL32+'[3]CB-9'!CL32+'[3]CB-10'!CL32+'[3]CB-11'!CL32+'[3]CB-12'!CL32+'[3]CB-13'!CL32+'[3]CB-14'!CL32+'[3]CB-15'!CL32+'[3]CB-16'!CL32+'[3]CB-17'!CL32+'[3]CB-18'!CL32+'[3]CB-19'!CL32+'[3]CB-20'!CL32+'[3]CB-21'!CL32+'[3]CB-22'!CL32+'[3]CB-23'!CL32+'[3]CB-24'!CL32+'[4]LCT-1'!CL32+'[4]LCT-2'!CL32+'[4]LCT-3'!CL32+'[4]LCT-4'!CL32+'[4]LCT-5'!CL32+'[4]LCT-6'!CL32+'[4]LCT-7'!CL32+'[4]LCT-8'!CL32+'[5]TB-1'!CL32+'[5]TB-2'!CL32+'[5]TB-3'!CL32+'[5]TB-4'!CL32+'[5]TB-5'!CL32+'[5]TB-6'!CL32+'[5]TB-7'!CL32+'[5]TB-8'!CL32+'[5]TB-9'!CL32+'[5]TB-10'!CL32+'[6]DSV-1'!CL32+'[6]DSV-2'!CL32+'[6]DSV-3'!CL32+'[7]TUB-1'!CL32+'[7]TUB-2'!CL32+'[8]Barge-1'!CL32+'[8]Barge-2'!CL32+'[8]Barge-3'!CL32+'[8]Barge-4'!CL32</f>
        <v>0</v>
      </c>
      <c r="F32" s="159">
        <f>'[2]AHTS-1'!AU32+'[2]AHTS-2'!AU32+'[2]AHTS-3'!AU32+'[2]AHTS-4'!AU32+'[2]AHTS-5'!AU32+'[2]AHTS-6'!AU32+'[2]AHTS-7'!AU32+'[2]AHTS-8'!AU32+'[3]CB-1'!AU32+'[3]CB-2'!AU32+'[3]CB-3'!AU32+'[3]CB-4'!AU32+'[3]CB-5'!AU32+'[3]CB-6'!AU32+'[3]CB-7'!AU32+'[3]CB-8'!AU32+'[3]CB-9'!AU32+'[3]CB-10'!AU32+'[3]CB-11'!AU32+'[3]CB-12'!AU32+'[3]CB-13'!AU32+'[3]CB-14'!AU32+'[3]CB-15'!AU32+'[3]CB-16'!AU32+'[3]CB-17'!AU32+'[3]CB-18'!AU32+'[3]CB-19'!AU32+'[3]CB-20'!AU32+'[3]CB-21'!AU32+'[3]CB-22'!AU32+'[3]CB-23'!AU32+'[3]CB-24'!AU32+'[4]LCT-1'!AU32+'[4]LCT-2'!AU32+'[4]LCT-3'!AU32+'[4]LCT-4'!AU32+'[4]LCT-5'!AU32+'[4]LCT-6'!AU32+'[4]LCT-7'!AU32+'[4]LCT-8'!AU32+'[5]TB-1'!AU32+'[5]TB-2'!AU32+'[5]TB-3'!AU32+'[5]TB-4'!AU32+'[5]TB-5'!AU32+'[5]TB-6'!AU32+'[5]TB-7'!AU32+'[5]TB-8'!AU32+'[5]TB-9'!AU32+'[5]TB-10'!AU32+'[6]DSV-1'!AU32+'[6]DSV-2'!AU32+'[6]DSV-3'!AU32+'[7]TUB-1'!AU32+'[7]TUB-2'!AU32+'[8]Barge-1'!AU32+'[8]Barge-2'!AU32+'[8]Barge-3'!AU32+'[8]Barge-4'!AU32</f>
        <v>8275.5027379154071</v>
      </c>
      <c r="G32" s="160">
        <f>'[2]AHTS-1'!BQ32+'[2]AHTS-2'!BQ32+'[2]AHTS-3'!BQ32+'[2]AHTS-4'!BQ32+'[2]AHTS-5'!BQ32+'[2]AHTS-6'!BQ32+'[2]AHTS-7'!BQ32+'[2]AHTS-8'!BQ32+'[3]CB-1'!BQ32+'[3]CB-2'!BQ32+'[3]CB-3'!BQ32+'[3]CB-4'!BQ32+'[3]CB-5'!BQ32+'[3]CB-6'!BQ32+'[3]CB-7'!BQ32+'[3]CB-8'!BQ32+'[3]CB-9'!BQ32+'[3]CB-10'!BQ32+'[3]CB-11'!BQ32+'[3]CB-12'!BQ32+'[3]CB-13'!BQ32+'[3]CB-14'!BQ32+'[3]CB-15'!BQ32+'[3]CB-16'!BQ32+'[3]CB-17'!BQ32+'[3]CB-18'!BQ32+'[3]CB-19'!BQ32+'[3]CB-20'!BQ32+'[3]CB-21'!BQ32+'[3]CB-22'!BQ32+'[3]CB-23'!BQ32+'[3]CB-24'!BQ32+'[4]LCT-1'!BQ32+'[4]LCT-2'!BQ32+'[4]LCT-3'!BQ32+'[4]LCT-4'!BQ32+'[4]LCT-5'!BQ32+'[4]LCT-6'!BQ32+'[4]LCT-7'!BQ32+'[4]LCT-8'!BQ32+'[5]TB-1'!BQ32+'[5]TB-2'!BQ32+'[5]TB-3'!BQ32+'[5]TB-4'!BQ32+'[5]TB-5'!BQ32+'[5]TB-6'!BQ32+'[5]TB-7'!BQ32+'[5]TB-8'!BQ32+'[5]TB-9'!BQ32+'[5]TB-10'!BQ32+'[6]DSV-1'!BQ32+'[6]DSV-2'!BQ32+'[6]DSV-3'!BQ32+'[7]TUB-1'!BQ32+'[7]TUB-2'!BQ32+'[8]Barge-1'!BQ32+'[8]Barge-2'!BQ32+'[8]Barge-3'!BQ32+'[8]Barge-4'!BQ32</f>
        <v>7360.3768042967431</v>
      </c>
      <c r="H32" s="161">
        <f>'[2]AHTS-1'!CM32+'[2]AHTS-2'!CM32+'[2]AHTS-3'!CM32+'[2]AHTS-4'!CM32+'[2]AHTS-5'!CM32+'[2]AHTS-6'!CM32+'[2]AHTS-7'!CM32+'[2]AHTS-8'!CM32+'[3]CB-1'!CM32+'[3]CB-2'!CM32+'[3]CB-3'!CM32+'[3]CB-4'!CM32+'[3]CB-5'!CM32+'[3]CB-6'!CM32+'[3]CB-7'!CM32+'[3]CB-8'!CM32+'[3]CB-9'!CM32+'[3]CB-10'!CM32+'[3]CB-11'!CM32+'[3]CB-12'!CM32+'[3]CB-13'!CM32+'[3]CB-14'!CM32+'[3]CB-15'!CM32+'[3]CB-16'!CM32+'[3]CB-17'!CM32+'[3]CB-18'!CM32+'[3]CB-19'!CM32+'[3]CB-20'!CM32+'[3]CB-21'!CM32+'[3]CB-22'!CM32+'[3]CB-23'!CM32+'[3]CB-24'!CM32+'[4]LCT-1'!CM32+'[4]LCT-2'!CM32+'[4]LCT-3'!CM32+'[4]LCT-4'!CM32+'[4]LCT-5'!CM32+'[4]LCT-6'!CM32+'[4]LCT-7'!CM32+'[4]LCT-8'!CM32+'[5]TB-1'!CM32+'[5]TB-2'!CM32+'[5]TB-3'!CM32+'[5]TB-4'!CM32+'[5]TB-5'!CM32+'[5]TB-6'!CM32+'[5]TB-7'!CM32+'[5]TB-8'!CM32+'[5]TB-9'!CM32+'[5]TB-10'!CM32+'[6]DSV-1'!CM32+'[6]DSV-2'!CM32+'[6]DSV-3'!CM32+'[7]TUB-1'!CM32+'[7]TUB-2'!CM32+'[8]Barge-1'!CM32+'[8]Barge-2'!CM32+'[8]Barge-3'!CM32+'[8]Barge-4'!CM32</f>
        <v>0</v>
      </c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110"/>
      <c r="U32" s="119">
        <f>[1]Control!AZ32</f>
        <v>46007</v>
      </c>
      <c r="V32" s="81"/>
      <c r="W32" s="145">
        <f>'[2]AHTS-1'!IA70+'[2]AHTS-2'!IA70+'[2]AHTS-3'!IA70+'[2]AHTS-4'!IA70+'[2]AHTS-5'!IA70+'[2]AHTS-6'!IA70+'[2]AHTS-7'!IA70+'[2]AHTS-8'!IA70+'[3]CB-1'!IA70+'[3]CB-2'!IA70+'[3]CB-3'!IA70+'[3]CB-4'!IA70+'[3]CB-5'!IA70+'[3]CB-6'!IA70+'[3]CB-7'!IA70+'[3]CB-8'!IA70+'[3]CB-9'!IA70+'[3]CB-10'!IA70+'[3]CB-11'!IA70+'[3]CB-12'!IA70+'[3]CB-13'!IA70+'[3]CB-14'!IA70+'[3]CB-15'!IA70+'[3]CB-16'!IA70+'[3]CB-17'!IA70+'[3]CB-18'!IA70+'[3]CB-19'!IA70+'[3]CB-20'!IA70+'[3]CB-21'!IA70+'[3]CB-22'!IA70+'[3]CB-23'!IA70+'[3]CB-24'!IA70+'[4]LCT-1'!IA70+'[4]LCT-2'!IA70+'[4]LCT-3'!IA70+'[4]LCT-4'!IA70+'[4]LCT-5'!IA70+'[4]LCT-6'!IA70+'[4]LCT-7'!IA70+'[4]LCT-8'!IA70+'[5]TB-1'!IA70+'[5]TB-2'!IA70+'[5]TB-3'!IA70+'[5]TB-4'!IA70+'[5]TB-5'!IA70+'[5]TB-6'!IA70+'[5]TB-7'!IA70+'[5]TB-8'!IA70+'[5]TB-9'!IA70+'[5]TB-10'!IA70+'[6]DSV-1'!IA70+'[6]DSV-2'!IA70+'[6]DSV-3'!IA70+'[7]TUB-1'!IA70+'[7]TUB-2'!IA70+'[8]Barge-1'!IA70+'[8]Barge-2'!IA70+'[8]Barge-3'!IA70+'[8]Barge-4'!IA70</f>
        <v>0</v>
      </c>
      <c r="X32" s="146">
        <f>'[2]AHTS-1'!IA32+'[2]AHTS-2'!IA32+'[2]AHTS-3'!IA32+'[2]AHTS-4'!IA32+'[2]AHTS-5'!IA32+'[2]AHTS-6'!IA32+'[2]AHTS-7'!IA32+'[2]AHTS-8'!IA32+'[3]CB-1'!IA32+'[3]CB-2'!IA32+'[3]CB-3'!IA32+'[3]CB-4'!IA32+'[3]CB-5'!IA32+'[3]CB-6'!IA32+'[3]CB-7'!IA32+'[3]CB-8'!IA32+'[3]CB-9'!IA32+'[3]CB-10'!IA32+'[3]CB-11'!IA32+'[3]CB-12'!IA32+'[3]CB-13'!IA32+'[3]CB-14'!IA32+'[3]CB-15'!IA32+'[3]CB-16'!IA32+'[3]CB-17'!IA32+'[3]CB-18'!IA32+'[3]CB-19'!IA32+'[3]CB-20'!IA32+'[3]CB-21'!IA32+'[3]CB-22'!IA32+'[3]CB-23'!IA32+'[3]CB-24'!IA32+'[4]LCT-1'!IA32+'[4]LCT-2'!IA32+'[4]LCT-3'!IA32+'[4]LCT-4'!IA32+'[4]LCT-5'!IA32+'[4]LCT-6'!IA32+'[4]LCT-7'!IA32+'[4]LCT-8'!IA32+'[5]TB-1'!IA32+'[5]TB-2'!IA32+'[5]TB-3'!IA32+'[5]TB-4'!IA32+'[5]TB-5'!IA32+'[5]TB-6'!IA32+'[5]TB-7'!IA32+'[5]TB-8'!IA32+'[5]TB-9'!IA32+'[5]TB-10'!IA32+'[6]DSV-1'!IA32+'[6]DSV-2'!IA32+'[6]DSV-3'!IA32+'[7]TUB-1'!IA32+'[7]TUB-2'!IA32+'[8]Barge-1'!IA32+'[8]Barge-2'!IA32+'[8]Barge-3'!IA32+'[8]Barge-4'!IA32</f>
        <v>0</v>
      </c>
      <c r="Y32" s="147">
        <f>'[2]AHTS-1'!IA103+'[2]AHTS-2'!IA103+'[2]AHTS-3'!IA103+'[2]AHTS-4'!IA103+'[2]AHTS-5'!IA103+'[2]AHTS-6'!IA103+'[2]AHTS-7'!IA103+'[2]AHTS-8'!IA103+'[3]CB-1'!IA103+'[3]CB-2'!IA103+'[3]CB-3'!IA103+'[3]CB-4'!IA103+'[3]CB-5'!IA103+'[3]CB-6'!IA103+'[3]CB-7'!IA103+'[3]CB-8'!IA103+'[3]CB-9'!IA103+'[3]CB-10'!IA103+'[3]CB-11'!IA103+'[3]CB-12'!IA103+'[3]CB-13'!IA103+'[3]CB-14'!IA103+'[3]CB-15'!IA103+'[3]CB-16'!IA103+'[3]CB-17'!IA103+'[3]CB-18'!IA103+'[3]CB-19'!IA103+'[3]CB-20'!IA103+'[3]CB-21'!IA103+'[3]CB-22'!IA103+'[3]CB-23'!IA103+'[3]CB-24'!IA103+'[4]LCT-1'!IA103+'[4]LCT-2'!IA103+'[4]LCT-3'!IA103+'[4]LCT-4'!IA103+'[4]LCT-5'!IA103+'[4]LCT-6'!IA103+'[4]LCT-7'!IA103+'[4]LCT-8'!IA103+'[5]TB-1'!IA103+'[5]TB-2'!IA103+'[5]TB-3'!IA103+'[5]TB-4'!IA103+'[5]TB-5'!IA103+'[5]TB-6'!IA103+'[5]TB-7'!IA103+'[5]TB-8'!IA103+'[5]TB-9'!IA103+'[5]TB-10'!IA103+'[6]DSV-1'!IA103+'[6]DSV-2'!IA103+'[6]DSV-3'!IA103+'[7]TUB-1'!IA103+'[7]TUB-2'!IA103+'[8]Barge-1'!IA103+'[8]Barge-2'!IA103+'[8]Barge-3'!IA103+'[8]Barge-4'!IA103</f>
        <v>0</v>
      </c>
      <c r="Z32" s="145">
        <f>'[2]AHTS-1'!IB70+'[2]AHTS-2'!IB70+'[2]AHTS-3'!IB70+'[2]AHTS-4'!IB70+'[2]AHTS-5'!IB70+'[2]AHTS-6'!IB70+'[2]AHTS-7'!IB70+'[2]AHTS-8'!IB70+'[3]CB-1'!IB70+'[3]CB-2'!IB70+'[3]CB-3'!IB70+'[3]CB-4'!IB70+'[3]CB-5'!IB70+'[3]CB-6'!IB70+'[3]CB-7'!IB70+'[3]CB-8'!IB70+'[3]CB-9'!IB70+'[3]CB-10'!IB70+'[3]CB-11'!IB70+'[3]CB-12'!IB70+'[3]CB-13'!IB70+'[3]CB-14'!IB70+'[3]CB-15'!IB70+'[3]CB-16'!IB70+'[3]CB-17'!IB70+'[3]CB-18'!IB70+'[3]CB-19'!IB70+'[3]CB-20'!IB70+'[3]CB-21'!IB70+'[3]CB-22'!IB70+'[3]CB-23'!IB70+'[3]CB-24'!IB70+'[4]LCT-1'!IB70+'[4]LCT-2'!IB70+'[4]LCT-3'!IB70+'[4]LCT-4'!IB70+'[4]LCT-5'!IB70+'[4]LCT-6'!IB70+'[4]LCT-7'!IB70+'[4]LCT-8'!IB70+'[5]TB-1'!IB70+'[5]TB-2'!IB70+'[5]TB-3'!IB70+'[5]TB-4'!IB70+'[5]TB-5'!IB70+'[5]TB-6'!IB70+'[5]TB-7'!IB70+'[5]TB-8'!IB70+'[5]TB-9'!IB70+'[5]TB-10'!IB70+'[6]DSV-1'!IB70+'[6]DSV-2'!IB70+'[6]DSV-3'!IB70+'[7]TUB-1'!IB70+'[7]TUB-2'!IB70+'[8]Barge-1'!IB70+'[8]Barge-2'!IB70+'[8]Barge-3'!IB70+'[8]Barge-4'!IB70</f>
        <v>131481187.5</v>
      </c>
      <c r="AA32" s="146">
        <f>'[2]AHTS-1'!IB32+'[2]AHTS-2'!IB32+'[2]AHTS-3'!IB32+'[2]AHTS-4'!IB32+'[2]AHTS-5'!IB32+'[2]AHTS-6'!IB32+'[2]AHTS-7'!IB32+'[2]AHTS-8'!IB32+'[3]CB-1'!IB32+'[3]CB-2'!IB32+'[3]CB-3'!IB32+'[3]CB-4'!IB32+'[3]CB-5'!IB32+'[3]CB-6'!IB32+'[3]CB-7'!IB32+'[3]CB-8'!IB32+'[3]CB-9'!IB32+'[3]CB-10'!IB32+'[3]CB-11'!IB32+'[3]CB-12'!IB32+'[3]CB-13'!IB32+'[3]CB-14'!IB32+'[3]CB-15'!IB32+'[3]CB-16'!IB32+'[3]CB-17'!IB32+'[3]CB-18'!IB32+'[3]CB-19'!IB32+'[3]CB-20'!IB32+'[3]CB-21'!IB32+'[3]CB-22'!IB32+'[3]CB-23'!IB32+'[3]CB-24'!IB32+'[4]LCT-1'!IB32+'[4]LCT-2'!IB32+'[4]LCT-3'!IB32+'[4]LCT-4'!IB32+'[4]LCT-5'!IB32+'[4]LCT-6'!IB32+'[4]LCT-7'!IB32+'[4]LCT-8'!IB32+'[5]TB-1'!IB32+'[5]TB-2'!IB32+'[5]TB-3'!IB32+'[5]TB-4'!IB32+'[5]TB-5'!IB32+'[5]TB-6'!IB32+'[5]TB-7'!IB32+'[5]TB-8'!IB32+'[5]TB-9'!IB32+'[5]TB-10'!IB32+'[6]DSV-1'!IB32+'[6]DSV-2'!IB32+'[6]DSV-3'!IB32+'[7]TUB-1'!IB32+'[7]TUB-2'!IB32+'[8]Barge-1'!IB32+'[8]Barge-2'!IB32+'[8]Barge-3'!IB32+'[8]Barge-4'!IB32</f>
        <v>116941666.66666666</v>
      </c>
      <c r="AB32" s="147">
        <f>'[2]AHTS-1'!IB103+'[2]AHTS-2'!IB103+'[2]AHTS-3'!IB103+'[2]AHTS-4'!IB103+'[2]AHTS-5'!IB103+'[2]AHTS-6'!IB103+'[2]AHTS-7'!IB103+'[2]AHTS-8'!IB103+'[3]CB-1'!IB103+'[3]CB-2'!IB103+'[3]CB-3'!IB103+'[3]CB-4'!IB103+'[3]CB-5'!IB103+'[3]CB-6'!IB103+'[3]CB-7'!IB103+'[3]CB-8'!IB103+'[3]CB-9'!IB103+'[3]CB-10'!IB103+'[3]CB-11'!IB103+'[3]CB-12'!IB103+'[3]CB-13'!IB103+'[3]CB-14'!IB103+'[3]CB-15'!IB103+'[3]CB-16'!IB103+'[3]CB-17'!IB103+'[3]CB-18'!IB103+'[3]CB-19'!IB103+'[3]CB-20'!IB103+'[3]CB-21'!IB103+'[3]CB-22'!IB103+'[3]CB-23'!IB103+'[3]CB-24'!IB103+'[4]LCT-1'!IB103+'[4]LCT-2'!IB103+'[4]LCT-3'!IB103+'[4]LCT-4'!IB103+'[4]LCT-5'!IB103+'[4]LCT-6'!IB103+'[4]LCT-7'!IB103+'[4]LCT-8'!IB103+'[5]TB-1'!IB103+'[5]TB-2'!IB103+'[5]TB-3'!IB103+'[5]TB-4'!IB103+'[5]TB-5'!IB103+'[5]TB-6'!IB103+'[5]TB-7'!IB103+'[5]TB-8'!IB103+'[5]TB-9'!IB103+'[5]TB-10'!IB103+'[6]DSV-1'!IB103+'[6]DSV-2'!IB103+'[6]DSV-3'!IB103+'[7]TUB-1'!IB103+'[7]TUB-2'!IB103+'[8]Barge-1'!IB103+'[8]Barge-2'!IB103+'[8]Barge-3'!IB103+'[8]Barge-4'!IB103</f>
        <v>0</v>
      </c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</row>
    <row r="33" spans="1:79" s="84" customFormat="1" ht="14.25" customHeight="1" thickBot="1" x14ac:dyDescent="0.3">
      <c r="A33" s="119">
        <f>[1]Control!AZ33</f>
        <v>46008</v>
      </c>
      <c r="B33" s="81"/>
      <c r="C33" s="159">
        <f>'[2]AHTS-1'!AT33+'[2]AHTS-2'!AT33+'[2]AHTS-3'!AT33+'[2]AHTS-4'!AT33+'[2]AHTS-5'!AT33+'[2]AHTS-6'!AT33+'[2]AHTS-7'!AT33+'[2]AHTS-8'!AT33+'[3]CB-1'!AT33+'[3]CB-2'!AT33+'[3]CB-3'!AT33+'[3]CB-4'!AT33+'[3]CB-5'!AT33+'[3]CB-6'!AT33+'[3]CB-7'!AT33+'[3]CB-8'!AT33+'[3]CB-9'!AT33+'[3]CB-10'!AT33+'[3]CB-11'!AT33+'[3]CB-12'!AT33+'[3]CB-13'!AT33+'[3]CB-14'!AT33+'[3]CB-15'!AT33+'[3]CB-16'!AT33+'[3]CB-17'!AT33+'[3]CB-18'!AT33+'[3]CB-19'!AT33+'[3]CB-20'!AT33+'[3]CB-21'!AT33+'[3]CB-22'!AT33+'[3]CB-23'!AT33+'[3]CB-24'!AT33+'[4]LCT-1'!AT33+'[4]LCT-2'!AT33+'[4]LCT-3'!AT33+'[4]LCT-4'!AT33+'[4]LCT-5'!AT33+'[4]LCT-6'!AT33+'[4]LCT-7'!AT33+'[4]LCT-8'!AT33+'[5]TB-1'!AT33+'[5]TB-2'!AT33+'[5]TB-3'!AT33+'[5]TB-4'!AT33+'[5]TB-5'!AT33+'[5]TB-6'!AT33+'[5]TB-7'!AT33+'[5]TB-8'!AT33+'[5]TB-9'!AT33+'[5]TB-10'!AT33+'[6]DSV-1'!AT33+'[6]DSV-2'!AT33+'[6]DSV-3'!AT33+'[7]TUB-1'!AT33+'[7]TUB-2'!AT33+'[8]Barge-1'!AT33+'[8]Barge-2'!AT33+'[8]Barge-3'!AT33+'[8]Barge-4'!AT33</f>
        <v>0</v>
      </c>
      <c r="D33" s="160">
        <f>'[2]AHTS-1'!BP33+'[2]AHTS-2'!BP33+'[2]AHTS-3'!BP33+'[2]AHTS-4'!BP33+'[2]AHTS-5'!BP33+'[2]AHTS-6'!BP33+'[2]AHTS-7'!BP33+'[2]AHTS-8'!BP33+'[3]CB-1'!BP33+'[3]CB-2'!BP33+'[3]CB-3'!BP33+'[3]CB-4'!BP33+'[3]CB-5'!BP33+'[3]CB-6'!BP33+'[3]CB-7'!BP33+'[3]CB-8'!BP33+'[3]CB-9'!BP33+'[3]CB-10'!BP33+'[3]CB-11'!BP33+'[3]CB-12'!BP33+'[3]CB-13'!BP33+'[3]CB-14'!BP33+'[3]CB-15'!BP33+'[3]CB-16'!BP33+'[3]CB-17'!BP33+'[3]CB-18'!BP33+'[3]CB-19'!BP33+'[3]CB-20'!BP33+'[3]CB-21'!BP33+'[3]CB-22'!BP33+'[3]CB-23'!BP33+'[3]CB-24'!BP33+'[4]LCT-1'!BP33+'[4]LCT-2'!BP33+'[4]LCT-3'!BP33+'[4]LCT-4'!BP33+'[4]LCT-5'!BP33+'[4]LCT-6'!BP33+'[4]LCT-7'!BP33+'[4]LCT-8'!BP33+'[5]TB-1'!BP33+'[5]TB-2'!BP33+'[5]TB-3'!BP33+'[5]TB-4'!BP33+'[5]TB-5'!BP33+'[5]TB-6'!BP33+'[5]TB-7'!BP33+'[5]TB-8'!BP33+'[5]TB-9'!BP33+'[5]TB-10'!BP33+'[6]DSV-1'!BP33+'[6]DSV-2'!BP33+'[6]DSV-3'!BP33+'[7]TUB-1'!BP33+'[7]TUB-2'!BP33+'[8]Barge-1'!BP33+'[8]Barge-2'!BP33+'[8]Barge-3'!BP33+'[8]Barge-4'!BP33</f>
        <v>0</v>
      </c>
      <c r="E33" s="161">
        <f>'[2]AHTS-1'!CL33+'[2]AHTS-2'!CL33+'[2]AHTS-3'!CL33+'[2]AHTS-4'!CL33+'[2]AHTS-5'!CL33+'[2]AHTS-6'!CL33+'[2]AHTS-7'!CL33+'[2]AHTS-8'!CL33+'[3]CB-1'!CL33+'[3]CB-2'!CL33+'[3]CB-3'!CL33+'[3]CB-4'!CL33+'[3]CB-5'!CL33+'[3]CB-6'!CL33+'[3]CB-7'!CL33+'[3]CB-8'!CL33+'[3]CB-9'!CL33+'[3]CB-10'!CL33+'[3]CB-11'!CL33+'[3]CB-12'!CL33+'[3]CB-13'!CL33+'[3]CB-14'!CL33+'[3]CB-15'!CL33+'[3]CB-16'!CL33+'[3]CB-17'!CL33+'[3]CB-18'!CL33+'[3]CB-19'!CL33+'[3]CB-20'!CL33+'[3]CB-21'!CL33+'[3]CB-22'!CL33+'[3]CB-23'!CL33+'[3]CB-24'!CL33+'[4]LCT-1'!CL33+'[4]LCT-2'!CL33+'[4]LCT-3'!CL33+'[4]LCT-4'!CL33+'[4]LCT-5'!CL33+'[4]LCT-6'!CL33+'[4]LCT-7'!CL33+'[4]LCT-8'!CL33+'[5]TB-1'!CL33+'[5]TB-2'!CL33+'[5]TB-3'!CL33+'[5]TB-4'!CL33+'[5]TB-5'!CL33+'[5]TB-6'!CL33+'[5]TB-7'!CL33+'[5]TB-8'!CL33+'[5]TB-9'!CL33+'[5]TB-10'!CL33+'[6]DSV-1'!CL33+'[6]DSV-2'!CL33+'[6]DSV-3'!CL33+'[7]TUB-1'!CL33+'[7]TUB-2'!CL33+'[8]Barge-1'!CL33+'[8]Barge-2'!CL33+'[8]Barge-3'!CL33+'[8]Barge-4'!CL33</f>
        <v>0</v>
      </c>
      <c r="F33" s="159">
        <f>'[2]AHTS-1'!AU33+'[2]AHTS-2'!AU33+'[2]AHTS-3'!AU33+'[2]AHTS-4'!AU33+'[2]AHTS-5'!AU33+'[2]AHTS-6'!AU33+'[2]AHTS-7'!AU33+'[2]AHTS-8'!AU33+'[3]CB-1'!AU33+'[3]CB-2'!AU33+'[3]CB-3'!AU33+'[3]CB-4'!AU33+'[3]CB-5'!AU33+'[3]CB-6'!AU33+'[3]CB-7'!AU33+'[3]CB-8'!AU33+'[3]CB-9'!AU33+'[3]CB-10'!AU33+'[3]CB-11'!AU33+'[3]CB-12'!AU33+'[3]CB-13'!AU33+'[3]CB-14'!AU33+'[3]CB-15'!AU33+'[3]CB-16'!AU33+'[3]CB-17'!AU33+'[3]CB-18'!AU33+'[3]CB-19'!AU33+'[3]CB-20'!AU33+'[3]CB-21'!AU33+'[3]CB-22'!AU33+'[3]CB-23'!AU33+'[3]CB-24'!AU33+'[4]LCT-1'!AU33+'[4]LCT-2'!AU33+'[4]LCT-3'!AU33+'[4]LCT-4'!AU33+'[4]LCT-5'!AU33+'[4]LCT-6'!AU33+'[4]LCT-7'!AU33+'[4]LCT-8'!AU33+'[5]TB-1'!AU33+'[5]TB-2'!AU33+'[5]TB-3'!AU33+'[5]TB-4'!AU33+'[5]TB-5'!AU33+'[5]TB-6'!AU33+'[5]TB-7'!AU33+'[5]TB-8'!AU33+'[5]TB-9'!AU33+'[5]TB-10'!AU33+'[6]DSV-1'!AU33+'[6]DSV-2'!AU33+'[6]DSV-3'!AU33+'[7]TUB-1'!AU33+'[7]TUB-2'!AU33+'[8]Barge-1'!AU33+'[8]Barge-2'!AU33+'[8]Barge-3'!AU33+'[8]Barge-4'!AU33</f>
        <v>10973.353054716346</v>
      </c>
      <c r="G33" s="160">
        <f>'[2]AHTS-1'!BQ33+'[2]AHTS-2'!BQ33+'[2]AHTS-3'!BQ33+'[2]AHTS-4'!BQ33+'[2]AHTS-5'!BQ33+'[2]AHTS-6'!BQ33+'[2]AHTS-7'!BQ33+'[2]AHTS-8'!BQ33+'[3]CB-1'!BQ33+'[3]CB-2'!BQ33+'[3]CB-3'!BQ33+'[3]CB-4'!BQ33+'[3]CB-5'!BQ33+'[3]CB-6'!BQ33+'[3]CB-7'!BQ33+'[3]CB-8'!BQ33+'[3]CB-9'!BQ33+'[3]CB-10'!BQ33+'[3]CB-11'!BQ33+'[3]CB-12'!BQ33+'[3]CB-13'!BQ33+'[3]CB-14'!BQ33+'[3]CB-15'!BQ33+'[3]CB-16'!BQ33+'[3]CB-17'!BQ33+'[3]CB-18'!BQ33+'[3]CB-19'!BQ33+'[3]CB-20'!BQ33+'[3]CB-21'!BQ33+'[3]CB-22'!BQ33+'[3]CB-23'!BQ33+'[3]CB-24'!BQ33+'[4]LCT-1'!BQ33+'[4]LCT-2'!BQ33+'[4]LCT-3'!BQ33+'[4]LCT-4'!BQ33+'[4]LCT-5'!BQ33+'[4]LCT-6'!BQ33+'[4]LCT-7'!BQ33+'[4]LCT-8'!BQ33+'[5]TB-1'!BQ33+'[5]TB-2'!BQ33+'[5]TB-3'!BQ33+'[5]TB-4'!BQ33+'[5]TB-5'!BQ33+'[5]TB-6'!BQ33+'[5]TB-7'!BQ33+'[5]TB-8'!BQ33+'[5]TB-9'!BQ33+'[5]TB-10'!BQ33+'[6]DSV-1'!BQ33+'[6]DSV-2'!BQ33+'[6]DSV-3'!BQ33+'[7]TUB-1'!BQ33+'[7]TUB-2'!BQ33+'[8]Barge-1'!BQ33+'[8]Barge-2'!BQ33+'[8]Barge-3'!BQ33+'[8]Barge-4'!BQ33</f>
        <v>6245.8039610607584</v>
      </c>
      <c r="H33" s="161">
        <f>'[2]AHTS-1'!CM33+'[2]AHTS-2'!CM33+'[2]AHTS-3'!CM33+'[2]AHTS-4'!CM33+'[2]AHTS-5'!CM33+'[2]AHTS-6'!CM33+'[2]AHTS-7'!CM33+'[2]AHTS-8'!CM33+'[3]CB-1'!CM33+'[3]CB-2'!CM33+'[3]CB-3'!CM33+'[3]CB-4'!CM33+'[3]CB-5'!CM33+'[3]CB-6'!CM33+'[3]CB-7'!CM33+'[3]CB-8'!CM33+'[3]CB-9'!CM33+'[3]CB-10'!CM33+'[3]CB-11'!CM33+'[3]CB-12'!CM33+'[3]CB-13'!CM33+'[3]CB-14'!CM33+'[3]CB-15'!CM33+'[3]CB-16'!CM33+'[3]CB-17'!CM33+'[3]CB-18'!CM33+'[3]CB-19'!CM33+'[3]CB-20'!CM33+'[3]CB-21'!CM33+'[3]CB-22'!CM33+'[3]CB-23'!CM33+'[3]CB-24'!CM33+'[4]LCT-1'!CM33+'[4]LCT-2'!CM33+'[4]LCT-3'!CM33+'[4]LCT-4'!CM33+'[4]LCT-5'!CM33+'[4]LCT-6'!CM33+'[4]LCT-7'!CM33+'[4]LCT-8'!CM33+'[5]TB-1'!CM33+'[5]TB-2'!CM33+'[5]TB-3'!CM33+'[5]TB-4'!CM33+'[5]TB-5'!CM33+'[5]TB-6'!CM33+'[5]TB-7'!CM33+'[5]TB-8'!CM33+'[5]TB-9'!CM33+'[5]TB-10'!CM33+'[6]DSV-1'!CM33+'[6]DSV-2'!CM33+'[6]DSV-3'!CM33+'[7]TUB-1'!CM33+'[7]TUB-2'!CM33+'[8]Barge-1'!CM33+'[8]Barge-2'!CM33+'[8]Barge-3'!CM33+'[8]Barge-4'!CM33</f>
        <v>0</v>
      </c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110"/>
      <c r="U33" s="119">
        <f>[1]Control!AZ33</f>
        <v>46008</v>
      </c>
      <c r="V33" s="81"/>
      <c r="W33" s="145">
        <f>'[2]AHTS-1'!IA71+'[2]AHTS-2'!IA71+'[2]AHTS-3'!IA71+'[2]AHTS-4'!IA71+'[2]AHTS-5'!IA71+'[2]AHTS-6'!IA71+'[2]AHTS-7'!IA71+'[2]AHTS-8'!IA71+'[3]CB-1'!IA71+'[3]CB-2'!IA71+'[3]CB-3'!IA71+'[3]CB-4'!IA71+'[3]CB-5'!IA71+'[3]CB-6'!IA71+'[3]CB-7'!IA71+'[3]CB-8'!IA71+'[3]CB-9'!IA71+'[3]CB-10'!IA71+'[3]CB-11'!IA71+'[3]CB-12'!IA71+'[3]CB-13'!IA71+'[3]CB-14'!IA71+'[3]CB-15'!IA71+'[3]CB-16'!IA71+'[3]CB-17'!IA71+'[3]CB-18'!IA71+'[3]CB-19'!IA71+'[3]CB-20'!IA71+'[3]CB-21'!IA71+'[3]CB-22'!IA71+'[3]CB-23'!IA71+'[3]CB-24'!IA71+'[4]LCT-1'!IA71+'[4]LCT-2'!IA71+'[4]LCT-3'!IA71+'[4]LCT-4'!IA71+'[4]LCT-5'!IA71+'[4]LCT-6'!IA71+'[4]LCT-7'!IA71+'[4]LCT-8'!IA71+'[5]TB-1'!IA71+'[5]TB-2'!IA71+'[5]TB-3'!IA71+'[5]TB-4'!IA71+'[5]TB-5'!IA71+'[5]TB-6'!IA71+'[5]TB-7'!IA71+'[5]TB-8'!IA71+'[5]TB-9'!IA71+'[5]TB-10'!IA71+'[6]DSV-1'!IA71+'[6]DSV-2'!IA71+'[6]DSV-3'!IA71+'[7]TUB-1'!IA71+'[7]TUB-2'!IA71+'[8]Barge-1'!IA71+'[8]Barge-2'!IA71+'[8]Barge-3'!IA71+'[8]Barge-4'!IA71</f>
        <v>0</v>
      </c>
      <c r="X33" s="146">
        <f>'[2]AHTS-1'!IA33+'[2]AHTS-2'!IA33+'[2]AHTS-3'!IA33+'[2]AHTS-4'!IA33+'[2]AHTS-5'!IA33+'[2]AHTS-6'!IA33+'[2]AHTS-7'!IA33+'[2]AHTS-8'!IA33+'[3]CB-1'!IA33+'[3]CB-2'!IA33+'[3]CB-3'!IA33+'[3]CB-4'!IA33+'[3]CB-5'!IA33+'[3]CB-6'!IA33+'[3]CB-7'!IA33+'[3]CB-8'!IA33+'[3]CB-9'!IA33+'[3]CB-10'!IA33+'[3]CB-11'!IA33+'[3]CB-12'!IA33+'[3]CB-13'!IA33+'[3]CB-14'!IA33+'[3]CB-15'!IA33+'[3]CB-16'!IA33+'[3]CB-17'!IA33+'[3]CB-18'!IA33+'[3]CB-19'!IA33+'[3]CB-20'!IA33+'[3]CB-21'!IA33+'[3]CB-22'!IA33+'[3]CB-23'!IA33+'[3]CB-24'!IA33+'[4]LCT-1'!IA33+'[4]LCT-2'!IA33+'[4]LCT-3'!IA33+'[4]LCT-4'!IA33+'[4]LCT-5'!IA33+'[4]LCT-6'!IA33+'[4]LCT-7'!IA33+'[4]LCT-8'!IA33+'[5]TB-1'!IA33+'[5]TB-2'!IA33+'[5]TB-3'!IA33+'[5]TB-4'!IA33+'[5]TB-5'!IA33+'[5]TB-6'!IA33+'[5]TB-7'!IA33+'[5]TB-8'!IA33+'[5]TB-9'!IA33+'[5]TB-10'!IA33+'[6]DSV-1'!IA33+'[6]DSV-2'!IA33+'[6]DSV-3'!IA33+'[7]TUB-1'!IA33+'[7]TUB-2'!IA33+'[8]Barge-1'!IA33+'[8]Barge-2'!IA33+'[8]Barge-3'!IA33+'[8]Barge-4'!IA33</f>
        <v>0</v>
      </c>
      <c r="Y33" s="147">
        <f>'[2]AHTS-1'!IA104+'[2]AHTS-2'!IA104+'[2]AHTS-3'!IA104+'[2]AHTS-4'!IA104+'[2]AHTS-5'!IA104+'[2]AHTS-6'!IA104+'[2]AHTS-7'!IA104+'[2]AHTS-8'!IA104+'[3]CB-1'!IA104+'[3]CB-2'!IA104+'[3]CB-3'!IA104+'[3]CB-4'!IA104+'[3]CB-5'!IA104+'[3]CB-6'!IA104+'[3]CB-7'!IA104+'[3]CB-8'!IA104+'[3]CB-9'!IA104+'[3]CB-10'!IA104+'[3]CB-11'!IA104+'[3]CB-12'!IA104+'[3]CB-13'!IA104+'[3]CB-14'!IA104+'[3]CB-15'!IA104+'[3]CB-16'!IA104+'[3]CB-17'!IA104+'[3]CB-18'!IA104+'[3]CB-19'!IA104+'[3]CB-20'!IA104+'[3]CB-21'!IA104+'[3]CB-22'!IA104+'[3]CB-23'!IA104+'[3]CB-24'!IA104+'[4]LCT-1'!IA104+'[4]LCT-2'!IA104+'[4]LCT-3'!IA104+'[4]LCT-4'!IA104+'[4]LCT-5'!IA104+'[4]LCT-6'!IA104+'[4]LCT-7'!IA104+'[4]LCT-8'!IA104+'[5]TB-1'!IA104+'[5]TB-2'!IA104+'[5]TB-3'!IA104+'[5]TB-4'!IA104+'[5]TB-5'!IA104+'[5]TB-6'!IA104+'[5]TB-7'!IA104+'[5]TB-8'!IA104+'[5]TB-9'!IA104+'[5]TB-10'!IA104+'[6]DSV-1'!IA104+'[6]DSV-2'!IA104+'[6]DSV-3'!IA104+'[7]TUB-1'!IA104+'[7]TUB-2'!IA104+'[8]Barge-1'!IA104+'[8]Barge-2'!IA104+'[8]Barge-3'!IA104+'[8]Barge-4'!IA104</f>
        <v>0</v>
      </c>
      <c r="Z33" s="145">
        <f>'[2]AHTS-1'!IB71+'[2]AHTS-2'!IB71+'[2]AHTS-3'!IB71+'[2]AHTS-4'!IB71+'[2]AHTS-5'!IB71+'[2]AHTS-6'!IB71+'[2]AHTS-7'!IB71+'[2]AHTS-8'!IB71+'[3]CB-1'!IB71+'[3]CB-2'!IB71+'[3]CB-3'!IB71+'[3]CB-4'!IB71+'[3]CB-5'!IB71+'[3]CB-6'!IB71+'[3]CB-7'!IB71+'[3]CB-8'!IB71+'[3]CB-9'!IB71+'[3]CB-10'!IB71+'[3]CB-11'!IB71+'[3]CB-12'!IB71+'[3]CB-13'!IB71+'[3]CB-14'!IB71+'[3]CB-15'!IB71+'[3]CB-16'!IB71+'[3]CB-17'!IB71+'[3]CB-18'!IB71+'[3]CB-19'!IB71+'[3]CB-20'!IB71+'[3]CB-21'!IB71+'[3]CB-22'!IB71+'[3]CB-23'!IB71+'[3]CB-24'!IB71+'[4]LCT-1'!IB71+'[4]LCT-2'!IB71+'[4]LCT-3'!IB71+'[4]LCT-4'!IB71+'[4]LCT-5'!IB71+'[4]LCT-6'!IB71+'[4]LCT-7'!IB71+'[4]LCT-8'!IB71+'[5]TB-1'!IB71+'[5]TB-2'!IB71+'[5]TB-3'!IB71+'[5]TB-4'!IB71+'[5]TB-5'!IB71+'[5]TB-6'!IB71+'[5]TB-7'!IB71+'[5]TB-8'!IB71+'[5]TB-9'!IB71+'[5]TB-10'!IB71+'[6]DSV-1'!IB71+'[6]DSV-2'!IB71+'[6]DSV-3'!IB71+'[7]TUB-1'!IB71+'[7]TUB-2'!IB71+'[8]Barge-1'!IB71+'[8]Barge-2'!IB71+'[8]Barge-3'!IB71+'[8]Barge-4'!IB71</f>
        <v>174344633.33333334</v>
      </c>
      <c r="AA33" s="146">
        <f>'[2]AHTS-1'!IB33+'[2]AHTS-2'!IB33+'[2]AHTS-3'!IB33+'[2]AHTS-4'!IB33+'[2]AHTS-5'!IB33+'[2]AHTS-6'!IB33+'[2]AHTS-7'!IB33+'[2]AHTS-8'!IB33+'[3]CB-1'!IB33+'[3]CB-2'!IB33+'[3]CB-3'!IB33+'[3]CB-4'!IB33+'[3]CB-5'!IB33+'[3]CB-6'!IB33+'[3]CB-7'!IB33+'[3]CB-8'!IB33+'[3]CB-9'!IB33+'[3]CB-10'!IB33+'[3]CB-11'!IB33+'[3]CB-12'!IB33+'[3]CB-13'!IB33+'[3]CB-14'!IB33+'[3]CB-15'!IB33+'[3]CB-16'!IB33+'[3]CB-17'!IB33+'[3]CB-18'!IB33+'[3]CB-19'!IB33+'[3]CB-20'!IB33+'[3]CB-21'!IB33+'[3]CB-22'!IB33+'[3]CB-23'!IB33+'[3]CB-24'!IB33+'[4]LCT-1'!IB33+'[4]LCT-2'!IB33+'[4]LCT-3'!IB33+'[4]LCT-4'!IB33+'[4]LCT-5'!IB33+'[4]LCT-6'!IB33+'[4]LCT-7'!IB33+'[4]LCT-8'!IB33+'[5]TB-1'!IB33+'[5]TB-2'!IB33+'[5]TB-3'!IB33+'[5]TB-4'!IB33+'[5]TB-5'!IB33+'[5]TB-6'!IB33+'[5]TB-7'!IB33+'[5]TB-8'!IB33+'[5]TB-9'!IB33+'[5]TB-10'!IB33+'[6]DSV-1'!IB33+'[6]DSV-2'!IB33+'[6]DSV-3'!IB33+'[7]TUB-1'!IB33+'[7]TUB-2'!IB33+'[8]Barge-1'!IB33+'[8]Barge-2'!IB33+'[8]Barge-3'!IB33+'[8]Barge-4'!IB33</f>
        <v>99233333.333333328</v>
      </c>
      <c r="AB33" s="147">
        <f>'[2]AHTS-1'!IB104+'[2]AHTS-2'!IB104+'[2]AHTS-3'!IB104+'[2]AHTS-4'!IB104+'[2]AHTS-5'!IB104+'[2]AHTS-6'!IB104+'[2]AHTS-7'!IB104+'[2]AHTS-8'!IB104+'[3]CB-1'!IB104+'[3]CB-2'!IB104+'[3]CB-3'!IB104+'[3]CB-4'!IB104+'[3]CB-5'!IB104+'[3]CB-6'!IB104+'[3]CB-7'!IB104+'[3]CB-8'!IB104+'[3]CB-9'!IB104+'[3]CB-10'!IB104+'[3]CB-11'!IB104+'[3]CB-12'!IB104+'[3]CB-13'!IB104+'[3]CB-14'!IB104+'[3]CB-15'!IB104+'[3]CB-16'!IB104+'[3]CB-17'!IB104+'[3]CB-18'!IB104+'[3]CB-19'!IB104+'[3]CB-20'!IB104+'[3]CB-21'!IB104+'[3]CB-22'!IB104+'[3]CB-23'!IB104+'[3]CB-24'!IB104+'[4]LCT-1'!IB104+'[4]LCT-2'!IB104+'[4]LCT-3'!IB104+'[4]LCT-4'!IB104+'[4]LCT-5'!IB104+'[4]LCT-6'!IB104+'[4]LCT-7'!IB104+'[4]LCT-8'!IB104+'[5]TB-1'!IB104+'[5]TB-2'!IB104+'[5]TB-3'!IB104+'[5]TB-4'!IB104+'[5]TB-5'!IB104+'[5]TB-6'!IB104+'[5]TB-7'!IB104+'[5]TB-8'!IB104+'[5]TB-9'!IB104+'[5]TB-10'!IB104+'[6]DSV-1'!IB104+'[6]DSV-2'!IB104+'[6]DSV-3'!IB104+'[7]TUB-1'!IB104+'[7]TUB-2'!IB104+'[8]Barge-1'!IB104+'[8]Barge-2'!IB104+'[8]Barge-3'!IB104+'[8]Barge-4'!IB104</f>
        <v>0</v>
      </c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</row>
    <row r="34" spans="1:79" s="84" customFormat="1" ht="14.25" customHeight="1" thickBot="1" x14ac:dyDescent="0.3">
      <c r="A34" s="119">
        <f>[1]Control!AZ34</f>
        <v>46009</v>
      </c>
      <c r="B34" s="81"/>
      <c r="C34" s="159">
        <f>'[2]AHTS-1'!AT34+'[2]AHTS-2'!AT34+'[2]AHTS-3'!AT34+'[2]AHTS-4'!AT34+'[2]AHTS-5'!AT34+'[2]AHTS-6'!AT34+'[2]AHTS-7'!AT34+'[2]AHTS-8'!AT34+'[3]CB-1'!AT34+'[3]CB-2'!AT34+'[3]CB-3'!AT34+'[3]CB-4'!AT34+'[3]CB-5'!AT34+'[3]CB-6'!AT34+'[3]CB-7'!AT34+'[3]CB-8'!AT34+'[3]CB-9'!AT34+'[3]CB-10'!AT34+'[3]CB-11'!AT34+'[3]CB-12'!AT34+'[3]CB-13'!AT34+'[3]CB-14'!AT34+'[3]CB-15'!AT34+'[3]CB-16'!AT34+'[3]CB-17'!AT34+'[3]CB-18'!AT34+'[3]CB-19'!AT34+'[3]CB-20'!AT34+'[3]CB-21'!AT34+'[3]CB-22'!AT34+'[3]CB-23'!AT34+'[3]CB-24'!AT34+'[4]LCT-1'!AT34+'[4]LCT-2'!AT34+'[4]LCT-3'!AT34+'[4]LCT-4'!AT34+'[4]LCT-5'!AT34+'[4]LCT-6'!AT34+'[4]LCT-7'!AT34+'[4]LCT-8'!AT34+'[5]TB-1'!AT34+'[5]TB-2'!AT34+'[5]TB-3'!AT34+'[5]TB-4'!AT34+'[5]TB-5'!AT34+'[5]TB-6'!AT34+'[5]TB-7'!AT34+'[5]TB-8'!AT34+'[5]TB-9'!AT34+'[5]TB-10'!AT34+'[6]DSV-1'!AT34+'[6]DSV-2'!AT34+'[6]DSV-3'!AT34+'[7]TUB-1'!AT34+'[7]TUB-2'!AT34+'[8]Barge-1'!AT34+'[8]Barge-2'!AT34+'[8]Barge-3'!AT34+'[8]Barge-4'!AT34</f>
        <v>9695.2857502517618</v>
      </c>
      <c r="D34" s="160">
        <f>'[2]AHTS-1'!BP34+'[2]AHTS-2'!BP34+'[2]AHTS-3'!BP34+'[2]AHTS-4'!BP34+'[2]AHTS-5'!BP34+'[2]AHTS-6'!BP34+'[2]AHTS-7'!BP34+'[2]AHTS-8'!BP34+'[3]CB-1'!BP34+'[3]CB-2'!BP34+'[3]CB-3'!BP34+'[3]CB-4'!BP34+'[3]CB-5'!BP34+'[3]CB-6'!BP34+'[3]CB-7'!BP34+'[3]CB-8'!BP34+'[3]CB-9'!BP34+'[3]CB-10'!BP34+'[3]CB-11'!BP34+'[3]CB-12'!BP34+'[3]CB-13'!BP34+'[3]CB-14'!BP34+'[3]CB-15'!BP34+'[3]CB-16'!BP34+'[3]CB-17'!BP34+'[3]CB-18'!BP34+'[3]CB-19'!BP34+'[3]CB-20'!BP34+'[3]CB-21'!BP34+'[3]CB-22'!BP34+'[3]CB-23'!BP34+'[3]CB-24'!BP34+'[4]LCT-1'!BP34+'[4]LCT-2'!BP34+'[4]LCT-3'!BP34+'[4]LCT-4'!BP34+'[4]LCT-5'!BP34+'[4]LCT-6'!BP34+'[4]LCT-7'!BP34+'[4]LCT-8'!BP34+'[5]TB-1'!BP34+'[5]TB-2'!BP34+'[5]TB-3'!BP34+'[5]TB-4'!BP34+'[5]TB-5'!BP34+'[5]TB-6'!BP34+'[5]TB-7'!BP34+'[5]TB-8'!BP34+'[5]TB-9'!BP34+'[5]TB-10'!BP34+'[6]DSV-1'!BP34+'[6]DSV-2'!BP34+'[6]DSV-3'!BP34+'[7]TUB-1'!BP34+'[7]TUB-2'!BP34+'[8]Barge-1'!BP34+'[8]Barge-2'!BP34+'[8]Barge-3'!BP34+'[8]Barge-4'!BP34</f>
        <v>3977.844914400805</v>
      </c>
      <c r="E34" s="161">
        <f>'[2]AHTS-1'!CL34+'[2]AHTS-2'!CL34+'[2]AHTS-3'!CL34+'[2]AHTS-4'!CL34+'[2]AHTS-5'!CL34+'[2]AHTS-6'!CL34+'[2]AHTS-7'!CL34+'[2]AHTS-8'!CL34+'[3]CB-1'!CL34+'[3]CB-2'!CL34+'[3]CB-3'!CL34+'[3]CB-4'!CL34+'[3]CB-5'!CL34+'[3]CB-6'!CL34+'[3]CB-7'!CL34+'[3]CB-8'!CL34+'[3]CB-9'!CL34+'[3]CB-10'!CL34+'[3]CB-11'!CL34+'[3]CB-12'!CL34+'[3]CB-13'!CL34+'[3]CB-14'!CL34+'[3]CB-15'!CL34+'[3]CB-16'!CL34+'[3]CB-17'!CL34+'[3]CB-18'!CL34+'[3]CB-19'!CL34+'[3]CB-20'!CL34+'[3]CB-21'!CL34+'[3]CB-22'!CL34+'[3]CB-23'!CL34+'[3]CB-24'!CL34+'[4]LCT-1'!CL34+'[4]LCT-2'!CL34+'[4]LCT-3'!CL34+'[4]LCT-4'!CL34+'[4]LCT-5'!CL34+'[4]LCT-6'!CL34+'[4]LCT-7'!CL34+'[4]LCT-8'!CL34+'[5]TB-1'!CL34+'[5]TB-2'!CL34+'[5]TB-3'!CL34+'[5]TB-4'!CL34+'[5]TB-5'!CL34+'[5]TB-6'!CL34+'[5]TB-7'!CL34+'[5]TB-8'!CL34+'[5]TB-9'!CL34+'[5]TB-10'!CL34+'[6]DSV-1'!CL34+'[6]DSV-2'!CL34+'[6]DSV-3'!CL34+'[7]TUB-1'!CL34+'[7]TUB-2'!CL34+'[8]Barge-1'!CL34+'[8]Barge-2'!CL34+'[8]Barge-3'!CL34+'[8]Barge-4'!CL34</f>
        <v>0</v>
      </c>
      <c r="F34" s="159">
        <f>'[2]AHTS-1'!AU34+'[2]AHTS-2'!AU34+'[2]AHTS-3'!AU34+'[2]AHTS-4'!AU34+'[2]AHTS-5'!AU34+'[2]AHTS-6'!AU34+'[2]AHTS-7'!AU34+'[2]AHTS-8'!AU34+'[3]CB-1'!AU34+'[3]CB-2'!AU34+'[3]CB-3'!AU34+'[3]CB-4'!AU34+'[3]CB-5'!AU34+'[3]CB-6'!AU34+'[3]CB-7'!AU34+'[3]CB-8'!AU34+'[3]CB-9'!AU34+'[3]CB-10'!AU34+'[3]CB-11'!AU34+'[3]CB-12'!AU34+'[3]CB-13'!AU34+'[3]CB-14'!AU34+'[3]CB-15'!AU34+'[3]CB-16'!AU34+'[3]CB-17'!AU34+'[3]CB-18'!AU34+'[3]CB-19'!AU34+'[3]CB-20'!AU34+'[3]CB-21'!AU34+'[3]CB-22'!AU34+'[3]CB-23'!AU34+'[3]CB-24'!AU34+'[4]LCT-1'!AU34+'[4]LCT-2'!AU34+'[4]LCT-3'!AU34+'[4]LCT-4'!AU34+'[4]LCT-5'!AU34+'[4]LCT-6'!AU34+'[4]LCT-7'!AU34+'[4]LCT-8'!AU34+'[5]TB-1'!AU34+'[5]TB-2'!AU34+'[5]TB-3'!AU34+'[5]TB-4'!AU34+'[5]TB-5'!AU34+'[5]TB-6'!AU34+'[5]TB-7'!AU34+'[5]TB-8'!AU34+'[5]TB-9'!AU34+'[5]TB-10'!AU34+'[6]DSV-1'!AU34+'[6]DSV-2'!AU34+'[6]DSV-3'!AU34+'[7]TUB-1'!AU34+'[7]TUB-2'!AU34+'[8]Barge-1'!AU34+'[8]Barge-2'!AU34+'[8]Barge-3'!AU34+'[8]Barge-4'!AU34</f>
        <v>2135.5334564171426</v>
      </c>
      <c r="G34" s="160">
        <f>'[2]AHTS-1'!BQ34+'[2]AHTS-2'!BQ34+'[2]AHTS-3'!BQ34+'[2]AHTS-4'!BQ34+'[2]AHTS-5'!BQ34+'[2]AHTS-6'!BQ34+'[2]AHTS-7'!BQ34+'[2]AHTS-8'!BQ34+'[3]CB-1'!BQ34+'[3]CB-2'!BQ34+'[3]CB-3'!BQ34+'[3]CB-4'!BQ34+'[3]CB-5'!BQ34+'[3]CB-6'!BQ34+'[3]CB-7'!BQ34+'[3]CB-8'!BQ34+'[3]CB-9'!BQ34+'[3]CB-10'!BQ34+'[3]CB-11'!BQ34+'[3]CB-12'!BQ34+'[3]CB-13'!BQ34+'[3]CB-14'!BQ34+'[3]CB-15'!BQ34+'[3]CB-16'!BQ34+'[3]CB-17'!BQ34+'[3]CB-18'!BQ34+'[3]CB-19'!BQ34+'[3]CB-20'!BQ34+'[3]CB-21'!BQ34+'[3]CB-22'!BQ34+'[3]CB-23'!BQ34+'[3]CB-24'!BQ34+'[4]LCT-1'!BQ34+'[4]LCT-2'!BQ34+'[4]LCT-3'!BQ34+'[4]LCT-4'!BQ34+'[4]LCT-5'!BQ34+'[4]LCT-6'!BQ34+'[4]LCT-7'!BQ34+'[4]LCT-8'!BQ34+'[5]TB-1'!BQ34+'[5]TB-2'!BQ34+'[5]TB-3'!BQ34+'[5]TB-4'!BQ34+'[5]TB-5'!BQ34+'[5]TB-6'!BQ34+'[5]TB-7'!BQ34+'[5]TB-8'!BQ34+'[5]TB-9'!BQ34+'[5]TB-10'!BQ34+'[6]DSV-1'!BQ34+'[6]DSV-2'!BQ34+'[6]DSV-3'!BQ34+'[7]TUB-1'!BQ34+'[7]TUB-2'!BQ34+'[8]Barge-1'!BQ34+'[8]Barge-2'!BQ34+'[8]Barge-3'!BQ34+'[8]Barge-4'!BQ34</f>
        <v>1799.2265301555331</v>
      </c>
      <c r="H34" s="161">
        <f>'[2]AHTS-1'!CM34+'[2]AHTS-2'!CM34+'[2]AHTS-3'!CM34+'[2]AHTS-4'!CM34+'[2]AHTS-5'!CM34+'[2]AHTS-6'!CM34+'[2]AHTS-7'!CM34+'[2]AHTS-8'!CM34+'[3]CB-1'!CM34+'[3]CB-2'!CM34+'[3]CB-3'!CM34+'[3]CB-4'!CM34+'[3]CB-5'!CM34+'[3]CB-6'!CM34+'[3]CB-7'!CM34+'[3]CB-8'!CM34+'[3]CB-9'!CM34+'[3]CB-10'!CM34+'[3]CB-11'!CM34+'[3]CB-12'!CM34+'[3]CB-13'!CM34+'[3]CB-14'!CM34+'[3]CB-15'!CM34+'[3]CB-16'!CM34+'[3]CB-17'!CM34+'[3]CB-18'!CM34+'[3]CB-19'!CM34+'[3]CB-20'!CM34+'[3]CB-21'!CM34+'[3]CB-22'!CM34+'[3]CB-23'!CM34+'[3]CB-24'!CM34+'[4]LCT-1'!CM34+'[4]LCT-2'!CM34+'[4]LCT-3'!CM34+'[4]LCT-4'!CM34+'[4]LCT-5'!CM34+'[4]LCT-6'!CM34+'[4]LCT-7'!CM34+'[4]LCT-8'!CM34+'[5]TB-1'!CM34+'[5]TB-2'!CM34+'[5]TB-3'!CM34+'[5]TB-4'!CM34+'[5]TB-5'!CM34+'[5]TB-6'!CM34+'[5]TB-7'!CM34+'[5]TB-8'!CM34+'[5]TB-9'!CM34+'[5]TB-10'!CM34+'[6]DSV-1'!CM34+'[6]DSV-2'!CM34+'[6]DSV-3'!CM34+'[7]TUB-1'!CM34+'[7]TUB-2'!CM34+'[8]Barge-1'!CM34+'[8]Barge-2'!CM34+'[8]Barge-3'!CM34+'[8]Barge-4'!CM34</f>
        <v>0</v>
      </c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110"/>
      <c r="U34" s="119">
        <f>[1]Control!AZ34</f>
        <v>46009</v>
      </c>
      <c r="V34" s="81"/>
      <c r="W34" s="145">
        <f>'[2]AHTS-1'!IA72+'[2]AHTS-2'!IA72+'[2]AHTS-3'!IA72+'[2]AHTS-4'!IA72+'[2]AHTS-5'!IA72+'[2]AHTS-6'!IA72+'[2]AHTS-7'!IA72+'[2]AHTS-8'!IA72+'[3]CB-1'!IA72+'[3]CB-2'!IA72+'[3]CB-3'!IA72+'[3]CB-4'!IA72+'[3]CB-5'!IA72+'[3]CB-6'!IA72+'[3]CB-7'!IA72+'[3]CB-8'!IA72+'[3]CB-9'!IA72+'[3]CB-10'!IA72+'[3]CB-11'!IA72+'[3]CB-12'!IA72+'[3]CB-13'!IA72+'[3]CB-14'!IA72+'[3]CB-15'!IA72+'[3]CB-16'!IA72+'[3]CB-17'!IA72+'[3]CB-18'!IA72+'[3]CB-19'!IA72+'[3]CB-20'!IA72+'[3]CB-21'!IA72+'[3]CB-22'!IA72+'[3]CB-23'!IA72+'[3]CB-24'!IA72+'[4]LCT-1'!IA72+'[4]LCT-2'!IA72+'[4]LCT-3'!IA72+'[4]LCT-4'!IA72+'[4]LCT-5'!IA72+'[4]LCT-6'!IA72+'[4]LCT-7'!IA72+'[4]LCT-8'!IA72+'[5]TB-1'!IA72+'[5]TB-2'!IA72+'[5]TB-3'!IA72+'[5]TB-4'!IA72+'[5]TB-5'!IA72+'[5]TB-6'!IA72+'[5]TB-7'!IA72+'[5]TB-8'!IA72+'[5]TB-9'!IA72+'[5]TB-10'!IA72+'[6]DSV-1'!IA72+'[6]DSV-2'!IA72+'[6]DSV-3'!IA72+'[7]TUB-1'!IA72+'[7]TUB-2'!IA72+'[8]Barge-1'!IA72+'[8]Barge-2'!IA72+'[8]Barge-3'!IA72+'[8]Barge-4'!IA72</f>
        <v>154038700</v>
      </c>
      <c r="X34" s="146">
        <f>'[2]AHTS-1'!IA34+'[2]AHTS-2'!IA34+'[2]AHTS-3'!IA34+'[2]AHTS-4'!IA34+'[2]AHTS-5'!IA34+'[2]AHTS-6'!IA34+'[2]AHTS-7'!IA34+'[2]AHTS-8'!IA34+'[3]CB-1'!IA34+'[3]CB-2'!IA34+'[3]CB-3'!IA34+'[3]CB-4'!IA34+'[3]CB-5'!IA34+'[3]CB-6'!IA34+'[3]CB-7'!IA34+'[3]CB-8'!IA34+'[3]CB-9'!IA34+'[3]CB-10'!IA34+'[3]CB-11'!IA34+'[3]CB-12'!IA34+'[3]CB-13'!IA34+'[3]CB-14'!IA34+'[3]CB-15'!IA34+'[3]CB-16'!IA34+'[3]CB-17'!IA34+'[3]CB-18'!IA34+'[3]CB-19'!IA34+'[3]CB-20'!IA34+'[3]CB-21'!IA34+'[3]CB-22'!IA34+'[3]CB-23'!IA34+'[3]CB-24'!IA34+'[4]LCT-1'!IA34+'[4]LCT-2'!IA34+'[4]LCT-3'!IA34+'[4]LCT-4'!IA34+'[4]LCT-5'!IA34+'[4]LCT-6'!IA34+'[4]LCT-7'!IA34+'[4]LCT-8'!IA34+'[5]TB-1'!IA34+'[5]TB-2'!IA34+'[5]TB-3'!IA34+'[5]TB-4'!IA34+'[5]TB-5'!IA34+'[5]TB-6'!IA34+'[5]TB-7'!IA34+'[5]TB-8'!IA34+'[5]TB-9'!IA34+'[5]TB-10'!IA34+'[6]DSV-1'!IA34+'[6]DSV-2'!IA34+'[6]DSV-3'!IA34+'[7]TUB-1'!IA34+'[7]TUB-2'!IA34+'[8]Barge-1'!IA34+'[8]Barge-2'!IA34+'[8]Barge-3'!IA34+'[8]Barge-4'!IA34</f>
        <v>63200000</v>
      </c>
      <c r="Y34" s="147">
        <f>'[2]AHTS-1'!IA105+'[2]AHTS-2'!IA105+'[2]AHTS-3'!IA105+'[2]AHTS-4'!IA105+'[2]AHTS-5'!IA105+'[2]AHTS-6'!IA105+'[2]AHTS-7'!IA105+'[2]AHTS-8'!IA105+'[3]CB-1'!IA105+'[3]CB-2'!IA105+'[3]CB-3'!IA105+'[3]CB-4'!IA105+'[3]CB-5'!IA105+'[3]CB-6'!IA105+'[3]CB-7'!IA105+'[3]CB-8'!IA105+'[3]CB-9'!IA105+'[3]CB-10'!IA105+'[3]CB-11'!IA105+'[3]CB-12'!IA105+'[3]CB-13'!IA105+'[3]CB-14'!IA105+'[3]CB-15'!IA105+'[3]CB-16'!IA105+'[3]CB-17'!IA105+'[3]CB-18'!IA105+'[3]CB-19'!IA105+'[3]CB-20'!IA105+'[3]CB-21'!IA105+'[3]CB-22'!IA105+'[3]CB-23'!IA105+'[3]CB-24'!IA105+'[4]LCT-1'!IA105+'[4]LCT-2'!IA105+'[4]LCT-3'!IA105+'[4]LCT-4'!IA105+'[4]LCT-5'!IA105+'[4]LCT-6'!IA105+'[4]LCT-7'!IA105+'[4]LCT-8'!IA105+'[5]TB-1'!IA105+'[5]TB-2'!IA105+'[5]TB-3'!IA105+'[5]TB-4'!IA105+'[5]TB-5'!IA105+'[5]TB-6'!IA105+'[5]TB-7'!IA105+'[5]TB-8'!IA105+'[5]TB-9'!IA105+'[5]TB-10'!IA105+'[6]DSV-1'!IA105+'[6]DSV-2'!IA105+'[6]DSV-3'!IA105+'[7]TUB-1'!IA105+'[7]TUB-2'!IA105+'[8]Barge-1'!IA105+'[8]Barge-2'!IA105+'[8]Barge-3'!IA105+'[8]Barge-4'!IA105</f>
        <v>0</v>
      </c>
      <c r="Z34" s="145">
        <f>'[2]AHTS-1'!IB72+'[2]AHTS-2'!IB72+'[2]AHTS-3'!IB72+'[2]AHTS-4'!IB72+'[2]AHTS-5'!IB72+'[2]AHTS-6'!IB72+'[2]AHTS-7'!IB72+'[2]AHTS-8'!IB72+'[3]CB-1'!IB72+'[3]CB-2'!IB72+'[3]CB-3'!IB72+'[3]CB-4'!IB72+'[3]CB-5'!IB72+'[3]CB-6'!IB72+'[3]CB-7'!IB72+'[3]CB-8'!IB72+'[3]CB-9'!IB72+'[3]CB-10'!IB72+'[3]CB-11'!IB72+'[3]CB-12'!IB72+'[3]CB-13'!IB72+'[3]CB-14'!IB72+'[3]CB-15'!IB72+'[3]CB-16'!IB72+'[3]CB-17'!IB72+'[3]CB-18'!IB72+'[3]CB-19'!IB72+'[3]CB-20'!IB72+'[3]CB-21'!IB72+'[3]CB-22'!IB72+'[3]CB-23'!IB72+'[3]CB-24'!IB72+'[4]LCT-1'!IB72+'[4]LCT-2'!IB72+'[4]LCT-3'!IB72+'[4]LCT-4'!IB72+'[4]LCT-5'!IB72+'[4]LCT-6'!IB72+'[4]LCT-7'!IB72+'[4]LCT-8'!IB72+'[5]TB-1'!IB72+'[5]TB-2'!IB72+'[5]TB-3'!IB72+'[5]TB-4'!IB72+'[5]TB-5'!IB72+'[5]TB-6'!IB72+'[5]TB-7'!IB72+'[5]TB-8'!IB72+'[5]TB-9'!IB72+'[5]TB-10'!IB72+'[6]DSV-1'!IB72+'[6]DSV-2'!IB72+'[6]DSV-3'!IB72+'[7]TUB-1'!IB72+'[7]TUB-2'!IB72+'[8]Barge-1'!IB72+'[8]Barge-2'!IB72+'[8]Barge-3'!IB72+'[8]Barge-4'!IB72</f>
        <v>33929355.555555552</v>
      </c>
      <c r="AA34" s="146">
        <f>'[2]AHTS-1'!IB34+'[2]AHTS-2'!IB34+'[2]AHTS-3'!IB34+'[2]AHTS-4'!IB34+'[2]AHTS-5'!IB34+'[2]AHTS-6'!IB34+'[2]AHTS-7'!IB34+'[2]AHTS-8'!IB34+'[3]CB-1'!IB34+'[3]CB-2'!IB34+'[3]CB-3'!IB34+'[3]CB-4'!IB34+'[3]CB-5'!IB34+'[3]CB-6'!IB34+'[3]CB-7'!IB34+'[3]CB-8'!IB34+'[3]CB-9'!IB34+'[3]CB-10'!IB34+'[3]CB-11'!IB34+'[3]CB-12'!IB34+'[3]CB-13'!IB34+'[3]CB-14'!IB34+'[3]CB-15'!IB34+'[3]CB-16'!IB34+'[3]CB-17'!IB34+'[3]CB-18'!IB34+'[3]CB-19'!IB34+'[3]CB-20'!IB34+'[3]CB-21'!IB34+'[3]CB-22'!IB34+'[3]CB-23'!IB34+'[3]CB-24'!IB34+'[4]LCT-1'!IB34+'[4]LCT-2'!IB34+'[4]LCT-3'!IB34+'[4]LCT-4'!IB34+'[4]LCT-5'!IB34+'[4]LCT-6'!IB34+'[4]LCT-7'!IB34+'[4]LCT-8'!IB34+'[5]TB-1'!IB34+'[5]TB-2'!IB34+'[5]TB-3'!IB34+'[5]TB-4'!IB34+'[5]TB-5'!IB34+'[5]TB-6'!IB34+'[5]TB-7'!IB34+'[5]TB-8'!IB34+'[5]TB-9'!IB34+'[5]TB-10'!IB34+'[6]DSV-1'!IB34+'[6]DSV-2'!IB34+'[6]DSV-3'!IB34+'[7]TUB-1'!IB34+'[7]TUB-2'!IB34+'[8]Barge-1'!IB34+'[8]Barge-2'!IB34+'[8]Barge-3'!IB34+'[8]Barge-4'!IB34</f>
        <v>28586111.111111112</v>
      </c>
      <c r="AB34" s="147">
        <f>'[2]AHTS-1'!IB105+'[2]AHTS-2'!IB105+'[2]AHTS-3'!IB105+'[2]AHTS-4'!IB105+'[2]AHTS-5'!IB105+'[2]AHTS-6'!IB105+'[2]AHTS-7'!IB105+'[2]AHTS-8'!IB105+'[3]CB-1'!IB105+'[3]CB-2'!IB105+'[3]CB-3'!IB105+'[3]CB-4'!IB105+'[3]CB-5'!IB105+'[3]CB-6'!IB105+'[3]CB-7'!IB105+'[3]CB-8'!IB105+'[3]CB-9'!IB105+'[3]CB-10'!IB105+'[3]CB-11'!IB105+'[3]CB-12'!IB105+'[3]CB-13'!IB105+'[3]CB-14'!IB105+'[3]CB-15'!IB105+'[3]CB-16'!IB105+'[3]CB-17'!IB105+'[3]CB-18'!IB105+'[3]CB-19'!IB105+'[3]CB-20'!IB105+'[3]CB-21'!IB105+'[3]CB-22'!IB105+'[3]CB-23'!IB105+'[3]CB-24'!IB105+'[4]LCT-1'!IB105+'[4]LCT-2'!IB105+'[4]LCT-3'!IB105+'[4]LCT-4'!IB105+'[4]LCT-5'!IB105+'[4]LCT-6'!IB105+'[4]LCT-7'!IB105+'[4]LCT-8'!IB105+'[5]TB-1'!IB105+'[5]TB-2'!IB105+'[5]TB-3'!IB105+'[5]TB-4'!IB105+'[5]TB-5'!IB105+'[5]TB-6'!IB105+'[5]TB-7'!IB105+'[5]TB-8'!IB105+'[5]TB-9'!IB105+'[5]TB-10'!IB105+'[6]DSV-1'!IB105+'[6]DSV-2'!IB105+'[6]DSV-3'!IB105+'[7]TUB-1'!IB105+'[7]TUB-2'!IB105+'[8]Barge-1'!IB105+'[8]Barge-2'!IB105+'[8]Barge-3'!IB105+'[8]Barge-4'!IB105</f>
        <v>0</v>
      </c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</row>
    <row r="35" spans="1:79" s="84" customFormat="1" ht="14.25" customHeight="1" thickBot="1" x14ac:dyDescent="0.3">
      <c r="A35" s="119">
        <f>[1]Control!AZ35</f>
        <v>46010</v>
      </c>
      <c r="B35" s="81"/>
      <c r="C35" s="159">
        <f>'[2]AHTS-1'!AT35+'[2]AHTS-2'!AT35+'[2]AHTS-3'!AT35+'[2]AHTS-4'!AT35+'[2]AHTS-5'!AT35+'[2]AHTS-6'!AT35+'[2]AHTS-7'!AT35+'[2]AHTS-8'!AT35+'[3]CB-1'!AT35+'[3]CB-2'!AT35+'[3]CB-3'!AT35+'[3]CB-4'!AT35+'[3]CB-5'!AT35+'[3]CB-6'!AT35+'[3]CB-7'!AT35+'[3]CB-8'!AT35+'[3]CB-9'!AT35+'[3]CB-10'!AT35+'[3]CB-11'!AT35+'[3]CB-12'!AT35+'[3]CB-13'!AT35+'[3]CB-14'!AT35+'[3]CB-15'!AT35+'[3]CB-16'!AT35+'[3]CB-17'!AT35+'[3]CB-18'!AT35+'[3]CB-19'!AT35+'[3]CB-20'!AT35+'[3]CB-21'!AT35+'[3]CB-22'!AT35+'[3]CB-23'!AT35+'[3]CB-24'!AT35+'[4]LCT-1'!AT35+'[4]LCT-2'!AT35+'[4]LCT-3'!AT35+'[4]LCT-4'!AT35+'[4]LCT-5'!AT35+'[4]LCT-6'!AT35+'[4]LCT-7'!AT35+'[4]LCT-8'!AT35+'[5]TB-1'!AT35+'[5]TB-2'!AT35+'[5]TB-3'!AT35+'[5]TB-4'!AT35+'[5]TB-5'!AT35+'[5]TB-6'!AT35+'[5]TB-7'!AT35+'[5]TB-8'!AT35+'[5]TB-9'!AT35+'[5]TB-10'!AT35+'[6]DSV-1'!AT35+'[6]DSV-2'!AT35+'[6]DSV-3'!AT35+'[7]TUB-1'!AT35+'[7]TUB-2'!AT35+'[8]Barge-1'!AT35+'[8]Barge-2'!AT35+'[8]Barge-3'!AT35+'[8]Barge-4'!AT35</f>
        <v>9875.67200908632</v>
      </c>
      <c r="D35" s="160">
        <f>'[2]AHTS-1'!BP35+'[2]AHTS-2'!BP35+'[2]AHTS-3'!BP35+'[2]AHTS-4'!BP35+'[2]AHTS-5'!BP35+'[2]AHTS-6'!BP35+'[2]AHTS-7'!BP35+'[2]AHTS-8'!BP35+'[3]CB-1'!BP35+'[3]CB-2'!BP35+'[3]CB-3'!BP35+'[3]CB-4'!BP35+'[3]CB-5'!BP35+'[3]CB-6'!BP35+'[3]CB-7'!BP35+'[3]CB-8'!BP35+'[3]CB-9'!BP35+'[3]CB-10'!BP35+'[3]CB-11'!BP35+'[3]CB-12'!BP35+'[3]CB-13'!BP35+'[3]CB-14'!BP35+'[3]CB-15'!BP35+'[3]CB-16'!BP35+'[3]CB-17'!BP35+'[3]CB-18'!BP35+'[3]CB-19'!BP35+'[3]CB-20'!BP35+'[3]CB-21'!BP35+'[3]CB-22'!BP35+'[3]CB-23'!BP35+'[3]CB-24'!BP35+'[4]LCT-1'!BP35+'[4]LCT-2'!BP35+'[4]LCT-3'!BP35+'[4]LCT-4'!BP35+'[4]LCT-5'!BP35+'[4]LCT-6'!BP35+'[4]LCT-7'!BP35+'[4]LCT-8'!BP35+'[5]TB-1'!BP35+'[5]TB-2'!BP35+'[5]TB-3'!BP35+'[5]TB-4'!BP35+'[5]TB-5'!BP35+'[5]TB-6'!BP35+'[5]TB-7'!BP35+'[5]TB-8'!BP35+'[5]TB-9'!BP35+'[5]TB-10'!BP35+'[6]DSV-1'!BP35+'[6]DSV-2'!BP35+'[6]DSV-3'!BP35+'[7]TUB-1'!BP35+'[7]TUB-2'!BP35+'[8]Barge-1'!BP35+'[8]Barge-2'!BP35+'[8]Barge-3'!BP35+'[8]Barge-4'!BP35</f>
        <v>3987.8849066128214</v>
      </c>
      <c r="E35" s="161">
        <f>'[2]AHTS-1'!CL35+'[2]AHTS-2'!CL35+'[2]AHTS-3'!CL35+'[2]AHTS-4'!CL35+'[2]AHTS-5'!CL35+'[2]AHTS-6'!CL35+'[2]AHTS-7'!CL35+'[2]AHTS-8'!CL35+'[3]CB-1'!CL35+'[3]CB-2'!CL35+'[3]CB-3'!CL35+'[3]CB-4'!CL35+'[3]CB-5'!CL35+'[3]CB-6'!CL35+'[3]CB-7'!CL35+'[3]CB-8'!CL35+'[3]CB-9'!CL35+'[3]CB-10'!CL35+'[3]CB-11'!CL35+'[3]CB-12'!CL35+'[3]CB-13'!CL35+'[3]CB-14'!CL35+'[3]CB-15'!CL35+'[3]CB-16'!CL35+'[3]CB-17'!CL35+'[3]CB-18'!CL35+'[3]CB-19'!CL35+'[3]CB-20'!CL35+'[3]CB-21'!CL35+'[3]CB-22'!CL35+'[3]CB-23'!CL35+'[3]CB-24'!CL35+'[4]LCT-1'!CL35+'[4]LCT-2'!CL35+'[4]LCT-3'!CL35+'[4]LCT-4'!CL35+'[4]LCT-5'!CL35+'[4]LCT-6'!CL35+'[4]LCT-7'!CL35+'[4]LCT-8'!CL35+'[5]TB-1'!CL35+'[5]TB-2'!CL35+'[5]TB-3'!CL35+'[5]TB-4'!CL35+'[5]TB-5'!CL35+'[5]TB-6'!CL35+'[5]TB-7'!CL35+'[5]TB-8'!CL35+'[5]TB-9'!CL35+'[5]TB-10'!CL35+'[6]DSV-1'!CL35+'[6]DSV-2'!CL35+'[6]DSV-3'!CL35+'[7]TUB-1'!CL35+'[7]TUB-2'!CL35+'[8]Barge-1'!CL35+'[8]Barge-2'!CL35+'[8]Barge-3'!CL35+'[8]Barge-4'!CL35</f>
        <v>0</v>
      </c>
      <c r="F35" s="159">
        <f>'[2]AHTS-1'!AU35+'[2]AHTS-2'!AU35+'[2]AHTS-3'!AU35+'[2]AHTS-4'!AU35+'[2]AHTS-5'!AU35+'[2]AHTS-6'!AU35+'[2]AHTS-7'!AU35+'[2]AHTS-8'!AU35+'[3]CB-1'!AU35+'[3]CB-2'!AU35+'[3]CB-3'!AU35+'[3]CB-4'!AU35+'[3]CB-5'!AU35+'[3]CB-6'!AU35+'[3]CB-7'!AU35+'[3]CB-8'!AU35+'[3]CB-9'!AU35+'[3]CB-10'!AU35+'[3]CB-11'!AU35+'[3]CB-12'!AU35+'[3]CB-13'!AU35+'[3]CB-14'!AU35+'[3]CB-15'!AU35+'[3]CB-16'!AU35+'[3]CB-17'!AU35+'[3]CB-18'!AU35+'[3]CB-19'!AU35+'[3]CB-20'!AU35+'[3]CB-21'!AU35+'[3]CB-22'!AU35+'[3]CB-23'!AU35+'[3]CB-24'!AU35+'[4]LCT-1'!AU35+'[4]LCT-2'!AU35+'[4]LCT-3'!AU35+'[4]LCT-4'!AU35+'[4]LCT-5'!AU35+'[4]LCT-6'!AU35+'[4]LCT-7'!AU35+'[4]LCT-8'!AU35+'[5]TB-1'!AU35+'[5]TB-2'!AU35+'[5]TB-3'!AU35+'[5]TB-4'!AU35+'[5]TB-5'!AU35+'[5]TB-6'!AU35+'[5]TB-7'!AU35+'[5]TB-8'!AU35+'[5]TB-9'!AU35+'[5]TB-10'!AU35+'[6]DSV-1'!AU35+'[6]DSV-2'!AU35+'[6]DSV-3'!AU35+'[7]TUB-1'!AU35+'[7]TUB-2'!AU35+'[8]Barge-1'!AU35+'[8]Barge-2'!AU35+'[8]Barge-3'!AU35+'[8]Barge-4'!AU35</f>
        <v>1749.8324359190083</v>
      </c>
      <c r="G35" s="160">
        <f>'[2]AHTS-1'!BQ35+'[2]AHTS-2'!BQ35+'[2]AHTS-3'!BQ35+'[2]AHTS-4'!BQ35+'[2]AHTS-5'!BQ35+'[2]AHTS-6'!BQ35+'[2]AHTS-7'!BQ35+'[2]AHTS-8'!BQ35+'[3]CB-1'!BQ35+'[3]CB-2'!BQ35+'[3]CB-3'!BQ35+'[3]CB-4'!BQ35+'[3]CB-5'!BQ35+'[3]CB-6'!BQ35+'[3]CB-7'!BQ35+'[3]CB-8'!BQ35+'[3]CB-9'!BQ35+'[3]CB-10'!BQ35+'[3]CB-11'!BQ35+'[3]CB-12'!BQ35+'[3]CB-13'!BQ35+'[3]CB-14'!BQ35+'[3]CB-15'!BQ35+'[3]CB-16'!BQ35+'[3]CB-17'!BQ35+'[3]CB-18'!BQ35+'[3]CB-19'!BQ35+'[3]CB-20'!BQ35+'[3]CB-21'!BQ35+'[3]CB-22'!BQ35+'[3]CB-23'!BQ35+'[3]CB-24'!BQ35+'[4]LCT-1'!BQ35+'[4]LCT-2'!BQ35+'[4]LCT-3'!BQ35+'[4]LCT-4'!BQ35+'[4]LCT-5'!BQ35+'[4]LCT-6'!BQ35+'[4]LCT-7'!BQ35+'[4]LCT-8'!BQ35+'[5]TB-1'!BQ35+'[5]TB-2'!BQ35+'[5]TB-3'!BQ35+'[5]TB-4'!BQ35+'[5]TB-5'!BQ35+'[5]TB-6'!BQ35+'[5]TB-7'!BQ35+'[5]TB-8'!BQ35+'[5]TB-9'!BQ35+'[5]TB-10'!BQ35+'[6]DSV-1'!BQ35+'[6]DSV-2'!BQ35+'[6]DSV-3'!BQ35+'[7]TUB-1'!BQ35+'[7]TUB-2'!BQ35+'[8]Barge-1'!BQ35+'[8]Barge-2'!BQ35+'[8]Barge-3'!BQ35+'[8]Barge-4'!BQ35</f>
        <v>1554.7002075270627</v>
      </c>
      <c r="H35" s="161">
        <f>'[2]AHTS-1'!CM35+'[2]AHTS-2'!CM35+'[2]AHTS-3'!CM35+'[2]AHTS-4'!CM35+'[2]AHTS-5'!CM35+'[2]AHTS-6'!CM35+'[2]AHTS-7'!CM35+'[2]AHTS-8'!CM35+'[3]CB-1'!CM35+'[3]CB-2'!CM35+'[3]CB-3'!CM35+'[3]CB-4'!CM35+'[3]CB-5'!CM35+'[3]CB-6'!CM35+'[3]CB-7'!CM35+'[3]CB-8'!CM35+'[3]CB-9'!CM35+'[3]CB-10'!CM35+'[3]CB-11'!CM35+'[3]CB-12'!CM35+'[3]CB-13'!CM35+'[3]CB-14'!CM35+'[3]CB-15'!CM35+'[3]CB-16'!CM35+'[3]CB-17'!CM35+'[3]CB-18'!CM35+'[3]CB-19'!CM35+'[3]CB-20'!CM35+'[3]CB-21'!CM35+'[3]CB-22'!CM35+'[3]CB-23'!CM35+'[3]CB-24'!CM35+'[4]LCT-1'!CM35+'[4]LCT-2'!CM35+'[4]LCT-3'!CM35+'[4]LCT-4'!CM35+'[4]LCT-5'!CM35+'[4]LCT-6'!CM35+'[4]LCT-7'!CM35+'[4]LCT-8'!CM35+'[5]TB-1'!CM35+'[5]TB-2'!CM35+'[5]TB-3'!CM35+'[5]TB-4'!CM35+'[5]TB-5'!CM35+'[5]TB-6'!CM35+'[5]TB-7'!CM35+'[5]TB-8'!CM35+'[5]TB-9'!CM35+'[5]TB-10'!CM35+'[6]DSV-1'!CM35+'[6]DSV-2'!CM35+'[6]DSV-3'!CM35+'[7]TUB-1'!CM35+'[7]TUB-2'!CM35+'[8]Barge-1'!CM35+'[8]Barge-2'!CM35+'[8]Barge-3'!CM35+'[8]Barge-4'!CM35</f>
        <v>0</v>
      </c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110"/>
      <c r="U35" s="119">
        <f>[1]Control!AZ35</f>
        <v>46010</v>
      </c>
      <c r="V35" s="81"/>
      <c r="W35" s="145">
        <f>'[2]AHTS-1'!IA73+'[2]AHTS-2'!IA73+'[2]AHTS-3'!IA73+'[2]AHTS-4'!IA73+'[2]AHTS-5'!IA73+'[2]AHTS-6'!IA73+'[2]AHTS-7'!IA73+'[2]AHTS-8'!IA73+'[3]CB-1'!IA73+'[3]CB-2'!IA73+'[3]CB-3'!IA73+'[3]CB-4'!IA73+'[3]CB-5'!IA73+'[3]CB-6'!IA73+'[3]CB-7'!IA73+'[3]CB-8'!IA73+'[3]CB-9'!IA73+'[3]CB-10'!IA73+'[3]CB-11'!IA73+'[3]CB-12'!IA73+'[3]CB-13'!IA73+'[3]CB-14'!IA73+'[3]CB-15'!IA73+'[3]CB-16'!IA73+'[3]CB-17'!IA73+'[3]CB-18'!IA73+'[3]CB-19'!IA73+'[3]CB-20'!IA73+'[3]CB-21'!IA73+'[3]CB-22'!IA73+'[3]CB-23'!IA73+'[3]CB-24'!IA73+'[4]LCT-1'!IA73+'[4]LCT-2'!IA73+'[4]LCT-3'!IA73+'[4]LCT-4'!IA73+'[4]LCT-5'!IA73+'[4]LCT-6'!IA73+'[4]LCT-7'!IA73+'[4]LCT-8'!IA73+'[5]TB-1'!IA73+'[5]TB-2'!IA73+'[5]TB-3'!IA73+'[5]TB-4'!IA73+'[5]TB-5'!IA73+'[5]TB-6'!IA73+'[5]TB-7'!IA73+'[5]TB-8'!IA73+'[5]TB-9'!IA73+'[5]TB-10'!IA73+'[6]DSV-1'!IA73+'[6]DSV-2'!IA73+'[6]DSV-3'!IA73+'[7]TUB-1'!IA73+'[7]TUB-2'!IA73+'[8]Barge-1'!IA73+'[8]Barge-2'!IA73+'[8]Barge-3'!IA73+'[8]Barge-4'!IA73</f>
        <v>156509650</v>
      </c>
      <c r="X35" s="146">
        <f>'[2]AHTS-1'!IA35+'[2]AHTS-2'!IA35+'[2]AHTS-3'!IA35+'[2]AHTS-4'!IA35+'[2]AHTS-5'!IA35+'[2]AHTS-6'!IA35+'[2]AHTS-7'!IA35+'[2]AHTS-8'!IA35+'[3]CB-1'!IA35+'[3]CB-2'!IA35+'[3]CB-3'!IA35+'[3]CB-4'!IA35+'[3]CB-5'!IA35+'[3]CB-6'!IA35+'[3]CB-7'!IA35+'[3]CB-8'!IA35+'[3]CB-9'!IA35+'[3]CB-10'!IA35+'[3]CB-11'!IA35+'[3]CB-12'!IA35+'[3]CB-13'!IA35+'[3]CB-14'!IA35+'[3]CB-15'!IA35+'[3]CB-16'!IA35+'[3]CB-17'!IA35+'[3]CB-18'!IA35+'[3]CB-19'!IA35+'[3]CB-20'!IA35+'[3]CB-21'!IA35+'[3]CB-22'!IA35+'[3]CB-23'!IA35+'[3]CB-24'!IA35+'[4]LCT-1'!IA35+'[4]LCT-2'!IA35+'[4]LCT-3'!IA35+'[4]LCT-4'!IA35+'[4]LCT-5'!IA35+'[4]LCT-6'!IA35+'[4]LCT-7'!IA35+'[4]LCT-8'!IA35+'[5]TB-1'!IA35+'[5]TB-2'!IA35+'[5]TB-3'!IA35+'[5]TB-4'!IA35+'[5]TB-5'!IA35+'[5]TB-6'!IA35+'[5]TB-7'!IA35+'[5]TB-8'!IA35+'[5]TB-9'!IA35+'[5]TB-10'!IA35+'[6]DSV-1'!IA35+'[6]DSV-2'!IA35+'[6]DSV-3'!IA35+'[7]TUB-1'!IA35+'[7]TUB-2'!IA35+'[8]Barge-1'!IA35+'[8]Barge-2'!IA35+'[8]Barge-3'!IA35+'[8]Barge-4'!IA35</f>
        <v>63200000</v>
      </c>
      <c r="Y35" s="147">
        <f>'[2]AHTS-1'!IA106+'[2]AHTS-2'!IA106+'[2]AHTS-3'!IA106+'[2]AHTS-4'!IA106+'[2]AHTS-5'!IA106+'[2]AHTS-6'!IA106+'[2]AHTS-7'!IA106+'[2]AHTS-8'!IA106+'[3]CB-1'!IA106+'[3]CB-2'!IA106+'[3]CB-3'!IA106+'[3]CB-4'!IA106+'[3]CB-5'!IA106+'[3]CB-6'!IA106+'[3]CB-7'!IA106+'[3]CB-8'!IA106+'[3]CB-9'!IA106+'[3]CB-10'!IA106+'[3]CB-11'!IA106+'[3]CB-12'!IA106+'[3]CB-13'!IA106+'[3]CB-14'!IA106+'[3]CB-15'!IA106+'[3]CB-16'!IA106+'[3]CB-17'!IA106+'[3]CB-18'!IA106+'[3]CB-19'!IA106+'[3]CB-20'!IA106+'[3]CB-21'!IA106+'[3]CB-22'!IA106+'[3]CB-23'!IA106+'[3]CB-24'!IA106+'[4]LCT-1'!IA106+'[4]LCT-2'!IA106+'[4]LCT-3'!IA106+'[4]LCT-4'!IA106+'[4]LCT-5'!IA106+'[4]LCT-6'!IA106+'[4]LCT-7'!IA106+'[4]LCT-8'!IA106+'[5]TB-1'!IA106+'[5]TB-2'!IA106+'[5]TB-3'!IA106+'[5]TB-4'!IA106+'[5]TB-5'!IA106+'[5]TB-6'!IA106+'[5]TB-7'!IA106+'[5]TB-8'!IA106+'[5]TB-9'!IA106+'[5]TB-10'!IA106+'[6]DSV-1'!IA106+'[6]DSV-2'!IA106+'[6]DSV-3'!IA106+'[7]TUB-1'!IA106+'[7]TUB-2'!IA106+'[8]Barge-1'!IA106+'[8]Barge-2'!IA106+'[8]Barge-3'!IA106+'[8]Barge-4'!IA106</f>
        <v>0</v>
      </c>
      <c r="Z35" s="145">
        <f>'[2]AHTS-1'!IB73+'[2]AHTS-2'!IB73+'[2]AHTS-3'!IB73+'[2]AHTS-4'!IB73+'[2]AHTS-5'!IB73+'[2]AHTS-6'!IB73+'[2]AHTS-7'!IB73+'[2]AHTS-8'!IB73+'[3]CB-1'!IB73+'[3]CB-2'!IB73+'[3]CB-3'!IB73+'[3]CB-4'!IB73+'[3]CB-5'!IB73+'[3]CB-6'!IB73+'[3]CB-7'!IB73+'[3]CB-8'!IB73+'[3]CB-9'!IB73+'[3]CB-10'!IB73+'[3]CB-11'!IB73+'[3]CB-12'!IB73+'[3]CB-13'!IB73+'[3]CB-14'!IB73+'[3]CB-15'!IB73+'[3]CB-16'!IB73+'[3]CB-17'!IB73+'[3]CB-18'!IB73+'[3]CB-19'!IB73+'[3]CB-20'!IB73+'[3]CB-21'!IB73+'[3]CB-22'!IB73+'[3]CB-23'!IB73+'[3]CB-24'!IB73+'[4]LCT-1'!IB73+'[4]LCT-2'!IB73+'[4]LCT-3'!IB73+'[4]LCT-4'!IB73+'[4]LCT-5'!IB73+'[4]LCT-6'!IB73+'[4]LCT-7'!IB73+'[4]LCT-8'!IB73+'[5]TB-1'!IB73+'[5]TB-2'!IB73+'[5]TB-3'!IB73+'[5]TB-4'!IB73+'[5]TB-5'!IB73+'[5]TB-6'!IB73+'[5]TB-7'!IB73+'[5]TB-8'!IB73+'[5]TB-9'!IB73+'[5]TB-10'!IB73+'[6]DSV-1'!IB73+'[6]DSV-2'!IB73+'[6]DSV-3'!IB73+'[7]TUB-1'!IB73+'[7]TUB-2'!IB73+'[8]Barge-1'!IB73+'[8]Barge-2'!IB73+'[8]Barge-3'!IB73+'[8]Barge-4'!IB73</f>
        <v>27731344.444444444</v>
      </c>
      <c r="AA35" s="146">
        <f>'[2]AHTS-1'!IB35+'[2]AHTS-2'!IB35+'[2]AHTS-3'!IB35+'[2]AHTS-4'!IB35+'[2]AHTS-5'!IB35+'[2]AHTS-6'!IB35+'[2]AHTS-7'!IB35+'[2]AHTS-8'!IB35+'[3]CB-1'!IB35+'[3]CB-2'!IB35+'[3]CB-3'!IB35+'[3]CB-4'!IB35+'[3]CB-5'!IB35+'[3]CB-6'!IB35+'[3]CB-7'!IB35+'[3]CB-8'!IB35+'[3]CB-9'!IB35+'[3]CB-10'!IB35+'[3]CB-11'!IB35+'[3]CB-12'!IB35+'[3]CB-13'!IB35+'[3]CB-14'!IB35+'[3]CB-15'!IB35+'[3]CB-16'!IB35+'[3]CB-17'!IB35+'[3]CB-18'!IB35+'[3]CB-19'!IB35+'[3]CB-20'!IB35+'[3]CB-21'!IB35+'[3]CB-22'!IB35+'[3]CB-23'!IB35+'[3]CB-24'!IB35+'[4]LCT-1'!IB35+'[4]LCT-2'!IB35+'[4]LCT-3'!IB35+'[4]LCT-4'!IB35+'[4]LCT-5'!IB35+'[4]LCT-6'!IB35+'[4]LCT-7'!IB35+'[4]LCT-8'!IB35+'[5]TB-1'!IB35+'[5]TB-2'!IB35+'[5]TB-3'!IB35+'[5]TB-4'!IB35+'[5]TB-5'!IB35+'[5]TB-6'!IB35+'[5]TB-7'!IB35+'[5]TB-8'!IB35+'[5]TB-9'!IB35+'[5]TB-10'!IB35+'[6]DSV-1'!IB35+'[6]DSV-2'!IB35+'[6]DSV-3'!IB35+'[7]TUB-1'!IB35+'[7]TUB-2'!IB35+'[8]Barge-1'!IB35+'[8]Barge-2'!IB35+'[8]Barge-3'!IB35+'[8]Barge-4'!IB35</f>
        <v>24638888.888888888</v>
      </c>
      <c r="AB35" s="147">
        <f>'[2]AHTS-1'!IB106+'[2]AHTS-2'!IB106+'[2]AHTS-3'!IB106+'[2]AHTS-4'!IB106+'[2]AHTS-5'!IB106+'[2]AHTS-6'!IB106+'[2]AHTS-7'!IB106+'[2]AHTS-8'!IB106+'[3]CB-1'!IB106+'[3]CB-2'!IB106+'[3]CB-3'!IB106+'[3]CB-4'!IB106+'[3]CB-5'!IB106+'[3]CB-6'!IB106+'[3]CB-7'!IB106+'[3]CB-8'!IB106+'[3]CB-9'!IB106+'[3]CB-10'!IB106+'[3]CB-11'!IB106+'[3]CB-12'!IB106+'[3]CB-13'!IB106+'[3]CB-14'!IB106+'[3]CB-15'!IB106+'[3]CB-16'!IB106+'[3]CB-17'!IB106+'[3]CB-18'!IB106+'[3]CB-19'!IB106+'[3]CB-20'!IB106+'[3]CB-21'!IB106+'[3]CB-22'!IB106+'[3]CB-23'!IB106+'[3]CB-24'!IB106+'[4]LCT-1'!IB106+'[4]LCT-2'!IB106+'[4]LCT-3'!IB106+'[4]LCT-4'!IB106+'[4]LCT-5'!IB106+'[4]LCT-6'!IB106+'[4]LCT-7'!IB106+'[4]LCT-8'!IB106+'[5]TB-1'!IB106+'[5]TB-2'!IB106+'[5]TB-3'!IB106+'[5]TB-4'!IB106+'[5]TB-5'!IB106+'[5]TB-6'!IB106+'[5]TB-7'!IB106+'[5]TB-8'!IB106+'[5]TB-9'!IB106+'[5]TB-10'!IB106+'[6]DSV-1'!IB106+'[6]DSV-2'!IB106+'[6]DSV-3'!IB106+'[7]TUB-1'!IB106+'[7]TUB-2'!IB106+'[8]Barge-1'!IB106+'[8]Barge-2'!IB106+'[8]Barge-3'!IB106+'[8]Barge-4'!IB106</f>
        <v>0</v>
      </c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Y35" s="83"/>
      <c r="BZ35" s="83"/>
      <c r="CA35" s="83"/>
    </row>
    <row r="36" spans="1:79" s="84" customFormat="1" ht="14.25" customHeight="1" thickBot="1" x14ac:dyDescent="0.3">
      <c r="A36" s="119">
        <f>[1]Control!AZ36</f>
        <v>46011</v>
      </c>
      <c r="B36" s="81"/>
      <c r="C36" s="159">
        <f>'[2]AHTS-1'!AT36+'[2]AHTS-2'!AT36+'[2]AHTS-3'!AT36+'[2]AHTS-4'!AT36+'[2]AHTS-5'!AT36+'[2]AHTS-6'!AT36+'[2]AHTS-7'!AT36+'[2]AHTS-8'!AT36+'[3]CB-1'!AT36+'[3]CB-2'!AT36+'[3]CB-3'!AT36+'[3]CB-4'!AT36+'[3]CB-5'!AT36+'[3]CB-6'!AT36+'[3]CB-7'!AT36+'[3]CB-8'!AT36+'[3]CB-9'!AT36+'[3]CB-10'!AT36+'[3]CB-11'!AT36+'[3]CB-12'!AT36+'[3]CB-13'!AT36+'[3]CB-14'!AT36+'[3]CB-15'!AT36+'[3]CB-16'!AT36+'[3]CB-17'!AT36+'[3]CB-18'!AT36+'[3]CB-19'!AT36+'[3]CB-20'!AT36+'[3]CB-21'!AT36+'[3]CB-22'!AT36+'[3]CB-23'!AT36+'[3]CB-24'!AT36+'[4]LCT-1'!AT36+'[4]LCT-2'!AT36+'[4]LCT-3'!AT36+'[4]LCT-4'!AT36+'[4]LCT-5'!AT36+'[4]LCT-6'!AT36+'[4]LCT-7'!AT36+'[4]LCT-8'!AT36+'[5]TB-1'!AT36+'[5]TB-2'!AT36+'[5]TB-3'!AT36+'[5]TB-4'!AT36+'[5]TB-5'!AT36+'[5]TB-6'!AT36+'[5]TB-7'!AT36+'[5]TB-8'!AT36+'[5]TB-9'!AT36+'[5]TB-10'!AT36+'[6]DSV-1'!AT36+'[6]DSV-2'!AT36+'[6]DSV-3'!AT36+'[7]TUB-1'!AT36+'[7]TUB-2'!AT36+'[8]Barge-1'!AT36+'[8]Barge-2'!AT36+'[8]Barge-3'!AT36+'[8]Barge-4'!AT36</f>
        <v>10141.23198027314</v>
      </c>
      <c r="D36" s="160">
        <f>'[2]AHTS-1'!BP36+'[2]AHTS-2'!BP36+'[2]AHTS-3'!BP36+'[2]AHTS-4'!BP36+'[2]AHTS-5'!BP36+'[2]AHTS-6'!BP36+'[2]AHTS-7'!BP36+'[2]AHTS-8'!BP36+'[3]CB-1'!BP36+'[3]CB-2'!BP36+'[3]CB-3'!BP36+'[3]CB-4'!BP36+'[3]CB-5'!BP36+'[3]CB-6'!BP36+'[3]CB-7'!BP36+'[3]CB-8'!BP36+'[3]CB-9'!BP36+'[3]CB-10'!BP36+'[3]CB-11'!BP36+'[3]CB-12'!BP36+'[3]CB-13'!BP36+'[3]CB-14'!BP36+'[3]CB-15'!BP36+'[3]CB-16'!BP36+'[3]CB-17'!BP36+'[3]CB-18'!BP36+'[3]CB-19'!BP36+'[3]CB-20'!BP36+'[3]CB-21'!BP36+'[3]CB-22'!BP36+'[3]CB-23'!BP36+'[3]CB-24'!BP36+'[4]LCT-1'!BP36+'[4]LCT-2'!BP36+'[4]LCT-3'!BP36+'[4]LCT-4'!BP36+'[4]LCT-5'!BP36+'[4]LCT-6'!BP36+'[4]LCT-7'!BP36+'[4]LCT-8'!BP36+'[5]TB-1'!BP36+'[5]TB-2'!BP36+'[5]TB-3'!BP36+'[5]TB-4'!BP36+'[5]TB-5'!BP36+'[5]TB-6'!BP36+'[5]TB-7'!BP36+'[5]TB-8'!BP36+'[5]TB-9'!BP36+'[5]TB-10'!BP36+'[6]DSV-1'!BP36+'[6]DSV-2'!BP36+'[6]DSV-3'!BP36+'[7]TUB-1'!BP36+'[7]TUB-2'!BP36+'[8]Barge-1'!BP36+'[8]Barge-2'!BP36+'[8]Barge-3'!BP36+'[8]Barge-4'!BP36</f>
        <v>4296.2822458270102</v>
      </c>
      <c r="E36" s="161">
        <f>'[2]AHTS-1'!CL36+'[2]AHTS-2'!CL36+'[2]AHTS-3'!CL36+'[2]AHTS-4'!CL36+'[2]AHTS-5'!CL36+'[2]AHTS-6'!CL36+'[2]AHTS-7'!CL36+'[2]AHTS-8'!CL36+'[3]CB-1'!CL36+'[3]CB-2'!CL36+'[3]CB-3'!CL36+'[3]CB-4'!CL36+'[3]CB-5'!CL36+'[3]CB-6'!CL36+'[3]CB-7'!CL36+'[3]CB-8'!CL36+'[3]CB-9'!CL36+'[3]CB-10'!CL36+'[3]CB-11'!CL36+'[3]CB-12'!CL36+'[3]CB-13'!CL36+'[3]CB-14'!CL36+'[3]CB-15'!CL36+'[3]CB-16'!CL36+'[3]CB-17'!CL36+'[3]CB-18'!CL36+'[3]CB-19'!CL36+'[3]CB-20'!CL36+'[3]CB-21'!CL36+'[3]CB-22'!CL36+'[3]CB-23'!CL36+'[3]CB-24'!CL36+'[4]LCT-1'!CL36+'[4]LCT-2'!CL36+'[4]LCT-3'!CL36+'[4]LCT-4'!CL36+'[4]LCT-5'!CL36+'[4]LCT-6'!CL36+'[4]LCT-7'!CL36+'[4]LCT-8'!CL36+'[5]TB-1'!CL36+'[5]TB-2'!CL36+'[5]TB-3'!CL36+'[5]TB-4'!CL36+'[5]TB-5'!CL36+'[5]TB-6'!CL36+'[5]TB-7'!CL36+'[5]TB-8'!CL36+'[5]TB-9'!CL36+'[5]TB-10'!CL36+'[6]DSV-1'!CL36+'[6]DSV-2'!CL36+'[6]DSV-3'!CL36+'[7]TUB-1'!CL36+'[7]TUB-2'!CL36+'[8]Barge-1'!CL36+'[8]Barge-2'!CL36+'[8]Barge-3'!CL36+'[8]Barge-4'!CL36</f>
        <v>0</v>
      </c>
      <c r="F36" s="159">
        <f>'[2]AHTS-1'!AU36+'[2]AHTS-2'!AU36+'[2]AHTS-3'!AU36+'[2]AHTS-4'!AU36+'[2]AHTS-5'!AU36+'[2]AHTS-6'!AU36+'[2]AHTS-7'!AU36+'[2]AHTS-8'!AU36+'[3]CB-1'!AU36+'[3]CB-2'!AU36+'[3]CB-3'!AU36+'[3]CB-4'!AU36+'[3]CB-5'!AU36+'[3]CB-6'!AU36+'[3]CB-7'!AU36+'[3]CB-8'!AU36+'[3]CB-9'!AU36+'[3]CB-10'!AU36+'[3]CB-11'!AU36+'[3]CB-12'!AU36+'[3]CB-13'!AU36+'[3]CB-14'!AU36+'[3]CB-15'!AU36+'[3]CB-16'!AU36+'[3]CB-17'!AU36+'[3]CB-18'!AU36+'[3]CB-19'!AU36+'[3]CB-20'!AU36+'[3]CB-21'!AU36+'[3]CB-22'!AU36+'[3]CB-23'!AU36+'[3]CB-24'!AU36+'[4]LCT-1'!AU36+'[4]LCT-2'!AU36+'[4]LCT-3'!AU36+'[4]LCT-4'!AU36+'[4]LCT-5'!AU36+'[4]LCT-6'!AU36+'[4]LCT-7'!AU36+'[4]LCT-8'!AU36+'[5]TB-1'!AU36+'[5]TB-2'!AU36+'[5]TB-3'!AU36+'[5]TB-4'!AU36+'[5]TB-5'!AU36+'[5]TB-6'!AU36+'[5]TB-7'!AU36+'[5]TB-8'!AU36+'[5]TB-9'!AU36+'[5]TB-10'!AU36+'[6]DSV-1'!AU36+'[6]DSV-2'!AU36+'[6]DSV-3'!AU36+'[7]TUB-1'!AU36+'[7]TUB-2'!AU36+'[8]Barge-1'!AU36+'[8]Barge-2'!AU36+'[8]Barge-3'!AU36+'[8]Barge-4'!AU36</f>
        <v>741.78539313213059</v>
      </c>
      <c r="G36" s="160">
        <f>'[2]AHTS-1'!BQ36+'[2]AHTS-2'!BQ36+'[2]AHTS-3'!BQ36+'[2]AHTS-4'!BQ36+'[2]AHTS-5'!BQ36+'[2]AHTS-6'!BQ36+'[2]AHTS-7'!BQ36+'[2]AHTS-8'!BQ36+'[3]CB-1'!BQ36+'[3]CB-2'!BQ36+'[3]CB-3'!BQ36+'[3]CB-4'!BQ36+'[3]CB-5'!BQ36+'[3]CB-6'!BQ36+'[3]CB-7'!BQ36+'[3]CB-8'!BQ36+'[3]CB-9'!BQ36+'[3]CB-10'!BQ36+'[3]CB-11'!BQ36+'[3]CB-12'!BQ36+'[3]CB-13'!BQ36+'[3]CB-14'!BQ36+'[3]CB-15'!BQ36+'[3]CB-16'!BQ36+'[3]CB-17'!BQ36+'[3]CB-18'!BQ36+'[3]CB-19'!BQ36+'[3]CB-20'!BQ36+'[3]CB-21'!BQ36+'[3]CB-22'!BQ36+'[3]CB-23'!BQ36+'[3]CB-24'!BQ36+'[4]LCT-1'!BQ36+'[4]LCT-2'!BQ36+'[4]LCT-3'!BQ36+'[4]LCT-4'!BQ36+'[4]LCT-5'!BQ36+'[4]LCT-6'!BQ36+'[4]LCT-7'!BQ36+'[4]LCT-8'!BQ36+'[5]TB-1'!BQ36+'[5]TB-2'!BQ36+'[5]TB-3'!BQ36+'[5]TB-4'!BQ36+'[5]TB-5'!BQ36+'[5]TB-6'!BQ36+'[5]TB-7'!BQ36+'[5]TB-8'!BQ36+'[5]TB-9'!BQ36+'[5]TB-10'!BQ36+'[6]DSV-1'!BQ36+'[6]DSV-2'!BQ36+'[6]DSV-3'!BQ36+'[7]TUB-1'!BQ36+'[7]TUB-2'!BQ36+'[8]Barge-1'!BQ36+'[8]Barge-2'!BQ36+'[8]Barge-3'!BQ36+'[8]Barge-4'!BQ36</f>
        <v>1493.9161467993031</v>
      </c>
      <c r="H36" s="161">
        <f>'[2]AHTS-1'!CM36+'[2]AHTS-2'!CM36+'[2]AHTS-3'!CM36+'[2]AHTS-4'!CM36+'[2]AHTS-5'!CM36+'[2]AHTS-6'!CM36+'[2]AHTS-7'!CM36+'[2]AHTS-8'!CM36+'[3]CB-1'!CM36+'[3]CB-2'!CM36+'[3]CB-3'!CM36+'[3]CB-4'!CM36+'[3]CB-5'!CM36+'[3]CB-6'!CM36+'[3]CB-7'!CM36+'[3]CB-8'!CM36+'[3]CB-9'!CM36+'[3]CB-10'!CM36+'[3]CB-11'!CM36+'[3]CB-12'!CM36+'[3]CB-13'!CM36+'[3]CB-14'!CM36+'[3]CB-15'!CM36+'[3]CB-16'!CM36+'[3]CB-17'!CM36+'[3]CB-18'!CM36+'[3]CB-19'!CM36+'[3]CB-20'!CM36+'[3]CB-21'!CM36+'[3]CB-22'!CM36+'[3]CB-23'!CM36+'[3]CB-24'!CM36+'[4]LCT-1'!CM36+'[4]LCT-2'!CM36+'[4]LCT-3'!CM36+'[4]LCT-4'!CM36+'[4]LCT-5'!CM36+'[4]LCT-6'!CM36+'[4]LCT-7'!CM36+'[4]LCT-8'!CM36+'[5]TB-1'!CM36+'[5]TB-2'!CM36+'[5]TB-3'!CM36+'[5]TB-4'!CM36+'[5]TB-5'!CM36+'[5]TB-6'!CM36+'[5]TB-7'!CM36+'[5]TB-8'!CM36+'[5]TB-9'!CM36+'[5]TB-10'!CM36+'[6]DSV-1'!CM36+'[6]DSV-2'!CM36+'[6]DSV-3'!CM36+'[7]TUB-1'!CM36+'[7]TUB-2'!CM36+'[8]Barge-1'!CM36+'[8]Barge-2'!CM36+'[8]Barge-3'!CM36+'[8]Barge-4'!CM36</f>
        <v>0</v>
      </c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110"/>
      <c r="U36" s="119">
        <f>[1]Control!AZ36</f>
        <v>46011</v>
      </c>
      <c r="V36" s="81"/>
      <c r="W36" s="145">
        <f>'[2]AHTS-1'!IA74+'[2]AHTS-2'!IA74+'[2]AHTS-3'!IA74+'[2]AHTS-4'!IA74+'[2]AHTS-5'!IA74+'[2]AHTS-6'!IA74+'[2]AHTS-7'!IA74+'[2]AHTS-8'!IA74+'[3]CB-1'!IA74+'[3]CB-2'!IA74+'[3]CB-3'!IA74+'[3]CB-4'!IA74+'[3]CB-5'!IA74+'[3]CB-6'!IA74+'[3]CB-7'!IA74+'[3]CB-8'!IA74+'[3]CB-9'!IA74+'[3]CB-10'!IA74+'[3]CB-11'!IA74+'[3]CB-12'!IA74+'[3]CB-13'!IA74+'[3]CB-14'!IA74+'[3]CB-15'!IA74+'[3]CB-16'!IA74+'[3]CB-17'!IA74+'[3]CB-18'!IA74+'[3]CB-19'!IA74+'[3]CB-20'!IA74+'[3]CB-21'!IA74+'[3]CB-22'!IA74+'[3]CB-23'!IA74+'[3]CB-24'!IA74+'[4]LCT-1'!IA74+'[4]LCT-2'!IA74+'[4]LCT-3'!IA74+'[4]LCT-4'!IA74+'[4]LCT-5'!IA74+'[4]LCT-6'!IA74+'[4]LCT-7'!IA74+'[4]LCT-8'!IA74+'[5]TB-1'!IA74+'[5]TB-2'!IA74+'[5]TB-3'!IA74+'[5]TB-4'!IA74+'[5]TB-5'!IA74+'[5]TB-6'!IA74+'[5]TB-7'!IA74+'[5]TB-8'!IA74+'[5]TB-9'!IA74+'[5]TB-10'!IA74+'[6]DSV-1'!IA74+'[6]DSV-2'!IA74+'[6]DSV-3'!IA74+'[7]TUB-1'!IA74+'[7]TUB-2'!IA74+'[8]Barge-1'!IA74+'[8]Barge-2'!IA74+'[8]Barge-3'!IA74+'[8]Barge-4'!IA74</f>
        <v>160393725</v>
      </c>
      <c r="X36" s="146">
        <f>'[2]AHTS-1'!IA36+'[2]AHTS-2'!IA36+'[2]AHTS-3'!IA36+'[2]AHTS-4'!IA36+'[2]AHTS-5'!IA36+'[2]AHTS-6'!IA36+'[2]AHTS-7'!IA36+'[2]AHTS-8'!IA36+'[3]CB-1'!IA36+'[3]CB-2'!IA36+'[3]CB-3'!IA36+'[3]CB-4'!IA36+'[3]CB-5'!IA36+'[3]CB-6'!IA36+'[3]CB-7'!IA36+'[3]CB-8'!IA36+'[3]CB-9'!IA36+'[3]CB-10'!IA36+'[3]CB-11'!IA36+'[3]CB-12'!IA36+'[3]CB-13'!IA36+'[3]CB-14'!IA36+'[3]CB-15'!IA36+'[3]CB-16'!IA36+'[3]CB-17'!IA36+'[3]CB-18'!IA36+'[3]CB-19'!IA36+'[3]CB-20'!IA36+'[3]CB-21'!IA36+'[3]CB-22'!IA36+'[3]CB-23'!IA36+'[3]CB-24'!IA36+'[4]LCT-1'!IA36+'[4]LCT-2'!IA36+'[4]LCT-3'!IA36+'[4]LCT-4'!IA36+'[4]LCT-5'!IA36+'[4]LCT-6'!IA36+'[4]LCT-7'!IA36+'[4]LCT-8'!IA36+'[5]TB-1'!IA36+'[5]TB-2'!IA36+'[5]TB-3'!IA36+'[5]TB-4'!IA36+'[5]TB-5'!IA36+'[5]TB-6'!IA36+'[5]TB-7'!IA36+'[5]TB-8'!IA36+'[5]TB-9'!IA36+'[5]TB-10'!IA36+'[6]DSV-1'!IA36+'[6]DSV-2'!IA36+'[6]DSV-3'!IA36+'[7]TUB-1'!IA36+'[7]TUB-2'!IA36+'[8]Barge-1'!IA36+'[8]Barge-2'!IA36+'[8]Barge-3'!IA36+'[8]Barge-4'!IA36</f>
        <v>67950000</v>
      </c>
      <c r="Y36" s="147">
        <f>'[2]AHTS-1'!IA107+'[2]AHTS-2'!IA107+'[2]AHTS-3'!IA107+'[2]AHTS-4'!IA107+'[2]AHTS-5'!IA107+'[2]AHTS-6'!IA107+'[2]AHTS-7'!IA107+'[2]AHTS-8'!IA107+'[3]CB-1'!IA107+'[3]CB-2'!IA107+'[3]CB-3'!IA107+'[3]CB-4'!IA107+'[3]CB-5'!IA107+'[3]CB-6'!IA107+'[3]CB-7'!IA107+'[3]CB-8'!IA107+'[3]CB-9'!IA107+'[3]CB-10'!IA107+'[3]CB-11'!IA107+'[3]CB-12'!IA107+'[3]CB-13'!IA107+'[3]CB-14'!IA107+'[3]CB-15'!IA107+'[3]CB-16'!IA107+'[3]CB-17'!IA107+'[3]CB-18'!IA107+'[3]CB-19'!IA107+'[3]CB-20'!IA107+'[3]CB-21'!IA107+'[3]CB-22'!IA107+'[3]CB-23'!IA107+'[3]CB-24'!IA107+'[4]LCT-1'!IA107+'[4]LCT-2'!IA107+'[4]LCT-3'!IA107+'[4]LCT-4'!IA107+'[4]LCT-5'!IA107+'[4]LCT-6'!IA107+'[4]LCT-7'!IA107+'[4]LCT-8'!IA107+'[5]TB-1'!IA107+'[5]TB-2'!IA107+'[5]TB-3'!IA107+'[5]TB-4'!IA107+'[5]TB-5'!IA107+'[5]TB-6'!IA107+'[5]TB-7'!IA107+'[5]TB-8'!IA107+'[5]TB-9'!IA107+'[5]TB-10'!IA107+'[6]DSV-1'!IA107+'[6]DSV-2'!IA107+'[6]DSV-3'!IA107+'[7]TUB-1'!IA107+'[7]TUB-2'!IA107+'[8]Barge-1'!IA107+'[8]Barge-2'!IA107+'[8]Barge-3'!IA107+'[8]Barge-4'!IA107</f>
        <v>0</v>
      </c>
      <c r="Z36" s="145">
        <f>'[2]AHTS-1'!IB74+'[2]AHTS-2'!IB74+'[2]AHTS-3'!IB74+'[2]AHTS-4'!IB74+'[2]AHTS-5'!IB74+'[2]AHTS-6'!IB74+'[2]AHTS-7'!IB74+'[2]AHTS-8'!IB74+'[3]CB-1'!IB74+'[3]CB-2'!IB74+'[3]CB-3'!IB74+'[3]CB-4'!IB74+'[3]CB-5'!IB74+'[3]CB-6'!IB74+'[3]CB-7'!IB74+'[3]CB-8'!IB74+'[3]CB-9'!IB74+'[3]CB-10'!IB74+'[3]CB-11'!IB74+'[3]CB-12'!IB74+'[3]CB-13'!IB74+'[3]CB-14'!IB74+'[3]CB-15'!IB74+'[3]CB-16'!IB74+'[3]CB-17'!IB74+'[3]CB-18'!IB74+'[3]CB-19'!IB74+'[3]CB-20'!IB74+'[3]CB-21'!IB74+'[3]CB-22'!IB74+'[3]CB-23'!IB74+'[3]CB-24'!IB74+'[4]LCT-1'!IB74+'[4]LCT-2'!IB74+'[4]LCT-3'!IB74+'[4]LCT-4'!IB74+'[4]LCT-5'!IB74+'[4]LCT-6'!IB74+'[4]LCT-7'!IB74+'[4]LCT-8'!IB74+'[5]TB-1'!IB74+'[5]TB-2'!IB74+'[5]TB-3'!IB74+'[5]TB-4'!IB74+'[5]TB-5'!IB74+'[5]TB-6'!IB74+'[5]TB-7'!IB74+'[5]TB-8'!IB74+'[5]TB-9'!IB74+'[5]TB-10'!IB74+'[6]DSV-1'!IB74+'[6]DSV-2'!IB74+'[6]DSV-3'!IB74+'[7]TUB-1'!IB74+'[7]TUB-2'!IB74+'[8]Barge-1'!IB74+'[8]Barge-2'!IB74+'[8]Barge-3'!IB74+'[8]Barge-4'!IB74</f>
        <v>11732077.777777776</v>
      </c>
      <c r="AA36" s="146">
        <f>'[2]AHTS-1'!IB36+'[2]AHTS-2'!IB36+'[2]AHTS-3'!IB36+'[2]AHTS-4'!IB36+'[2]AHTS-5'!IB36+'[2]AHTS-6'!IB36+'[2]AHTS-7'!IB36+'[2]AHTS-8'!IB36+'[3]CB-1'!IB36+'[3]CB-2'!IB36+'[3]CB-3'!IB36+'[3]CB-4'!IB36+'[3]CB-5'!IB36+'[3]CB-6'!IB36+'[3]CB-7'!IB36+'[3]CB-8'!IB36+'[3]CB-9'!IB36+'[3]CB-10'!IB36+'[3]CB-11'!IB36+'[3]CB-12'!IB36+'[3]CB-13'!IB36+'[3]CB-14'!IB36+'[3]CB-15'!IB36+'[3]CB-16'!IB36+'[3]CB-17'!IB36+'[3]CB-18'!IB36+'[3]CB-19'!IB36+'[3]CB-20'!IB36+'[3]CB-21'!IB36+'[3]CB-22'!IB36+'[3]CB-23'!IB36+'[3]CB-24'!IB36+'[4]LCT-1'!IB36+'[4]LCT-2'!IB36+'[4]LCT-3'!IB36+'[4]LCT-4'!IB36+'[4]LCT-5'!IB36+'[4]LCT-6'!IB36+'[4]LCT-7'!IB36+'[4]LCT-8'!IB36+'[5]TB-1'!IB36+'[5]TB-2'!IB36+'[5]TB-3'!IB36+'[5]TB-4'!IB36+'[5]TB-5'!IB36+'[5]TB-6'!IB36+'[5]TB-7'!IB36+'[5]TB-8'!IB36+'[5]TB-9'!IB36+'[5]TB-10'!IB36+'[6]DSV-1'!IB36+'[6]DSV-2'!IB36+'[6]DSV-3'!IB36+'[7]TUB-1'!IB36+'[7]TUB-2'!IB36+'[8]Barge-1'!IB36+'[8]Barge-2'!IB36+'[8]Barge-3'!IB36+'[8]Barge-4'!IB36</f>
        <v>23627777.777777776</v>
      </c>
      <c r="AB36" s="147">
        <f>'[2]AHTS-1'!IB107+'[2]AHTS-2'!IB107+'[2]AHTS-3'!IB107+'[2]AHTS-4'!IB107+'[2]AHTS-5'!IB107+'[2]AHTS-6'!IB107+'[2]AHTS-7'!IB107+'[2]AHTS-8'!IB107+'[3]CB-1'!IB107+'[3]CB-2'!IB107+'[3]CB-3'!IB107+'[3]CB-4'!IB107+'[3]CB-5'!IB107+'[3]CB-6'!IB107+'[3]CB-7'!IB107+'[3]CB-8'!IB107+'[3]CB-9'!IB107+'[3]CB-10'!IB107+'[3]CB-11'!IB107+'[3]CB-12'!IB107+'[3]CB-13'!IB107+'[3]CB-14'!IB107+'[3]CB-15'!IB107+'[3]CB-16'!IB107+'[3]CB-17'!IB107+'[3]CB-18'!IB107+'[3]CB-19'!IB107+'[3]CB-20'!IB107+'[3]CB-21'!IB107+'[3]CB-22'!IB107+'[3]CB-23'!IB107+'[3]CB-24'!IB107+'[4]LCT-1'!IB107+'[4]LCT-2'!IB107+'[4]LCT-3'!IB107+'[4]LCT-4'!IB107+'[4]LCT-5'!IB107+'[4]LCT-6'!IB107+'[4]LCT-7'!IB107+'[4]LCT-8'!IB107+'[5]TB-1'!IB107+'[5]TB-2'!IB107+'[5]TB-3'!IB107+'[5]TB-4'!IB107+'[5]TB-5'!IB107+'[5]TB-6'!IB107+'[5]TB-7'!IB107+'[5]TB-8'!IB107+'[5]TB-9'!IB107+'[5]TB-10'!IB107+'[6]DSV-1'!IB107+'[6]DSV-2'!IB107+'[6]DSV-3'!IB107+'[7]TUB-1'!IB107+'[7]TUB-2'!IB107+'[8]Barge-1'!IB107+'[8]Barge-2'!IB107+'[8]Barge-3'!IB107+'[8]Barge-4'!IB107</f>
        <v>0</v>
      </c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Y36" s="83"/>
      <c r="BZ36" s="83"/>
      <c r="CA36" s="83"/>
    </row>
    <row r="37" spans="1:79" s="84" customFormat="1" ht="14.25" customHeight="1" thickBot="1" x14ac:dyDescent="0.3">
      <c r="A37" s="119">
        <f>[1]Control!AZ37</f>
        <v>46012</v>
      </c>
      <c r="B37" s="81"/>
      <c r="C37" s="159">
        <f>'[2]AHTS-1'!AT37+'[2]AHTS-2'!AT37+'[2]AHTS-3'!AT37+'[2]AHTS-4'!AT37+'[2]AHTS-5'!AT37+'[2]AHTS-6'!AT37+'[2]AHTS-7'!AT37+'[2]AHTS-8'!AT37+'[3]CB-1'!AT37+'[3]CB-2'!AT37+'[3]CB-3'!AT37+'[3]CB-4'!AT37+'[3]CB-5'!AT37+'[3]CB-6'!AT37+'[3]CB-7'!AT37+'[3]CB-8'!AT37+'[3]CB-9'!AT37+'[3]CB-10'!AT37+'[3]CB-11'!AT37+'[3]CB-12'!AT37+'[3]CB-13'!AT37+'[3]CB-14'!AT37+'[3]CB-15'!AT37+'[3]CB-16'!AT37+'[3]CB-17'!AT37+'[3]CB-18'!AT37+'[3]CB-19'!AT37+'[3]CB-20'!AT37+'[3]CB-21'!AT37+'[3]CB-22'!AT37+'[3]CB-23'!AT37+'[3]CB-24'!AT37+'[4]LCT-1'!AT37+'[4]LCT-2'!AT37+'[4]LCT-3'!AT37+'[4]LCT-4'!AT37+'[4]LCT-5'!AT37+'[4]LCT-6'!AT37+'[4]LCT-7'!AT37+'[4]LCT-8'!AT37+'[5]TB-1'!AT37+'[5]TB-2'!AT37+'[5]TB-3'!AT37+'[5]TB-4'!AT37+'[5]TB-5'!AT37+'[5]TB-6'!AT37+'[5]TB-7'!AT37+'[5]TB-8'!AT37+'[5]TB-9'!AT37+'[5]TB-10'!AT37+'[6]DSV-1'!AT37+'[6]DSV-2'!AT37+'[6]DSV-3'!AT37+'[7]TUB-1'!AT37+'[7]TUB-2'!AT37+'[8]Barge-1'!AT37+'[8]Barge-2'!AT37+'[8]Barge-3'!AT37+'[8]Barge-4'!AT37</f>
        <v>11075.755139361836</v>
      </c>
      <c r="D37" s="160">
        <f>'[2]AHTS-1'!BP37+'[2]AHTS-2'!BP37+'[2]AHTS-3'!BP37+'[2]AHTS-4'!BP37+'[2]AHTS-5'!BP37+'[2]AHTS-6'!BP37+'[2]AHTS-7'!BP37+'[2]AHTS-8'!BP37+'[3]CB-1'!BP37+'[3]CB-2'!BP37+'[3]CB-3'!BP37+'[3]CB-4'!BP37+'[3]CB-5'!BP37+'[3]CB-6'!BP37+'[3]CB-7'!BP37+'[3]CB-8'!BP37+'[3]CB-9'!BP37+'[3]CB-10'!BP37+'[3]CB-11'!BP37+'[3]CB-12'!BP37+'[3]CB-13'!BP37+'[3]CB-14'!BP37+'[3]CB-15'!BP37+'[3]CB-16'!BP37+'[3]CB-17'!BP37+'[3]CB-18'!BP37+'[3]CB-19'!BP37+'[3]CB-20'!BP37+'[3]CB-21'!BP37+'[3]CB-22'!BP37+'[3]CB-23'!BP37+'[3]CB-24'!BP37+'[4]LCT-1'!BP37+'[4]LCT-2'!BP37+'[4]LCT-3'!BP37+'[4]LCT-4'!BP37+'[4]LCT-5'!BP37+'[4]LCT-6'!BP37+'[4]LCT-7'!BP37+'[4]LCT-8'!BP37+'[5]TB-1'!BP37+'[5]TB-2'!BP37+'[5]TB-3'!BP37+'[5]TB-4'!BP37+'[5]TB-5'!BP37+'[5]TB-6'!BP37+'[5]TB-7'!BP37+'[5]TB-8'!BP37+'[5]TB-9'!BP37+'[5]TB-10'!BP37+'[6]DSV-1'!BP37+'[6]DSV-2'!BP37+'[6]DSV-3'!BP37+'[7]TUB-1'!BP37+'[7]TUB-2'!BP37+'[8]Barge-1'!BP37+'[8]Barge-2'!BP37+'[8]Barge-3'!BP37+'[8]Barge-4'!BP37</f>
        <v>5349.0351872871743</v>
      </c>
      <c r="E37" s="161">
        <f>'[2]AHTS-1'!CL37+'[2]AHTS-2'!CL37+'[2]AHTS-3'!CL37+'[2]AHTS-4'!CL37+'[2]AHTS-5'!CL37+'[2]AHTS-6'!CL37+'[2]AHTS-7'!CL37+'[2]AHTS-8'!CL37+'[3]CB-1'!CL37+'[3]CB-2'!CL37+'[3]CB-3'!CL37+'[3]CB-4'!CL37+'[3]CB-5'!CL37+'[3]CB-6'!CL37+'[3]CB-7'!CL37+'[3]CB-8'!CL37+'[3]CB-9'!CL37+'[3]CB-10'!CL37+'[3]CB-11'!CL37+'[3]CB-12'!CL37+'[3]CB-13'!CL37+'[3]CB-14'!CL37+'[3]CB-15'!CL37+'[3]CB-16'!CL37+'[3]CB-17'!CL37+'[3]CB-18'!CL37+'[3]CB-19'!CL37+'[3]CB-20'!CL37+'[3]CB-21'!CL37+'[3]CB-22'!CL37+'[3]CB-23'!CL37+'[3]CB-24'!CL37+'[4]LCT-1'!CL37+'[4]LCT-2'!CL37+'[4]LCT-3'!CL37+'[4]LCT-4'!CL37+'[4]LCT-5'!CL37+'[4]LCT-6'!CL37+'[4]LCT-7'!CL37+'[4]LCT-8'!CL37+'[5]TB-1'!CL37+'[5]TB-2'!CL37+'[5]TB-3'!CL37+'[5]TB-4'!CL37+'[5]TB-5'!CL37+'[5]TB-6'!CL37+'[5]TB-7'!CL37+'[5]TB-8'!CL37+'[5]TB-9'!CL37+'[5]TB-10'!CL37+'[6]DSV-1'!CL37+'[6]DSV-2'!CL37+'[6]DSV-3'!CL37+'[7]TUB-1'!CL37+'[7]TUB-2'!CL37+'[8]Barge-1'!CL37+'[8]Barge-2'!CL37+'[8]Barge-3'!CL37+'[8]Barge-4'!CL37</f>
        <v>0</v>
      </c>
      <c r="F37" s="159">
        <f>'[2]AHTS-1'!AU37+'[2]AHTS-2'!AU37+'[2]AHTS-3'!AU37+'[2]AHTS-4'!AU37+'[2]AHTS-5'!AU37+'[2]AHTS-6'!AU37+'[2]AHTS-7'!AU37+'[2]AHTS-8'!AU37+'[3]CB-1'!AU37+'[3]CB-2'!AU37+'[3]CB-3'!AU37+'[3]CB-4'!AU37+'[3]CB-5'!AU37+'[3]CB-6'!AU37+'[3]CB-7'!AU37+'[3]CB-8'!AU37+'[3]CB-9'!AU37+'[3]CB-10'!AU37+'[3]CB-11'!AU37+'[3]CB-12'!AU37+'[3]CB-13'!AU37+'[3]CB-14'!AU37+'[3]CB-15'!AU37+'[3]CB-16'!AU37+'[3]CB-17'!AU37+'[3]CB-18'!AU37+'[3]CB-19'!AU37+'[3]CB-20'!AU37+'[3]CB-21'!AU37+'[3]CB-22'!AU37+'[3]CB-23'!AU37+'[3]CB-24'!AU37+'[4]LCT-1'!AU37+'[4]LCT-2'!AU37+'[4]LCT-3'!AU37+'[4]LCT-4'!AU37+'[4]LCT-5'!AU37+'[4]LCT-6'!AU37+'[4]LCT-7'!AU37+'[4]LCT-8'!AU37+'[5]TB-1'!AU37+'[5]TB-2'!AU37+'[5]TB-3'!AU37+'[5]TB-4'!AU37+'[5]TB-5'!AU37+'[5]TB-6'!AU37+'[5]TB-7'!AU37+'[5]TB-8'!AU37+'[5]TB-9'!AU37+'[5]TB-10'!AU37+'[6]DSV-1'!AU37+'[6]DSV-2'!AU37+'[6]DSV-3'!AU37+'[7]TUB-1'!AU37+'[7]TUB-2'!AU37+'[8]Barge-1'!AU37+'[8]Barge-2'!AU37+'[8]Barge-3'!AU37+'[8]Barge-4'!AU37</f>
        <v>612.91514272501786</v>
      </c>
      <c r="G37" s="160">
        <f>'[2]AHTS-1'!BQ37+'[2]AHTS-2'!BQ37+'[2]AHTS-3'!BQ37+'[2]AHTS-4'!BQ37+'[2]AHTS-5'!BQ37+'[2]AHTS-6'!BQ37+'[2]AHTS-7'!BQ37+'[2]AHTS-8'!BQ37+'[3]CB-1'!BQ37+'[3]CB-2'!BQ37+'[3]CB-3'!BQ37+'[3]CB-4'!BQ37+'[3]CB-5'!BQ37+'[3]CB-6'!BQ37+'[3]CB-7'!BQ37+'[3]CB-8'!BQ37+'[3]CB-9'!BQ37+'[3]CB-10'!BQ37+'[3]CB-11'!BQ37+'[3]CB-12'!BQ37+'[3]CB-13'!BQ37+'[3]CB-14'!BQ37+'[3]CB-15'!BQ37+'[3]CB-16'!BQ37+'[3]CB-17'!BQ37+'[3]CB-18'!BQ37+'[3]CB-19'!BQ37+'[3]CB-20'!BQ37+'[3]CB-21'!BQ37+'[3]CB-22'!BQ37+'[3]CB-23'!BQ37+'[3]CB-24'!BQ37+'[4]LCT-1'!BQ37+'[4]LCT-2'!BQ37+'[4]LCT-3'!BQ37+'[4]LCT-4'!BQ37+'[4]LCT-5'!BQ37+'[4]LCT-6'!BQ37+'[4]LCT-7'!BQ37+'[4]LCT-8'!BQ37+'[5]TB-1'!BQ37+'[5]TB-2'!BQ37+'[5]TB-3'!BQ37+'[5]TB-4'!BQ37+'[5]TB-5'!BQ37+'[5]TB-6'!BQ37+'[5]TB-7'!BQ37+'[5]TB-8'!BQ37+'[5]TB-9'!BQ37+'[5]TB-10'!BQ37+'[6]DSV-1'!BQ37+'[6]DSV-2'!BQ37+'[6]DSV-3'!BQ37+'[7]TUB-1'!BQ37+'[7]TUB-2'!BQ37+'[8]Barge-1'!BQ37+'[8]Barge-2'!BQ37+'[8]Barge-3'!BQ37+'[8]Barge-4'!BQ37</f>
        <v>889.49145892013848</v>
      </c>
      <c r="H37" s="161">
        <f>'[2]AHTS-1'!CM37+'[2]AHTS-2'!CM37+'[2]AHTS-3'!CM37+'[2]AHTS-4'!CM37+'[2]AHTS-5'!CM37+'[2]AHTS-6'!CM37+'[2]AHTS-7'!CM37+'[2]AHTS-8'!CM37+'[3]CB-1'!CM37+'[3]CB-2'!CM37+'[3]CB-3'!CM37+'[3]CB-4'!CM37+'[3]CB-5'!CM37+'[3]CB-6'!CM37+'[3]CB-7'!CM37+'[3]CB-8'!CM37+'[3]CB-9'!CM37+'[3]CB-10'!CM37+'[3]CB-11'!CM37+'[3]CB-12'!CM37+'[3]CB-13'!CM37+'[3]CB-14'!CM37+'[3]CB-15'!CM37+'[3]CB-16'!CM37+'[3]CB-17'!CM37+'[3]CB-18'!CM37+'[3]CB-19'!CM37+'[3]CB-20'!CM37+'[3]CB-21'!CM37+'[3]CB-22'!CM37+'[3]CB-23'!CM37+'[3]CB-24'!CM37+'[4]LCT-1'!CM37+'[4]LCT-2'!CM37+'[4]LCT-3'!CM37+'[4]LCT-4'!CM37+'[4]LCT-5'!CM37+'[4]LCT-6'!CM37+'[4]LCT-7'!CM37+'[4]LCT-8'!CM37+'[5]TB-1'!CM37+'[5]TB-2'!CM37+'[5]TB-3'!CM37+'[5]TB-4'!CM37+'[5]TB-5'!CM37+'[5]TB-6'!CM37+'[5]TB-7'!CM37+'[5]TB-8'!CM37+'[5]TB-9'!CM37+'[5]TB-10'!CM37+'[6]DSV-1'!CM37+'[6]DSV-2'!CM37+'[6]DSV-3'!CM37+'[7]TUB-1'!CM37+'[7]TUB-2'!CM37+'[8]Barge-1'!CM37+'[8]Barge-2'!CM37+'[8]Barge-3'!CM37+'[8]Barge-4'!CM37</f>
        <v>0</v>
      </c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110"/>
      <c r="U37" s="119">
        <f>[1]Control!AZ37</f>
        <v>46012</v>
      </c>
      <c r="V37" s="81"/>
      <c r="W37" s="145">
        <f>'[2]AHTS-1'!IA75+'[2]AHTS-2'!IA75+'[2]AHTS-3'!IA75+'[2]AHTS-4'!IA75+'[2]AHTS-5'!IA75+'[2]AHTS-6'!IA75+'[2]AHTS-7'!IA75+'[2]AHTS-8'!IA75+'[3]CB-1'!IA75+'[3]CB-2'!IA75+'[3]CB-3'!IA75+'[3]CB-4'!IA75+'[3]CB-5'!IA75+'[3]CB-6'!IA75+'[3]CB-7'!IA75+'[3]CB-8'!IA75+'[3]CB-9'!IA75+'[3]CB-10'!IA75+'[3]CB-11'!IA75+'[3]CB-12'!IA75+'[3]CB-13'!IA75+'[3]CB-14'!IA75+'[3]CB-15'!IA75+'[3]CB-16'!IA75+'[3]CB-17'!IA75+'[3]CB-18'!IA75+'[3]CB-19'!IA75+'[3]CB-20'!IA75+'[3]CB-21'!IA75+'[3]CB-22'!IA75+'[3]CB-23'!IA75+'[3]CB-24'!IA75+'[4]LCT-1'!IA75+'[4]LCT-2'!IA75+'[4]LCT-3'!IA75+'[4]LCT-4'!IA75+'[4]LCT-5'!IA75+'[4]LCT-6'!IA75+'[4]LCT-7'!IA75+'[4]LCT-8'!IA75+'[5]TB-1'!IA75+'[5]TB-2'!IA75+'[5]TB-3'!IA75+'[5]TB-4'!IA75+'[5]TB-5'!IA75+'[5]TB-6'!IA75+'[5]TB-7'!IA75+'[5]TB-8'!IA75+'[5]TB-9'!IA75+'[5]TB-10'!IA75+'[6]DSV-1'!IA75+'[6]DSV-2'!IA75+'[6]DSV-3'!IA75+'[7]TUB-1'!IA75+'[7]TUB-2'!IA75+'[8]Barge-1'!IA75+'[8]Barge-2'!IA75+'[8]Barge-3'!IA75+'[8]Barge-4'!IA75</f>
        <v>175639325</v>
      </c>
      <c r="X37" s="146">
        <f>'[2]AHTS-1'!IA37+'[2]AHTS-2'!IA37+'[2]AHTS-3'!IA37+'[2]AHTS-4'!IA37+'[2]AHTS-5'!IA37+'[2]AHTS-6'!IA37+'[2]AHTS-7'!IA37+'[2]AHTS-8'!IA37+'[3]CB-1'!IA37+'[3]CB-2'!IA37+'[3]CB-3'!IA37+'[3]CB-4'!IA37+'[3]CB-5'!IA37+'[3]CB-6'!IA37+'[3]CB-7'!IA37+'[3]CB-8'!IA37+'[3]CB-9'!IA37+'[3]CB-10'!IA37+'[3]CB-11'!IA37+'[3]CB-12'!IA37+'[3]CB-13'!IA37+'[3]CB-14'!IA37+'[3]CB-15'!IA37+'[3]CB-16'!IA37+'[3]CB-17'!IA37+'[3]CB-18'!IA37+'[3]CB-19'!IA37+'[3]CB-20'!IA37+'[3]CB-21'!IA37+'[3]CB-22'!IA37+'[3]CB-23'!IA37+'[3]CB-24'!IA37+'[4]LCT-1'!IA37+'[4]LCT-2'!IA37+'[4]LCT-3'!IA37+'[4]LCT-4'!IA37+'[4]LCT-5'!IA37+'[4]LCT-6'!IA37+'[4]LCT-7'!IA37+'[4]LCT-8'!IA37+'[5]TB-1'!IA37+'[5]TB-2'!IA37+'[5]TB-3'!IA37+'[5]TB-4'!IA37+'[5]TB-5'!IA37+'[5]TB-6'!IA37+'[5]TB-7'!IA37+'[5]TB-8'!IA37+'[5]TB-9'!IA37+'[5]TB-10'!IA37+'[6]DSV-1'!IA37+'[6]DSV-2'!IA37+'[6]DSV-3'!IA37+'[7]TUB-1'!IA37+'[7]TUB-2'!IA37+'[8]Barge-1'!IA37+'[8]Barge-2'!IA37+'[8]Barge-3'!IA37+'[8]Barge-4'!IA37</f>
        <v>84825000</v>
      </c>
      <c r="Y37" s="147">
        <f>'[2]AHTS-1'!IA108+'[2]AHTS-2'!IA108+'[2]AHTS-3'!IA108+'[2]AHTS-4'!IA108+'[2]AHTS-5'!IA108+'[2]AHTS-6'!IA108+'[2]AHTS-7'!IA108+'[2]AHTS-8'!IA108+'[3]CB-1'!IA108+'[3]CB-2'!IA108+'[3]CB-3'!IA108+'[3]CB-4'!IA108+'[3]CB-5'!IA108+'[3]CB-6'!IA108+'[3]CB-7'!IA108+'[3]CB-8'!IA108+'[3]CB-9'!IA108+'[3]CB-10'!IA108+'[3]CB-11'!IA108+'[3]CB-12'!IA108+'[3]CB-13'!IA108+'[3]CB-14'!IA108+'[3]CB-15'!IA108+'[3]CB-16'!IA108+'[3]CB-17'!IA108+'[3]CB-18'!IA108+'[3]CB-19'!IA108+'[3]CB-20'!IA108+'[3]CB-21'!IA108+'[3]CB-22'!IA108+'[3]CB-23'!IA108+'[3]CB-24'!IA108+'[4]LCT-1'!IA108+'[4]LCT-2'!IA108+'[4]LCT-3'!IA108+'[4]LCT-4'!IA108+'[4]LCT-5'!IA108+'[4]LCT-6'!IA108+'[4]LCT-7'!IA108+'[4]LCT-8'!IA108+'[5]TB-1'!IA108+'[5]TB-2'!IA108+'[5]TB-3'!IA108+'[5]TB-4'!IA108+'[5]TB-5'!IA108+'[5]TB-6'!IA108+'[5]TB-7'!IA108+'[5]TB-8'!IA108+'[5]TB-9'!IA108+'[5]TB-10'!IA108+'[6]DSV-1'!IA108+'[6]DSV-2'!IA108+'[6]DSV-3'!IA108+'[7]TUB-1'!IA108+'[7]TUB-2'!IA108+'[8]Barge-1'!IA108+'[8]Barge-2'!IA108+'[8]Barge-3'!IA108+'[8]Barge-4'!IA108</f>
        <v>0</v>
      </c>
      <c r="Z37" s="145">
        <f>'[2]AHTS-1'!IB75+'[2]AHTS-2'!IB75+'[2]AHTS-3'!IB75+'[2]AHTS-4'!IB75+'[2]AHTS-5'!IB75+'[2]AHTS-6'!IB75+'[2]AHTS-7'!IB75+'[2]AHTS-8'!IB75+'[3]CB-1'!IB75+'[3]CB-2'!IB75+'[3]CB-3'!IB75+'[3]CB-4'!IB75+'[3]CB-5'!IB75+'[3]CB-6'!IB75+'[3]CB-7'!IB75+'[3]CB-8'!IB75+'[3]CB-9'!IB75+'[3]CB-10'!IB75+'[3]CB-11'!IB75+'[3]CB-12'!IB75+'[3]CB-13'!IB75+'[3]CB-14'!IB75+'[3]CB-15'!IB75+'[3]CB-16'!IB75+'[3]CB-17'!IB75+'[3]CB-18'!IB75+'[3]CB-19'!IB75+'[3]CB-20'!IB75+'[3]CB-21'!IB75+'[3]CB-22'!IB75+'[3]CB-23'!IB75+'[3]CB-24'!IB75+'[4]LCT-1'!IB75+'[4]LCT-2'!IB75+'[4]LCT-3'!IB75+'[4]LCT-4'!IB75+'[4]LCT-5'!IB75+'[4]LCT-6'!IB75+'[4]LCT-7'!IB75+'[4]LCT-8'!IB75+'[5]TB-1'!IB75+'[5]TB-2'!IB75+'[5]TB-3'!IB75+'[5]TB-4'!IB75+'[5]TB-5'!IB75+'[5]TB-6'!IB75+'[5]TB-7'!IB75+'[5]TB-8'!IB75+'[5]TB-9'!IB75+'[5]TB-10'!IB75+'[6]DSV-1'!IB75+'[6]DSV-2'!IB75+'[6]DSV-3'!IB75+'[7]TUB-1'!IB75+'[7]TUB-2'!IB75+'[8]Barge-1'!IB75+'[8]Barge-2'!IB75+'[8]Barge-3'!IB75+'[8]Barge-4'!IB75</f>
        <v>9719608.3333333321</v>
      </c>
      <c r="AA37" s="146">
        <f>'[2]AHTS-1'!IB37+'[2]AHTS-2'!IB37+'[2]AHTS-3'!IB37+'[2]AHTS-4'!IB37+'[2]AHTS-5'!IB37+'[2]AHTS-6'!IB37+'[2]AHTS-7'!IB37+'[2]AHTS-8'!IB37+'[3]CB-1'!IB37+'[3]CB-2'!IB37+'[3]CB-3'!IB37+'[3]CB-4'!IB37+'[3]CB-5'!IB37+'[3]CB-6'!IB37+'[3]CB-7'!IB37+'[3]CB-8'!IB37+'[3]CB-9'!IB37+'[3]CB-10'!IB37+'[3]CB-11'!IB37+'[3]CB-12'!IB37+'[3]CB-13'!IB37+'[3]CB-14'!IB37+'[3]CB-15'!IB37+'[3]CB-16'!IB37+'[3]CB-17'!IB37+'[3]CB-18'!IB37+'[3]CB-19'!IB37+'[3]CB-20'!IB37+'[3]CB-21'!IB37+'[3]CB-22'!IB37+'[3]CB-23'!IB37+'[3]CB-24'!IB37+'[4]LCT-1'!IB37+'[4]LCT-2'!IB37+'[4]LCT-3'!IB37+'[4]LCT-4'!IB37+'[4]LCT-5'!IB37+'[4]LCT-6'!IB37+'[4]LCT-7'!IB37+'[4]LCT-8'!IB37+'[5]TB-1'!IB37+'[5]TB-2'!IB37+'[5]TB-3'!IB37+'[5]TB-4'!IB37+'[5]TB-5'!IB37+'[5]TB-6'!IB37+'[5]TB-7'!IB37+'[5]TB-8'!IB37+'[5]TB-9'!IB37+'[5]TB-10'!IB37+'[6]DSV-1'!IB37+'[6]DSV-2'!IB37+'[6]DSV-3'!IB37+'[7]TUB-1'!IB37+'[7]TUB-2'!IB37+'[8]Barge-1'!IB37+'[8]Barge-2'!IB37+'[8]Barge-3'!IB37+'[8]Barge-4'!IB37</f>
        <v>14105555.555555556</v>
      </c>
      <c r="AB37" s="147">
        <f>'[2]AHTS-1'!IB108+'[2]AHTS-2'!IB108+'[2]AHTS-3'!IB108+'[2]AHTS-4'!IB108+'[2]AHTS-5'!IB108+'[2]AHTS-6'!IB108+'[2]AHTS-7'!IB108+'[2]AHTS-8'!IB108+'[3]CB-1'!IB108+'[3]CB-2'!IB108+'[3]CB-3'!IB108+'[3]CB-4'!IB108+'[3]CB-5'!IB108+'[3]CB-6'!IB108+'[3]CB-7'!IB108+'[3]CB-8'!IB108+'[3]CB-9'!IB108+'[3]CB-10'!IB108+'[3]CB-11'!IB108+'[3]CB-12'!IB108+'[3]CB-13'!IB108+'[3]CB-14'!IB108+'[3]CB-15'!IB108+'[3]CB-16'!IB108+'[3]CB-17'!IB108+'[3]CB-18'!IB108+'[3]CB-19'!IB108+'[3]CB-20'!IB108+'[3]CB-21'!IB108+'[3]CB-22'!IB108+'[3]CB-23'!IB108+'[3]CB-24'!IB108+'[4]LCT-1'!IB108+'[4]LCT-2'!IB108+'[4]LCT-3'!IB108+'[4]LCT-4'!IB108+'[4]LCT-5'!IB108+'[4]LCT-6'!IB108+'[4]LCT-7'!IB108+'[4]LCT-8'!IB108+'[5]TB-1'!IB108+'[5]TB-2'!IB108+'[5]TB-3'!IB108+'[5]TB-4'!IB108+'[5]TB-5'!IB108+'[5]TB-6'!IB108+'[5]TB-7'!IB108+'[5]TB-8'!IB108+'[5]TB-9'!IB108+'[5]TB-10'!IB108+'[6]DSV-1'!IB108+'[6]DSV-2'!IB108+'[6]DSV-3'!IB108+'[7]TUB-1'!IB108+'[7]TUB-2'!IB108+'[8]Barge-1'!IB108+'[8]Barge-2'!IB108+'[8]Barge-3'!IB108+'[8]Barge-4'!IB108</f>
        <v>0</v>
      </c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Y37" s="83"/>
      <c r="BZ37" s="83"/>
      <c r="CA37" s="83"/>
    </row>
    <row r="38" spans="1:79" s="84" customFormat="1" ht="14.25" customHeight="1" thickBot="1" x14ac:dyDescent="0.3">
      <c r="A38" s="119">
        <f>[1]Control!AZ38</f>
        <v>46013</v>
      </c>
      <c r="B38" s="81"/>
      <c r="C38" s="159">
        <f>'[2]AHTS-1'!AT38+'[2]AHTS-2'!AT38+'[2]AHTS-3'!AT38+'[2]AHTS-4'!AT38+'[2]AHTS-5'!AT38+'[2]AHTS-6'!AT38+'[2]AHTS-7'!AT38+'[2]AHTS-8'!AT38+'[3]CB-1'!AT38+'[3]CB-2'!AT38+'[3]CB-3'!AT38+'[3]CB-4'!AT38+'[3]CB-5'!AT38+'[3]CB-6'!AT38+'[3]CB-7'!AT38+'[3]CB-8'!AT38+'[3]CB-9'!AT38+'[3]CB-10'!AT38+'[3]CB-11'!AT38+'[3]CB-12'!AT38+'[3]CB-13'!AT38+'[3]CB-14'!AT38+'[3]CB-15'!AT38+'[3]CB-16'!AT38+'[3]CB-17'!AT38+'[3]CB-18'!AT38+'[3]CB-19'!AT38+'[3]CB-20'!AT38+'[3]CB-21'!AT38+'[3]CB-22'!AT38+'[3]CB-23'!AT38+'[3]CB-24'!AT38+'[4]LCT-1'!AT38+'[4]LCT-2'!AT38+'[4]LCT-3'!AT38+'[4]LCT-4'!AT38+'[4]LCT-5'!AT38+'[4]LCT-6'!AT38+'[4]LCT-7'!AT38+'[4]LCT-8'!AT38+'[5]TB-1'!AT38+'[5]TB-2'!AT38+'[5]TB-3'!AT38+'[5]TB-4'!AT38+'[5]TB-5'!AT38+'[5]TB-6'!AT38+'[5]TB-7'!AT38+'[5]TB-8'!AT38+'[5]TB-9'!AT38+'[5]TB-10'!AT38+'[6]DSV-1'!AT38+'[6]DSV-2'!AT38+'[6]DSV-3'!AT38+'[7]TUB-1'!AT38+'[7]TUB-2'!AT38+'[8]Barge-1'!AT38+'[8]Barge-2'!AT38+'[8]Barge-3'!AT38+'[8]Barge-4'!AT38</f>
        <v>2747.3842679713966</v>
      </c>
      <c r="D38" s="160">
        <f>'[2]AHTS-1'!BP38+'[2]AHTS-2'!BP38+'[2]AHTS-3'!BP38+'[2]AHTS-4'!BP38+'[2]AHTS-5'!BP38+'[2]AHTS-6'!BP38+'[2]AHTS-7'!BP38+'[2]AHTS-8'!BP38+'[3]CB-1'!BP38+'[3]CB-2'!BP38+'[3]CB-3'!BP38+'[3]CB-4'!BP38+'[3]CB-5'!BP38+'[3]CB-6'!BP38+'[3]CB-7'!BP38+'[3]CB-8'!BP38+'[3]CB-9'!BP38+'[3]CB-10'!BP38+'[3]CB-11'!BP38+'[3]CB-12'!BP38+'[3]CB-13'!BP38+'[3]CB-14'!BP38+'[3]CB-15'!BP38+'[3]CB-16'!BP38+'[3]CB-17'!BP38+'[3]CB-18'!BP38+'[3]CB-19'!BP38+'[3]CB-20'!BP38+'[3]CB-21'!BP38+'[3]CB-22'!BP38+'[3]CB-23'!BP38+'[3]CB-24'!BP38+'[4]LCT-1'!BP38+'[4]LCT-2'!BP38+'[4]LCT-3'!BP38+'[4]LCT-4'!BP38+'[4]LCT-5'!BP38+'[4]LCT-6'!BP38+'[4]LCT-7'!BP38+'[4]LCT-8'!BP38+'[5]TB-1'!BP38+'[5]TB-2'!BP38+'[5]TB-3'!BP38+'[5]TB-4'!BP38+'[5]TB-5'!BP38+'[5]TB-6'!BP38+'[5]TB-7'!BP38+'[5]TB-8'!BP38+'[5]TB-9'!BP38+'[5]TB-10'!BP38+'[6]DSV-1'!BP38+'[6]DSV-2'!BP38+'[6]DSV-3'!BP38+'[7]TUB-1'!BP38+'[7]TUB-2'!BP38+'[8]Barge-1'!BP38+'[8]Barge-2'!BP38+'[8]Barge-3'!BP38+'[8]Barge-4'!BP38</f>
        <v>4920.963492660896</v>
      </c>
      <c r="E38" s="161">
        <f>'[2]AHTS-1'!CL38+'[2]AHTS-2'!CL38+'[2]AHTS-3'!CL38+'[2]AHTS-4'!CL38+'[2]AHTS-5'!CL38+'[2]AHTS-6'!CL38+'[2]AHTS-7'!CL38+'[2]AHTS-8'!CL38+'[3]CB-1'!CL38+'[3]CB-2'!CL38+'[3]CB-3'!CL38+'[3]CB-4'!CL38+'[3]CB-5'!CL38+'[3]CB-6'!CL38+'[3]CB-7'!CL38+'[3]CB-8'!CL38+'[3]CB-9'!CL38+'[3]CB-10'!CL38+'[3]CB-11'!CL38+'[3]CB-12'!CL38+'[3]CB-13'!CL38+'[3]CB-14'!CL38+'[3]CB-15'!CL38+'[3]CB-16'!CL38+'[3]CB-17'!CL38+'[3]CB-18'!CL38+'[3]CB-19'!CL38+'[3]CB-20'!CL38+'[3]CB-21'!CL38+'[3]CB-22'!CL38+'[3]CB-23'!CL38+'[3]CB-24'!CL38+'[4]LCT-1'!CL38+'[4]LCT-2'!CL38+'[4]LCT-3'!CL38+'[4]LCT-4'!CL38+'[4]LCT-5'!CL38+'[4]LCT-6'!CL38+'[4]LCT-7'!CL38+'[4]LCT-8'!CL38+'[5]TB-1'!CL38+'[5]TB-2'!CL38+'[5]TB-3'!CL38+'[5]TB-4'!CL38+'[5]TB-5'!CL38+'[5]TB-6'!CL38+'[5]TB-7'!CL38+'[5]TB-8'!CL38+'[5]TB-9'!CL38+'[5]TB-10'!CL38+'[6]DSV-1'!CL38+'[6]DSV-2'!CL38+'[6]DSV-3'!CL38+'[7]TUB-1'!CL38+'[7]TUB-2'!CL38+'[8]Barge-1'!CL38+'[8]Barge-2'!CL38+'[8]Barge-3'!CL38+'[8]Barge-4'!CL38</f>
        <v>0</v>
      </c>
      <c r="F38" s="159">
        <f>'[2]AHTS-1'!AU38+'[2]AHTS-2'!AU38+'[2]AHTS-3'!AU38+'[2]AHTS-4'!AU38+'[2]AHTS-5'!AU38+'[2]AHTS-6'!AU38+'[2]AHTS-7'!AU38+'[2]AHTS-8'!AU38+'[3]CB-1'!AU38+'[3]CB-2'!AU38+'[3]CB-3'!AU38+'[3]CB-4'!AU38+'[3]CB-5'!AU38+'[3]CB-6'!AU38+'[3]CB-7'!AU38+'[3]CB-8'!AU38+'[3]CB-9'!AU38+'[3]CB-10'!AU38+'[3]CB-11'!AU38+'[3]CB-12'!AU38+'[3]CB-13'!AU38+'[3]CB-14'!AU38+'[3]CB-15'!AU38+'[3]CB-16'!AU38+'[3]CB-17'!AU38+'[3]CB-18'!AU38+'[3]CB-19'!AU38+'[3]CB-20'!AU38+'[3]CB-21'!AU38+'[3]CB-22'!AU38+'[3]CB-23'!AU38+'[3]CB-24'!AU38+'[4]LCT-1'!AU38+'[4]LCT-2'!AU38+'[4]LCT-3'!AU38+'[4]LCT-4'!AU38+'[4]LCT-5'!AU38+'[4]LCT-6'!AU38+'[4]LCT-7'!AU38+'[4]LCT-8'!AU38+'[5]TB-1'!AU38+'[5]TB-2'!AU38+'[5]TB-3'!AU38+'[5]TB-4'!AU38+'[5]TB-5'!AU38+'[5]TB-6'!AU38+'[5]TB-7'!AU38+'[5]TB-8'!AU38+'[5]TB-9'!AU38+'[5]TB-10'!AU38+'[6]DSV-1'!AU38+'[6]DSV-2'!AU38+'[6]DSV-3'!AU38+'[7]TUB-1'!AU38+'[7]TUB-2'!AU38+'[8]Barge-1'!AU38+'[8]Barge-2'!AU38+'[8]Barge-3'!AU38+'[8]Barge-4'!AU38</f>
        <v>703.7301886003429</v>
      </c>
      <c r="G38" s="160">
        <f>'[2]AHTS-1'!BQ38+'[2]AHTS-2'!BQ38+'[2]AHTS-3'!BQ38+'[2]AHTS-4'!BQ38+'[2]AHTS-5'!BQ38+'[2]AHTS-6'!BQ38+'[2]AHTS-7'!BQ38+'[2]AHTS-8'!BQ38+'[3]CB-1'!BQ38+'[3]CB-2'!BQ38+'[3]CB-3'!BQ38+'[3]CB-4'!BQ38+'[3]CB-5'!BQ38+'[3]CB-6'!BQ38+'[3]CB-7'!BQ38+'[3]CB-8'!BQ38+'[3]CB-9'!BQ38+'[3]CB-10'!BQ38+'[3]CB-11'!BQ38+'[3]CB-12'!BQ38+'[3]CB-13'!BQ38+'[3]CB-14'!BQ38+'[3]CB-15'!BQ38+'[3]CB-16'!BQ38+'[3]CB-17'!BQ38+'[3]CB-18'!BQ38+'[3]CB-19'!BQ38+'[3]CB-20'!BQ38+'[3]CB-21'!BQ38+'[3]CB-22'!BQ38+'[3]CB-23'!BQ38+'[3]CB-24'!BQ38+'[4]LCT-1'!BQ38+'[4]LCT-2'!BQ38+'[4]LCT-3'!BQ38+'[4]LCT-4'!BQ38+'[4]LCT-5'!BQ38+'[4]LCT-6'!BQ38+'[4]LCT-7'!BQ38+'[4]LCT-8'!BQ38+'[5]TB-1'!BQ38+'[5]TB-2'!BQ38+'[5]TB-3'!BQ38+'[5]TB-4'!BQ38+'[5]TB-5'!BQ38+'[5]TB-6'!BQ38+'[5]TB-7'!BQ38+'[5]TB-8'!BQ38+'[5]TB-9'!BQ38+'[5]TB-10'!BQ38+'[6]DSV-1'!BQ38+'[6]DSV-2'!BQ38+'[6]DSV-3'!BQ38+'[7]TUB-1'!BQ38+'[7]TUB-2'!BQ38+'[8]Barge-1'!BQ38+'[8]Barge-2'!BQ38+'[8]Barge-3'!BQ38+'[8]Barge-4'!BQ38</f>
        <v>812.31965876301592</v>
      </c>
      <c r="H38" s="161">
        <f>'[2]AHTS-1'!CM38+'[2]AHTS-2'!CM38+'[2]AHTS-3'!CM38+'[2]AHTS-4'!CM38+'[2]AHTS-5'!CM38+'[2]AHTS-6'!CM38+'[2]AHTS-7'!CM38+'[2]AHTS-8'!CM38+'[3]CB-1'!CM38+'[3]CB-2'!CM38+'[3]CB-3'!CM38+'[3]CB-4'!CM38+'[3]CB-5'!CM38+'[3]CB-6'!CM38+'[3]CB-7'!CM38+'[3]CB-8'!CM38+'[3]CB-9'!CM38+'[3]CB-10'!CM38+'[3]CB-11'!CM38+'[3]CB-12'!CM38+'[3]CB-13'!CM38+'[3]CB-14'!CM38+'[3]CB-15'!CM38+'[3]CB-16'!CM38+'[3]CB-17'!CM38+'[3]CB-18'!CM38+'[3]CB-19'!CM38+'[3]CB-20'!CM38+'[3]CB-21'!CM38+'[3]CB-22'!CM38+'[3]CB-23'!CM38+'[3]CB-24'!CM38+'[4]LCT-1'!CM38+'[4]LCT-2'!CM38+'[4]LCT-3'!CM38+'[4]LCT-4'!CM38+'[4]LCT-5'!CM38+'[4]LCT-6'!CM38+'[4]LCT-7'!CM38+'[4]LCT-8'!CM38+'[5]TB-1'!CM38+'[5]TB-2'!CM38+'[5]TB-3'!CM38+'[5]TB-4'!CM38+'[5]TB-5'!CM38+'[5]TB-6'!CM38+'[5]TB-7'!CM38+'[5]TB-8'!CM38+'[5]TB-9'!CM38+'[5]TB-10'!CM38+'[6]DSV-1'!CM38+'[6]DSV-2'!CM38+'[6]DSV-3'!CM38+'[7]TUB-1'!CM38+'[7]TUB-2'!CM38+'[8]Barge-1'!CM38+'[8]Barge-2'!CM38+'[8]Barge-3'!CM38+'[8]Barge-4'!CM38</f>
        <v>0</v>
      </c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110"/>
      <c r="U38" s="119">
        <f>[1]Control!AZ38</f>
        <v>46013</v>
      </c>
      <c r="V38" s="81"/>
      <c r="W38" s="145">
        <f>'[2]AHTS-1'!IA76+'[2]AHTS-2'!IA76+'[2]AHTS-3'!IA76+'[2]AHTS-4'!IA76+'[2]AHTS-5'!IA76+'[2]AHTS-6'!IA76+'[2]AHTS-7'!IA76+'[2]AHTS-8'!IA76+'[3]CB-1'!IA76+'[3]CB-2'!IA76+'[3]CB-3'!IA76+'[3]CB-4'!IA76+'[3]CB-5'!IA76+'[3]CB-6'!IA76+'[3]CB-7'!IA76+'[3]CB-8'!IA76+'[3]CB-9'!IA76+'[3]CB-10'!IA76+'[3]CB-11'!IA76+'[3]CB-12'!IA76+'[3]CB-13'!IA76+'[3]CB-14'!IA76+'[3]CB-15'!IA76+'[3]CB-16'!IA76+'[3]CB-17'!IA76+'[3]CB-18'!IA76+'[3]CB-19'!IA76+'[3]CB-20'!IA76+'[3]CB-21'!IA76+'[3]CB-22'!IA76+'[3]CB-23'!IA76+'[3]CB-24'!IA76+'[4]LCT-1'!IA76+'[4]LCT-2'!IA76+'[4]LCT-3'!IA76+'[4]LCT-4'!IA76+'[4]LCT-5'!IA76+'[4]LCT-6'!IA76+'[4]LCT-7'!IA76+'[4]LCT-8'!IA76+'[5]TB-1'!IA76+'[5]TB-2'!IA76+'[5]TB-3'!IA76+'[5]TB-4'!IA76+'[5]TB-5'!IA76+'[5]TB-6'!IA76+'[5]TB-7'!IA76+'[5]TB-8'!IA76+'[5]TB-9'!IA76+'[5]TB-10'!IA76+'[6]DSV-1'!IA76+'[6]DSV-2'!IA76+'[6]DSV-3'!IA76+'[7]TUB-1'!IA76+'[7]TUB-2'!IA76+'[8]Barge-1'!IA76+'[8]Barge-2'!IA76+'[8]Barge-3'!IA76+'[8]Barge-4'!IA76</f>
        <v>43798800</v>
      </c>
      <c r="X38" s="146">
        <f>'[2]AHTS-1'!IA38+'[2]AHTS-2'!IA38+'[2]AHTS-3'!IA38+'[2]AHTS-4'!IA38+'[2]AHTS-5'!IA38+'[2]AHTS-6'!IA38+'[2]AHTS-7'!IA38+'[2]AHTS-8'!IA38+'[3]CB-1'!IA38+'[3]CB-2'!IA38+'[3]CB-3'!IA38+'[3]CB-4'!IA38+'[3]CB-5'!IA38+'[3]CB-6'!IA38+'[3]CB-7'!IA38+'[3]CB-8'!IA38+'[3]CB-9'!IA38+'[3]CB-10'!IA38+'[3]CB-11'!IA38+'[3]CB-12'!IA38+'[3]CB-13'!IA38+'[3]CB-14'!IA38+'[3]CB-15'!IA38+'[3]CB-16'!IA38+'[3]CB-17'!IA38+'[3]CB-18'!IA38+'[3]CB-19'!IA38+'[3]CB-20'!IA38+'[3]CB-21'!IA38+'[3]CB-22'!IA38+'[3]CB-23'!IA38+'[3]CB-24'!IA38+'[4]LCT-1'!IA38+'[4]LCT-2'!IA38+'[4]LCT-3'!IA38+'[4]LCT-4'!IA38+'[4]LCT-5'!IA38+'[4]LCT-6'!IA38+'[4]LCT-7'!IA38+'[4]LCT-8'!IA38+'[5]TB-1'!IA38+'[5]TB-2'!IA38+'[5]TB-3'!IA38+'[5]TB-4'!IA38+'[5]TB-5'!IA38+'[5]TB-6'!IA38+'[5]TB-7'!IA38+'[5]TB-8'!IA38+'[5]TB-9'!IA38+'[5]TB-10'!IA38+'[6]DSV-1'!IA38+'[6]DSV-2'!IA38+'[6]DSV-3'!IA38+'[7]TUB-1'!IA38+'[7]TUB-2'!IA38+'[8]Barge-1'!IA38+'[8]Barge-2'!IA38+'[8]Barge-3'!IA38+'[8]Barge-4'!IA38</f>
        <v>78450000</v>
      </c>
      <c r="Y38" s="147">
        <f>'[2]AHTS-1'!IA109+'[2]AHTS-2'!IA109+'[2]AHTS-3'!IA109+'[2]AHTS-4'!IA109+'[2]AHTS-5'!IA109+'[2]AHTS-6'!IA109+'[2]AHTS-7'!IA109+'[2]AHTS-8'!IA109+'[3]CB-1'!IA109+'[3]CB-2'!IA109+'[3]CB-3'!IA109+'[3]CB-4'!IA109+'[3]CB-5'!IA109+'[3]CB-6'!IA109+'[3]CB-7'!IA109+'[3]CB-8'!IA109+'[3]CB-9'!IA109+'[3]CB-10'!IA109+'[3]CB-11'!IA109+'[3]CB-12'!IA109+'[3]CB-13'!IA109+'[3]CB-14'!IA109+'[3]CB-15'!IA109+'[3]CB-16'!IA109+'[3]CB-17'!IA109+'[3]CB-18'!IA109+'[3]CB-19'!IA109+'[3]CB-20'!IA109+'[3]CB-21'!IA109+'[3]CB-22'!IA109+'[3]CB-23'!IA109+'[3]CB-24'!IA109+'[4]LCT-1'!IA109+'[4]LCT-2'!IA109+'[4]LCT-3'!IA109+'[4]LCT-4'!IA109+'[4]LCT-5'!IA109+'[4]LCT-6'!IA109+'[4]LCT-7'!IA109+'[4]LCT-8'!IA109+'[5]TB-1'!IA109+'[5]TB-2'!IA109+'[5]TB-3'!IA109+'[5]TB-4'!IA109+'[5]TB-5'!IA109+'[5]TB-6'!IA109+'[5]TB-7'!IA109+'[5]TB-8'!IA109+'[5]TB-9'!IA109+'[5]TB-10'!IA109+'[6]DSV-1'!IA109+'[6]DSV-2'!IA109+'[6]DSV-3'!IA109+'[7]TUB-1'!IA109+'[7]TUB-2'!IA109+'[8]Barge-1'!IA109+'[8]Barge-2'!IA109+'[8]Barge-3'!IA109+'[8]Barge-4'!IA109</f>
        <v>0</v>
      </c>
      <c r="Z38" s="145">
        <f>'[2]AHTS-1'!IB76+'[2]AHTS-2'!IB76+'[2]AHTS-3'!IB76+'[2]AHTS-4'!IB76+'[2]AHTS-5'!IB76+'[2]AHTS-6'!IB76+'[2]AHTS-7'!IB76+'[2]AHTS-8'!IB76+'[3]CB-1'!IB76+'[3]CB-2'!IB76+'[3]CB-3'!IB76+'[3]CB-4'!IB76+'[3]CB-5'!IB76+'[3]CB-6'!IB76+'[3]CB-7'!IB76+'[3]CB-8'!IB76+'[3]CB-9'!IB76+'[3]CB-10'!IB76+'[3]CB-11'!IB76+'[3]CB-12'!IB76+'[3]CB-13'!IB76+'[3]CB-14'!IB76+'[3]CB-15'!IB76+'[3]CB-16'!IB76+'[3]CB-17'!IB76+'[3]CB-18'!IB76+'[3]CB-19'!IB76+'[3]CB-20'!IB76+'[3]CB-21'!IB76+'[3]CB-22'!IB76+'[3]CB-23'!IB76+'[3]CB-24'!IB76+'[4]LCT-1'!IB76+'[4]LCT-2'!IB76+'[4]LCT-3'!IB76+'[4]LCT-4'!IB76+'[4]LCT-5'!IB76+'[4]LCT-6'!IB76+'[4]LCT-7'!IB76+'[4]LCT-8'!IB76+'[5]TB-1'!IB76+'[5]TB-2'!IB76+'[5]TB-3'!IB76+'[5]TB-4'!IB76+'[5]TB-5'!IB76+'[5]TB-6'!IB76+'[5]TB-7'!IB76+'[5]TB-8'!IB76+'[5]TB-9'!IB76+'[5]TB-10'!IB76+'[6]DSV-1'!IB76+'[6]DSV-2'!IB76+'[6]DSV-3'!IB76+'[7]TUB-1'!IB76+'[7]TUB-2'!IB76+'[8]Barge-1'!IB76+'[8]Barge-2'!IB76+'[8]Barge-3'!IB76+'[8]Barge-4'!IB76</f>
        <v>11218866.666666668</v>
      </c>
      <c r="AA38" s="146">
        <f>'[2]AHTS-1'!IB38+'[2]AHTS-2'!IB38+'[2]AHTS-3'!IB38+'[2]AHTS-4'!IB38+'[2]AHTS-5'!IB38+'[2]AHTS-6'!IB38+'[2]AHTS-7'!IB38+'[2]AHTS-8'!IB38+'[3]CB-1'!IB38+'[3]CB-2'!IB38+'[3]CB-3'!IB38+'[3]CB-4'!IB38+'[3]CB-5'!IB38+'[3]CB-6'!IB38+'[3]CB-7'!IB38+'[3]CB-8'!IB38+'[3]CB-9'!IB38+'[3]CB-10'!IB38+'[3]CB-11'!IB38+'[3]CB-12'!IB38+'[3]CB-13'!IB38+'[3]CB-14'!IB38+'[3]CB-15'!IB38+'[3]CB-16'!IB38+'[3]CB-17'!IB38+'[3]CB-18'!IB38+'[3]CB-19'!IB38+'[3]CB-20'!IB38+'[3]CB-21'!IB38+'[3]CB-22'!IB38+'[3]CB-23'!IB38+'[3]CB-24'!IB38+'[4]LCT-1'!IB38+'[4]LCT-2'!IB38+'[4]LCT-3'!IB38+'[4]LCT-4'!IB38+'[4]LCT-5'!IB38+'[4]LCT-6'!IB38+'[4]LCT-7'!IB38+'[4]LCT-8'!IB38+'[5]TB-1'!IB38+'[5]TB-2'!IB38+'[5]TB-3'!IB38+'[5]TB-4'!IB38+'[5]TB-5'!IB38+'[5]TB-6'!IB38+'[5]TB-7'!IB38+'[5]TB-8'!IB38+'[5]TB-9'!IB38+'[5]TB-10'!IB38+'[6]DSV-1'!IB38+'[6]DSV-2'!IB38+'[6]DSV-3'!IB38+'[7]TUB-1'!IB38+'[7]TUB-2'!IB38+'[8]Barge-1'!IB38+'[8]Barge-2'!IB38+'[8]Barge-3'!IB38+'[8]Barge-4'!IB38</f>
        <v>12950000</v>
      </c>
      <c r="AB38" s="147">
        <f>'[2]AHTS-1'!IB109+'[2]AHTS-2'!IB109+'[2]AHTS-3'!IB109+'[2]AHTS-4'!IB109+'[2]AHTS-5'!IB109+'[2]AHTS-6'!IB109+'[2]AHTS-7'!IB109+'[2]AHTS-8'!IB109+'[3]CB-1'!IB109+'[3]CB-2'!IB109+'[3]CB-3'!IB109+'[3]CB-4'!IB109+'[3]CB-5'!IB109+'[3]CB-6'!IB109+'[3]CB-7'!IB109+'[3]CB-8'!IB109+'[3]CB-9'!IB109+'[3]CB-10'!IB109+'[3]CB-11'!IB109+'[3]CB-12'!IB109+'[3]CB-13'!IB109+'[3]CB-14'!IB109+'[3]CB-15'!IB109+'[3]CB-16'!IB109+'[3]CB-17'!IB109+'[3]CB-18'!IB109+'[3]CB-19'!IB109+'[3]CB-20'!IB109+'[3]CB-21'!IB109+'[3]CB-22'!IB109+'[3]CB-23'!IB109+'[3]CB-24'!IB109+'[4]LCT-1'!IB109+'[4]LCT-2'!IB109+'[4]LCT-3'!IB109+'[4]LCT-4'!IB109+'[4]LCT-5'!IB109+'[4]LCT-6'!IB109+'[4]LCT-7'!IB109+'[4]LCT-8'!IB109+'[5]TB-1'!IB109+'[5]TB-2'!IB109+'[5]TB-3'!IB109+'[5]TB-4'!IB109+'[5]TB-5'!IB109+'[5]TB-6'!IB109+'[5]TB-7'!IB109+'[5]TB-8'!IB109+'[5]TB-9'!IB109+'[5]TB-10'!IB109+'[6]DSV-1'!IB109+'[6]DSV-2'!IB109+'[6]DSV-3'!IB109+'[7]TUB-1'!IB109+'[7]TUB-2'!IB109+'[8]Barge-1'!IB109+'[8]Barge-2'!IB109+'[8]Barge-3'!IB109+'[8]Barge-4'!IB109</f>
        <v>0</v>
      </c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Y38" s="83"/>
      <c r="BZ38" s="83"/>
      <c r="CA38" s="83"/>
    </row>
    <row r="39" spans="1:79" s="84" customFormat="1" ht="14.25" customHeight="1" thickBot="1" x14ac:dyDescent="0.3">
      <c r="A39" s="119">
        <f>[1]Control!AZ39</f>
        <v>46014</v>
      </c>
      <c r="B39" s="81"/>
      <c r="C39" s="159">
        <f>'[2]AHTS-1'!AT39+'[2]AHTS-2'!AT39+'[2]AHTS-3'!AT39+'[2]AHTS-4'!AT39+'[2]AHTS-5'!AT39+'[2]AHTS-6'!AT39+'[2]AHTS-7'!AT39+'[2]AHTS-8'!AT39+'[3]CB-1'!AT39+'[3]CB-2'!AT39+'[3]CB-3'!AT39+'[3]CB-4'!AT39+'[3]CB-5'!AT39+'[3]CB-6'!AT39+'[3]CB-7'!AT39+'[3]CB-8'!AT39+'[3]CB-9'!AT39+'[3]CB-10'!AT39+'[3]CB-11'!AT39+'[3]CB-12'!AT39+'[3]CB-13'!AT39+'[3]CB-14'!AT39+'[3]CB-15'!AT39+'[3]CB-16'!AT39+'[3]CB-17'!AT39+'[3]CB-18'!AT39+'[3]CB-19'!AT39+'[3]CB-20'!AT39+'[3]CB-21'!AT39+'[3]CB-22'!AT39+'[3]CB-23'!AT39+'[3]CB-24'!AT39+'[4]LCT-1'!AT39+'[4]LCT-2'!AT39+'[4]LCT-3'!AT39+'[4]LCT-4'!AT39+'[4]LCT-5'!AT39+'[4]LCT-6'!AT39+'[4]LCT-7'!AT39+'[4]LCT-8'!AT39+'[5]TB-1'!AT39+'[5]TB-2'!AT39+'[5]TB-3'!AT39+'[5]TB-4'!AT39+'[5]TB-5'!AT39+'[5]TB-6'!AT39+'[5]TB-7'!AT39+'[5]TB-8'!AT39+'[5]TB-9'!AT39+'[5]TB-10'!AT39+'[6]DSV-1'!AT39+'[6]DSV-2'!AT39+'[6]DSV-3'!AT39+'[7]TUB-1'!AT39+'[7]TUB-2'!AT39+'[8]Barge-1'!AT39+'[8]Barge-2'!AT39+'[8]Barge-3'!AT39+'[8]Barge-4'!AT39</f>
        <v>1063.7420652378858</v>
      </c>
      <c r="D39" s="160">
        <f>'[2]AHTS-1'!BP39+'[2]AHTS-2'!BP39+'[2]AHTS-3'!BP39+'[2]AHTS-4'!BP39+'[2]AHTS-5'!BP39+'[2]AHTS-6'!BP39+'[2]AHTS-7'!BP39+'[2]AHTS-8'!BP39+'[3]CB-1'!BP39+'[3]CB-2'!BP39+'[3]CB-3'!BP39+'[3]CB-4'!BP39+'[3]CB-5'!BP39+'[3]CB-6'!BP39+'[3]CB-7'!BP39+'[3]CB-8'!BP39+'[3]CB-9'!BP39+'[3]CB-10'!BP39+'[3]CB-11'!BP39+'[3]CB-12'!BP39+'[3]CB-13'!BP39+'[3]CB-14'!BP39+'[3]CB-15'!BP39+'[3]CB-16'!BP39+'[3]CB-17'!BP39+'[3]CB-18'!BP39+'[3]CB-19'!BP39+'[3]CB-20'!BP39+'[3]CB-21'!BP39+'[3]CB-22'!BP39+'[3]CB-23'!BP39+'[3]CB-24'!BP39+'[4]LCT-1'!BP39+'[4]LCT-2'!BP39+'[4]LCT-3'!BP39+'[4]LCT-4'!BP39+'[4]LCT-5'!BP39+'[4]LCT-6'!BP39+'[4]LCT-7'!BP39+'[4]LCT-8'!BP39+'[5]TB-1'!BP39+'[5]TB-2'!BP39+'[5]TB-3'!BP39+'[5]TB-4'!BP39+'[5]TB-5'!BP39+'[5]TB-6'!BP39+'[5]TB-7'!BP39+'[5]TB-8'!BP39+'[5]TB-9'!BP39+'[5]TB-10'!BP39+'[6]DSV-1'!BP39+'[6]DSV-2'!BP39+'[6]DSV-3'!BP39+'[7]TUB-1'!BP39+'[7]TUB-2'!BP39+'[8]Barge-1'!BP39+'[8]Barge-2'!BP39+'[8]Barge-3'!BP39+'[8]Barge-4'!BP39</f>
        <v>1555.5276223995977</v>
      </c>
      <c r="E39" s="161">
        <f>'[2]AHTS-1'!CL39+'[2]AHTS-2'!CL39+'[2]AHTS-3'!CL39+'[2]AHTS-4'!CL39+'[2]AHTS-5'!CL39+'[2]AHTS-6'!CL39+'[2]AHTS-7'!CL39+'[2]AHTS-8'!CL39+'[3]CB-1'!CL39+'[3]CB-2'!CL39+'[3]CB-3'!CL39+'[3]CB-4'!CL39+'[3]CB-5'!CL39+'[3]CB-6'!CL39+'[3]CB-7'!CL39+'[3]CB-8'!CL39+'[3]CB-9'!CL39+'[3]CB-10'!CL39+'[3]CB-11'!CL39+'[3]CB-12'!CL39+'[3]CB-13'!CL39+'[3]CB-14'!CL39+'[3]CB-15'!CL39+'[3]CB-16'!CL39+'[3]CB-17'!CL39+'[3]CB-18'!CL39+'[3]CB-19'!CL39+'[3]CB-20'!CL39+'[3]CB-21'!CL39+'[3]CB-22'!CL39+'[3]CB-23'!CL39+'[3]CB-24'!CL39+'[4]LCT-1'!CL39+'[4]LCT-2'!CL39+'[4]LCT-3'!CL39+'[4]LCT-4'!CL39+'[4]LCT-5'!CL39+'[4]LCT-6'!CL39+'[4]LCT-7'!CL39+'[4]LCT-8'!CL39+'[5]TB-1'!CL39+'[5]TB-2'!CL39+'[5]TB-3'!CL39+'[5]TB-4'!CL39+'[5]TB-5'!CL39+'[5]TB-6'!CL39+'[5]TB-7'!CL39+'[5]TB-8'!CL39+'[5]TB-9'!CL39+'[5]TB-10'!CL39+'[6]DSV-1'!CL39+'[6]DSV-2'!CL39+'[6]DSV-3'!CL39+'[7]TUB-1'!CL39+'[7]TUB-2'!CL39+'[8]Barge-1'!CL39+'[8]Barge-2'!CL39+'[8]Barge-3'!CL39+'[8]Barge-4'!CL39</f>
        <v>0</v>
      </c>
      <c r="F39" s="159">
        <f>'[2]AHTS-1'!AU39+'[2]AHTS-2'!AU39+'[2]AHTS-3'!AU39+'[2]AHTS-4'!AU39+'[2]AHTS-5'!AU39+'[2]AHTS-6'!AU39+'[2]AHTS-7'!AU39+'[2]AHTS-8'!AU39+'[3]CB-1'!AU39+'[3]CB-2'!AU39+'[3]CB-3'!AU39+'[3]CB-4'!AU39+'[3]CB-5'!AU39+'[3]CB-6'!AU39+'[3]CB-7'!AU39+'[3]CB-8'!AU39+'[3]CB-9'!AU39+'[3]CB-10'!AU39+'[3]CB-11'!AU39+'[3]CB-12'!AU39+'[3]CB-13'!AU39+'[3]CB-14'!AU39+'[3]CB-15'!AU39+'[3]CB-16'!AU39+'[3]CB-17'!AU39+'[3]CB-18'!AU39+'[3]CB-19'!AU39+'[3]CB-20'!AU39+'[3]CB-21'!AU39+'[3]CB-22'!AU39+'[3]CB-23'!AU39+'[3]CB-24'!AU39+'[4]LCT-1'!AU39+'[4]LCT-2'!AU39+'[4]LCT-3'!AU39+'[4]LCT-4'!AU39+'[4]LCT-5'!AU39+'[4]LCT-6'!AU39+'[4]LCT-7'!AU39+'[4]LCT-8'!AU39+'[5]TB-1'!AU39+'[5]TB-2'!AU39+'[5]TB-3'!AU39+'[5]TB-4'!AU39+'[5]TB-5'!AU39+'[5]TB-6'!AU39+'[5]TB-7'!AU39+'[5]TB-8'!AU39+'[5]TB-9'!AU39+'[5]TB-10'!AU39+'[6]DSV-1'!AU39+'[6]DSV-2'!AU39+'[6]DSV-3'!AU39+'[7]TUB-1'!AU39+'[7]TUB-2'!AU39+'[8]Barge-1'!AU39+'[8]Barge-2'!AU39+'[8]Barge-3'!AU39+'[8]Barge-4'!AU39</f>
        <v>989.98386860243443</v>
      </c>
      <c r="G39" s="160">
        <f>'[2]AHTS-1'!BQ39+'[2]AHTS-2'!BQ39+'[2]AHTS-3'!BQ39+'[2]AHTS-4'!BQ39+'[2]AHTS-5'!BQ39+'[2]AHTS-6'!BQ39+'[2]AHTS-7'!BQ39+'[2]AHTS-8'!BQ39+'[3]CB-1'!BQ39+'[3]CB-2'!BQ39+'[3]CB-3'!BQ39+'[3]CB-4'!BQ39+'[3]CB-5'!BQ39+'[3]CB-6'!BQ39+'[3]CB-7'!BQ39+'[3]CB-8'!BQ39+'[3]CB-9'!BQ39+'[3]CB-10'!BQ39+'[3]CB-11'!BQ39+'[3]CB-12'!BQ39+'[3]CB-13'!BQ39+'[3]CB-14'!BQ39+'[3]CB-15'!BQ39+'[3]CB-16'!BQ39+'[3]CB-17'!BQ39+'[3]CB-18'!BQ39+'[3]CB-19'!BQ39+'[3]CB-20'!BQ39+'[3]CB-21'!BQ39+'[3]CB-22'!BQ39+'[3]CB-23'!BQ39+'[3]CB-24'!BQ39+'[4]LCT-1'!BQ39+'[4]LCT-2'!BQ39+'[4]LCT-3'!BQ39+'[4]LCT-4'!BQ39+'[4]LCT-5'!BQ39+'[4]LCT-6'!BQ39+'[4]LCT-7'!BQ39+'[4]LCT-8'!BQ39+'[5]TB-1'!BQ39+'[5]TB-2'!BQ39+'[5]TB-3'!BQ39+'[5]TB-4'!BQ39+'[5]TB-5'!BQ39+'[5]TB-6'!BQ39+'[5]TB-7'!BQ39+'[5]TB-8'!BQ39+'[5]TB-9'!BQ39+'[5]TB-10'!BQ39+'[6]DSV-1'!BQ39+'[6]DSV-2'!BQ39+'[6]DSV-3'!BQ39+'[7]TUB-1'!BQ39+'[7]TUB-2'!BQ39+'[8]Barge-1'!BQ39+'[8]Barge-2'!BQ39+'[8]Barge-3'!BQ39+'[8]Barge-4'!BQ39</f>
        <v>1006.9902722784375</v>
      </c>
      <c r="H39" s="161">
        <f>'[2]AHTS-1'!CM39+'[2]AHTS-2'!CM39+'[2]AHTS-3'!CM39+'[2]AHTS-4'!CM39+'[2]AHTS-5'!CM39+'[2]AHTS-6'!CM39+'[2]AHTS-7'!CM39+'[2]AHTS-8'!CM39+'[3]CB-1'!CM39+'[3]CB-2'!CM39+'[3]CB-3'!CM39+'[3]CB-4'!CM39+'[3]CB-5'!CM39+'[3]CB-6'!CM39+'[3]CB-7'!CM39+'[3]CB-8'!CM39+'[3]CB-9'!CM39+'[3]CB-10'!CM39+'[3]CB-11'!CM39+'[3]CB-12'!CM39+'[3]CB-13'!CM39+'[3]CB-14'!CM39+'[3]CB-15'!CM39+'[3]CB-16'!CM39+'[3]CB-17'!CM39+'[3]CB-18'!CM39+'[3]CB-19'!CM39+'[3]CB-20'!CM39+'[3]CB-21'!CM39+'[3]CB-22'!CM39+'[3]CB-23'!CM39+'[3]CB-24'!CM39+'[4]LCT-1'!CM39+'[4]LCT-2'!CM39+'[4]LCT-3'!CM39+'[4]LCT-4'!CM39+'[4]LCT-5'!CM39+'[4]LCT-6'!CM39+'[4]LCT-7'!CM39+'[4]LCT-8'!CM39+'[5]TB-1'!CM39+'[5]TB-2'!CM39+'[5]TB-3'!CM39+'[5]TB-4'!CM39+'[5]TB-5'!CM39+'[5]TB-6'!CM39+'[5]TB-7'!CM39+'[5]TB-8'!CM39+'[5]TB-9'!CM39+'[5]TB-10'!CM39+'[6]DSV-1'!CM39+'[6]DSV-2'!CM39+'[6]DSV-3'!CM39+'[7]TUB-1'!CM39+'[7]TUB-2'!CM39+'[8]Barge-1'!CM39+'[8]Barge-2'!CM39+'[8]Barge-3'!CM39+'[8]Barge-4'!CM39</f>
        <v>0</v>
      </c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110"/>
      <c r="U39" s="119">
        <f>[1]Control!AZ39</f>
        <v>46014</v>
      </c>
      <c r="V39" s="81"/>
      <c r="W39" s="145">
        <f>'[2]AHTS-1'!IA77+'[2]AHTS-2'!IA77+'[2]AHTS-3'!IA77+'[2]AHTS-4'!IA77+'[2]AHTS-5'!IA77+'[2]AHTS-6'!IA77+'[2]AHTS-7'!IA77+'[2]AHTS-8'!IA77+'[3]CB-1'!IA77+'[3]CB-2'!IA77+'[3]CB-3'!IA77+'[3]CB-4'!IA77+'[3]CB-5'!IA77+'[3]CB-6'!IA77+'[3]CB-7'!IA77+'[3]CB-8'!IA77+'[3]CB-9'!IA77+'[3]CB-10'!IA77+'[3]CB-11'!IA77+'[3]CB-12'!IA77+'[3]CB-13'!IA77+'[3]CB-14'!IA77+'[3]CB-15'!IA77+'[3]CB-16'!IA77+'[3]CB-17'!IA77+'[3]CB-18'!IA77+'[3]CB-19'!IA77+'[3]CB-20'!IA77+'[3]CB-21'!IA77+'[3]CB-22'!IA77+'[3]CB-23'!IA77+'[3]CB-24'!IA77+'[4]LCT-1'!IA77+'[4]LCT-2'!IA77+'[4]LCT-3'!IA77+'[4]LCT-4'!IA77+'[4]LCT-5'!IA77+'[4]LCT-6'!IA77+'[4]LCT-7'!IA77+'[4]LCT-8'!IA77+'[5]TB-1'!IA77+'[5]TB-2'!IA77+'[5]TB-3'!IA77+'[5]TB-4'!IA77+'[5]TB-5'!IA77+'[5]TB-6'!IA77+'[5]TB-7'!IA77+'[5]TB-8'!IA77+'[5]TB-9'!IA77+'[5]TB-10'!IA77+'[6]DSV-1'!IA77+'[6]DSV-2'!IA77+'[6]DSV-3'!IA77+'[7]TUB-1'!IA77+'[7]TUB-2'!IA77+'[8]Barge-1'!IA77+'[8]Barge-2'!IA77+'[8]Barge-3'!IA77+'[8]Barge-4'!IA77</f>
        <v>16925200</v>
      </c>
      <c r="X39" s="146">
        <f>'[2]AHTS-1'!IA39+'[2]AHTS-2'!IA39+'[2]AHTS-3'!IA39+'[2]AHTS-4'!IA39+'[2]AHTS-5'!IA39+'[2]AHTS-6'!IA39+'[2]AHTS-7'!IA39+'[2]AHTS-8'!IA39+'[3]CB-1'!IA39+'[3]CB-2'!IA39+'[3]CB-3'!IA39+'[3]CB-4'!IA39+'[3]CB-5'!IA39+'[3]CB-6'!IA39+'[3]CB-7'!IA39+'[3]CB-8'!IA39+'[3]CB-9'!IA39+'[3]CB-10'!IA39+'[3]CB-11'!IA39+'[3]CB-12'!IA39+'[3]CB-13'!IA39+'[3]CB-14'!IA39+'[3]CB-15'!IA39+'[3]CB-16'!IA39+'[3]CB-17'!IA39+'[3]CB-18'!IA39+'[3]CB-19'!IA39+'[3]CB-20'!IA39+'[3]CB-21'!IA39+'[3]CB-22'!IA39+'[3]CB-23'!IA39+'[3]CB-24'!IA39+'[4]LCT-1'!IA39+'[4]LCT-2'!IA39+'[4]LCT-3'!IA39+'[4]LCT-4'!IA39+'[4]LCT-5'!IA39+'[4]LCT-6'!IA39+'[4]LCT-7'!IA39+'[4]LCT-8'!IA39+'[5]TB-1'!IA39+'[5]TB-2'!IA39+'[5]TB-3'!IA39+'[5]TB-4'!IA39+'[5]TB-5'!IA39+'[5]TB-6'!IA39+'[5]TB-7'!IA39+'[5]TB-8'!IA39+'[5]TB-9'!IA39+'[5]TB-10'!IA39+'[6]DSV-1'!IA39+'[6]DSV-2'!IA39+'[6]DSV-3'!IA39+'[7]TUB-1'!IA39+'[7]TUB-2'!IA39+'[8]Barge-1'!IA39+'[8]Barge-2'!IA39+'[8]Barge-3'!IA39+'[8]Barge-4'!IA39</f>
        <v>24750000</v>
      </c>
      <c r="Y39" s="147">
        <f>'[2]AHTS-1'!IA110+'[2]AHTS-2'!IA110+'[2]AHTS-3'!IA110+'[2]AHTS-4'!IA110+'[2]AHTS-5'!IA110+'[2]AHTS-6'!IA110+'[2]AHTS-7'!IA110+'[2]AHTS-8'!IA110+'[3]CB-1'!IA110+'[3]CB-2'!IA110+'[3]CB-3'!IA110+'[3]CB-4'!IA110+'[3]CB-5'!IA110+'[3]CB-6'!IA110+'[3]CB-7'!IA110+'[3]CB-8'!IA110+'[3]CB-9'!IA110+'[3]CB-10'!IA110+'[3]CB-11'!IA110+'[3]CB-12'!IA110+'[3]CB-13'!IA110+'[3]CB-14'!IA110+'[3]CB-15'!IA110+'[3]CB-16'!IA110+'[3]CB-17'!IA110+'[3]CB-18'!IA110+'[3]CB-19'!IA110+'[3]CB-20'!IA110+'[3]CB-21'!IA110+'[3]CB-22'!IA110+'[3]CB-23'!IA110+'[3]CB-24'!IA110+'[4]LCT-1'!IA110+'[4]LCT-2'!IA110+'[4]LCT-3'!IA110+'[4]LCT-4'!IA110+'[4]LCT-5'!IA110+'[4]LCT-6'!IA110+'[4]LCT-7'!IA110+'[4]LCT-8'!IA110+'[5]TB-1'!IA110+'[5]TB-2'!IA110+'[5]TB-3'!IA110+'[5]TB-4'!IA110+'[5]TB-5'!IA110+'[5]TB-6'!IA110+'[5]TB-7'!IA110+'[5]TB-8'!IA110+'[5]TB-9'!IA110+'[5]TB-10'!IA110+'[6]DSV-1'!IA110+'[6]DSV-2'!IA110+'[6]DSV-3'!IA110+'[7]TUB-1'!IA110+'[7]TUB-2'!IA110+'[8]Barge-1'!IA110+'[8]Barge-2'!IA110+'[8]Barge-3'!IA110+'[8]Barge-4'!IA110</f>
        <v>0</v>
      </c>
      <c r="Z39" s="145">
        <f>'[2]AHTS-1'!IB77+'[2]AHTS-2'!IB77+'[2]AHTS-3'!IB77+'[2]AHTS-4'!IB77+'[2]AHTS-5'!IB77+'[2]AHTS-6'!IB77+'[2]AHTS-7'!IB77+'[2]AHTS-8'!IB77+'[3]CB-1'!IB77+'[3]CB-2'!IB77+'[3]CB-3'!IB77+'[3]CB-4'!IB77+'[3]CB-5'!IB77+'[3]CB-6'!IB77+'[3]CB-7'!IB77+'[3]CB-8'!IB77+'[3]CB-9'!IB77+'[3]CB-10'!IB77+'[3]CB-11'!IB77+'[3]CB-12'!IB77+'[3]CB-13'!IB77+'[3]CB-14'!IB77+'[3]CB-15'!IB77+'[3]CB-16'!IB77+'[3]CB-17'!IB77+'[3]CB-18'!IB77+'[3]CB-19'!IB77+'[3]CB-20'!IB77+'[3]CB-21'!IB77+'[3]CB-22'!IB77+'[3]CB-23'!IB77+'[3]CB-24'!IB77+'[4]LCT-1'!IB77+'[4]LCT-2'!IB77+'[4]LCT-3'!IB77+'[4]LCT-4'!IB77+'[4]LCT-5'!IB77+'[4]LCT-6'!IB77+'[4]LCT-7'!IB77+'[4]LCT-8'!IB77+'[5]TB-1'!IB77+'[5]TB-2'!IB77+'[5]TB-3'!IB77+'[5]TB-4'!IB77+'[5]TB-5'!IB77+'[5]TB-6'!IB77+'[5]TB-7'!IB77+'[5]TB-8'!IB77+'[5]TB-9'!IB77+'[5]TB-10'!IB77+'[6]DSV-1'!IB77+'[6]DSV-2'!IB77+'[6]DSV-3'!IB77+'[7]TUB-1'!IB77+'[7]TUB-2'!IB77+'[8]Barge-1'!IB77+'[8]Barge-2'!IB77+'[8]Barge-3'!IB77+'[8]Barge-4'!IB77</f>
        <v>15751633.333333334</v>
      </c>
      <c r="AA39" s="146">
        <f>'[2]AHTS-1'!IB39+'[2]AHTS-2'!IB39+'[2]AHTS-3'!IB39+'[2]AHTS-4'!IB39+'[2]AHTS-5'!IB39+'[2]AHTS-6'!IB39+'[2]AHTS-7'!IB39+'[2]AHTS-8'!IB39+'[3]CB-1'!IB39+'[3]CB-2'!IB39+'[3]CB-3'!IB39+'[3]CB-4'!IB39+'[3]CB-5'!IB39+'[3]CB-6'!IB39+'[3]CB-7'!IB39+'[3]CB-8'!IB39+'[3]CB-9'!IB39+'[3]CB-10'!IB39+'[3]CB-11'!IB39+'[3]CB-12'!IB39+'[3]CB-13'!IB39+'[3]CB-14'!IB39+'[3]CB-15'!IB39+'[3]CB-16'!IB39+'[3]CB-17'!IB39+'[3]CB-18'!IB39+'[3]CB-19'!IB39+'[3]CB-20'!IB39+'[3]CB-21'!IB39+'[3]CB-22'!IB39+'[3]CB-23'!IB39+'[3]CB-24'!IB39+'[4]LCT-1'!IB39+'[4]LCT-2'!IB39+'[4]LCT-3'!IB39+'[4]LCT-4'!IB39+'[4]LCT-5'!IB39+'[4]LCT-6'!IB39+'[4]LCT-7'!IB39+'[4]LCT-8'!IB39+'[5]TB-1'!IB39+'[5]TB-2'!IB39+'[5]TB-3'!IB39+'[5]TB-4'!IB39+'[5]TB-5'!IB39+'[5]TB-6'!IB39+'[5]TB-7'!IB39+'[5]TB-8'!IB39+'[5]TB-9'!IB39+'[5]TB-10'!IB39+'[6]DSV-1'!IB39+'[6]DSV-2'!IB39+'[6]DSV-3'!IB39+'[7]TUB-1'!IB39+'[7]TUB-2'!IB39+'[8]Barge-1'!IB39+'[8]Barge-2'!IB39+'[8]Barge-3'!IB39+'[8]Barge-4'!IB39</f>
        <v>16022222.222222222</v>
      </c>
      <c r="AB39" s="147">
        <f>'[2]AHTS-1'!IB110+'[2]AHTS-2'!IB110+'[2]AHTS-3'!IB110+'[2]AHTS-4'!IB110+'[2]AHTS-5'!IB110+'[2]AHTS-6'!IB110+'[2]AHTS-7'!IB110+'[2]AHTS-8'!IB110+'[3]CB-1'!IB110+'[3]CB-2'!IB110+'[3]CB-3'!IB110+'[3]CB-4'!IB110+'[3]CB-5'!IB110+'[3]CB-6'!IB110+'[3]CB-7'!IB110+'[3]CB-8'!IB110+'[3]CB-9'!IB110+'[3]CB-10'!IB110+'[3]CB-11'!IB110+'[3]CB-12'!IB110+'[3]CB-13'!IB110+'[3]CB-14'!IB110+'[3]CB-15'!IB110+'[3]CB-16'!IB110+'[3]CB-17'!IB110+'[3]CB-18'!IB110+'[3]CB-19'!IB110+'[3]CB-20'!IB110+'[3]CB-21'!IB110+'[3]CB-22'!IB110+'[3]CB-23'!IB110+'[3]CB-24'!IB110+'[4]LCT-1'!IB110+'[4]LCT-2'!IB110+'[4]LCT-3'!IB110+'[4]LCT-4'!IB110+'[4]LCT-5'!IB110+'[4]LCT-6'!IB110+'[4]LCT-7'!IB110+'[4]LCT-8'!IB110+'[5]TB-1'!IB110+'[5]TB-2'!IB110+'[5]TB-3'!IB110+'[5]TB-4'!IB110+'[5]TB-5'!IB110+'[5]TB-6'!IB110+'[5]TB-7'!IB110+'[5]TB-8'!IB110+'[5]TB-9'!IB110+'[5]TB-10'!IB110+'[6]DSV-1'!IB110+'[6]DSV-2'!IB110+'[6]DSV-3'!IB110+'[7]TUB-1'!IB110+'[7]TUB-2'!IB110+'[8]Barge-1'!IB110+'[8]Barge-2'!IB110+'[8]Barge-3'!IB110+'[8]Barge-4'!IB110</f>
        <v>0</v>
      </c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Y39" s="83"/>
      <c r="BZ39" s="83"/>
      <c r="CA39" s="83"/>
    </row>
    <row r="40" spans="1:79" s="84" customFormat="1" ht="14.25" customHeight="1" thickBot="1" x14ac:dyDescent="0.3">
      <c r="A40" s="119">
        <f>[1]Control!AZ40</f>
        <v>46015</v>
      </c>
      <c r="B40" s="81"/>
      <c r="C40" s="159">
        <f>'[2]AHTS-1'!AT40+'[2]AHTS-2'!AT40+'[2]AHTS-3'!AT40+'[2]AHTS-4'!AT40+'[2]AHTS-5'!AT40+'[2]AHTS-6'!AT40+'[2]AHTS-7'!AT40+'[2]AHTS-8'!AT40+'[3]CB-1'!AT40+'[3]CB-2'!AT40+'[3]CB-3'!AT40+'[3]CB-4'!AT40+'[3]CB-5'!AT40+'[3]CB-6'!AT40+'[3]CB-7'!AT40+'[3]CB-8'!AT40+'[3]CB-9'!AT40+'[3]CB-10'!AT40+'[3]CB-11'!AT40+'[3]CB-12'!AT40+'[3]CB-13'!AT40+'[3]CB-14'!AT40+'[3]CB-15'!AT40+'[3]CB-16'!AT40+'[3]CB-17'!AT40+'[3]CB-18'!AT40+'[3]CB-19'!AT40+'[3]CB-20'!AT40+'[3]CB-21'!AT40+'[3]CB-22'!AT40+'[3]CB-23'!AT40+'[3]CB-24'!AT40+'[4]LCT-1'!AT40+'[4]LCT-2'!AT40+'[4]LCT-3'!AT40+'[4]LCT-4'!AT40+'[4]LCT-5'!AT40+'[4]LCT-6'!AT40+'[4]LCT-7'!AT40+'[4]LCT-8'!AT40+'[5]TB-1'!AT40+'[5]TB-2'!AT40+'[5]TB-3'!AT40+'[5]TB-4'!AT40+'[5]TB-5'!AT40+'[5]TB-6'!AT40+'[5]TB-7'!AT40+'[5]TB-8'!AT40+'[5]TB-9'!AT40+'[5]TB-10'!AT40+'[6]DSV-1'!AT40+'[6]DSV-2'!AT40+'[6]DSV-3'!AT40+'[7]TUB-1'!AT40+'[7]TUB-2'!AT40+'[8]Barge-1'!AT40+'[8]Barge-2'!AT40+'[8]Barge-3'!AT40+'[8]Barge-4'!AT40</f>
        <v>1129.7184337879453</v>
      </c>
      <c r="D40" s="160">
        <f>'[2]AHTS-1'!BP40+'[2]AHTS-2'!BP40+'[2]AHTS-3'!BP40+'[2]AHTS-4'!BP40+'[2]AHTS-5'!BP40+'[2]AHTS-6'!BP40+'[2]AHTS-7'!BP40+'[2]AHTS-8'!BP40+'[3]CB-1'!BP40+'[3]CB-2'!BP40+'[3]CB-3'!BP40+'[3]CB-4'!BP40+'[3]CB-5'!BP40+'[3]CB-6'!BP40+'[3]CB-7'!BP40+'[3]CB-8'!BP40+'[3]CB-9'!BP40+'[3]CB-10'!BP40+'[3]CB-11'!BP40+'[3]CB-12'!BP40+'[3]CB-13'!BP40+'[3]CB-14'!BP40+'[3]CB-15'!BP40+'[3]CB-16'!BP40+'[3]CB-17'!BP40+'[3]CB-18'!BP40+'[3]CB-19'!BP40+'[3]CB-20'!BP40+'[3]CB-21'!BP40+'[3]CB-22'!BP40+'[3]CB-23'!BP40+'[3]CB-24'!BP40+'[4]LCT-1'!BP40+'[4]LCT-2'!BP40+'[4]LCT-3'!BP40+'[4]LCT-4'!BP40+'[4]LCT-5'!BP40+'[4]LCT-6'!BP40+'[4]LCT-7'!BP40+'[4]LCT-8'!BP40+'[5]TB-1'!BP40+'[5]TB-2'!BP40+'[5]TB-3'!BP40+'[5]TB-4'!BP40+'[5]TB-5'!BP40+'[5]TB-6'!BP40+'[5]TB-7'!BP40+'[5]TB-8'!BP40+'[5]TB-9'!BP40+'[5]TB-10'!BP40+'[6]DSV-1'!BP40+'[6]DSV-2'!BP40+'[6]DSV-3'!BP40+'[7]TUB-1'!BP40+'[7]TUB-2'!BP40+'[8]Barge-1'!BP40+'[8]Barge-2'!BP40+'[8]Barge-3'!BP40+'[8]Barge-4'!BP40</f>
        <v>1555.5276223995977</v>
      </c>
      <c r="E40" s="161">
        <f>'[2]AHTS-1'!CL40+'[2]AHTS-2'!CL40+'[2]AHTS-3'!CL40+'[2]AHTS-4'!CL40+'[2]AHTS-5'!CL40+'[2]AHTS-6'!CL40+'[2]AHTS-7'!CL40+'[2]AHTS-8'!CL40+'[3]CB-1'!CL40+'[3]CB-2'!CL40+'[3]CB-3'!CL40+'[3]CB-4'!CL40+'[3]CB-5'!CL40+'[3]CB-6'!CL40+'[3]CB-7'!CL40+'[3]CB-8'!CL40+'[3]CB-9'!CL40+'[3]CB-10'!CL40+'[3]CB-11'!CL40+'[3]CB-12'!CL40+'[3]CB-13'!CL40+'[3]CB-14'!CL40+'[3]CB-15'!CL40+'[3]CB-16'!CL40+'[3]CB-17'!CL40+'[3]CB-18'!CL40+'[3]CB-19'!CL40+'[3]CB-20'!CL40+'[3]CB-21'!CL40+'[3]CB-22'!CL40+'[3]CB-23'!CL40+'[3]CB-24'!CL40+'[4]LCT-1'!CL40+'[4]LCT-2'!CL40+'[4]LCT-3'!CL40+'[4]LCT-4'!CL40+'[4]LCT-5'!CL40+'[4]LCT-6'!CL40+'[4]LCT-7'!CL40+'[4]LCT-8'!CL40+'[5]TB-1'!CL40+'[5]TB-2'!CL40+'[5]TB-3'!CL40+'[5]TB-4'!CL40+'[5]TB-5'!CL40+'[5]TB-6'!CL40+'[5]TB-7'!CL40+'[5]TB-8'!CL40+'[5]TB-9'!CL40+'[5]TB-10'!CL40+'[6]DSV-1'!CL40+'[6]DSV-2'!CL40+'[6]DSV-3'!CL40+'[7]TUB-1'!CL40+'[7]TUB-2'!CL40+'[8]Barge-1'!CL40+'[8]Barge-2'!CL40+'[8]Barge-3'!CL40+'[8]Barge-4'!CL40</f>
        <v>0</v>
      </c>
      <c r="F40" s="159">
        <f>'[2]AHTS-1'!AU40+'[2]AHTS-2'!AU40+'[2]AHTS-3'!AU40+'[2]AHTS-4'!AU40+'[2]AHTS-5'!AU40+'[2]AHTS-6'!AU40+'[2]AHTS-7'!AU40+'[2]AHTS-8'!AU40+'[3]CB-1'!AU40+'[3]CB-2'!AU40+'[3]CB-3'!AU40+'[3]CB-4'!AU40+'[3]CB-5'!AU40+'[3]CB-6'!AU40+'[3]CB-7'!AU40+'[3]CB-8'!AU40+'[3]CB-9'!AU40+'[3]CB-10'!AU40+'[3]CB-11'!AU40+'[3]CB-12'!AU40+'[3]CB-13'!AU40+'[3]CB-14'!AU40+'[3]CB-15'!AU40+'[3]CB-16'!AU40+'[3]CB-17'!AU40+'[3]CB-18'!AU40+'[3]CB-19'!AU40+'[3]CB-20'!AU40+'[3]CB-21'!AU40+'[3]CB-22'!AU40+'[3]CB-23'!AU40+'[3]CB-24'!AU40+'[4]LCT-1'!AU40+'[4]LCT-2'!AU40+'[4]LCT-3'!AU40+'[4]LCT-4'!AU40+'[4]LCT-5'!AU40+'[4]LCT-6'!AU40+'[4]LCT-7'!AU40+'[4]LCT-8'!AU40+'[5]TB-1'!AU40+'[5]TB-2'!AU40+'[5]TB-3'!AU40+'[5]TB-4'!AU40+'[5]TB-5'!AU40+'[5]TB-6'!AU40+'[5]TB-7'!AU40+'[5]TB-8'!AU40+'[5]TB-9'!AU40+'[5]TB-10'!AU40+'[6]DSV-1'!AU40+'[6]DSV-2'!AU40+'[6]DSV-3'!AU40+'[7]TUB-1'!AU40+'[7]TUB-2'!AU40+'[8]Barge-1'!AU40+'[8]Barge-2'!AU40+'[8]Barge-3'!AU40+'[8]Barge-4'!AU40</f>
        <v>216.36865480904197</v>
      </c>
      <c r="G40" s="160">
        <f>'[2]AHTS-1'!BQ40+'[2]AHTS-2'!BQ40+'[2]AHTS-3'!BQ40+'[2]AHTS-4'!BQ40+'[2]AHTS-5'!BQ40+'[2]AHTS-6'!BQ40+'[2]AHTS-7'!BQ40+'[2]AHTS-8'!BQ40+'[3]CB-1'!BQ40+'[3]CB-2'!BQ40+'[3]CB-3'!BQ40+'[3]CB-4'!BQ40+'[3]CB-5'!BQ40+'[3]CB-6'!BQ40+'[3]CB-7'!BQ40+'[3]CB-8'!BQ40+'[3]CB-9'!BQ40+'[3]CB-10'!BQ40+'[3]CB-11'!BQ40+'[3]CB-12'!BQ40+'[3]CB-13'!BQ40+'[3]CB-14'!BQ40+'[3]CB-15'!BQ40+'[3]CB-16'!BQ40+'[3]CB-17'!BQ40+'[3]CB-18'!BQ40+'[3]CB-19'!BQ40+'[3]CB-20'!BQ40+'[3]CB-21'!BQ40+'[3]CB-22'!BQ40+'[3]CB-23'!BQ40+'[3]CB-24'!BQ40+'[4]LCT-1'!BQ40+'[4]LCT-2'!BQ40+'[4]LCT-3'!BQ40+'[4]LCT-4'!BQ40+'[4]LCT-5'!BQ40+'[4]LCT-6'!BQ40+'[4]LCT-7'!BQ40+'[4]LCT-8'!BQ40+'[5]TB-1'!BQ40+'[5]TB-2'!BQ40+'[5]TB-3'!BQ40+'[5]TB-4'!BQ40+'[5]TB-5'!BQ40+'[5]TB-6'!BQ40+'[5]TB-7'!BQ40+'[5]TB-8'!BQ40+'[5]TB-9'!BQ40+'[5]TB-10'!BQ40+'[6]DSV-1'!BQ40+'[6]DSV-2'!BQ40+'[6]DSV-3'!BQ40+'[7]TUB-1'!BQ40+'[7]TUB-2'!BQ40+'[8]Barge-1'!BQ40+'[8]Barge-2'!BQ40+'[8]Barge-3'!BQ40+'[8]Barge-4'!BQ40</f>
        <v>421.0923260637295</v>
      </c>
      <c r="H40" s="161">
        <f>'[2]AHTS-1'!CM40+'[2]AHTS-2'!CM40+'[2]AHTS-3'!CM40+'[2]AHTS-4'!CM40+'[2]AHTS-5'!CM40+'[2]AHTS-6'!CM40+'[2]AHTS-7'!CM40+'[2]AHTS-8'!CM40+'[3]CB-1'!CM40+'[3]CB-2'!CM40+'[3]CB-3'!CM40+'[3]CB-4'!CM40+'[3]CB-5'!CM40+'[3]CB-6'!CM40+'[3]CB-7'!CM40+'[3]CB-8'!CM40+'[3]CB-9'!CM40+'[3]CB-10'!CM40+'[3]CB-11'!CM40+'[3]CB-12'!CM40+'[3]CB-13'!CM40+'[3]CB-14'!CM40+'[3]CB-15'!CM40+'[3]CB-16'!CM40+'[3]CB-17'!CM40+'[3]CB-18'!CM40+'[3]CB-19'!CM40+'[3]CB-20'!CM40+'[3]CB-21'!CM40+'[3]CB-22'!CM40+'[3]CB-23'!CM40+'[3]CB-24'!CM40+'[4]LCT-1'!CM40+'[4]LCT-2'!CM40+'[4]LCT-3'!CM40+'[4]LCT-4'!CM40+'[4]LCT-5'!CM40+'[4]LCT-6'!CM40+'[4]LCT-7'!CM40+'[4]LCT-8'!CM40+'[5]TB-1'!CM40+'[5]TB-2'!CM40+'[5]TB-3'!CM40+'[5]TB-4'!CM40+'[5]TB-5'!CM40+'[5]TB-6'!CM40+'[5]TB-7'!CM40+'[5]TB-8'!CM40+'[5]TB-9'!CM40+'[5]TB-10'!CM40+'[6]DSV-1'!CM40+'[6]DSV-2'!CM40+'[6]DSV-3'!CM40+'[7]TUB-1'!CM40+'[7]TUB-2'!CM40+'[8]Barge-1'!CM40+'[8]Barge-2'!CM40+'[8]Barge-3'!CM40+'[8]Barge-4'!CM40</f>
        <v>0</v>
      </c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110"/>
      <c r="U40" s="119">
        <f>[1]Control!AZ40</f>
        <v>46015</v>
      </c>
      <c r="V40" s="81"/>
      <c r="W40" s="145">
        <f>'[2]AHTS-1'!IA78+'[2]AHTS-2'!IA78+'[2]AHTS-3'!IA78+'[2]AHTS-4'!IA78+'[2]AHTS-5'!IA78+'[2]AHTS-6'!IA78+'[2]AHTS-7'!IA78+'[2]AHTS-8'!IA78+'[3]CB-1'!IA78+'[3]CB-2'!IA78+'[3]CB-3'!IA78+'[3]CB-4'!IA78+'[3]CB-5'!IA78+'[3]CB-6'!IA78+'[3]CB-7'!IA78+'[3]CB-8'!IA78+'[3]CB-9'!IA78+'[3]CB-10'!IA78+'[3]CB-11'!IA78+'[3]CB-12'!IA78+'[3]CB-13'!IA78+'[3]CB-14'!IA78+'[3]CB-15'!IA78+'[3]CB-16'!IA78+'[3]CB-17'!IA78+'[3]CB-18'!IA78+'[3]CB-19'!IA78+'[3]CB-20'!IA78+'[3]CB-21'!IA78+'[3]CB-22'!IA78+'[3]CB-23'!IA78+'[3]CB-24'!IA78+'[4]LCT-1'!IA78+'[4]LCT-2'!IA78+'[4]LCT-3'!IA78+'[4]LCT-4'!IA78+'[4]LCT-5'!IA78+'[4]LCT-6'!IA78+'[4]LCT-7'!IA78+'[4]LCT-8'!IA78+'[5]TB-1'!IA78+'[5]TB-2'!IA78+'[5]TB-3'!IA78+'[5]TB-4'!IA78+'[5]TB-5'!IA78+'[5]TB-6'!IA78+'[5]TB-7'!IA78+'[5]TB-8'!IA78+'[5]TB-9'!IA78+'[5]TB-10'!IA78+'[6]DSV-1'!IA78+'[6]DSV-2'!IA78+'[6]DSV-3'!IA78+'[7]TUB-1'!IA78+'[7]TUB-2'!IA78+'[8]Barge-1'!IA78+'[8]Barge-2'!IA78+'[8]Barge-3'!IA78+'[8]Barge-4'!IA78</f>
        <v>17974950</v>
      </c>
      <c r="X40" s="146">
        <f>'[2]AHTS-1'!IA40+'[2]AHTS-2'!IA40+'[2]AHTS-3'!IA40+'[2]AHTS-4'!IA40+'[2]AHTS-5'!IA40+'[2]AHTS-6'!IA40+'[2]AHTS-7'!IA40+'[2]AHTS-8'!IA40+'[3]CB-1'!IA40+'[3]CB-2'!IA40+'[3]CB-3'!IA40+'[3]CB-4'!IA40+'[3]CB-5'!IA40+'[3]CB-6'!IA40+'[3]CB-7'!IA40+'[3]CB-8'!IA40+'[3]CB-9'!IA40+'[3]CB-10'!IA40+'[3]CB-11'!IA40+'[3]CB-12'!IA40+'[3]CB-13'!IA40+'[3]CB-14'!IA40+'[3]CB-15'!IA40+'[3]CB-16'!IA40+'[3]CB-17'!IA40+'[3]CB-18'!IA40+'[3]CB-19'!IA40+'[3]CB-20'!IA40+'[3]CB-21'!IA40+'[3]CB-22'!IA40+'[3]CB-23'!IA40+'[3]CB-24'!IA40+'[4]LCT-1'!IA40+'[4]LCT-2'!IA40+'[4]LCT-3'!IA40+'[4]LCT-4'!IA40+'[4]LCT-5'!IA40+'[4]LCT-6'!IA40+'[4]LCT-7'!IA40+'[4]LCT-8'!IA40+'[5]TB-1'!IA40+'[5]TB-2'!IA40+'[5]TB-3'!IA40+'[5]TB-4'!IA40+'[5]TB-5'!IA40+'[5]TB-6'!IA40+'[5]TB-7'!IA40+'[5]TB-8'!IA40+'[5]TB-9'!IA40+'[5]TB-10'!IA40+'[6]DSV-1'!IA40+'[6]DSV-2'!IA40+'[6]DSV-3'!IA40+'[7]TUB-1'!IA40+'[7]TUB-2'!IA40+'[8]Barge-1'!IA40+'[8]Barge-2'!IA40+'[8]Barge-3'!IA40+'[8]Barge-4'!IA40</f>
        <v>24750000</v>
      </c>
      <c r="Y40" s="147">
        <f>'[2]AHTS-1'!IA111+'[2]AHTS-2'!IA111+'[2]AHTS-3'!IA111+'[2]AHTS-4'!IA111+'[2]AHTS-5'!IA111+'[2]AHTS-6'!IA111+'[2]AHTS-7'!IA111+'[2]AHTS-8'!IA111+'[3]CB-1'!IA111+'[3]CB-2'!IA111+'[3]CB-3'!IA111+'[3]CB-4'!IA111+'[3]CB-5'!IA111+'[3]CB-6'!IA111+'[3]CB-7'!IA111+'[3]CB-8'!IA111+'[3]CB-9'!IA111+'[3]CB-10'!IA111+'[3]CB-11'!IA111+'[3]CB-12'!IA111+'[3]CB-13'!IA111+'[3]CB-14'!IA111+'[3]CB-15'!IA111+'[3]CB-16'!IA111+'[3]CB-17'!IA111+'[3]CB-18'!IA111+'[3]CB-19'!IA111+'[3]CB-20'!IA111+'[3]CB-21'!IA111+'[3]CB-22'!IA111+'[3]CB-23'!IA111+'[3]CB-24'!IA111+'[4]LCT-1'!IA111+'[4]LCT-2'!IA111+'[4]LCT-3'!IA111+'[4]LCT-4'!IA111+'[4]LCT-5'!IA111+'[4]LCT-6'!IA111+'[4]LCT-7'!IA111+'[4]LCT-8'!IA111+'[5]TB-1'!IA111+'[5]TB-2'!IA111+'[5]TB-3'!IA111+'[5]TB-4'!IA111+'[5]TB-5'!IA111+'[5]TB-6'!IA111+'[5]TB-7'!IA111+'[5]TB-8'!IA111+'[5]TB-9'!IA111+'[5]TB-10'!IA111+'[6]DSV-1'!IA111+'[6]DSV-2'!IA111+'[6]DSV-3'!IA111+'[7]TUB-1'!IA111+'[7]TUB-2'!IA111+'[8]Barge-1'!IA111+'[8]Barge-2'!IA111+'[8]Barge-3'!IA111+'[8]Barge-4'!IA111</f>
        <v>0</v>
      </c>
      <c r="Z40" s="145">
        <f>'[2]AHTS-1'!IB78+'[2]AHTS-2'!IB78+'[2]AHTS-3'!IB78+'[2]AHTS-4'!IB78+'[2]AHTS-5'!IB78+'[2]AHTS-6'!IB78+'[2]AHTS-7'!IB78+'[2]AHTS-8'!IB78+'[3]CB-1'!IB78+'[3]CB-2'!IB78+'[3]CB-3'!IB78+'[3]CB-4'!IB78+'[3]CB-5'!IB78+'[3]CB-6'!IB78+'[3]CB-7'!IB78+'[3]CB-8'!IB78+'[3]CB-9'!IB78+'[3]CB-10'!IB78+'[3]CB-11'!IB78+'[3]CB-12'!IB78+'[3]CB-13'!IB78+'[3]CB-14'!IB78+'[3]CB-15'!IB78+'[3]CB-16'!IB78+'[3]CB-17'!IB78+'[3]CB-18'!IB78+'[3]CB-19'!IB78+'[3]CB-20'!IB78+'[3]CB-21'!IB78+'[3]CB-22'!IB78+'[3]CB-23'!IB78+'[3]CB-24'!IB78+'[4]LCT-1'!IB78+'[4]LCT-2'!IB78+'[4]LCT-3'!IB78+'[4]LCT-4'!IB78+'[4]LCT-5'!IB78+'[4]LCT-6'!IB78+'[4]LCT-7'!IB78+'[4]LCT-8'!IB78+'[5]TB-1'!IB78+'[5]TB-2'!IB78+'[5]TB-3'!IB78+'[5]TB-4'!IB78+'[5]TB-5'!IB78+'[5]TB-6'!IB78+'[5]TB-7'!IB78+'[5]TB-8'!IB78+'[5]TB-9'!IB78+'[5]TB-10'!IB78+'[6]DSV-1'!IB78+'[6]DSV-2'!IB78+'[6]DSV-3'!IB78+'[7]TUB-1'!IB78+'[7]TUB-2'!IB78+'[8]Barge-1'!IB78+'[8]Barge-2'!IB78+'[8]Barge-3'!IB78+'[8]Barge-4'!IB78</f>
        <v>3442641.666666667</v>
      </c>
      <c r="AA40" s="146">
        <f>'[2]AHTS-1'!IB40+'[2]AHTS-2'!IB40+'[2]AHTS-3'!IB40+'[2]AHTS-4'!IB40+'[2]AHTS-5'!IB40+'[2]AHTS-6'!IB40+'[2]AHTS-7'!IB40+'[2]AHTS-8'!IB40+'[3]CB-1'!IB40+'[3]CB-2'!IB40+'[3]CB-3'!IB40+'[3]CB-4'!IB40+'[3]CB-5'!IB40+'[3]CB-6'!IB40+'[3]CB-7'!IB40+'[3]CB-8'!IB40+'[3]CB-9'!IB40+'[3]CB-10'!IB40+'[3]CB-11'!IB40+'[3]CB-12'!IB40+'[3]CB-13'!IB40+'[3]CB-14'!IB40+'[3]CB-15'!IB40+'[3]CB-16'!IB40+'[3]CB-17'!IB40+'[3]CB-18'!IB40+'[3]CB-19'!IB40+'[3]CB-20'!IB40+'[3]CB-21'!IB40+'[3]CB-22'!IB40+'[3]CB-23'!IB40+'[3]CB-24'!IB40+'[4]LCT-1'!IB40+'[4]LCT-2'!IB40+'[4]LCT-3'!IB40+'[4]LCT-4'!IB40+'[4]LCT-5'!IB40+'[4]LCT-6'!IB40+'[4]LCT-7'!IB40+'[4]LCT-8'!IB40+'[5]TB-1'!IB40+'[5]TB-2'!IB40+'[5]TB-3'!IB40+'[5]TB-4'!IB40+'[5]TB-5'!IB40+'[5]TB-6'!IB40+'[5]TB-7'!IB40+'[5]TB-8'!IB40+'[5]TB-9'!IB40+'[5]TB-10'!IB40+'[6]DSV-1'!IB40+'[6]DSV-2'!IB40+'[6]DSV-3'!IB40+'[7]TUB-1'!IB40+'[7]TUB-2'!IB40+'[8]Barge-1'!IB40+'[8]Barge-2'!IB40+'[8]Barge-3'!IB40+'[8]Barge-4'!IB40</f>
        <v>6700000</v>
      </c>
      <c r="AB40" s="147">
        <f>'[2]AHTS-1'!IB111+'[2]AHTS-2'!IB111+'[2]AHTS-3'!IB111+'[2]AHTS-4'!IB111+'[2]AHTS-5'!IB111+'[2]AHTS-6'!IB111+'[2]AHTS-7'!IB111+'[2]AHTS-8'!IB111+'[3]CB-1'!IB111+'[3]CB-2'!IB111+'[3]CB-3'!IB111+'[3]CB-4'!IB111+'[3]CB-5'!IB111+'[3]CB-6'!IB111+'[3]CB-7'!IB111+'[3]CB-8'!IB111+'[3]CB-9'!IB111+'[3]CB-10'!IB111+'[3]CB-11'!IB111+'[3]CB-12'!IB111+'[3]CB-13'!IB111+'[3]CB-14'!IB111+'[3]CB-15'!IB111+'[3]CB-16'!IB111+'[3]CB-17'!IB111+'[3]CB-18'!IB111+'[3]CB-19'!IB111+'[3]CB-20'!IB111+'[3]CB-21'!IB111+'[3]CB-22'!IB111+'[3]CB-23'!IB111+'[3]CB-24'!IB111+'[4]LCT-1'!IB111+'[4]LCT-2'!IB111+'[4]LCT-3'!IB111+'[4]LCT-4'!IB111+'[4]LCT-5'!IB111+'[4]LCT-6'!IB111+'[4]LCT-7'!IB111+'[4]LCT-8'!IB111+'[5]TB-1'!IB111+'[5]TB-2'!IB111+'[5]TB-3'!IB111+'[5]TB-4'!IB111+'[5]TB-5'!IB111+'[5]TB-6'!IB111+'[5]TB-7'!IB111+'[5]TB-8'!IB111+'[5]TB-9'!IB111+'[5]TB-10'!IB111+'[6]DSV-1'!IB111+'[6]DSV-2'!IB111+'[6]DSV-3'!IB111+'[7]TUB-1'!IB111+'[7]TUB-2'!IB111+'[8]Barge-1'!IB111+'[8]Barge-2'!IB111+'[8]Barge-3'!IB111+'[8]Barge-4'!IB111</f>
        <v>0</v>
      </c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Y40" s="83"/>
      <c r="BZ40" s="83"/>
      <c r="CA40" s="83"/>
    </row>
    <row r="41" spans="1:79" s="84" customFormat="1" ht="14.25" customHeight="1" thickBot="1" x14ac:dyDescent="0.3">
      <c r="A41" s="122" t="str">
        <f>[1]Control!AZ41</f>
        <v>-</v>
      </c>
      <c r="B41" s="81"/>
      <c r="C41" s="159">
        <f>'[2]AHTS-1'!AT41+'[2]AHTS-2'!AT41+'[2]AHTS-3'!AT41+'[2]AHTS-4'!AT41+'[2]AHTS-5'!AT41+'[2]AHTS-6'!AT41+'[2]AHTS-7'!AT41+'[2]AHTS-8'!AT41+'[3]CB-1'!AT41+'[3]CB-2'!AT41+'[3]CB-3'!AT41+'[3]CB-4'!AT41+'[3]CB-5'!AT41+'[3]CB-6'!AT41+'[3]CB-7'!AT41+'[3]CB-8'!AT41+'[3]CB-9'!AT41+'[3]CB-10'!AT41+'[3]CB-11'!AT41+'[3]CB-12'!AT41+'[3]CB-13'!AT41+'[3]CB-14'!AT41+'[3]CB-15'!AT41+'[3]CB-16'!AT41+'[3]CB-17'!AT41+'[3]CB-18'!AT41+'[3]CB-19'!AT41+'[3]CB-20'!AT41+'[3]CB-21'!AT41+'[3]CB-22'!AT41+'[3]CB-23'!AT41+'[3]CB-24'!AT41+'[4]LCT-1'!AT41+'[4]LCT-2'!AT41+'[4]LCT-3'!AT41+'[4]LCT-4'!AT41+'[4]LCT-5'!AT41+'[4]LCT-6'!AT41+'[4]LCT-7'!AT41+'[4]LCT-8'!AT41+'[5]TB-1'!AT41+'[5]TB-2'!AT41+'[5]TB-3'!AT41+'[5]TB-4'!AT41+'[5]TB-5'!AT41+'[5]TB-6'!AT41+'[5]TB-7'!AT41+'[5]TB-8'!AT41+'[5]TB-9'!AT41+'[5]TB-10'!AT41+'[6]DSV-1'!AT41+'[6]DSV-2'!AT41+'[6]DSV-3'!AT41+'[7]TUB-1'!AT41+'[7]TUB-2'!AT41+'[8]Barge-1'!AT41+'[8]Barge-2'!AT41+'[8]Barge-3'!AT41+'[8]Barge-4'!AT41</f>
        <v>0</v>
      </c>
      <c r="D41" s="160">
        <f>'[2]AHTS-1'!BP41+'[2]AHTS-2'!BP41+'[2]AHTS-3'!BP41+'[2]AHTS-4'!BP41+'[2]AHTS-5'!BP41+'[2]AHTS-6'!BP41+'[2]AHTS-7'!BP41+'[2]AHTS-8'!BP41+'[3]CB-1'!BP41+'[3]CB-2'!BP41+'[3]CB-3'!BP41+'[3]CB-4'!BP41+'[3]CB-5'!BP41+'[3]CB-6'!BP41+'[3]CB-7'!BP41+'[3]CB-8'!BP41+'[3]CB-9'!BP41+'[3]CB-10'!BP41+'[3]CB-11'!BP41+'[3]CB-12'!BP41+'[3]CB-13'!BP41+'[3]CB-14'!BP41+'[3]CB-15'!BP41+'[3]CB-16'!BP41+'[3]CB-17'!BP41+'[3]CB-18'!BP41+'[3]CB-19'!BP41+'[3]CB-20'!BP41+'[3]CB-21'!BP41+'[3]CB-22'!BP41+'[3]CB-23'!BP41+'[3]CB-24'!BP41+'[4]LCT-1'!BP41+'[4]LCT-2'!BP41+'[4]LCT-3'!BP41+'[4]LCT-4'!BP41+'[4]LCT-5'!BP41+'[4]LCT-6'!BP41+'[4]LCT-7'!BP41+'[4]LCT-8'!BP41+'[5]TB-1'!BP41+'[5]TB-2'!BP41+'[5]TB-3'!BP41+'[5]TB-4'!BP41+'[5]TB-5'!BP41+'[5]TB-6'!BP41+'[5]TB-7'!BP41+'[5]TB-8'!BP41+'[5]TB-9'!BP41+'[5]TB-10'!BP41+'[6]DSV-1'!BP41+'[6]DSV-2'!BP41+'[6]DSV-3'!BP41+'[7]TUB-1'!BP41+'[7]TUB-2'!BP41+'[8]Barge-1'!BP41+'[8]Barge-2'!BP41+'[8]Barge-3'!BP41+'[8]Barge-4'!BP41</f>
        <v>0</v>
      </c>
      <c r="E41" s="161">
        <f>'[2]AHTS-1'!CL41+'[2]AHTS-2'!CL41+'[2]AHTS-3'!CL41+'[2]AHTS-4'!CL41+'[2]AHTS-5'!CL41+'[2]AHTS-6'!CL41+'[2]AHTS-7'!CL41+'[2]AHTS-8'!CL41+'[3]CB-1'!CL41+'[3]CB-2'!CL41+'[3]CB-3'!CL41+'[3]CB-4'!CL41+'[3]CB-5'!CL41+'[3]CB-6'!CL41+'[3]CB-7'!CL41+'[3]CB-8'!CL41+'[3]CB-9'!CL41+'[3]CB-10'!CL41+'[3]CB-11'!CL41+'[3]CB-12'!CL41+'[3]CB-13'!CL41+'[3]CB-14'!CL41+'[3]CB-15'!CL41+'[3]CB-16'!CL41+'[3]CB-17'!CL41+'[3]CB-18'!CL41+'[3]CB-19'!CL41+'[3]CB-20'!CL41+'[3]CB-21'!CL41+'[3]CB-22'!CL41+'[3]CB-23'!CL41+'[3]CB-24'!CL41+'[4]LCT-1'!CL41+'[4]LCT-2'!CL41+'[4]LCT-3'!CL41+'[4]LCT-4'!CL41+'[4]LCT-5'!CL41+'[4]LCT-6'!CL41+'[4]LCT-7'!CL41+'[4]LCT-8'!CL41+'[5]TB-1'!CL41+'[5]TB-2'!CL41+'[5]TB-3'!CL41+'[5]TB-4'!CL41+'[5]TB-5'!CL41+'[5]TB-6'!CL41+'[5]TB-7'!CL41+'[5]TB-8'!CL41+'[5]TB-9'!CL41+'[5]TB-10'!CL41+'[6]DSV-1'!CL41+'[6]DSV-2'!CL41+'[6]DSV-3'!CL41+'[7]TUB-1'!CL41+'[7]TUB-2'!CL41+'[8]Barge-1'!CL41+'[8]Barge-2'!CL41+'[8]Barge-3'!CL41+'[8]Barge-4'!CL41</f>
        <v>0</v>
      </c>
      <c r="F41" s="159">
        <f>'[2]AHTS-1'!AU41+'[2]AHTS-2'!AU41+'[2]AHTS-3'!AU41+'[2]AHTS-4'!AU41+'[2]AHTS-5'!AU41+'[2]AHTS-6'!AU41+'[2]AHTS-7'!AU41+'[2]AHTS-8'!AU41+'[3]CB-1'!AU41+'[3]CB-2'!AU41+'[3]CB-3'!AU41+'[3]CB-4'!AU41+'[3]CB-5'!AU41+'[3]CB-6'!AU41+'[3]CB-7'!AU41+'[3]CB-8'!AU41+'[3]CB-9'!AU41+'[3]CB-10'!AU41+'[3]CB-11'!AU41+'[3]CB-12'!AU41+'[3]CB-13'!AU41+'[3]CB-14'!AU41+'[3]CB-15'!AU41+'[3]CB-16'!AU41+'[3]CB-17'!AU41+'[3]CB-18'!AU41+'[3]CB-19'!AU41+'[3]CB-20'!AU41+'[3]CB-21'!AU41+'[3]CB-22'!AU41+'[3]CB-23'!AU41+'[3]CB-24'!AU41+'[4]LCT-1'!AU41+'[4]LCT-2'!AU41+'[4]LCT-3'!AU41+'[4]LCT-4'!AU41+'[4]LCT-5'!AU41+'[4]LCT-6'!AU41+'[4]LCT-7'!AU41+'[4]LCT-8'!AU41+'[5]TB-1'!AU41+'[5]TB-2'!AU41+'[5]TB-3'!AU41+'[5]TB-4'!AU41+'[5]TB-5'!AU41+'[5]TB-6'!AU41+'[5]TB-7'!AU41+'[5]TB-8'!AU41+'[5]TB-9'!AU41+'[5]TB-10'!AU41+'[6]DSV-1'!AU41+'[6]DSV-2'!AU41+'[6]DSV-3'!AU41+'[7]TUB-1'!AU41+'[7]TUB-2'!AU41+'[8]Barge-1'!AU41+'[8]Barge-2'!AU41+'[8]Barge-3'!AU41+'[8]Barge-4'!AU41</f>
        <v>0</v>
      </c>
      <c r="G41" s="160">
        <f>'[2]AHTS-1'!BQ41+'[2]AHTS-2'!BQ41+'[2]AHTS-3'!BQ41+'[2]AHTS-4'!BQ41+'[2]AHTS-5'!BQ41+'[2]AHTS-6'!BQ41+'[2]AHTS-7'!BQ41+'[2]AHTS-8'!BQ41+'[3]CB-1'!BQ41+'[3]CB-2'!BQ41+'[3]CB-3'!BQ41+'[3]CB-4'!BQ41+'[3]CB-5'!BQ41+'[3]CB-6'!BQ41+'[3]CB-7'!BQ41+'[3]CB-8'!BQ41+'[3]CB-9'!BQ41+'[3]CB-10'!BQ41+'[3]CB-11'!BQ41+'[3]CB-12'!BQ41+'[3]CB-13'!BQ41+'[3]CB-14'!BQ41+'[3]CB-15'!BQ41+'[3]CB-16'!BQ41+'[3]CB-17'!BQ41+'[3]CB-18'!BQ41+'[3]CB-19'!BQ41+'[3]CB-20'!BQ41+'[3]CB-21'!BQ41+'[3]CB-22'!BQ41+'[3]CB-23'!BQ41+'[3]CB-24'!BQ41+'[4]LCT-1'!BQ41+'[4]LCT-2'!BQ41+'[4]LCT-3'!BQ41+'[4]LCT-4'!BQ41+'[4]LCT-5'!BQ41+'[4]LCT-6'!BQ41+'[4]LCT-7'!BQ41+'[4]LCT-8'!BQ41+'[5]TB-1'!BQ41+'[5]TB-2'!BQ41+'[5]TB-3'!BQ41+'[5]TB-4'!BQ41+'[5]TB-5'!BQ41+'[5]TB-6'!BQ41+'[5]TB-7'!BQ41+'[5]TB-8'!BQ41+'[5]TB-9'!BQ41+'[5]TB-10'!BQ41+'[6]DSV-1'!BQ41+'[6]DSV-2'!BQ41+'[6]DSV-3'!BQ41+'[7]TUB-1'!BQ41+'[7]TUB-2'!BQ41+'[8]Barge-1'!BQ41+'[8]Barge-2'!BQ41+'[8]Barge-3'!BQ41+'[8]Barge-4'!BQ41</f>
        <v>0</v>
      </c>
      <c r="H41" s="161">
        <f>'[2]AHTS-1'!CM41+'[2]AHTS-2'!CM41+'[2]AHTS-3'!CM41+'[2]AHTS-4'!CM41+'[2]AHTS-5'!CM41+'[2]AHTS-6'!CM41+'[2]AHTS-7'!CM41+'[2]AHTS-8'!CM41+'[3]CB-1'!CM41+'[3]CB-2'!CM41+'[3]CB-3'!CM41+'[3]CB-4'!CM41+'[3]CB-5'!CM41+'[3]CB-6'!CM41+'[3]CB-7'!CM41+'[3]CB-8'!CM41+'[3]CB-9'!CM41+'[3]CB-10'!CM41+'[3]CB-11'!CM41+'[3]CB-12'!CM41+'[3]CB-13'!CM41+'[3]CB-14'!CM41+'[3]CB-15'!CM41+'[3]CB-16'!CM41+'[3]CB-17'!CM41+'[3]CB-18'!CM41+'[3]CB-19'!CM41+'[3]CB-20'!CM41+'[3]CB-21'!CM41+'[3]CB-22'!CM41+'[3]CB-23'!CM41+'[3]CB-24'!CM41+'[4]LCT-1'!CM41+'[4]LCT-2'!CM41+'[4]LCT-3'!CM41+'[4]LCT-4'!CM41+'[4]LCT-5'!CM41+'[4]LCT-6'!CM41+'[4]LCT-7'!CM41+'[4]LCT-8'!CM41+'[5]TB-1'!CM41+'[5]TB-2'!CM41+'[5]TB-3'!CM41+'[5]TB-4'!CM41+'[5]TB-5'!CM41+'[5]TB-6'!CM41+'[5]TB-7'!CM41+'[5]TB-8'!CM41+'[5]TB-9'!CM41+'[5]TB-10'!CM41+'[6]DSV-1'!CM41+'[6]DSV-2'!CM41+'[6]DSV-3'!CM41+'[7]TUB-1'!CM41+'[7]TUB-2'!CM41+'[8]Barge-1'!CM41+'[8]Barge-2'!CM41+'[8]Barge-3'!CM41+'[8]Barge-4'!CM41</f>
        <v>0</v>
      </c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110"/>
      <c r="U41" s="119" t="str">
        <f>[1]Control!AZ41</f>
        <v>-</v>
      </c>
      <c r="V41" s="81"/>
      <c r="W41" s="145">
        <f>'[2]AHTS-1'!IA79+'[2]AHTS-2'!IA79+'[2]AHTS-3'!IA79+'[2]AHTS-4'!IA79+'[2]AHTS-5'!IA79+'[2]AHTS-6'!IA79+'[2]AHTS-7'!IA79+'[2]AHTS-8'!IA79+'[3]CB-1'!IA79+'[3]CB-2'!IA79+'[3]CB-3'!IA79+'[3]CB-4'!IA79+'[3]CB-5'!IA79+'[3]CB-6'!IA79+'[3]CB-7'!IA79+'[3]CB-8'!IA79+'[3]CB-9'!IA79+'[3]CB-10'!IA79+'[3]CB-11'!IA79+'[3]CB-12'!IA79+'[3]CB-13'!IA79+'[3]CB-14'!IA79+'[3]CB-15'!IA79+'[3]CB-16'!IA79+'[3]CB-17'!IA79+'[3]CB-18'!IA79+'[3]CB-19'!IA79+'[3]CB-20'!IA79+'[3]CB-21'!IA79+'[3]CB-22'!IA79+'[3]CB-23'!IA79+'[3]CB-24'!IA79+'[4]LCT-1'!IA79+'[4]LCT-2'!IA79+'[4]LCT-3'!IA79+'[4]LCT-4'!IA79+'[4]LCT-5'!IA79+'[4]LCT-6'!IA79+'[4]LCT-7'!IA79+'[4]LCT-8'!IA79+'[5]TB-1'!IA79+'[5]TB-2'!IA79+'[5]TB-3'!IA79+'[5]TB-4'!IA79+'[5]TB-5'!IA79+'[5]TB-6'!IA79+'[5]TB-7'!IA79+'[5]TB-8'!IA79+'[5]TB-9'!IA79+'[5]TB-10'!IA79+'[6]DSV-1'!IA79+'[6]DSV-2'!IA79+'[6]DSV-3'!IA79+'[7]TUB-1'!IA79+'[7]TUB-2'!IA79+'[8]Barge-1'!IA79+'[8]Barge-2'!IA79+'[8]Barge-3'!IA79+'[8]Barge-4'!IA79</f>
        <v>0</v>
      </c>
      <c r="X41" s="146">
        <f>'[2]AHTS-1'!IA41+'[2]AHTS-2'!IA41+'[2]AHTS-3'!IA41+'[2]AHTS-4'!IA41+'[2]AHTS-5'!IA41+'[2]AHTS-6'!IA41+'[2]AHTS-7'!IA41+'[2]AHTS-8'!IA41+'[3]CB-1'!IA41+'[3]CB-2'!IA41+'[3]CB-3'!IA41+'[3]CB-4'!IA41+'[3]CB-5'!IA41+'[3]CB-6'!IA41+'[3]CB-7'!IA41+'[3]CB-8'!IA41+'[3]CB-9'!IA41+'[3]CB-10'!IA41+'[3]CB-11'!IA41+'[3]CB-12'!IA41+'[3]CB-13'!IA41+'[3]CB-14'!IA41+'[3]CB-15'!IA41+'[3]CB-16'!IA41+'[3]CB-17'!IA41+'[3]CB-18'!IA41+'[3]CB-19'!IA41+'[3]CB-20'!IA41+'[3]CB-21'!IA41+'[3]CB-22'!IA41+'[3]CB-23'!IA41+'[3]CB-24'!IA41+'[4]LCT-1'!IA41+'[4]LCT-2'!IA41+'[4]LCT-3'!IA41+'[4]LCT-4'!IA41+'[4]LCT-5'!IA41+'[4]LCT-6'!IA41+'[4]LCT-7'!IA41+'[4]LCT-8'!IA41+'[5]TB-1'!IA41+'[5]TB-2'!IA41+'[5]TB-3'!IA41+'[5]TB-4'!IA41+'[5]TB-5'!IA41+'[5]TB-6'!IA41+'[5]TB-7'!IA41+'[5]TB-8'!IA41+'[5]TB-9'!IA41+'[5]TB-10'!IA41+'[6]DSV-1'!IA41+'[6]DSV-2'!IA41+'[6]DSV-3'!IA41+'[7]TUB-1'!IA41+'[7]TUB-2'!IA41+'[8]Barge-1'!IA41+'[8]Barge-2'!IA41+'[8]Barge-3'!IA41+'[8]Barge-4'!IA41</f>
        <v>0</v>
      </c>
      <c r="Y41" s="147">
        <f>'[2]AHTS-1'!IA112+'[2]AHTS-2'!IA112+'[2]AHTS-3'!IA112+'[2]AHTS-4'!IA112+'[2]AHTS-5'!IA112+'[2]AHTS-6'!IA112+'[2]AHTS-7'!IA112+'[2]AHTS-8'!IA112+'[3]CB-1'!IA112+'[3]CB-2'!IA112+'[3]CB-3'!IA112+'[3]CB-4'!IA112+'[3]CB-5'!IA112+'[3]CB-6'!IA112+'[3]CB-7'!IA112+'[3]CB-8'!IA112+'[3]CB-9'!IA112+'[3]CB-10'!IA112+'[3]CB-11'!IA112+'[3]CB-12'!IA112+'[3]CB-13'!IA112+'[3]CB-14'!IA112+'[3]CB-15'!IA112+'[3]CB-16'!IA112+'[3]CB-17'!IA112+'[3]CB-18'!IA112+'[3]CB-19'!IA112+'[3]CB-20'!IA112+'[3]CB-21'!IA112+'[3]CB-22'!IA112+'[3]CB-23'!IA112+'[3]CB-24'!IA112+'[4]LCT-1'!IA112+'[4]LCT-2'!IA112+'[4]LCT-3'!IA112+'[4]LCT-4'!IA112+'[4]LCT-5'!IA112+'[4]LCT-6'!IA112+'[4]LCT-7'!IA112+'[4]LCT-8'!IA112+'[5]TB-1'!IA112+'[5]TB-2'!IA112+'[5]TB-3'!IA112+'[5]TB-4'!IA112+'[5]TB-5'!IA112+'[5]TB-6'!IA112+'[5]TB-7'!IA112+'[5]TB-8'!IA112+'[5]TB-9'!IA112+'[5]TB-10'!IA112+'[6]DSV-1'!IA112+'[6]DSV-2'!IA112+'[6]DSV-3'!IA112+'[7]TUB-1'!IA112+'[7]TUB-2'!IA112+'[8]Barge-1'!IA112+'[8]Barge-2'!IA112+'[8]Barge-3'!IA112+'[8]Barge-4'!IA112</f>
        <v>0</v>
      </c>
      <c r="Z41" s="145">
        <f>'[2]AHTS-1'!IB79+'[2]AHTS-2'!IB79+'[2]AHTS-3'!IB79+'[2]AHTS-4'!IB79+'[2]AHTS-5'!IB79+'[2]AHTS-6'!IB79+'[2]AHTS-7'!IB79+'[2]AHTS-8'!IB79+'[3]CB-1'!IB79+'[3]CB-2'!IB79+'[3]CB-3'!IB79+'[3]CB-4'!IB79+'[3]CB-5'!IB79+'[3]CB-6'!IB79+'[3]CB-7'!IB79+'[3]CB-8'!IB79+'[3]CB-9'!IB79+'[3]CB-10'!IB79+'[3]CB-11'!IB79+'[3]CB-12'!IB79+'[3]CB-13'!IB79+'[3]CB-14'!IB79+'[3]CB-15'!IB79+'[3]CB-16'!IB79+'[3]CB-17'!IB79+'[3]CB-18'!IB79+'[3]CB-19'!IB79+'[3]CB-20'!IB79+'[3]CB-21'!IB79+'[3]CB-22'!IB79+'[3]CB-23'!IB79+'[3]CB-24'!IB79+'[4]LCT-1'!IB79+'[4]LCT-2'!IB79+'[4]LCT-3'!IB79+'[4]LCT-4'!IB79+'[4]LCT-5'!IB79+'[4]LCT-6'!IB79+'[4]LCT-7'!IB79+'[4]LCT-8'!IB79+'[5]TB-1'!IB79+'[5]TB-2'!IB79+'[5]TB-3'!IB79+'[5]TB-4'!IB79+'[5]TB-5'!IB79+'[5]TB-6'!IB79+'[5]TB-7'!IB79+'[5]TB-8'!IB79+'[5]TB-9'!IB79+'[5]TB-10'!IB79+'[6]DSV-1'!IB79+'[6]DSV-2'!IB79+'[6]DSV-3'!IB79+'[7]TUB-1'!IB79+'[7]TUB-2'!IB79+'[8]Barge-1'!IB79+'[8]Barge-2'!IB79+'[8]Barge-3'!IB79+'[8]Barge-4'!IB79</f>
        <v>0</v>
      </c>
      <c r="AA41" s="146">
        <f>'[2]AHTS-1'!IB41+'[2]AHTS-2'!IB41+'[2]AHTS-3'!IB41+'[2]AHTS-4'!IB41+'[2]AHTS-5'!IB41+'[2]AHTS-6'!IB41+'[2]AHTS-7'!IB41+'[2]AHTS-8'!IB41+'[3]CB-1'!IB41+'[3]CB-2'!IB41+'[3]CB-3'!IB41+'[3]CB-4'!IB41+'[3]CB-5'!IB41+'[3]CB-6'!IB41+'[3]CB-7'!IB41+'[3]CB-8'!IB41+'[3]CB-9'!IB41+'[3]CB-10'!IB41+'[3]CB-11'!IB41+'[3]CB-12'!IB41+'[3]CB-13'!IB41+'[3]CB-14'!IB41+'[3]CB-15'!IB41+'[3]CB-16'!IB41+'[3]CB-17'!IB41+'[3]CB-18'!IB41+'[3]CB-19'!IB41+'[3]CB-20'!IB41+'[3]CB-21'!IB41+'[3]CB-22'!IB41+'[3]CB-23'!IB41+'[3]CB-24'!IB41+'[4]LCT-1'!IB41+'[4]LCT-2'!IB41+'[4]LCT-3'!IB41+'[4]LCT-4'!IB41+'[4]LCT-5'!IB41+'[4]LCT-6'!IB41+'[4]LCT-7'!IB41+'[4]LCT-8'!IB41+'[5]TB-1'!IB41+'[5]TB-2'!IB41+'[5]TB-3'!IB41+'[5]TB-4'!IB41+'[5]TB-5'!IB41+'[5]TB-6'!IB41+'[5]TB-7'!IB41+'[5]TB-8'!IB41+'[5]TB-9'!IB41+'[5]TB-10'!IB41+'[6]DSV-1'!IB41+'[6]DSV-2'!IB41+'[6]DSV-3'!IB41+'[7]TUB-1'!IB41+'[7]TUB-2'!IB41+'[8]Barge-1'!IB41+'[8]Barge-2'!IB41+'[8]Barge-3'!IB41+'[8]Barge-4'!IB41</f>
        <v>0</v>
      </c>
      <c r="AB41" s="147">
        <f>'[2]AHTS-1'!IB112+'[2]AHTS-2'!IB112+'[2]AHTS-3'!IB112+'[2]AHTS-4'!IB112+'[2]AHTS-5'!IB112+'[2]AHTS-6'!IB112+'[2]AHTS-7'!IB112+'[2]AHTS-8'!IB112+'[3]CB-1'!IB112+'[3]CB-2'!IB112+'[3]CB-3'!IB112+'[3]CB-4'!IB112+'[3]CB-5'!IB112+'[3]CB-6'!IB112+'[3]CB-7'!IB112+'[3]CB-8'!IB112+'[3]CB-9'!IB112+'[3]CB-10'!IB112+'[3]CB-11'!IB112+'[3]CB-12'!IB112+'[3]CB-13'!IB112+'[3]CB-14'!IB112+'[3]CB-15'!IB112+'[3]CB-16'!IB112+'[3]CB-17'!IB112+'[3]CB-18'!IB112+'[3]CB-19'!IB112+'[3]CB-20'!IB112+'[3]CB-21'!IB112+'[3]CB-22'!IB112+'[3]CB-23'!IB112+'[3]CB-24'!IB112+'[4]LCT-1'!IB112+'[4]LCT-2'!IB112+'[4]LCT-3'!IB112+'[4]LCT-4'!IB112+'[4]LCT-5'!IB112+'[4]LCT-6'!IB112+'[4]LCT-7'!IB112+'[4]LCT-8'!IB112+'[5]TB-1'!IB112+'[5]TB-2'!IB112+'[5]TB-3'!IB112+'[5]TB-4'!IB112+'[5]TB-5'!IB112+'[5]TB-6'!IB112+'[5]TB-7'!IB112+'[5]TB-8'!IB112+'[5]TB-9'!IB112+'[5]TB-10'!IB112+'[6]DSV-1'!IB112+'[6]DSV-2'!IB112+'[6]DSV-3'!IB112+'[7]TUB-1'!IB112+'[7]TUB-2'!IB112+'[8]Barge-1'!IB112+'[8]Barge-2'!IB112+'[8]Barge-3'!IB112+'[8]Barge-4'!IB112</f>
        <v>0</v>
      </c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Y41" s="83"/>
      <c r="BZ41" s="83"/>
      <c r="CA41" s="83"/>
    </row>
    <row r="42" spans="1:79" s="87" customFormat="1" ht="28.2" customHeight="1" x14ac:dyDescent="0.25">
      <c r="A42" s="126" t="s">
        <v>13</v>
      </c>
      <c r="B42" s="123"/>
      <c r="C42" s="162">
        <f t="shared" ref="C42:H42" si="0">SUM(C11:C41)</f>
        <v>45728.78964597029</v>
      </c>
      <c r="D42" s="163">
        <f t="shared" si="0"/>
        <v>25643.065991587904</v>
      </c>
      <c r="E42" s="164">
        <f t="shared" si="0"/>
        <v>0</v>
      </c>
      <c r="F42" s="162">
        <f t="shared" si="0"/>
        <v>117224.79752341917</v>
      </c>
      <c r="G42" s="163">
        <f t="shared" si="0"/>
        <v>99980.85928562854</v>
      </c>
      <c r="H42" s="164">
        <f t="shared" si="0"/>
        <v>0</v>
      </c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111"/>
      <c r="U42" s="126" t="s">
        <v>13</v>
      </c>
      <c r="V42" s="123"/>
      <c r="W42" s="148">
        <f t="shared" ref="W42:AB42" si="1">SUM(W11:W41)</f>
        <v>725280350</v>
      </c>
      <c r="X42" s="149">
        <f t="shared" si="1"/>
        <v>407125000</v>
      </c>
      <c r="Y42" s="150">
        <f t="shared" si="1"/>
        <v>0</v>
      </c>
      <c r="Z42" s="148">
        <f t="shared" si="1"/>
        <v>1844666525.6249998</v>
      </c>
      <c r="AA42" s="149">
        <f t="shared" si="1"/>
        <v>1574316944.4444447</v>
      </c>
      <c r="AB42" s="150">
        <f t="shared" si="1"/>
        <v>0</v>
      </c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6"/>
      <c r="BM42" s="86"/>
      <c r="BN42" s="86"/>
      <c r="BO42" s="86"/>
      <c r="BP42" s="86"/>
      <c r="BQ42" s="86"/>
      <c r="BR42" s="86"/>
      <c r="BS42" s="86"/>
      <c r="BT42" s="86"/>
      <c r="BU42" s="86"/>
      <c r="BV42" s="86"/>
      <c r="BW42" s="86"/>
      <c r="BX42" s="86"/>
      <c r="BY42" s="86"/>
      <c r="BZ42" s="86"/>
      <c r="CA42" s="86"/>
    </row>
    <row r="43" spans="1:79" s="87" customFormat="1" ht="28.2" customHeight="1" thickBot="1" x14ac:dyDescent="0.3">
      <c r="A43" s="125" t="s">
        <v>14</v>
      </c>
      <c r="B43" s="124"/>
      <c r="C43" s="165">
        <f>C42/(COUNT($D11:$D41)-COUNTIF($D11:$D41, "0"))</f>
        <v>6532.6842351386131</v>
      </c>
      <c r="D43" s="166">
        <f>D42/(COUNT($D11:$D41)-COUNTIF($D11:$D41, "0"))</f>
        <v>3663.2951416554147</v>
      </c>
      <c r="E43" s="167">
        <f>E42/(COUNT($D11:$D41)-COUNTIF($D11:$D41, "0"))</f>
        <v>0</v>
      </c>
      <c r="F43" s="165">
        <f>F42/(COUNT($G11:$G41)-COUNTIF($G11:$G41, "0"))</f>
        <v>3907.4932507806388</v>
      </c>
      <c r="G43" s="166">
        <f>G42/(COUNT($G11:$G41)-COUNTIF($G11:$G41, "0"))</f>
        <v>3332.6953095209515</v>
      </c>
      <c r="H43" s="167">
        <f>H42/(COUNT($G11:$G41)-COUNTIF($G11:$G41, "0"))</f>
        <v>0</v>
      </c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111"/>
      <c r="U43" s="125" t="s">
        <v>14</v>
      </c>
      <c r="V43" s="124"/>
      <c r="W43" s="151">
        <f>W42/(COUNT($D11:$D41)-COUNTIF($D11:$D41, "0"))</f>
        <v>103611478.57142857</v>
      </c>
      <c r="X43" s="152">
        <f>X42/(COUNT($D11:$D41)-COUNTIF($D11:$D41, "0"))</f>
        <v>58160714.285714284</v>
      </c>
      <c r="Y43" s="153">
        <f>Y42/(COUNT($D11:$D41)-COUNTIF($D11:$D41, "0"))</f>
        <v>0</v>
      </c>
      <c r="Z43" s="151">
        <f>Z42/(COUNT($G11:$G41)-COUNTIF($G11:$G41, "0"))</f>
        <v>61488884.187499993</v>
      </c>
      <c r="AA43" s="152">
        <f>AA42/(COUNT($G11:$G41)-COUNTIF($G11:$G41, "0"))</f>
        <v>52477231.481481485</v>
      </c>
      <c r="AB43" s="153">
        <f>AB42/(COUNT($G11:$G41)-COUNTIF($G11:$G41, "0"))</f>
        <v>0</v>
      </c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</row>
    <row r="44" spans="1:79" s="3" customFormat="1" ht="17.850000000000001" customHeight="1" x14ac:dyDescent="0.25">
      <c r="A44" s="88" t="s">
        <v>15</v>
      </c>
      <c r="B44" s="2"/>
      <c r="C44" s="2"/>
      <c r="D44" s="2"/>
      <c r="E44" s="2"/>
      <c r="F44" s="2"/>
      <c r="G44" s="2"/>
      <c r="H44" s="2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105"/>
      <c r="U44" s="88" t="s">
        <v>15</v>
      </c>
      <c r="V44" s="2"/>
      <c r="W44" s="2"/>
      <c r="X44" s="2"/>
      <c r="Y44" s="2"/>
      <c r="Z44" s="2"/>
      <c r="AA44" s="2"/>
      <c r="AB44" s="2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</row>
    <row r="45" spans="1:79" s="95" customFormat="1" ht="17.850000000000001" customHeight="1" x14ac:dyDescent="0.25">
      <c r="A45" s="89"/>
      <c r="B45" s="90"/>
      <c r="C45" s="90"/>
      <c r="D45" s="92"/>
      <c r="E45" s="90"/>
      <c r="F45" s="91"/>
      <c r="G45" s="92"/>
      <c r="H45" s="92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112"/>
      <c r="U45" s="89"/>
      <c r="V45" s="90"/>
      <c r="W45" s="90"/>
      <c r="X45" s="92"/>
      <c r="Y45" s="90"/>
      <c r="Z45" s="91"/>
      <c r="AA45" s="92"/>
      <c r="AB45" s="92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4"/>
      <c r="AY45" s="94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4"/>
      <c r="BQ45" s="94"/>
      <c r="BR45" s="94"/>
      <c r="BS45" s="94"/>
      <c r="BT45" s="94"/>
      <c r="BU45" s="94"/>
      <c r="BV45" s="94"/>
      <c r="BW45" s="94"/>
      <c r="BX45" s="94"/>
      <c r="BY45" s="94"/>
      <c r="BZ45" s="94"/>
      <c r="CA45" s="94"/>
    </row>
    <row r="46" spans="1:79" s="3" customFormat="1" ht="17.850000000000001" customHeight="1" x14ac:dyDescent="0.25">
      <c r="A46" s="96"/>
      <c r="B46" s="2"/>
      <c r="C46" s="2"/>
      <c r="D46" s="2"/>
      <c r="E46" s="2"/>
      <c r="F46" s="2"/>
      <c r="G46" s="2"/>
      <c r="H46" s="2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105"/>
      <c r="U46" s="96"/>
      <c r="V46" s="2"/>
      <c r="W46" s="2"/>
      <c r="X46" s="2"/>
      <c r="Y46" s="2"/>
      <c r="Z46" s="2"/>
      <c r="AA46" s="2"/>
      <c r="AB46" s="2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</row>
    <row r="47" spans="1:79" s="3" customFormat="1" ht="17.850000000000001" customHeight="1" x14ac:dyDescent="0.25">
      <c r="A47" s="97"/>
      <c r="B47" s="56"/>
      <c r="C47" s="98"/>
      <c r="D47" s="98"/>
      <c r="E47" s="98"/>
      <c r="F47" s="99"/>
      <c r="G47" s="99"/>
      <c r="H47" s="99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105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</row>
    <row r="48" spans="1:79" s="3" customFormat="1" ht="17.850000000000001" customHeight="1" x14ac:dyDescent="0.25">
      <c r="A48" s="56"/>
      <c r="B48" s="56"/>
      <c r="C48" s="56"/>
      <c r="D48" s="56"/>
      <c r="E48" s="56"/>
      <c r="F48" s="56"/>
      <c r="G48" s="56"/>
      <c r="H48" s="56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105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</row>
    <row r="49" spans="1:79" s="94" customFormat="1" ht="17.850000000000001" customHeight="1" x14ac:dyDescent="0.25">
      <c r="K49" s="112"/>
      <c r="L49" s="112"/>
      <c r="M49" s="112"/>
      <c r="N49" s="112"/>
      <c r="O49" s="112"/>
      <c r="P49" s="112"/>
      <c r="Q49" s="112"/>
      <c r="R49" s="112"/>
      <c r="S49" s="112"/>
      <c r="T49" s="112"/>
    </row>
    <row r="50" spans="1:79" s="94" customFormat="1" ht="17.850000000000001" customHeight="1" x14ac:dyDescent="0.25">
      <c r="A50" s="131"/>
      <c r="B50" s="131"/>
      <c r="C50" s="175" t="str">
        <f>C9</f>
        <v>SOUTH
OSF</v>
      </c>
      <c r="D50" s="176"/>
      <c r="E50" s="177"/>
      <c r="F50" s="175" t="str">
        <f>F9</f>
        <v>NORTH
OSF</v>
      </c>
      <c r="G50" s="176"/>
      <c r="H50" s="177"/>
      <c r="K50" s="112"/>
      <c r="L50" s="112"/>
      <c r="M50" s="112"/>
      <c r="N50" s="112"/>
      <c r="O50" s="112"/>
      <c r="P50" s="112"/>
      <c r="Q50" s="112"/>
      <c r="R50" s="112"/>
      <c r="S50" s="112"/>
      <c r="T50" s="112"/>
    </row>
    <row r="51" spans="1:79" s="94" customFormat="1" ht="15" customHeight="1" x14ac:dyDescent="0.25">
      <c r="A51" s="130">
        <f t="shared" ref="A51:A82" si="2">A11</f>
        <v>45986</v>
      </c>
      <c r="B51" s="131"/>
      <c r="C51" s="178">
        <f>'[2]AHTS-1'!AT49+'[2]AHTS-2'!AT49+'[2]AHTS-3'!AT49+'[2]AHTS-4'!AT49+'[2]AHTS-5'!AT49+'[2]AHTS-6'!AT49+'[3]CB-1'!AT49+'[3]CB-2'!AT49+'[3]CB-3'!AT49+'[3]CB-4'!AT49+'[3]CB-5'!AT49+'[3]CB-6'!AT49+'[3]CB-7'!AT49+'[3]CB-8'!AT49+'[3]CB-9'!AT49+'[3]CB-10'!AT49+'[3]CB-11'!AT49+'[3]CB-12'!AT49+'[3]CB-13'!AT49+'[3]CB-14'!AT49+'[3]CB-15'!AT49+'[3]CB-16'!AT49+'[4]LCT-1'!AT49+'[4]LCT-2'!AT49+'[4]LCT-3'!AT49+'[4]LCT-4'!AT49+'[4]LCT-5'!AT49+'[4]LCT-6'!AT49+'[4]LCT-7'!AT49+'[4]LCT-8'!AT49+'[5]TB-1'!AT49+'[5]TB-2'!AT49+'[5]TB-3'!AT49+'[5]TB-4'!AT49+'[5]TB-5'!AT49+'[5]TB-6'!AT49+'[5]TB-7'!AT49+'[5]TB-8'!AT49+'[5]TB-9'!AT49+'[5]TB-10'!AT49+'[6]DSV-1'!AT49+'[6]DSV-2'!AT49+'[6]DSV-3'!AT49+'[7]TUB-1'!AT49+'[7]TUB-2'!AT49+'[8]Barge-1'!AT49+'[8]Barge-2'!AT49+'[8]Barge-3'!AT49+'[8]Barge-4'!AT49</f>
        <v>0</v>
      </c>
      <c r="D51" s="179"/>
      <c r="E51" s="180"/>
      <c r="F51" s="178">
        <f>'[2]AHTS-1'!AU49+'[2]AHTS-2'!AU49+'[2]AHTS-3'!AU49+'[2]AHTS-4'!AU49+'[2]AHTS-5'!AU49+'[2]AHTS-6'!AU49+'[3]CB-1'!AU49+'[3]CB-2'!AU49+'[3]CB-3'!AU49+'[3]CB-4'!AU49+'[3]CB-5'!AU49+'[3]CB-6'!AU49+'[3]CB-7'!AU49+'[3]CB-8'!AU49+'[3]CB-9'!AU49+'[3]CB-10'!AU49+'[3]CB-11'!AU49+'[3]CB-12'!AU49+'[3]CB-13'!AU49+'[3]CB-14'!AU49+'[3]CB-15'!AU49+'[3]CB-16'!AU49+'[4]LCT-1'!AU49+'[4]LCT-2'!AU49+'[4]LCT-3'!AU49+'[4]LCT-4'!AU49+'[4]LCT-5'!AU49+'[4]LCT-6'!AU49+'[4]LCT-7'!AU49+'[4]LCT-8'!AU49+'[5]TB-1'!AU49+'[5]TB-2'!AU49+'[5]TB-3'!AU49+'[5]TB-4'!AU49+'[5]TB-5'!AU49+'[5]TB-6'!AU49+'[5]TB-7'!AU49+'[5]TB-8'!AU49+'[5]TB-9'!AU49+'[5]TB-10'!AU49+'[6]DSV-1'!AU49+'[6]DSV-2'!AU49+'[6]DSV-3'!AU49+'[7]TUB-1'!AU49+'[7]TUB-2'!AU49+'[8]Barge-1'!AU49+'[8]Barge-2'!AU49+'[8]Barge-3'!AU49+'[8]Barge-4'!AU49</f>
        <v>12967.166666666666</v>
      </c>
      <c r="G51" s="179"/>
      <c r="H51" s="180"/>
      <c r="K51" s="112"/>
      <c r="L51" s="112"/>
      <c r="M51" s="112"/>
      <c r="N51" s="112"/>
      <c r="O51" s="112"/>
      <c r="P51" s="112"/>
      <c r="Q51" s="112"/>
      <c r="R51" s="112"/>
      <c r="S51" s="112"/>
      <c r="T51" s="112"/>
    </row>
    <row r="52" spans="1:79" s="94" customFormat="1" ht="15" customHeight="1" x14ac:dyDescent="0.25">
      <c r="A52" s="130">
        <f t="shared" si="2"/>
        <v>45987</v>
      </c>
      <c r="B52" s="131"/>
      <c r="C52" s="178">
        <f>'[2]AHTS-1'!AT50+'[2]AHTS-2'!AT50+'[2]AHTS-3'!AT50+'[2]AHTS-4'!AT50+'[2]AHTS-5'!AT50+'[2]AHTS-6'!AT50+'[3]CB-1'!AT50+'[3]CB-2'!AT50+'[3]CB-3'!AT50+'[3]CB-4'!AT50+'[3]CB-5'!AT50+'[3]CB-6'!AT50+'[3]CB-7'!AT50+'[3]CB-8'!AT50+'[3]CB-9'!AT50+'[3]CB-10'!AT50+'[3]CB-11'!AT50+'[3]CB-12'!AT50+'[3]CB-13'!AT50+'[3]CB-14'!AT50+'[3]CB-15'!AT50+'[3]CB-16'!AT50+'[4]LCT-1'!AT50+'[4]LCT-2'!AT50+'[4]LCT-3'!AT50+'[4]LCT-4'!AT50+'[4]LCT-5'!AT50+'[4]LCT-6'!AT50+'[4]LCT-7'!AT50+'[4]LCT-8'!AT50+'[5]TB-1'!AT50+'[5]TB-2'!AT50+'[5]TB-3'!AT50+'[5]TB-4'!AT50+'[5]TB-5'!AT50+'[5]TB-6'!AT50+'[5]TB-7'!AT50+'[5]TB-8'!AT50+'[5]TB-9'!AT50+'[5]TB-10'!AT50+'[6]DSV-1'!AT50+'[6]DSV-2'!AT50+'[6]DSV-3'!AT50+'[7]TUB-1'!AT50+'[7]TUB-2'!AT50+'[8]Barge-1'!AT50+'[8]Barge-2'!AT50+'[8]Barge-3'!AT50+'[8]Barge-4'!AT50</f>
        <v>0</v>
      </c>
      <c r="D52" s="179"/>
      <c r="E52" s="180"/>
      <c r="F52" s="178">
        <f>'[2]AHTS-1'!AU50+'[2]AHTS-2'!AU50+'[2]AHTS-3'!AU50+'[2]AHTS-4'!AU50+'[2]AHTS-5'!AU50+'[2]AHTS-6'!AU50+'[3]CB-1'!AU50+'[3]CB-2'!AU50+'[3]CB-3'!AU50+'[3]CB-4'!AU50+'[3]CB-5'!AU50+'[3]CB-6'!AU50+'[3]CB-7'!AU50+'[3]CB-8'!AU50+'[3]CB-9'!AU50+'[3]CB-10'!AU50+'[3]CB-11'!AU50+'[3]CB-12'!AU50+'[3]CB-13'!AU50+'[3]CB-14'!AU50+'[3]CB-15'!AU50+'[3]CB-16'!AU50+'[4]LCT-1'!AU50+'[4]LCT-2'!AU50+'[4]LCT-3'!AU50+'[4]LCT-4'!AU50+'[4]LCT-5'!AU50+'[4]LCT-6'!AU50+'[4]LCT-7'!AU50+'[4]LCT-8'!AU50+'[5]TB-1'!AU50+'[5]TB-2'!AU50+'[5]TB-3'!AU50+'[5]TB-4'!AU50+'[5]TB-5'!AU50+'[5]TB-6'!AU50+'[5]TB-7'!AU50+'[5]TB-8'!AU50+'[5]TB-9'!AU50+'[5]TB-10'!AU50+'[6]DSV-1'!AU50+'[6]DSV-2'!AU50+'[6]DSV-3'!AU50+'[7]TUB-1'!AU50+'[7]TUB-2'!AU50+'[8]Barge-1'!AU50+'[8]Barge-2'!AU50+'[8]Barge-3'!AU50+'[8]Barge-4'!AU50</f>
        <v>12350.108333333334</v>
      </c>
      <c r="G52" s="179"/>
      <c r="H52" s="180"/>
      <c r="K52" s="112"/>
      <c r="L52" s="112"/>
      <c r="M52" s="112"/>
      <c r="N52" s="112"/>
      <c r="O52" s="112"/>
      <c r="P52" s="112"/>
      <c r="Q52" s="112"/>
      <c r="R52" s="112"/>
      <c r="S52" s="112"/>
      <c r="T52" s="112"/>
    </row>
    <row r="53" spans="1:79" s="120" customFormat="1" ht="15" customHeight="1" x14ac:dyDescent="0.25">
      <c r="A53" s="130">
        <f t="shared" si="2"/>
        <v>45988</v>
      </c>
      <c r="B53" s="132"/>
      <c r="C53" s="178">
        <f>'[2]AHTS-1'!AT51+'[2]AHTS-2'!AT51+'[2]AHTS-3'!AT51+'[2]AHTS-4'!AT51+'[2]AHTS-5'!AT51+'[2]AHTS-6'!AT51+'[3]CB-1'!AT51+'[3]CB-2'!AT51+'[3]CB-3'!AT51+'[3]CB-4'!AT51+'[3]CB-5'!AT51+'[3]CB-6'!AT51+'[3]CB-7'!AT51+'[3]CB-8'!AT51+'[3]CB-9'!AT51+'[3]CB-10'!AT51+'[3]CB-11'!AT51+'[3]CB-12'!AT51+'[3]CB-13'!AT51+'[3]CB-14'!AT51+'[3]CB-15'!AT51+'[3]CB-16'!AT51+'[4]LCT-1'!AT51+'[4]LCT-2'!AT51+'[4]LCT-3'!AT51+'[4]LCT-4'!AT51+'[4]LCT-5'!AT51+'[4]LCT-6'!AT51+'[4]LCT-7'!AT51+'[4]LCT-8'!AT51+'[5]TB-1'!AT51+'[5]TB-2'!AT51+'[5]TB-3'!AT51+'[5]TB-4'!AT51+'[5]TB-5'!AT51+'[5]TB-6'!AT51+'[5]TB-7'!AT51+'[5]TB-8'!AT51+'[5]TB-9'!AT51+'[5]TB-10'!AT51+'[6]DSV-1'!AT51+'[6]DSV-2'!AT51+'[6]DSV-3'!AT51+'[7]TUB-1'!AT51+'[7]TUB-2'!AT51+'[8]Barge-1'!AT51+'[8]Barge-2'!AT51+'[8]Barge-3'!AT51+'[8]Barge-4'!AT51</f>
        <v>0</v>
      </c>
      <c r="D53" s="179"/>
      <c r="E53" s="180"/>
      <c r="F53" s="178">
        <f>'[2]AHTS-1'!AU51+'[2]AHTS-2'!AU51+'[2]AHTS-3'!AU51+'[2]AHTS-4'!AU51+'[2]AHTS-5'!AU51+'[2]AHTS-6'!AU51+'[3]CB-1'!AU51+'[3]CB-2'!AU51+'[3]CB-3'!AU51+'[3]CB-4'!AU51+'[3]CB-5'!AU51+'[3]CB-6'!AU51+'[3]CB-7'!AU51+'[3]CB-8'!AU51+'[3]CB-9'!AU51+'[3]CB-10'!AU51+'[3]CB-11'!AU51+'[3]CB-12'!AU51+'[3]CB-13'!AU51+'[3]CB-14'!AU51+'[3]CB-15'!AU51+'[3]CB-16'!AU51+'[4]LCT-1'!AU51+'[4]LCT-2'!AU51+'[4]LCT-3'!AU51+'[4]LCT-4'!AU51+'[4]LCT-5'!AU51+'[4]LCT-6'!AU51+'[4]LCT-7'!AU51+'[4]LCT-8'!AU51+'[5]TB-1'!AU51+'[5]TB-2'!AU51+'[5]TB-3'!AU51+'[5]TB-4'!AU51+'[5]TB-5'!AU51+'[5]TB-6'!AU51+'[5]TB-7'!AU51+'[5]TB-8'!AU51+'[5]TB-9'!AU51+'[5]TB-10'!AU51+'[6]DSV-1'!AU51+'[6]DSV-2'!AU51+'[6]DSV-3'!AU51+'[7]TUB-1'!AU51+'[7]TUB-2'!AU51+'[8]Barge-1'!AU51+'[8]Barge-2'!AU51+'[8]Barge-3'!AU51+'[8]Barge-4'!AU51</f>
        <v>8654.35</v>
      </c>
      <c r="G53" s="179"/>
      <c r="H53" s="180"/>
      <c r="K53" s="121"/>
      <c r="L53" s="121"/>
      <c r="M53" s="121"/>
      <c r="N53" s="121"/>
      <c r="O53" s="121"/>
      <c r="P53" s="121"/>
      <c r="Q53" s="121"/>
      <c r="R53" s="121"/>
      <c r="S53" s="121"/>
      <c r="T53" s="121"/>
    </row>
    <row r="54" spans="1:79" s="94" customFormat="1" ht="15" customHeight="1" x14ac:dyDescent="0.25">
      <c r="A54" s="130">
        <f t="shared" si="2"/>
        <v>45989</v>
      </c>
      <c r="B54" s="131"/>
      <c r="C54" s="178">
        <f>'[2]AHTS-1'!AT52+'[2]AHTS-2'!AT52+'[2]AHTS-3'!AT52+'[2]AHTS-4'!AT52+'[2]AHTS-5'!AT52+'[2]AHTS-6'!AT52+'[3]CB-1'!AT52+'[3]CB-2'!AT52+'[3]CB-3'!AT52+'[3]CB-4'!AT52+'[3]CB-5'!AT52+'[3]CB-6'!AT52+'[3]CB-7'!AT52+'[3]CB-8'!AT52+'[3]CB-9'!AT52+'[3]CB-10'!AT52+'[3]CB-11'!AT52+'[3]CB-12'!AT52+'[3]CB-13'!AT52+'[3]CB-14'!AT52+'[3]CB-15'!AT52+'[3]CB-16'!AT52+'[4]LCT-1'!AT52+'[4]LCT-2'!AT52+'[4]LCT-3'!AT52+'[4]LCT-4'!AT52+'[4]LCT-5'!AT52+'[4]LCT-6'!AT52+'[4]LCT-7'!AT52+'[4]LCT-8'!AT52+'[5]TB-1'!AT52+'[5]TB-2'!AT52+'[5]TB-3'!AT52+'[5]TB-4'!AT52+'[5]TB-5'!AT52+'[5]TB-6'!AT52+'[5]TB-7'!AT52+'[5]TB-8'!AT52+'[5]TB-9'!AT52+'[5]TB-10'!AT52+'[6]DSV-1'!AT52+'[6]DSV-2'!AT52+'[6]DSV-3'!AT52+'[7]TUB-1'!AT52+'[7]TUB-2'!AT52+'[8]Barge-1'!AT52+'[8]Barge-2'!AT52+'[8]Barge-3'!AT52+'[8]Barge-4'!AT52</f>
        <v>0</v>
      </c>
      <c r="D54" s="179"/>
      <c r="E54" s="180"/>
      <c r="F54" s="178">
        <f>'[2]AHTS-1'!AU52+'[2]AHTS-2'!AU52+'[2]AHTS-3'!AU52+'[2]AHTS-4'!AU52+'[2]AHTS-5'!AU52+'[2]AHTS-6'!AU52+'[3]CB-1'!AU52+'[3]CB-2'!AU52+'[3]CB-3'!AU52+'[3]CB-4'!AU52+'[3]CB-5'!AU52+'[3]CB-6'!AU52+'[3]CB-7'!AU52+'[3]CB-8'!AU52+'[3]CB-9'!AU52+'[3]CB-10'!AU52+'[3]CB-11'!AU52+'[3]CB-12'!AU52+'[3]CB-13'!AU52+'[3]CB-14'!AU52+'[3]CB-15'!AU52+'[3]CB-16'!AU52+'[4]LCT-1'!AU52+'[4]LCT-2'!AU52+'[4]LCT-3'!AU52+'[4]LCT-4'!AU52+'[4]LCT-5'!AU52+'[4]LCT-6'!AU52+'[4]LCT-7'!AU52+'[4]LCT-8'!AU52+'[5]TB-1'!AU52+'[5]TB-2'!AU52+'[5]TB-3'!AU52+'[5]TB-4'!AU52+'[5]TB-5'!AU52+'[5]TB-6'!AU52+'[5]TB-7'!AU52+'[5]TB-8'!AU52+'[5]TB-9'!AU52+'[5]TB-10'!AU52+'[6]DSV-1'!AU52+'[6]DSV-2'!AU52+'[6]DSV-3'!AU52+'[7]TUB-1'!AU52+'[7]TUB-2'!AU52+'[8]Barge-1'!AU52+'[8]Barge-2'!AU52+'[8]Barge-3'!AU52+'[8]Barge-4'!AU52</f>
        <v>4686.375</v>
      </c>
      <c r="G54" s="179"/>
      <c r="H54" s="180"/>
      <c r="K54" s="112"/>
      <c r="L54" s="112"/>
      <c r="M54" s="112"/>
      <c r="N54" s="112"/>
      <c r="O54" s="112"/>
      <c r="P54" s="112"/>
      <c r="Q54" s="112"/>
      <c r="R54" s="112"/>
      <c r="S54" s="112"/>
      <c r="T54" s="112"/>
    </row>
    <row r="55" spans="1:79" s="94" customFormat="1" ht="15" customHeight="1" x14ac:dyDescent="0.25">
      <c r="A55" s="130">
        <f t="shared" si="2"/>
        <v>45990</v>
      </c>
      <c r="B55" s="131"/>
      <c r="C55" s="178">
        <f>'[2]AHTS-1'!AT53+'[2]AHTS-2'!AT53+'[2]AHTS-3'!AT53+'[2]AHTS-4'!AT53+'[2]AHTS-5'!AT53+'[2]AHTS-6'!AT53+'[3]CB-1'!AT53+'[3]CB-2'!AT53+'[3]CB-3'!AT53+'[3]CB-4'!AT53+'[3]CB-5'!AT53+'[3]CB-6'!AT53+'[3]CB-7'!AT53+'[3]CB-8'!AT53+'[3]CB-9'!AT53+'[3]CB-10'!AT53+'[3]CB-11'!AT53+'[3]CB-12'!AT53+'[3]CB-13'!AT53+'[3]CB-14'!AT53+'[3]CB-15'!AT53+'[3]CB-16'!AT53+'[4]LCT-1'!AT53+'[4]LCT-2'!AT53+'[4]LCT-3'!AT53+'[4]LCT-4'!AT53+'[4]LCT-5'!AT53+'[4]LCT-6'!AT53+'[4]LCT-7'!AT53+'[4]LCT-8'!AT53+'[5]TB-1'!AT53+'[5]TB-2'!AT53+'[5]TB-3'!AT53+'[5]TB-4'!AT53+'[5]TB-5'!AT53+'[5]TB-6'!AT53+'[5]TB-7'!AT53+'[5]TB-8'!AT53+'[5]TB-9'!AT53+'[5]TB-10'!AT53+'[6]DSV-1'!AT53+'[6]DSV-2'!AT53+'[6]DSV-3'!AT53+'[7]TUB-1'!AT53+'[7]TUB-2'!AT53+'[8]Barge-1'!AT53+'[8]Barge-2'!AT53+'[8]Barge-3'!AT53+'[8]Barge-4'!AT53</f>
        <v>0</v>
      </c>
      <c r="D55" s="179"/>
      <c r="E55" s="180"/>
      <c r="F55" s="178">
        <f>'[2]AHTS-1'!AU53+'[2]AHTS-2'!AU53+'[2]AHTS-3'!AU53+'[2]AHTS-4'!AU53+'[2]AHTS-5'!AU53+'[2]AHTS-6'!AU53+'[3]CB-1'!AU53+'[3]CB-2'!AU53+'[3]CB-3'!AU53+'[3]CB-4'!AU53+'[3]CB-5'!AU53+'[3]CB-6'!AU53+'[3]CB-7'!AU53+'[3]CB-8'!AU53+'[3]CB-9'!AU53+'[3]CB-10'!AU53+'[3]CB-11'!AU53+'[3]CB-12'!AU53+'[3]CB-13'!AU53+'[3]CB-14'!AU53+'[3]CB-15'!AU53+'[3]CB-16'!AU53+'[4]LCT-1'!AU53+'[4]LCT-2'!AU53+'[4]LCT-3'!AU53+'[4]LCT-4'!AU53+'[4]LCT-5'!AU53+'[4]LCT-6'!AU53+'[4]LCT-7'!AU53+'[4]LCT-8'!AU53+'[5]TB-1'!AU53+'[5]TB-2'!AU53+'[5]TB-3'!AU53+'[5]TB-4'!AU53+'[5]TB-5'!AU53+'[5]TB-6'!AU53+'[5]TB-7'!AU53+'[5]TB-8'!AU53+'[5]TB-9'!AU53+'[5]TB-10'!AU53+'[6]DSV-1'!AU53+'[6]DSV-2'!AU53+'[6]DSV-3'!AU53+'[7]TUB-1'!AU53+'[7]TUB-2'!AU53+'[8]Barge-1'!AU53+'[8]Barge-2'!AU53+'[8]Barge-3'!AU53+'[8]Barge-4'!AU53</f>
        <v>3049.8888888888887</v>
      </c>
      <c r="G55" s="179"/>
      <c r="H55" s="180"/>
      <c r="K55" s="112"/>
      <c r="L55" s="112"/>
      <c r="M55" s="112"/>
      <c r="N55" s="112"/>
      <c r="O55" s="112"/>
      <c r="P55" s="112"/>
      <c r="Q55" s="112"/>
      <c r="R55" s="112"/>
      <c r="S55" s="112"/>
      <c r="T55" s="112"/>
    </row>
    <row r="56" spans="1:79" s="94" customFormat="1" ht="15" customHeight="1" x14ac:dyDescent="0.25">
      <c r="A56" s="130">
        <f t="shared" si="2"/>
        <v>45991</v>
      </c>
      <c r="B56" s="131"/>
      <c r="C56" s="178">
        <f>'[2]AHTS-1'!AT54+'[2]AHTS-2'!AT54+'[2]AHTS-3'!AT54+'[2]AHTS-4'!AT54+'[2]AHTS-5'!AT54+'[2]AHTS-6'!AT54+'[3]CB-1'!AT54+'[3]CB-2'!AT54+'[3]CB-3'!AT54+'[3]CB-4'!AT54+'[3]CB-5'!AT54+'[3]CB-6'!AT54+'[3]CB-7'!AT54+'[3]CB-8'!AT54+'[3]CB-9'!AT54+'[3]CB-10'!AT54+'[3]CB-11'!AT54+'[3]CB-12'!AT54+'[3]CB-13'!AT54+'[3]CB-14'!AT54+'[3]CB-15'!AT54+'[3]CB-16'!AT54+'[4]LCT-1'!AT54+'[4]LCT-2'!AT54+'[4]LCT-3'!AT54+'[4]LCT-4'!AT54+'[4]LCT-5'!AT54+'[4]LCT-6'!AT54+'[4]LCT-7'!AT54+'[4]LCT-8'!AT54+'[5]TB-1'!AT54+'[5]TB-2'!AT54+'[5]TB-3'!AT54+'[5]TB-4'!AT54+'[5]TB-5'!AT54+'[5]TB-6'!AT54+'[5]TB-7'!AT54+'[5]TB-8'!AT54+'[5]TB-9'!AT54+'[5]TB-10'!AT54+'[6]DSV-1'!AT54+'[6]DSV-2'!AT54+'[6]DSV-3'!AT54+'[7]TUB-1'!AT54+'[7]TUB-2'!AT54+'[8]Barge-1'!AT54+'[8]Barge-2'!AT54+'[8]Barge-3'!AT54+'[8]Barge-4'!AT54</f>
        <v>0</v>
      </c>
      <c r="D56" s="179"/>
      <c r="E56" s="180"/>
      <c r="F56" s="178">
        <f>'[2]AHTS-1'!AU54+'[2]AHTS-2'!AU54+'[2]AHTS-3'!AU54+'[2]AHTS-4'!AU54+'[2]AHTS-5'!AU54+'[2]AHTS-6'!AU54+'[3]CB-1'!AU54+'[3]CB-2'!AU54+'[3]CB-3'!AU54+'[3]CB-4'!AU54+'[3]CB-5'!AU54+'[3]CB-6'!AU54+'[3]CB-7'!AU54+'[3]CB-8'!AU54+'[3]CB-9'!AU54+'[3]CB-10'!AU54+'[3]CB-11'!AU54+'[3]CB-12'!AU54+'[3]CB-13'!AU54+'[3]CB-14'!AU54+'[3]CB-15'!AU54+'[3]CB-16'!AU54+'[4]LCT-1'!AU54+'[4]LCT-2'!AU54+'[4]LCT-3'!AU54+'[4]LCT-4'!AU54+'[4]LCT-5'!AU54+'[4]LCT-6'!AU54+'[4]LCT-7'!AU54+'[4]LCT-8'!AU54+'[5]TB-1'!AU54+'[5]TB-2'!AU54+'[5]TB-3'!AU54+'[5]TB-4'!AU54+'[5]TB-5'!AU54+'[5]TB-6'!AU54+'[5]TB-7'!AU54+'[5]TB-8'!AU54+'[5]TB-9'!AU54+'[5]TB-10'!AU54+'[6]DSV-1'!AU54+'[6]DSV-2'!AU54+'[6]DSV-3'!AU54+'[7]TUB-1'!AU54+'[7]TUB-2'!AU54+'[8]Barge-1'!AU54+'[8]Barge-2'!AU54+'[8]Barge-3'!AU54+'[8]Barge-4'!AU54</f>
        <v>3492.5666666666666</v>
      </c>
      <c r="G56" s="179"/>
      <c r="H56" s="180"/>
      <c r="K56" s="112"/>
      <c r="L56" s="112"/>
      <c r="M56" s="112"/>
      <c r="N56" s="112"/>
      <c r="O56" s="112"/>
      <c r="P56" s="112"/>
      <c r="Q56" s="112"/>
      <c r="R56" s="112"/>
      <c r="S56" s="112"/>
      <c r="T56" s="112"/>
    </row>
    <row r="57" spans="1:79" s="94" customFormat="1" ht="15" customHeight="1" x14ac:dyDescent="0.25">
      <c r="A57" s="130">
        <f t="shared" si="2"/>
        <v>45992</v>
      </c>
      <c r="B57" s="131"/>
      <c r="C57" s="178">
        <f>'[2]AHTS-1'!AT55+'[2]AHTS-2'!AT55+'[2]AHTS-3'!AT55+'[2]AHTS-4'!AT55+'[2]AHTS-5'!AT55+'[2]AHTS-6'!AT55+'[3]CB-1'!AT55+'[3]CB-2'!AT55+'[3]CB-3'!AT55+'[3]CB-4'!AT55+'[3]CB-5'!AT55+'[3]CB-6'!AT55+'[3]CB-7'!AT55+'[3]CB-8'!AT55+'[3]CB-9'!AT55+'[3]CB-10'!AT55+'[3]CB-11'!AT55+'[3]CB-12'!AT55+'[3]CB-13'!AT55+'[3]CB-14'!AT55+'[3]CB-15'!AT55+'[3]CB-16'!AT55+'[4]LCT-1'!AT55+'[4]LCT-2'!AT55+'[4]LCT-3'!AT55+'[4]LCT-4'!AT55+'[4]LCT-5'!AT55+'[4]LCT-6'!AT55+'[4]LCT-7'!AT55+'[4]LCT-8'!AT55+'[5]TB-1'!AT55+'[5]TB-2'!AT55+'[5]TB-3'!AT55+'[5]TB-4'!AT55+'[5]TB-5'!AT55+'[5]TB-6'!AT55+'[5]TB-7'!AT55+'[5]TB-8'!AT55+'[5]TB-9'!AT55+'[5]TB-10'!AT55+'[6]DSV-1'!AT55+'[6]DSV-2'!AT55+'[6]DSV-3'!AT55+'[7]TUB-1'!AT55+'[7]TUB-2'!AT55+'[8]Barge-1'!AT55+'[8]Barge-2'!AT55+'[8]Barge-3'!AT55+'[8]Barge-4'!AT55</f>
        <v>0</v>
      </c>
      <c r="D57" s="179"/>
      <c r="E57" s="180"/>
      <c r="F57" s="178">
        <f>'[2]AHTS-1'!AU55+'[2]AHTS-2'!AU55+'[2]AHTS-3'!AU55+'[2]AHTS-4'!AU55+'[2]AHTS-5'!AU55+'[2]AHTS-6'!AU55+'[3]CB-1'!AU55+'[3]CB-2'!AU55+'[3]CB-3'!AU55+'[3]CB-4'!AU55+'[3]CB-5'!AU55+'[3]CB-6'!AU55+'[3]CB-7'!AU55+'[3]CB-8'!AU55+'[3]CB-9'!AU55+'[3]CB-10'!AU55+'[3]CB-11'!AU55+'[3]CB-12'!AU55+'[3]CB-13'!AU55+'[3]CB-14'!AU55+'[3]CB-15'!AU55+'[3]CB-16'!AU55+'[4]LCT-1'!AU55+'[4]LCT-2'!AU55+'[4]LCT-3'!AU55+'[4]LCT-4'!AU55+'[4]LCT-5'!AU55+'[4]LCT-6'!AU55+'[4]LCT-7'!AU55+'[4]LCT-8'!AU55+'[5]TB-1'!AU55+'[5]TB-2'!AU55+'[5]TB-3'!AU55+'[5]TB-4'!AU55+'[5]TB-5'!AU55+'[5]TB-6'!AU55+'[5]TB-7'!AU55+'[5]TB-8'!AU55+'[5]TB-9'!AU55+'[5]TB-10'!AU55+'[6]DSV-1'!AU55+'[6]DSV-2'!AU55+'[6]DSV-3'!AU55+'[7]TUB-1'!AU55+'[7]TUB-2'!AU55+'[8]Barge-1'!AU55+'[8]Barge-2'!AU55+'[8]Barge-3'!AU55+'[8]Barge-4'!AU55</f>
        <v>3360.0625</v>
      </c>
      <c r="G57" s="179"/>
      <c r="H57" s="180"/>
      <c r="K57" s="112"/>
      <c r="L57" s="112"/>
      <c r="M57" s="112"/>
      <c r="N57" s="112"/>
      <c r="O57" s="112"/>
      <c r="P57" s="112"/>
      <c r="Q57" s="112"/>
      <c r="R57" s="112"/>
      <c r="S57" s="112"/>
      <c r="T57" s="112"/>
    </row>
    <row r="58" spans="1:79" s="94" customFormat="1" ht="15" customHeight="1" x14ac:dyDescent="0.25">
      <c r="A58" s="130">
        <f t="shared" si="2"/>
        <v>45993</v>
      </c>
      <c r="B58" s="131"/>
      <c r="C58" s="178">
        <f>'[2]AHTS-1'!AT56+'[2]AHTS-2'!AT56+'[2]AHTS-3'!AT56+'[2]AHTS-4'!AT56+'[2]AHTS-5'!AT56+'[2]AHTS-6'!AT56+'[3]CB-1'!AT56+'[3]CB-2'!AT56+'[3]CB-3'!AT56+'[3]CB-4'!AT56+'[3]CB-5'!AT56+'[3]CB-6'!AT56+'[3]CB-7'!AT56+'[3]CB-8'!AT56+'[3]CB-9'!AT56+'[3]CB-10'!AT56+'[3]CB-11'!AT56+'[3]CB-12'!AT56+'[3]CB-13'!AT56+'[3]CB-14'!AT56+'[3]CB-15'!AT56+'[3]CB-16'!AT56+'[4]LCT-1'!AT56+'[4]LCT-2'!AT56+'[4]LCT-3'!AT56+'[4]LCT-4'!AT56+'[4]LCT-5'!AT56+'[4]LCT-6'!AT56+'[4]LCT-7'!AT56+'[4]LCT-8'!AT56+'[5]TB-1'!AT56+'[5]TB-2'!AT56+'[5]TB-3'!AT56+'[5]TB-4'!AT56+'[5]TB-5'!AT56+'[5]TB-6'!AT56+'[5]TB-7'!AT56+'[5]TB-8'!AT56+'[5]TB-9'!AT56+'[5]TB-10'!AT56+'[6]DSV-1'!AT56+'[6]DSV-2'!AT56+'[6]DSV-3'!AT56+'[7]TUB-1'!AT56+'[7]TUB-2'!AT56+'[8]Barge-1'!AT56+'[8]Barge-2'!AT56+'[8]Barge-3'!AT56+'[8]Barge-4'!AT56</f>
        <v>0</v>
      </c>
      <c r="D58" s="179"/>
      <c r="E58" s="180"/>
      <c r="F58" s="178">
        <f>'[2]AHTS-1'!AU56+'[2]AHTS-2'!AU56+'[2]AHTS-3'!AU56+'[2]AHTS-4'!AU56+'[2]AHTS-5'!AU56+'[2]AHTS-6'!AU56+'[3]CB-1'!AU56+'[3]CB-2'!AU56+'[3]CB-3'!AU56+'[3]CB-4'!AU56+'[3]CB-5'!AU56+'[3]CB-6'!AU56+'[3]CB-7'!AU56+'[3]CB-8'!AU56+'[3]CB-9'!AU56+'[3]CB-10'!AU56+'[3]CB-11'!AU56+'[3]CB-12'!AU56+'[3]CB-13'!AU56+'[3]CB-14'!AU56+'[3]CB-15'!AU56+'[3]CB-16'!AU56+'[4]LCT-1'!AU56+'[4]LCT-2'!AU56+'[4]LCT-3'!AU56+'[4]LCT-4'!AU56+'[4]LCT-5'!AU56+'[4]LCT-6'!AU56+'[4]LCT-7'!AU56+'[4]LCT-8'!AU56+'[5]TB-1'!AU56+'[5]TB-2'!AU56+'[5]TB-3'!AU56+'[5]TB-4'!AU56+'[5]TB-5'!AU56+'[5]TB-6'!AU56+'[5]TB-7'!AU56+'[5]TB-8'!AU56+'[5]TB-9'!AU56+'[5]TB-10'!AU56+'[6]DSV-1'!AU56+'[6]DSV-2'!AU56+'[6]DSV-3'!AU56+'[7]TUB-1'!AU56+'[7]TUB-2'!AU56+'[8]Barge-1'!AU56+'[8]Barge-2'!AU56+'[8]Barge-3'!AU56+'[8]Barge-4'!AU56</f>
        <v>3184.5</v>
      </c>
      <c r="G58" s="179"/>
      <c r="H58" s="180"/>
      <c r="K58" s="112"/>
      <c r="L58" s="112"/>
      <c r="M58" s="112"/>
      <c r="N58" s="112"/>
      <c r="O58" s="112"/>
      <c r="P58" s="112"/>
      <c r="Q58" s="112"/>
      <c r="R58" s="112"/>
      <c r="S58" s="112"/>
      <c r="T58" s="112"/>
    </row>
    <row r="59" spans="1:79" s="94" customFormat="1" ht="15" customHeight="1" x14ac:dyDescent="0.25">
      <c r="A59" s="130">
        <f t="shared" si="2"/>
        <v>45994</v>
      </c>
      <c r="B59" s="131"/>
      <c r="C59" s="178">
        <f>'[2]AHTS-1'!AT57+'[2]AHTS-2'!AT57+'[2]AHTS-3'!AT57+'[2]AHTS-4'!AT57+'[2]AHTS-5'!AT57+'[2]AHTS-6'!AT57+'[3]CB-1'!AT57+'[3]CB-2'!AT57+'[3]CB-3'!AT57+'[3]CB-4'!AT57+'[3]CB-5'!AT57+'[3]CB-6'!AT57+'[3]CB-7'!AT57+'[3]CB-8'!AT57+'[3]CB-9'!AT57+'[3]CB-10'!AT57+'[3]CB-11'!AT57+'[3]CB-12'!AT57+'[3]CB-13'!AT57+'[3]CB-14'!AT57+'[3]CB-15'!AT57+'[3]CB-16'!AT57+'[4]LCT-1'!AT57+'[4]LCT-2'!AT57+'[4]LCT-3'!AT57+'[4]LCT-4'!AT57+'[4]LCT-5'!AT57+'[4]LCT-6'!AT57+'[4]LCT-7'!AT57+'[4]LCT-8'!AT57+'[5]TB-1'!AT57+'[5]TB-2'!AT57+'[5]TB-3'!AT57+'[5]TB-4'!AT57+'[5]TB-5'!AT57+'[5]TB-6'!AT57+'[5]TB-7'!AT57+'[5]TB-8'!AT57+'[5]TB-9'!AT57+'[5]TB-10'!AT57+'[6]DSV-1'!AT57+'[6]DSV-2'!AT57+'[6]DSV-3'!AT57+'[7]TUB-1'!AT57+'[7]TUB-2'!AT57+'[8]Barge-1'!AT57+'[8]Barge-2'!AT57+'[8]Barge-3'!AT57+'[8]Barge-4'!AT57</f>
        <v>0</v>
      </c>
      <c r="D59" s="179"/>
      <c r="E59" s="180"/>
      <c r="F59" s="178">
        <f>'[2]AHTS-1'!AU57+'[2]AHTS-2'!AU57+'[2]AHTS-3'!AU57+'[2]AHTS-4'!AU57+'[2]AHTS-5'!AU57+'[2]AHTS-6'!AU57+'[3]CB-1'!AU57+'[3]CB-2'!AU57+'[3]CB-3'!AU57+'[3]CB-4'!AU57+'[3]CB-5'!AU57+'[3]CB-6'!AU57+'[3]CB-7'!AU57+'[3]CB-8'!AU57+'[3]CB-9'!AU57+'[3]CB-10'!AU57+'[3]CB-11'!AU57+'[3]CB-12'!AU57+'[3]CB-13'!AU57+'[3]CB-14'!AU57+'[3]CB-15'!AU57+'[3]CB-16'!AU57+'[4]LCT-1'!AU57+'[4]LCT-2'!AU57+'[4]LCT-3'!AU57+'[4]LCT-4'!AU57+'[4]LCT-5'!AU57+'[4]LCT-6'!AU57+'[4]LCT-7'!AU57+'[4]LCT-8'!AU57+'[5]TB-1'!AU57+'[5]TB-2'!AU57+'[5]TB-3'!AU57+'[5]TB-4'!AU57+'[5]TB-5'!AU57+'[5]TB-6'!AU57+'[5]TB-7'!AU57+'[5]TB-8'!AU57+'[5]TB-9'!AU57+'[5]TB-10'!AU57+'[6]DSV-1'!AU57+'[6]DSV-2'!AU57+'[6]DSV-3'!AU57+'[7]TUB-1'!AU57+'[7]TUB-2'!AU57+'[8]Barge-1'!AU57+'[8]Barge-2'!AU57+'[8]Barge-3'!AU57+'[8]Barge-4'!AU57</f>
        <v>3796.6666666666661</v>
      </c>
      <c r="G59" s="179"/>
      <c r="H59" s="180"/>
      <c r="K59" s="112"/>
      <c r="L59" s="112"/>
      <c r="M59" s="112"/>
      <c r="N59" s="112"/>
      <c r="O59" s="112"/>
      <c r="P59" s="112"/>
      <c r="Q59" s="112"/>
      <c r="R59" s="112"/>
      <c r="S59" s="112"/>
      <c r="T59" s="112"/>
    </row>
    <row r="60" spans="1:79" s="50" customFormat="1" ht="15" customHeight="1" x14ac:dyDescent="0.25">
      <c r="A60" s="130">
        <f t="shared" si="2"/>
        <v>45995</v>
      </c>
      <c r="B60" s="133"/>
      <c r="C60" s="178">
        <f>'[2]AHTS-1'!AT58+'[2]AHTS-2'!AT58+'[2]AHTS-3'!AT58+'[2]AHTS-4'!AT58+'[2]AHTS-5'!AT58+'[2]AHTS-6'!AT58+'[3]CB-1'!AT58+'[3]CB-2'!AT58+'[3]CB-3'!AT58+'[3]CB-4'!AT58+'[3]CB-5'!AT58+'[3]CB-6'!AT58+'[3]CB-7'!AT58+'[3]CB-8'!AT58+'[3]CB-9'!AT58+'[3]CB-10'!AT58+'[3]CB-11'!AT58+'[3]CB-12'!AT58+'[3]CB-13'!AT58+'[3]CB-14'!AT58+'[3]CB-15'!AT58+'[3]CB-16'!AT58+'[4]LCT-1'!AT58+'[4]LCT-2'!AT58+'[4]LCT-3'!AT58+'[4]LCT-4'!AT58+'[4]LCT-5'!AT58+'[4]LCT-6'!AT58+'[4]LCT-7'!AT58+'[4]LCT-8'!AT58+'[5]TB-1'!AT58+'[5]TB-2'!AT58+'[5]TB-3'!AT58+'[5]TB-4'!AT58+'[5]TB-5'!AT58+'[5]TB-6'!AT58+'[5]TB-7'!AT58+'[5]TB-8'!AT58+'[5]TB-9'!AT58+'[5]TB-10'!AT58+'[6]DSV-1'!AT58+'[6]DSV-2'!AT58+'[6]DSV-3'!AT58+'[7]TUB-1'!AT58+'[7]TUB-2'!AT58+'[8]Barge-1'!AT58+'[8]Barge-2'!AT58+'[8]Barge-3'!AT58+'[8]Barge-4'!AT58</f>
        <v>0</v>
      </c>
      <c r="D60" s="179"/>
      <c r="E60" s="180"/>
      <c r="F60" s="178">
        <f>'[2]AHTS-1'!AU58+'[2]AHTS-2'!AU58+'[2]AHTS-3'!AU58+'[2]AHTS-4'!AU58+'[2]AHTS-5'!AU58+'[2]AHTS-6'!AU58+'[3]CB-1'!AU58+'[3]CB-2'!AU58+'[3]CB-3'!AU58+'[3]CB-4'!AU58+'[3]CB-5'!AU58+'[3]CB-6'!AU58+'[3]CB-7'!AU58+'[3]CB-8'!AU58+'[3]CB-9'!AU58+'[3]CB-10'!AU58+'[3]CB-11'!AU58+'[3]CB-12'!AU58+'[3]CB-13'!AU58+'[3]CB-14'!AU58+'[3]CB-15'!AU58+'[3]CB-16'!AU58+'[4]LCT-1'!AU58+'[4]LCT-2'!AU58+'[4]LCT-3'!AU58+'[4]LCT-4'!AU58+'[4]LCT-5'!AU58+'[4]LCT-6'!AU58+'[4]LCT-7'!AU58+'[4]LCT-8'!AU58+'[5]TB-1'!AU58+'[5]TB-2'!AU58+'[5]TB-3'!AU58+'[5]TB-4'!AU58+'[5]TB-5'!AU58+'[5]TB-6'!AU58+'[5]TB-7'!AU58+'[5]TB-8'!AU58+'[5]TB-9'!AU58+'[5]TB-10'!AU58+'[6]DSV-1'!AU58+'[6]DSV-2'!AU58+'[6]DSV-3'!AU58+'[7]TUB-1'!AU58+'[7]TUB-2'!AU58+'[8]Barge-1'!AU58+'[8]Barge-2'!AU58+'[8]Barge-3'!AU58+'[8]Barge-4'!AU58</f>
        <v>2516.125</v>
      </c>
      <c r="G60" s="179"/>
      <c r="H60" s="180"/>
      <c r="K60" s="104"/>
      <c r="L60" s="104"/>
      <c r="M60" s="104"/>
      <c r="N60" s="104"/>
      <c r="O60" s="104"/>
      <c r="P60" s="104"/>
      <c r="Q60" s="104"/>
      <c r="R60" s="104"/>
      <c r="S60" s="104"/>
      <c r="T60" s="104"/>
    </row>
    <row r="61" spans="1:79" s="94" customFormat="1" ht="15" customHeight="1" x14ac:dyDescent="0.25">
      <c r="A61" s="130">
        <f t="shared" si="2"/>
        <v>45996</v>
      </c>
      <c r="B61" s="131"/>
      <c r="C61" s="178">
        <f>'[2]AHTS-1'!AT59+'[2]AHTS-2'!AT59+'[2]AHTS-3'!AT59+'[2]AHTS-4'!AT59+'[2]AHTS-5'!AT59+'[2]AHTS-6'!AT59+'[3]CB-1'!AT59+'[3]CB-2'!AT59+'[3]CB-3'!AT59+'[3]CB-4'!AT59+'[3]CB-5'!AT59+'[3]CB-6'!AT59+'[3]CB-7'!AT59+'[3]CB-8'!AT59+'[3]CB-9'!AT59+'[3]CB-10'!AT59+'[3]CB-11'!AT59+'[3]CB-12'!AT59+'[3]CB-13'!AT59+'[3]CB-14'!AT59+'[3]CB-15'!AT59+'[3]CB-16'!AT59+'[4]LCT-1'!AT59+'[4]LCT-2'!AT59+'[4]LCT-3'!AT59+'[4]LCT-4'!AT59+'[4]LCT-5'!AT59+'[4]LCT-6'!AT59+'[4]LCT-7'!AT59+'[4]LCT-8'!AT59+'[5]TB-1'!AT59+'[5]TB-2'!AT59+'[5]TB-3'!AT59+'[5]TB-4'!AT59+'[5]TB-5'!AT59+'[5]TB-6'!AT59+'[5]TB-7'!AT59+'[5]TB-8'!AT59+'[5]TB-9'!AT59+'[5]TB-10'!AT59+'[6]DSV-1'!AT59+'[6]DSV-2'!AT59+'[6]DSV-3'!AT59+'[7]TUB-1'!AT59+'[7]TUB-2'!AT59+'[8]Barge-1'!AT59+'[8]Barge-2'!AT59+'[8]Barge-3'!AT59+'[8]Barge-4'!AT59</f>
        <v>0</v>
      </c>
      <c r="D61" s="179"/>
      <c r="E61" s="180"/>
      <c r="F61" s="178">
        <f>'[2]AHTS-1'!AU59+'[2]AHTS-2'!AU59+'[2]AHTS-3'!AU59+'[2]AHTS-4'!AU59+'[2]AHTS-5'!AU59+'[2]AHTS-6'!AU59+'[3]CB-1'!AU59+'[3]CB-2'!AU59+'[3]CB-3'!AU59+'[3]CB-4'!AU59+'[3]CB-5'!AU59+'[3]CB-6'!AU59+'[3]CB-7'!AU59+'[3]CB-8'!AU59+'[3]CB-9'!AU59+'[3]CB-10'!AU59+'[3]CB-11'!AU59+'[3]CB-12'!AU59+'[3]CB-13'!AU59+'[3]CB-14'!AU59+'[3]CB-15'!AU59+'[3]CB-16'!AU59+'[4]LCT-1'!AU59+'[4]LCT-2'!AU59+'[4]LCT-3'!AU59+'[4]LCT-4'!AU59+'[4]LCT-5'!AU59+'[4]LCT-6'!AU59+'[4]LCT-7'!AU59+'[4]LCT-8'!AU59+'[5]TB-1'!AU59+'[5]TB-2'!AU59+'[5]TB-3'!AU59+'[5]TB-4'!AU59+'[5]TB-5'!AU59+'[5]TB-6'!AU59+'[5]TB-7'!AU59+'[5]TB-8'!AU59+'[5]TB-9'!AU59+'[5]TB-10'!AU59+'[6]DSV-1'!AU59+'[6]DSV-2'!AU59+'[6]DSV-3'!AU59+'[7]TUB-1'!AU59+'[7]TUB-2'!AU59+'[8]Barge-1'!AU59+'[8]Barge-2'!AU59+'[8]Barge-3'!AU59+'[8]Barge-4'!AU59</f>
        <v>2993</v>
      </c>
      <c r="G61" s="179"/>
      <c r="H61" s="180"/>
      <c r="K61" s="112"/>
      <c r="L61" s="112"/>
      <c r="M61" s="112"/>
      <c r="N61" s="112"/>
      <c r="O61" s="112"/>
      <c r="P61" s="112"/>
      <c r="Q61" s="112"/>
      <c r="R61" s="112"/>
      <c r="S61" s="112"/>
      <c r="T61" s="112"/>
    </row>
    <row r="62" spans="1:79" s="94" customFormat="1" ht="15" customHeight="1" x14ac:dyDescent="0.25">
      <c r="A62" s="130">
        <f t="shared" si="2"/>
        <v>45997</v>
      </c>
      <c r="B62" s="131"/>
      <c r="C62" s="178">
        <f>'[2]AHTS-1'!AT60+'[2]AHTS-2'!AT60+'[2]AHTS-3'!AT60+'[2]AHTS-4'!AT60+'[2]AHTS-5'!AT60+'[2]AHTS-6'!AT60+'[3]CB-1'!AT60+'[3]CB-2'!AT60+'[3]CB-3'!AT60+'[3]CB-4'!AT60+'[3]CB-5'!AT60+'[3]CB-6'!AT60+'[3]CB-7'!AT60+'[3]CB-8'!AT60+'[3]CB-9'!AT60+'[3]CB-10'!AT60+'[3]CB-11'!AT60+'[3]CB-12'!AT60+'[3]CB-13'!AT60+'[3]CB-14'!AT60+'[3]CB-15'!AT60+'[3]CB-16'!AT60+'[4]LCT-1'!AT60+'[4]LCT-2'!AT60+'[4]LCT-3'!AT60+'[4]LCT-4'!AT60+'[4]LCT-5'!AT60+'[4]LCT-6'!AT60+'[4]LCT-7'!AT60+'[4]LCT-8'!AT60+'[5]TB-1'!AT60+'[5]TB-2'!AT60+'[5]TB-3'!AT60+'[5]TB-4'!AT60+'[5]TB-5'!AT60+'[5]TB-6'!AT60+'[5]TB-7'!AT60+'[5]TB-8'!AT60+'[5]TB-9'!AT60+'[5]TB-10'!AT60+'[6]DSV-1'!AT60+'[6]DSV-2'!AT60+'[6]DSV-3'!AT60+'[7]TUB-1'!AT60+'[7]TUB-2'!AT60+'[8]Barge-1'!AT60+'[8]Barge-2'!AT60+'[8]Barge-3'!AT60+'[8]Barge-4'!AT60</f>
        <v>0</v>
      </c>
      <c r="D62" s="179"/>
      <c r="E62" s="180"/>
      <c r="F62" s="178">
        <f>'[2]AHTS-1'!AU60+'[2]AHTS-2'!AU60+'[2]AHTS-3'!AU60+'[2]AHTS-4'!AU60+'[2]AHTS-5'!AU60+'[2]AHTS-6'!AU60+'[3]CB-1'!AU60+'[3]CB-2'!AU60+'[3]CB-3'!AU60+'[3]CB-4'!AU60+'[3]CB-5'!AU60+'[3]CB-6'!AU60+'[3]CB-7'!AU60+'[3]CB-8'!AU60+'[3]CB-9'!AU60+'[3]CB-10'!AU60+'[3]CB-11'!AU60+'[3]CB-12'!AU60+'[3]CB-13'!AU60+'[3]CB-14'!AU60+'[3]CB-15'!AU60+'[3]CB-16'!AU60+'[4]LCT-1'!AU60+'[4]LCT-2'!AU60+'[4]LCT-3'!AU60+'[4]LCT-4'!AU60+'[4]LCT-5'!AU60+'[4]LCT-6'!AU60+'[4]LCT-7'!AU60+'[4]LCT-8'!AU60+'[5]TB-1'!AU60+'[5]TB-2'!AU60+'[5]TB-3'!AU60+'[5]TB-4'!AU60+'[5]TB-5'!AU60+'[5]TB-6'!AU60+'[5]TB-7'!AU60+'[5]TB-8'!AU60+'[5]TB-9'!AU60+'[5]TB-10'!AU60+'[6]DSV-1'!AU60+'[6]DSV-2'!AU60+'[6]DSV-3'!AU60+'[7]TUB-1'!AU60+'[7]TUB-2'!AU60+'[8]Barge-1'!AU60+'[8]Barge-2'!AU60+'[8]Barge-3'!AU60+'[8]Barge-4'!AU60</f>
        <v>2363</v>
      </c>
      <c r="G62" s="179"/>
      <c r="H62" s="180"/>
      <c r="K62" s="112"/>
      <c r="L62" s="112"/>
      <c r="M62" s="112"/>
      <c r="N62" s="112"/>
      <c r="O62" s="112"/>
      <c r="P62" s="112"/>
      <c r="Q62" s="112"/>
      <c r="R62" s="112"/>
      <c r="S62" s="112"/>
      <c r="T62" s="112"/>
    </row>
    <row r="63" spans="1:79" s="94" customFormat="1" ht="15" customHeight="1" x14ac:dyDescent="0.25">
      <c r="A63" s="130">
        <f t="shared" si="2"/>
        <v>45998</v>
      </c>
      <c r="B63" s="131"/>
      <c r="C63" s="178">
        <f>'[2]AHTS-1'!AT61+'[2]AHTS-2'!AT61+'[2]AHTS-3'!AT61+'[2]AHTS-4'!AT61+'[2]AHTS-5'!AT61+'[2]AHTS-6'!AT61+'[3]CB-1'!AT61+'[3]CB-2'!AT61+'[3]CB-3'!AT61+'[3]CB-4'!AT61+'[3]CB-5'!AT61+'[3]CB-6'!AT61+'[3]CB-7'!AT61+'[3]CB-8'!AT61+'[3]CB-9'!AT61+'[3]CB-10'!AT61+'[3]CB-11'!AT61+'[3]CB-12'!AT61+'[3]CB-13'!AT61+'[3]CB-14'!AT61+'[3]CB-15'!AT61+'[3]CB-16'!AT61+'[4]LCT-1'!AT61+'[4]LCT-2'!AT61+'[4]LCT-3'!AT61+'[4]LCT-4'!AT61+'[4]LCT-5'!AT61+'[4]LCT-6'!AT61+'[4]LCT-7'!AT61+'[4]LCT-8'!AT61+'[5]TB-1'!AT61+'[5]TB-2'!AT61+'[5]TB-3'!AT61+'[5]TB-4'!AT61+'[5]TB-5'!AT61+'[5]TB-6'!AT61+'[5]TB-7'!AT61+'[5]TB-8'!AT61+'[5]TB-9'!AT61+'[5]TB-10'!AT61+'[6]DSV-1'!AT61+'[6]DSV-2'!AT61+'[6]DSV-3'!AT61+'[7]TUB-1'!AT61+'[7]TUB-2'!AT61+'[8]Barge-1'!AT61+'[8]Barge-2'!AT61+'[8]Barge-3'!AT61+'[8]Barge-4'!AT61</f>
        <v>0</v>
      </c>
      <c r="D63" s="179"/>
      <c r="E63" s="180"/>
      <c r="F63" s="178">
        <f>'[2]AHTS-1'!AU61+'[2]AHTS-2'!AU61+'[2]AHTS-3'!AU61+'[2]AHTS-4'!AU61+'[2]AHTS-5'!AU61+'[2]AHTS-6'!AU61+'[3]CB-1'!AU61+'[3]CB-2'!AU61+'[3]CB-3'!AU61+'[3]CB-4'!AU61+'[3]CB-5'!AU61+'[3]CB-6'!AU61+'[3]CB-7'!AU61+'[3]CB-8'!AU61+'[3]CB-9'!AU61+'[3]CB-10'!AU61+'[3]CB-11'!AU61+'[3]CB-12'!AU61+'[3]CB-13'!AU61+'[3]CB-14'!AU61+'[3]CB-15'!AU61+'[3]CB-16'!AU61+'[4]LCT-1'!AU61+'[4]LCT-2'!AU61+'[4]LCT-3'!AU61+'[4]LCT-4'!AU61+'[4]LCT-5'!AU61+'[4]LCT-6'!AU61+'[4]LCT-7'!AU61+'[4]LCT-8'!AU61+'[5]TB-1'!AU61+'[5]TB-2'!AU61+'[5]TB-3'!AU61+'[5]TB-4'!AU61+'[5]TB-5'!AU61+'[5]TB-6'!AU61+'[5]TB-7'!AU61+'[5]TB-8'!AU61+'[5]TB-9'!AU61+'[5]TB-10'!AU61+'[6]DSV-1'!AU61+'[6]DSV-2'!AU61+'[6]DSV-3'!AU61+'[7]TUB-1'!AU61+'[7]TUB-2'!AU61+'[8]Barge-1'!AU61+'[8]Barge-2'!AU61+'[8]Barge-3'!AU61+'[8]Barge-4'!AU61</f>
        <v>1809.9999999999998</v>
      </c>
      <c r="G63" s="179"/>
      <c r="H63" s="180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</row>
    <row r="64" spans="1:79" s="100" customFormat="1" ht="15" customHeight="1" x14ac:dyDescent="0.25">
      <c r="A64" s="130">
        <f t="shared" si="2"/>
        <v>45999</v>
      </c>
      <c r="B64" s="134"/>
      <c r="C64" s="178">
        <f>'[2]AHTS-1'!AT62+'[2]AHTS-2'!AT62+'[2]AHTS-3'!AT62+'[2]AHTS-4'!AT62+'[2]AHTS-5'!AT62+'[2]AHTS-6'!AT62+'[3]CB-1'!AT62+'[3]CB-2'!AT62+'[3]CB-3'!AT62+'[3]CB-4'!AT62+'[3]CB-5'!AT62+'[3]CB-6'!AT62+'[3]CB-7'!AT62+'[3]CB-8'!AT62+'[3]CB-9'!AT62+'[3]CB-10'!AT62+'[3]CB-11'!AT62+'[3]CB-12'!AT62+'[3]CB-13'!AT62+'[3]CB-14'!AT62+'[3]CB-15'!AT62+'[3]CB-16'!AT62+'[4]LCT-1'!AT62+'[4]LCT-2'!AT62+'[4]LCT-3'!AT62+'[4]LCT-4'!AT62+'[4]LCT-5'!AT62+'[4]LCT-6'!AT62+'[4]LCT-7'!AT62+'[4]LCT-8'!AT62+'[5]TB-1'!AT62+'[5]TB-2'!AT62+'[5]TB-3'!AT62+'[5]TB-4'!AT62+'[5]TB-5'!AT62+'[5]TB-6'!AT62+'[5]TB-7'!AT62+'[5]TB-8'!AT62+'[5]TB-9'!AT62+'[5]TB-10'!AT62+'[6]DSV-1'!AT62+'[6]DSV-2'!AT62+'[6]DSV-3'!AT62+'[7]TUB-1'!AT62+'[7]TUB-2'!AT62+'[8]Barge-1'!AT62+'[8]Barge-2'!AT62+'[8]Barge-3'!AT62+'[8]Barge-4'!AT62</f>
        <v>0</v>
      </c>
      <c r="D64" s="179"/>
      <c r="E64" s="180"/>
      <c r="F64" s="178">
        <f>'[2]AHTS-1'!AU62+'[2]AHTS-2'!AU62+'[2]AHTS-3'!AU62+'[2]AHTS-4'!AU62+'[2]AHTS-5'!AU62+'[2]AHTS-6'!AU62+'[3]CB-1'!AU62+'[3]CB-2'!AU62+'[3]CB-3'!AU62+'[3]CB-4'!AU62+'[3]CB-5'!AU62+'[3]CB-6'!AU62+'[3]CB-7'!AU62+'[3]CB-8'!AU62+'[3]CB-9'!AU62+'[3]CB-10'!AU62+'[3]CB-11'!AU62+'[3]CB-12'!AU62+'[3]CB-13'!AU62+'[3]CB-14'!AU62+'[3]CB-15'!AU62+'[3]CB-16'!AU62+'[4]LCT-1'!AU62+'[4]LCT-2'!AU62+'[4]LCT-3'!AU62+'[4]LCT-4'!AU62+'[4]LCT-5'!AU62+'[4]LCT-6'!AU62+'[4]LCT-7'!AU62+'[4]LCT-8'!AU62+'[5]TB-1'!AU62+'[5]TB-2'!AU62+'[5]TB-3'!AU62+'[5]TB-4'!AU62+'[5]TB-5'!AU62+'[5]TB-6'!AU62+'[5]TB-7'!AU62+'[5]TB-8'!AU62+'[5]TB-9'!AU62+'[5]TB-10'!AU62+'[6]DSV-1'!AU62+'[6]DSV-2'!AU62+'[6]DSV-3'!AU62+'[7]TUB-1'!AU62+'[7]TUB-2'!AU62+'[8]Barge-1'!AU62+'[8]Barge-2'!AU62+'[8]Barge-3'!AU62+'[8]Barge-4'!AU62</f>
        <v>2172.25</v>
      </c>
      <c r="G64" s="179"/>
      <c r="H64" s="180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4"/>
      <c r="BG64" s="94"/>
      <c r="BH64" s="94"/>
      <c r="BI64" s="94"/>
      <c r="BJ64" s="94"/>
      <c r="BK64" s="94"/>
      <c r="BL64" s="94"/>
      <c r="BM64" s="94"/>
      <c r="BN64" s="94"/>
      <c r="BO64" s="94"/>
      <c r="BP64" s="94"/>
      <c r="BQ64" s="94"/>
      <c r="BR64" s="94"/>
      <c r="BS64" s="94"/>
      <c r="BT64" s="94"/>
      <c r="BU64" s="94"/>
      <c r="BV64" s="94"/>
      <c r="BW64" s="94"/>
      <c r="BX64" s="94"/>
      <c r="BY64" s="94"/>
      <c r="BZ64" s="94"/>
      <c r="CA64" s="94"/>
    </row>
    <row r="65" spans="1:79" s="100" customFormat="1" ht="15" customHeight="1" x14ac:dyDescent="0.25">
      <c r="A65" s="130">
        <f t="shared" si="2"/>
        <v>46000</v>
      </c>
      <c r="B65" s="134"/>
      <c r="C65" s="178">
        <f>'[2]AHTS-1'!AT63+'[2]AHTS-2'!AT63+'[2]AHTS-3'!AT63+'[2]AHTS-4'!AT63+'[2]AHTS-5'!AT63+'[2]AHTS-6'!AT63+'[3]CB-1'!AT63+'[3]CB-2'!AT63+'[3]CB-3'!AT63+'[3]CB-4'!AT63+'[3]CB-5'!AT63+'[3]CB-6'!AT63+'[3]CB-7'!AT63+'[3]CB-8'!AT63+'[3]CB-9'!AT63+'[3]CB-10'!AT63+'[3]CB-11'!AT63+'[3]CB-12'!AT63+'[3]CB-13'!AT63+'[3]CB-14'!AT63+'[3]CB-15'!AT63+'[3]CB-16'!AT63+'[4]LCT-1'!AT63+'[4]LCT-2'!AT63+'[4]LCT-3'!AT63+'[4]LCT-4'!AT63+'[4]LCT-5'!AT63+'[4]LCT-6'!AT63+'[4]LCT-7'!AT63+'[4]LCT-8'!AT63+'[5]TB-1'!AT63+'[5]TB-2'!AT63+'[5]TB-3'!AT63+'[5]TB-4'!AT63+'[5]TB-5'!AT63+'[5]TB-6'!AT63+'[5]TB-7'!AT63+'[5]TB-8'!AT63+'[5]TB-9'!AT63+'[5]TB-10'!AT63+'[6]DSV-1'!AT63+'[6]DSV-2'!AT63+'[6]DSV-3'!AT63+'[7]TUB-1'!AT63+'[7]TUB-2'!AT63+'[8]Barge-1'!AT63+'[8]Barge-2'!AT63+'[8]Barge-3'!AT63+'[8]Barge-4'!AT63</f>
        <v>0</v>
      </c>
      <c r="D65" s="179"/>
      <c r="E65" s="180"/>
      <c r="F65" s="178">
        <f>'[2]AHTS-1'!AU63+'[2]AHTS-2'!AU63+'[2]AHTS-3'!AU63+'[2]AHTS-4'!AU63+'[2]AHTS-5'!AU63+'[2]AHTS-6'!AU63+'[3]CB-1'!AU63+'[3]CB-2'!AU63+'[3]CB-3'!AU63+'[3]CB-4'!AU63+'[3]CB-5'!AU63+'[3]CB-6'!AU63+'[3]CB-7'!AU63+'[3]CB-8'!AU63+'[3]CB-9'!AU63+'[3]CB-10'!AU63+'[3]CB-11'!AU63+'[3]CB-12'!AU63+'[3]CB-13'!AU63+'[3]CB-14'!AU63+'[3]CB-15'!AU63+'[3]CB-16'!AU63+'[4]LCT-1'!AU63+'[4]LCT-2'!AU63+'[4]LCT-3'!AU63+'[4]LCT-4'!AU63+'[4]LCT-5'!AU63+'[4]LCT-6'!AU63+'[4]LCT-7'!AU63+'[4]LCT-8'!AU63+'[5]TB-1'!AU63+'[5]TB-2'!AU63+'[5]TB-3'!AU63+'[5]TB-4'!AU63+'[5]TB-5'!AU63+'[5]TB-6'!AU63+'[5]TB-7'!AU63+'[5]TB-8'!AU63+'[5]TB-9'!AU63+'[5]TB-10'!AU63+'[6]DSV-1'!AU63+'[6]DSV-2'!AU63+'[6]DSV-3'!AU63+'[7]TUB-1'!AU63+'[7]TUB-2'!AU63+'[8]Barge-1'!AU63+'[8]Barge-2'!AU63+'[8]Barge-3'!AU63+'[8]Barge-4'!AU63</f>
        <v>2615.166666666667</v>
      </c>
      <c r="G65" s="179"/>
      <c r="H65" s="180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94"/>
      <c r="BH65" s="94"/>
      <c r="BI65" s="94"/>
      <c r="BJ65" s="94"/>
      <c r="BK65" s="94"/>
      <c r="BL65" s="94"/>
      <c r="BM65" s="94"/>
      <c r="BN65" s="94"/>
      <c r="BO65" s="94"/>
      <c r="BP65" s="94"/>
      <c r="BQ65" s="94"/>
      <c r="BR65" s="94"/>
      <c r="BS65" s="94"/>
      <c r="BT65" s="94"/>
      <c r="BU65" s="94"/>
      <c r="BV65" s="94"/>
      <c r="BW65" s="94"/>
      <c r="BX65" s="94"/>
      <c r="BY65" s="94"/>
      <c r="BZ65" s="94"/>
      <c r="CA65" s="94"/>
    </row>
    <row r="66" spans="1:79" s="100" customFormat="1" ht="15" customHeight="1" x14ac:dyDescent="0.25">
      <c r="A66" s="130">
        <f t="shared" si="2"/>
        <v>46001</v>
      </c>
      <c r="B66" s="131"/>
      <c r="C66" s="178">
        <f>'[2]AHTS-1'!AT64+'[2]AHTS-2'!AT64+'[2]AHTS-3'!AT64+'[2]AHTS-4'!AT64+'[2]AHTS-5'!AT64+'[2]AHTS-6'!AT64+'[3]CB-1'!AT64+'[3]CB-2'!AT64+'[3]CB-3'!AT64+'[3]CB-4'!AT64+'[3]CB-5'!AT64+'[3]CB-6'!AT64+'[3]CB-7'!AT64+'[3]CB-8'!AT64+'[3]CB-9'!AT64+'[3]CB-10'!AT64+'[3]CB-11'!AT64+'[3]CB-12'!AT64+'[3]CB-13'!AT64+'[3]CB-14'!AT64+'[3]CB-15'!AT64+'[3]CB-16'!AT64+'[4]LCT-1'!AT64+'[4]LCT-2'!AT64+'[4]LCT-3'!AT64+'[4]LCT-4'!AT64+'[4]LCT-5'!AT64+'[4]LCT-6'!AT64+'[4]LCT-7'!AT64+'[4]LCT-8'!AT64+'[5]TB-1'!AT64+'[5]TB-2'!AT64+'[5]TB-3'!AT64+'[5]TB-4'!AT64+'[5]TB-5'!AT64+'[5]TB-6'!AT64+'[5]TB-7'!AT64+'[5]TB-8'!AT64+'[5]TB-9'!AT64+'[5]TB-10'!AT64+'[6]DSV-1'!AT64+'[6]DSV-2'!AT64+'[6]DSV-3'!AT64+'[7]TUB-1'!AT64+'[7]TUB-2'!AT64+'[8]Barge-1'!AT64+'[8]Barge-2'!AT64+'[8]Barge-3'!AT64+'[8]Barge-4'!AT64</f>
        <v>0</v>
      </c>
      <c r="D66" s="179"/>
      <c r="E66" s="180"/>
      <c r="F66" s="178">
        <f>'[2]AHTS-1'!AU64+'[2]AHTS-2'!AU64+'[2]AHTS-3'!AU64+'[2]AHTS-4'!AU64+'[2]AHTS-5'!AU64+'[2]AHTS-6'!AU64+'[3]CB-1'!AU64+'[3]CB-2'!AU64+'[3]CB-3'!AU64+'[3]CB-4'!AU64+'[3]CB-5'!AU64+'[3]CB-6'!AU64+'[3]CB-7'!AU64+'[3]CB-8'!AU64+'[3]CB-9'!AU64+'[3]CB-10'!AU64+'[3]CB-11'!AU64+'[3]CB-12'!AU64+'[3]CB-13'!AU64+'[3]CB-14'!AU64+'[3]CB-15'!AU64+'[3]CB-16'!AU64+'[4]LCT-1'!AU64+'[4]LCT-2'!AU64+'[4]LCT-3'!AU64+'[4]LCT-4'!AU64+'[4]LCT-5'!AU64+'[4]LCT-6'!AU64+'[4]LCT-7'!AU64+'[4]LCT-8'!AU64+'[5]TB-1'!AU64+'[5]TB-2'!AU64+'[5]TB-3'!AU64+'[5]TB-4'!AU64+'[5]TB-5'!AU64+'[5]TB-6'!AU64+'[5]TB-7'!AU64+'[5]TB-8'!AU64+'[5]TB-9'!AU64+'[5]TB-10'!AU64+'[6]DSV-1'!AU64+'[6]DSV-2'!AU64+'[6]DSV-3'!AU64+'[7]TUB-1'!AU64+'[7]TUB-2'!AU64+'[8]Barge-1'!AU64+'[8]Barge-2'!AU64+'[8]Barge-3'!AU64+'[8]Barge-4'!AU64</f>
        <v>3991.25</v>
      </c>
      <c r="G66" s="179"/>
      <c r="H66" s="180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94"/>
      <c r="BH66" s="94"/>
      <c r="BI66" s="94"/>
      <c r="BJ66" s="94"/>
      <c r="BK66" s="94"/>
      <c r="BL66" s="94"/>
      <c r="BM66" s="94"/>
      <c r="BN66" s="94"/>
      <c r="BO66" s="94"/>
      <c r="BP66" s="94"/>
      <c r="BQ66" s="94"/>
      <c r="BR66" s="94"/>
      <c r="BS66" s="94"/>
      <c r="BT66" s="94"/>
      <c r="BU66" s="94"/>
      <c r="BV66" s="94"/>
      <c r="BW66" s="94"/>
      <c r="BX66" s="94"/>
      <c r="BY66" s="94"/>
      <c r="BZ66" s="94"/>
      <c r="CA66" s="94"/>
    </row>
    <row r="67" spans="1:79" s="100" customFormat="1" ht="15" customHeight="1" x14ac:dyDescent="0.25">
      <c r="A67" s="130">
        <f t="shared" si="2"/>
        <v>46002</v>
      </c>
      <c r="B67" s="131"/>
      <c r="C67" s="178">
        <f>'[2]AHTS-1'!AT65+'[2]AHTS-2'!AT65+'[2]AHTS-3'!AT65+'[2]AHTS-4'!AT65+'[2]AHTS-5'!AT65+'[2]AHTS-6'!AT65+'[3]CB-1'!AT65+'[3]CB-2'!AT65+'[3]CB-3'!AT65+'[3]CB-4'!AT65+'[3]CB-5'!AT65+'[3]CB-6'!AT65+'[3]CB-7'!AT65+'[3]CB-8'!AT65+'[3]CB-9'!AT65+'[3]CB-10'!AT65+'[3]CB-11'!AT65+'[3]CB-12'!AT65+'[3]CB-13'!AT65+'[3]CB-14'!AT65+'[3]CB-15'!AT65+'[3]CB-16'!AT65+'[4]LCT-1'!AT65+'[4]LCT-2'!AT65+'[4]LCT-3'!AT65+'[4]LCT-4'!AT65+'[4]LCT-5'!AT65+'[4]LCT-6'!AT65+'[4]LCT-7'!AT65+'[4]LCT-8'!AT65+'[5]TB-1'!AT65+'[5]TB-2'!AT65+'[5]TB-3'!AT65+'[5]TB-4'!AT65+'[5]TB-5'!AT65+'[5]TB-6'!AT65+'[5]TB-7'!AT65+'[5]TB-8'!AT65+'[5]TB-9'!AT65+'[5]TB-10'!AT65+'[6]DSV-1'!AT65+'[6]DSV-2'!AT65+'[6]DSV-3'!AT65+'[7]TUB-1'!AT65+'[7]TUB-2'!AT65+'[8]Barge-1'!AT65+'[8]Barge-2'!AT65+'[8]Barge-3'!AT65+'[8]Barge-4'!AT65</f>
        <v>0</v>
      </c>
      <c r="D67" s="179"/>
      <c r="E67" s="180"/>
      <c r="F67" s="178">
        <f>'[2]AHTS-1'!AU65+'[2]AHTS-2'!AU65+'[2]AHTS-3'!AU65+'[2]AHTS-4'!AU65+'[2]AHTS-5'!AU65+'[2]AHTS-6'!AU65+'[3]CB-1'!AU65+'[3]CB-2'!AU65+'[3]CB-3'!AU65+'[3]CB-4'!AU65+'[3]CB-5'!AU65+'[3]CB-6'!AU65+'[3]CB-7'!AU65+'[3]CB-8'!AU65+'[3]CB-9'!AU65+'[3]CB-10'!AU65+'[3]CB-11'!AU65+'[3]CB-12'!AU65+'[3]CB-13'!AU65+'[3]CB-14'!AU65+'[3]CB-15'!AU65+'[3]CB-16'!AU65+'[4]LCT-1'!AU65+'[4]LCT-2'!AU65+'[4]LCT-3'!AU65+'[4]LCT-4'!AU65+'[4]LCT-5'!AU65+'[4]LCT-6'!AU65+'[4]LCT-7'!AU65+'[4]LCT-8'!AU65+'[5]TB-1'!AU65+'[5]TB-2'!AU65+'[5]TB-3'!AU65+'[5]TB-4'!AU65+'[5]TB-5'!AU65+'[5]TB-6'!AU65+'[5]TB-7'!AU65+'[5]TB-8'!AU65+'[5]TB-9'!AU65+'[5]TB-10'!AU65+'[6]DSV-1'!AU65+'[6]DSV-2'!AU65+'[6]DSV-3'!AU65+'[7]TUB-1'!AU65+'[7]TUB-2'!AU65+'[8]Barge-1'!AU65+'[8]Barge-2'!AU65+'[8]Barge-3'!AU65+'[8]Barge-4'!AU65</f>
        <v>3722</v>
      </c>
      <c r="G67" s="179"/>
      <c r="H67" s="180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  <c r="AS67" s="94"/>
      <c r="AT67" s="94"/>
      <c r="AU67" s="94"/>
      <c r="AV67" s="94"/>
      <c r="AW67" s="94"/>
      <c r="AX67" s="94"/>
      <c r="AY67" s="94"/>
      <c r="AZ67" s="94"/>
      <c r="BA67" s="94"/>
      <c r="BB67" s="94"/>
      <c r="BC67" s="94"/>
      <c r="BD67" s="94"/>
      <c r="BE67" s="94"/>
      <c r="BF67" s="94"/>
      <c r="BG67" s="94"/>
      <c r="BH67" s="94"/>
      <c r="BI67" s="94"/>
      <c r="BJ67" s="94"/>
      <c r="BK67" s="94"/>
      <c r="BL67" s="94"/>
      <c r="BM67" s="94"/>
      <c r="BN67" s="94"/>
      <c r="BO67" s="94"/>
      <c r="BP67" s="94"/>
      <c r="BQ67" s="94"/>
      <c r="BR67" s="94"/>
      <c r="BS67" s="94"/>
      <c r="BT67" s="94"/>
      <c r="BU67" s="94"/>
      <c r="BV67" s="94"/>
      <c r="BW67" s="94"/>
      <c r="BX67" s="94"/>
      <c r="BY67" s="94"/>
      <c r="BZ67" s="94"/>
      <c r="CA67" s="94"/>
    </row>
    <row r="68" spans="1:79" s="100" customFormat="1" ht="15" customHeight="1" x14ac:dyDescent="0.25">
      <c r="A68" s="130">
        <f t="shared" si="2"/>
        <v>46003</v>
      </c>
      <c r="B68" s="131"/>
      <c r="C68" s="178">
        <f>'[2]AHTS-1'!AT66+'[2]AHTS-2'!AT66+'[2]AHTS-3'!AT66+'[2]AHTS-4'!AT66+'[2]AHTS-5'!AT66+'[2]AHTS-6'!AT66+'[3]CB-1'!AT66+'[3]CB-2'!AT66+'[3]CB-3'!AT66+'[3]CB-4'!AT66+'[3]CB-5'!AT66+'[3]CB-6'!AT66+'[3]CB-7'!AT66+'[3]CB-8'!AT66+'[3]CB-9'!AT66+'[3]CB-10'!AT66+'[3]CB-11'!AT66+'[3]CB-12'!AT66+'[3]CB-13'!AT66+'[3]CB-14'!AT66+'[3]CB-15'!AT66+'[3]CB-16'!AT66+'[4]LCT-1'!AT66+'[4]LCT-2'!AT66+'[4]LCT-3'!AT66+'[4]LCT-4'!AT66+'[4]LCT-5'!AT66+'[4]LCT-6'!AT66+'[4]LCT-7'!AT66+'[4]LCT-8'!AT66+'[5]TB-1'!AT66+'[5]TB-2'!AT66+'[5]TB-3'!AT66+'[5]TB-4'!AT66+'[5]TB-5'!AT66+'[5]TB-6'!AT66+'[5]TB-7'!AT66+'[5]TB-8'!AT66+'[5]TB-9'!AT66+'[5]TB-10'!AT66+'[6]DSV-1'!AT66+'[6]DSV-2'!AT66+'[6]DSV-3'!AT66+'[7]TUB-1'!AT66+'[7]TUB-2'!AT66+'[8]Barge-1'!AT66+'[8]Barge-2'!AT66+'[8]Barge-3'!AT66+'[8]Barge-4'!AT66</f>
        <v>0</v>
      </c>
      <c r="D68" s="179"/>
      <c r="E68" s="180"/>
      <c r="F68" s="178">
        <f>'[2]AHTS-1'!AU66+'[2]AHTS-2'!AU66+'[2]AHTS-3'!AU66+'[2]AHTS-4'!AU66+'[2]AHTS-5'!AU66+'[2]AHTS-6'!AU66+'[3]CB-1'!AU66+'[3]CB-2'!AU66+'[3]CB-3'!AU66+'[3]CB-4'!AU66+'[3]CB-5'!AU66+'[3]CB-6'!AU66+'[3]CB-7'!AU66+'[3]CB-8'!AU66+'[3]CB-9'!AU66+'[3]CB-10'!AU66+'[3]CB-11'!AU66+'[3]CB-12'!AU66+'[3]CB-13'!AU66+'[3]CB-14'!AU66+'[3]CB-15'!AU66+'[3]CB-16'!AU66+'[4]LCT-1'!AU66+'[4]LCT-2'!AU66+'[4]LCT-3'!AU66+'[4]LCT-4'!AU66+'[4]LCT-5'!AU66+'[4]LCT-6'!AU66+'[4]LCT-7'!AU66+'[4]LCT-8'!AU66+'[5]TB-1'!AU66+'[5]TB-2'!AU66+'[5]TB-3'!AU66+'[5]TB-4'!AU66+'[5]TB-5'!AU66+'[5]TB-6'!AU66+'[5]TB-7'!AU66+'[5]TB-8'!AU66+'[5]TB-9'!AU66+'[5]TB-10'!AU66+'[6]DSV-1'!AU66+'[6]DSV-2'!AU66+'[6]DSV-3'!AU66+'[7]TUB-1'!AU66+'[7]TUB-2'!AU66+'[8]Barge-1'!AU66+'[8]Barge-2'!AU66+'[8]Barge-3'!AU66+'[8]Barge-4'!AU66</f>
        <v>3546</v>
      </c>
      <c r="G68" s="179"/>
      <c r="H68" s="180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  <c r="AS68" s="94"/>
      <c r="AT68" s="94"/>
      <c r="AU68" s="94"/>
      <c r="AV68" s="94"/>
      <c r="AW68" s="94"/>
      <c r="AX68" s="94"/>
      <c r="AY68" s="94"/>
      <c r="AZ68" s="94"/>
      <c r="BA68" s="94"/>
      <c r="BB68" s="94"/>
      <c r="BC68" s="94"/>
      <c r="BD68" s="94"/>
      <c r="BE68" s="94"/>
      <c r="BF68" s="94"/>
      <c r="BG68" s="94"/>
      <c r="BH68" s="94"/>
      <c r="BI68" s="94"/>
      <c r="BJ68" s="94"/>
      <c r="BK68" s="94"/>
      <c r="BL68" s="94"/>
      <c r="BM68" s="94"/>
      <c r="BN68" s="94"/>
      <c r="BO68" s="94"/>
      <c r="BP68" s="94"/>
      <c r="BQ68" s="94"/>
      <c r="BR68" s="94"/>
      <c r="BS68" s="94"/>
      <c r="BT68" s="94"/>
      <c r="BU68" s="94"/>
      <c r="BV68" s="94"/>
      <c r="BW68" s="94"/>
      <c r="BX68" s="94"/>
      <c r="BY68" s="94"/>
      <c r="BZ68" s="94"/>
      <c r="CA68" s="94"/>
    </row>
    <row r="69" spans="1:79" s="100" customFormat="1" ht="15" customHeight="1" x14ac:dyDescent="0.25">
      <c r="A69" s="130">
        <f t="shared" si="2"/>
        <v>46004</v>
      </c>
      <c r="B69" s="131"/>
      <c r="C69" s="178">
        <f>'[2]AHTS-1'!AT67+'[2]AHTS-2'!AT67+'[2]AHTS-3'!AT67+'[2]AHTS-4'!AT67+'[2]AHTS-5'!AT67+'[2]AHTS-6'!AT67+'[3]CB-1'!AT67+'[3]CB-2'!AT67+'[3]CB-3'!AT67+'[3]CB-4'!AT67+'[3]CB-5'!AT67+'[3]CB-6'!AT67+'[3]CB-7'!AT67+'[3]CB-8'!AT67+'[3]CB-9'!AT67+'[3]CB-10'!AT67+'[3]CB-11'!AT67+'[3]CB-12'!AT67+'[3]CB-13'!AT67+'[3]CB-14'!AT67+'[3]CB-15'!AT67+'[3]CB-16'!AT67+'[4]LCT-1'!AT67+'[4]LCT-2'!AT67+'[4]LCT-3'!AT67+'[4]LCT-4'!AT67+'[4]LCT-5'!AT67+'[4]LCT-6'!AT67+'[4]LCT-7'!AT67+'[4]LCT-8'!AT67+'[5]TB-1'!AT67+'[5]TB-2'!AT67+'[5]TB-3'!AT67+'[5]TB-4'!AT67+'[5]TB-5'!AT67+'[5]TB-6'!AT67+'[5]TB-7'!AT67+'[5]TB-8'!AT67+'[5]TB-9'!AT67+'[5]TB-10'!AT67+'[6]DSV-1'!AT67+'[6]DSV-2'!AT67+'[6]DSV-3'!AT67+'[7]TUB-1'!AT67+'[7]TUB-2'!AT67+'[8]Barge-1'!AT67+'[8]Barge-2'!AT67+'[8]Barge-3'!AT67+'[8]Barge-4'!AT67</f>
        <v>0</v>
      </c>
      <c r="D69" s="179"/>
      <c r="E69" s="180"/>
      <c r="F69" s="178">
        <f>'[2]AHTS-1'!AU67+'[2]AHTS-2'!AU67+'[2]AHTS-3'!AU67+'[2]AHTS-4'!AU67+'[2]AHTS-5'!AU67+'[2]AHTS-6'!AU67+'[3]CB-1'!AU67+'[3]CB-2'!AU67+'[3]CB-3'!AU67+'[3]CB-4'!AU67+'[3]CB-5'!AU67+'[3]CB-6'!AU67+'[3]CB-7'!AU67+'[3]CB-8'!AU67+'[3]CB-9'!AU67+'[3]CB-10'!AU67+'[3]CB-11'!AU67+'[3]CB-12'!AU67+'[3]CB-13'!AU67+'[3]CB-14'!AU67+'[3]CB-15'!AU67+'[3]CB-16'!AU67+'[4]LCT-1'!AU67+'[4]LCT-2'!AU67+'[4]LCT-3'!AU67+'[4]LCT-4'!AU67+'[4]LCT-5'!AU67+'[4]LCT-6'!AU67+'[4]LCT-7'!AU67+'[4]LCT-8'!AU67+'[5]TB-1'!AU67+'[5]TB-2'!AU67+'[5]TB-3'!AU67+'[5]TB-4'!AU67+'[5]TB-5'!AU67+'[5]TB-6'!AU67+'[5]TB-7'!AU67+'[5]TB-8'!AU67+'[5]TB-9'!AU67+'[5]TB-10'!AU67+'[6]DSV-1'!AU67+'[6]DSV-2'!AU67+'[6]DSV-3'!AU67+'[7]TUB-1'!AU67+'[7]TUB-2'!AU67+'[8]Barge-1'!AU67+'[8]Barge-2'!AU67+'[8]Barge-3'!AU67+'[8]Barge-4'!AU67</f>
        <v>2124.3333333333335</v>
      </c>
      <c r="G69" s="179"/>
      <c r="H69" s="180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  <c r="AS69" s="94"/>
      <c r="AT69" s="94"/>
      <c r="AU69" s="94"/>
      <c r="AV69" s="94"/>
      <c r="AW69" s="94"/>
      <c r="AX69" s="94"/>
      <c r="AY69" s="94"/>
      <c r="AZ69" s="94"/>
      <c r="BA69" s="94"/>
      <c r="BB69" s="94"/>
      <c r="BC69" s="94"/>
      <c r="BD69" s="94"/>
      <c r="BE69" s="94"/>
      <c r="BF69" s="94"/>
      <c r="BG69" s="94"/>
      <c r="BH69" s="94"/>
      <c r="BI69" s="94"/>
      <c r="BJ69" s="94"/>
      <c r="BK69" s="94"/>
      <c r="BL69" s="94"/>
      <c r="BM69" s="94"/>
      <c r="BN69" s="94"/>
      <c r="BO69" s="94"/>
      <c r="BP69" s="94"/>
      <c r="BQ69" s="94"/>
      <c r="BR69" s="94"/>
      <c r="BS69" s="94"/>
      <c r="BT69" s="94"/>
      <c r="BU69" s="94"/>
      <c r="BV69" s="94"/>
      <c r="BW69" s="94"/>
      <c r="BX69" s="94"/>
      <c r="BY69" s="94"/>
      <c r="BZ69" s="94"/>
      <c r="CA69" s="94"/>
    </row>
    <row r="70" spans="1:79" s="100" customFormat="1" ht="15" customHeight="1" x14ac:dyDescent="0.25">
      <c r="A70" s="130">
        <f t="shared" si="2"/>
        <v>46005</v>
      </c>
      <c r="B70" s="131"/>
      <c r="C70" s="178">
        <f>'[2]AHTS-1'!AT68+'[2]AHTS-2'!AT68+'[2]AHTS-3'!AT68+'[2]AHTS-4'!AT68+'[2]AHTS-5'!AT68+'[2]AHTS-6'!AT68+'[3]CB-1'!AT68+'[3]CB-2'!AT68+'[3]CB-3'!AT68+'[3]CB-4'!AT68+'[3]CB-5'!AT68+'[3]CB-6'!AT68+'[3]CB-7'!AT68+'[3]CB-8'!AT68+'[3]CB-9'!AT68+'[3]CB-10'!AT68+'[3]CB-11'!AT68+'[3]CB-12'!AT68+'[3]CB-13'!AT68+'[3]CB-14'!AT68+'[3]CB-15'!AT68+'[3]CB-16'!AT68+'[4]LCT-1'!AT68+'[4]LCT-2'!AT68+'[4]LCT-3'!AT68+'[4]LCT-4'!AT68+'[4]LCT-5'!AT68+'[4]LCT-6'!AT68+'[4]LCT-7'!AT68+'[4]LCT-8'!AT68+'[5]TB-1'!AT68+'[5]TB-2'!AT68+'[5]TB-3'!AT68+'[5]TB-4'!AT68+'[5]TB-5'!AT68+'[5]TB-6'!AT68+'[5]TB-7'!AT68+'[5]TB-8'!AT68+'[5]TB-9'!AT68+'[5]TB-10'!AT68+'[6]DSV-1'!AT68+'[6]DSV-2'!AT68+'[6]DSV-3'!AT68+'[7]TUB-1'!AT68+'[7]TUB-2'!AT68+'[8]Barge-1'!AT68+'[8]Barge-2'!AT68+'[8]Barge-3'!AT68+'[8]Barge-4'!AT68</f>
        <v>0</v>
      </c>
      <c r="D70" s="179"/>
      <c r="E70" s="180"/>
      <c r="F70" s="178">
        <f>'[2]AHTS-1'!AU68+'[2]AHTS-2'!AU68+'[2]AHTS-3'!AU68+'[2]AHTS-4'!AU68+'[2]AHTS-5'!AU68+'[2]AHTS-6'!AU68+'[3]CB-1'!AU68+'[3]CB-2'!AU68+'[3]CB-3'!AU68+'[3]CB-4'!AU68+'[3]CB-5'!AU68+'[3]CB-6'!AU68+'[3]CB-7'!AU68+'[3]CB-8'!AU68+'[3]CB-9'!AU68+'[3]CB-10'!AU68+'[3]CB-11'!AU68+'[3]CB-12'!AU68+'[3]CB-13'!AU68+'[3]CB-14'!AU68+'[3]CB-15'!AU68+'[3]CB-16'!AU68+'[4]LCT-1'!AU68+'[4]LCT-2'!AU68+'[4]LCT-3'!AU68+'[4]LCT-4'!AU68+'[4]LCT-5'!AU68+'[4]LCT-6'!AU68+'[4]LCT-7'!AU68+'[4]LCT-8'!AU68+'[5]TB-1'!AU68+'[5]TB-2'!AU68+'[5]TB-3'!AU68+'[5]TB-4'!AU68+'[5]TB-5'!AU68+'[5]TB-6'!AU68+'[5]TB-7'!AU68+'[5]TB-8'!AU68+'[5]TB-9'!AU68+'[5]TB-10'!AU68+'[6]DSV-1'!AU68+'[6]DSV-2'!AU68+'[6]DSV-3'!AU68+'[7]TUB-1'!AU68+'[7]TUB-2'!AU68+'[8]Barge-1'!AU68+'[8]Barge-2'!AU68+'[8]Barge-3'!AU68+'[8]Barge-4'!AU68</f>
        <v>1973</v>
      </c>
      <c r="G70" s="179"/>
      <c r="H70" s="180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  <c r="AS70" s="94"/>
      <c r="AT70" s="94"/>
      <c r="AU70" s="94"/>
      <c r="AV70" s="94"/>
      <c r="AW70" s="94"/>
      <c r="AX70" s="94"/>
      <c r="AY70" s="94"/>
      <c r="AZ70" s="94"/>
      <c r="BA70" s="94"/>
      <c r="BB70" s="94"/>
      <c r="BC70" s="94"/>
      <c r="BD70" s="94"/>
      <c r="BE70" s="94"/>
      <c r="BF70" s="94"/>
      <c r="BG70" s="94"/>
      <c r="BH70" s="94"/>
      <c r="BI70" s="94"/>
      <c r="BJ70" s="94"/>
      <c r="BK70" s="94"/>
      <c r="BL70" s="94"/>
      <c r="BM70" s="94"/>
      <c r="BN70" s="94"/>
      <c r="BO70" s="94"/>
      <c r="BP70" s="94"/>
      <c r="BQ70" s="94"/>
      <c r="BR70" s="94"/>
      <c r="BS70" s="94"/>
      <c r="BT70" s="94"/>
      <c r="BU70" s="94"/>
      <c r="BV70" s="94"/>
      <c r="BW70" s="94"/>
      <c r="BX70" s="94"/>
      <c r="BY70" s="94"/>
      <c r="BZ70" s="94"/>
      <c r="CA70" s="94"/>
    </row>
    <row r="71" spans="1:79" s="100" customFormat="1" ht="15" customHeight="1" x14ac:dyDescent="0.25">
      <c r="A71" s="130">
        <f t="shared" si="2"/>
        <v>46006</v>
      </c>
      <c r="B71" s="135"/>
      <c r="C71" s="178">
        <f>'[2]AHTS-1'!AT69+'[2]AHTS-2'!AT69+'[2]AHTS-3'!AT69+'[2]AHTS-4'!AT69+'[2]AHTS-5'!AT69+'[2]AHTS-6'!AT69+'[3]CB-1'!AT69+'[3]CB-2'!AT69+'[3]CB-3'!AT69+'[3]CB-4'!AT69+'[3]CB-5'!AT69+'[3]CB-6'!AT69+'[3]CB-7'!AT69+'[3]CB-8'!AT69+'[3]CB-9'!AT69+'[3]CB-10'!AT69+'[3]CB-11'!AT69+'[3]CB-12'!AT69+'[3]CB-13'!AT69+'[3]CB-14'!AT69+'[3]CB-15'!AT69+'[3]CB-16'!AT69+'[4]LCT-1'!AT69+'[4]LCT-2'!AT69+'[4]LCT-3'!AT69+'[4]LCT-4'!AT69+'[4]LCT-5'!AT69+'[4]LCT-6'!AT69+'[4]LCT-7'!AT69+'[4]LCT-8'!AT69+'[5]TB-1'!AT69+'[5]TB-2'!AT69+'[5]TB-3'!AT69+'[5]TB-4'!AT69+'[5]TB-5'!AT69+'[5]TB-6'!AT69+'[5]TB-7'!AT69+'[5]TB-8'!AT69+'[5]TB-9'!AT69+'[5]TB-10'!AT69+'[6]DSV-1'!AT69+'[6]DSV-2'!AT69+'[6]DSV-3'!AT69+'[7]TUB-1'!AT69+'[7]TUB-2'!AT69+'[8]Barge-1'!AT69+'[8]Barge-2'!AT69+'[8]Barge-3'!AT69+'[8]Barge-4'!AT69</f>
        <v>0</v>
      </c>
      <c r="D71" s="179"/>
      <c r="E71" s="180"/>
      <c r="F71" s="178">
        <f>'[2]AHTS-1'!AU69+'[2]AHTS-2'!AU69+'[2]AHTS-3'!AU69+'[2]AHTS-4'!AU69+'[2]AHTS-5'!AU69+'[2]AHTS-6'!AU69+'[3]CB-1'!AU69+'[3]CB-2'!AU69+'[3]CB-3'!AU69+'[3]CB-4'!AU69+'[3]CB-5'!AU69+'[3]CB-6'!AU69+'[3]CB-7'!AU69+'[3]CB-8'!AU69+'[3]CB-9'!AU69+'[3]CB-10'!AU69+'[3]CB-11'!AU69+'[3]CB-12'!AU69+'[3]CB-13'!AU69+'[3]CB-14'!AU69+'[3]CB-15'!AU69+'[3]CB-16'!AU69+'[4]LCT-1'!AU69+'[4]LCT-2'!AU69+'[4]LCT-3'!AU69+'[4]LCT-4'!AU69+'[4]LCT-5'!AU69+'[4]LCT-6'!AU69+'[4]LCT-7'!AU69+'[4]LCT-8'!AU69+'[5]TB-1'!AU69+'[5]TB-2'!AU69+'[5]TB-3'!AU69+'[5]TB-4'!AU69+'[5]TB-5'!AU69+'[5]TB-6'!AU69+'[5]TB-7'!AU69+'[5]TB-8'!AU69+'[5]TB-9'!AU69+'[5]TB-10'!AU69+'[6]DSV-1'!AU69+'[6]DSV-2'!AU69+'[6]DSV-3'!AU69+'[7]TUB-1'!AU69+'[7]TUB-2'!AU69+'[8]Barge-1'!AU69+'[8]Barge-2'!AU69+'[8]Barge-3'!AU69+'[8]Barge-4'!AU69</f>
        <v>2887</v>
      </c>
      <c r="G71" s="179"/>
      <c r="H71" s="180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  <c r="AS71" s="94"/>
      <c r="AT71" s="94"/>
      <c r="AU71" s="94"/>
      <c r="AV71" s="94"/>
      <c r="AW71" s="94"/>
      <c r="AX71" s="94"/>
      <c r="AY71" s="94"/>
      <c r="AZ71" s="94"/>
      <c r="BA71" s="94"/>
      <c r="BB71" s="94"/>
      <c r="BC71" s="94"/>
      <c r="BD71" s="94"/>
      <c r="BE71" s="94"/>
      <c r="BF71" s="94"/>
      <c r="BG71" s="94"/>
      <c r="BH71" s="94"/>
      <c r="BI71" s="94"/>
      <c r="BJ71" s="94"/>
      <c r="BK71" s="94"/>
      <c r="BL71" s="94"/>
      <c r="BM71" s="94"/>
      <c r="BN71" s="94"/>
      <c r="BO71" s="94"/>
      <c r="BP71" s="94"/>
      <c r="BQ71" s="94"/>
      <c r="BR71" s="94"/>
      <c r="BS71" s="94"/>
      <c r="BT71" s="94"/>
      <c r="BU71" s="94"/>
      <c r="BV71" s="94"/>
      <c r="BW71" s="94"/>
      <c r="BX71" s="94"/>
      <c r="BY71" s="94"/>
      <c r="BZ71" s="94"/>
      <c r="CA71" s="94"/>
    </row>
    <row r="72" spans="1:79" s="100" customFormat="1" ht="15" customHeight="1" x14ac:dyDescent="0.25">
      <c r="A72" s="130">
        <f t="shared" si="2"/>
        <v>46007</v>
      </c>
      <c r="B72" s="135"/>
      <c r="C72" s="178">
        <f>'[2]AHTS-1'!AT70+'[2]AHTS-2'!AT70+'[2]AHTS-3'!AT70+'[2]AHTS-4'!AT70+'[2]AHTS-5'!AT70+'[2]AHTS-6'!AT70+'[3]CB-1'!AT70+'[3]CB-2'!AT70+'[3]CB-3'!AT70+'[3]CB-4'!AT70+'[3]CB-5'!AT70+'[3]CB-6'!AT70+'[3]CB-7'!AT70+'[3]CB-8'!AT70+'[3]CB-9'!AT70+'[3]CB-10'!AT70+'[3]CB-11'!AT70+'[3]CB-12'!AT70+'[3]CB-13'!AT70+'[3]CB-14'!AT70+'[3]CB-15'!AT70+'[3]CB-16'!AT70+'[4]LCT-1'!AT70+'[4]LCT-2'!AT70+'[4]LCT-3'!AT70+'[4]LCT-4'!AT70+'[4]LCT-5'!AT70+'[4]LCT-6'!AT70+'[4]LCT-7'!AT70+'[4]LCT-8'!AT70+'[5]TB-1'!AT70+'[5]TB-2'!AT70+'[5]TB-3'!AT70+'[5]TB-4'!AT70+'[5]TB-5'!AT70+'[5]TB-6'!AT70+'[5]TB-7'!AT70+'[5]TB-8'!AT70+'[5]TB-9'!AT70+'[5]TB-10'!AT70+'[6]DSV-1'!AT70+'[6]DSV-2'!AT70+'[6]DSV-3'!AT70+'[7]TUB-1'!AT70+'[7]TUB-2'!AT70+'[8]Barge-1'!AT70+'[8]Barge-2'!AT70+'[8]Barge-3'!AT70+'[8]Barge-4'!AT70</f>
        <v>0</v>
      </c>
      <c r="D72" s="179"/>
      <c r="E72" s="180"/>
      <c r="F72" s="178">
        <f>'[2]AHTS-1'!AU70+'[2]AHTS-2'!AU70+'[2]AHTS-3'!AU70+'[2]AHTS-4'!AU70+'[2]AHTS-5'!AU70+'[2]AHTS-6'!AU70+'[3]CB-1'!AU70+'[3]CB-2'!AU70+'[3]CB-3'!AU70+'[3]CB-4'!AU70+'[3]CB-5'!AU70+'[3]CB-6'!AU70+'[3]CB-7'!AU70+'[3]CB-8'!AU70+'[3]CB-9'!AU70+'[3]CB-10'!AU70+'[3]CB-11'!AU70+'[3]CB-12'!AU70+'[3]CB-13'!AU70+'[3]CB-14'!AU70+'[3]CB-15'!AU70+'[3]CB-16'!AU70+'[4]LCT-1'!AU70+'[4]LCT-2'!AU70+'[4]LCT-3'!AU70+'[4]LCT-4'!AU70+'[4]LCT-5'!AU70+'[4]LCT-6'!AU70+'[4]LCT-7'!AU70+'[4]LCT-8'!AU70+'[5]TB-1'!AU70+'[5]TB-2'!AU70+'[5]TB-3'!AU70+'[5]TB-4'!AU70+'[5]TB-5'!AU70+'[5]TB-6'!AU70+'[5]TB-7'!AU70+'[5]TB-8'!AU70+'[5]TB-9'!AU70+'[5]TB-10'!AU70+'[6]DSV-1'!AU70+'[6]DSV-2'!AU70+'[6]DSV-3'!AU70+'[7]TUB-1'!AU70+'[7]TUB-2'!AU70+'[8]Barge-1'!AU70+'[8]Barge-2'!AU70+'[8]Barge-3'!AU70+'[8]Barge-4'!AU70</f>
        <v>8141.25</v>
      </c>
      <c r="G72" s="179"/>
      <c r="H72" s="180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  <c r="AS72" s="94"/>
      <c r="AT72" s="94"/>
      <c r="AU72" s="94"/>
      <c r="AV72" s="94"/>
      <c r="AW72" s="94"/>
      <c r="AX72" s="94"/>
      <c r="AY72" s="94"/>
      <c r="AZ72" s="94"/>
      <c r="BA72" s="94"/>
      <c r="BB72" s="94"/>
      <c r="BC72" s="94"/>
      <c r="BD72" s="94"/>
      <c r="BE72" s="94"/>
      <c r="BF72" s="94"/>
      <c r="BG72" s="94"/>
      <c r="BH72" s="94"/>
      <c r="BI72" s="94"/>
      <c r="BJ72" s="94"/>
      <c r="BK72" s="94"/>
      <c r="BL72" s="94"/>
      <c r="BM72" s="94"/>
      <c r="BN72" s="94"/>
      <c r="BO72" s="94"/>
      <c r="BP72" s="94"/>
      <c r="BQ72" s="94"/>
      <c r="BR72" s="94"/>
      <c r="BS72" s="94"/>
      <c r="BT72" s="94"/>
      <c r="BU72" s="94"/>
      <c r="BV72" s="94"/>
      <c r="BW72" s="94"/>
      <c r="BX72" s="94"/>
      <c r="BY72" s="94"/>
      <c r="BZ72" s="94"/>
      <c r="CA72" s="94"/>
    </row>
    <row r="73" spans="1:79" s="100" customFormat="1" ht="15" customHeight="1" x14ac:dyDescent="0.25">
      <c r="A73" s="130">
        <f t="shared" si="2"/>
        <v>46008</v>
      </c>
      <c r="B73" s="135"/>
      <c r="C73" s="178">
        <f>'[2]AHTS-1'!AT71+'[2]AHTS-2'!AT71+'[2]AHTS-3'!AT71+'[2]AHTS-4'!AT71+'[2]AHTS-5'!AT71+'[2]AHTS-6'!AT71+'[3]CB-1'!AT71+'[3]CB-2'!AT71+'[3]CB-3'!AT71+'[3]CB-4'!AT71+'[3]CB-5'!AT71+'[3]CB-6'!AT71+'[3]CB-7'!AT71+'[3]CB-8'!AT71+'[3]CB-9'!AT71+'[3]CB-10'!AT71+'[3]CB-11'!AT71+'[3]CB-12'!AT71+'[3]CB-13'!AT71+'[3]CB-14'!AT71+'[3]CB-15'!AT71+'[3]CB-16'!AT71+'[4]LCT-1'!AT71+'[4]LCT-2'!AT71+'[4]LCT-3'!AT71+'[4]LCT-4'!AT71+'[4]LCT-5'!AT71+'[4]LCT-6'!AT71+'[4]LCT-7'!AT71+'[4]LCT-8'!AT71+'[5]TB-1'!AT71+'[5]TB-2'!AT71+'[5]TB-3'!AT71+'[5]TB-4'!AT71+'[5]TB-5'!AT71+'[5]TB-6'!AT71+'[5]TB-7'!AT71+'[5]TB-8'!AT71+'[5]TB-9'!AT71+'[5]TB-10'!AT71+'[6]DSV-1'!AT71+'[6]DSV-2'!AT71+'[6]DSV-3'!AT71+'[7]TUB-1'!AT71+'[7]TUB-2'!AT71+'[8]Barge-1'!AT71+'[8]Barge-2'!AT71+'[8]Barge-3'!AT71+'[8]Barge-4'!AT71</f>
        <v>0</v>
      </c>
      <c r="D73" s="179"/>
      <c r="E73" s="180"/>
      <c r="F73" s="178">
        <f>'[2]AHTS-1'!AU71+'[2]AHTS-2'!AU71+'[2]AHTS-3'!AU71+'[2]AHTS-4'!AU71+'[2]AHTS-5'!AU71+'[2]AHTS-6'!AU71+'[3]CB-1'!AU71+'[3]CB-2'!AU71+'[3]CB-3'!AU71+'[3]CB-4'!AU71+'[3]CB-5'!AU71+'[3]CB-6'!AU71+'[3]CB-7'!AU71+'[3]CB-8'!AU71+'[3]CB-9'!AU71+'[3]CB-10'!AU71+'[3]CB-11'!AU71+'[3]CB-12'!AU71+'[3]CB-13'!AU71+'[3]CB-14'!AU71+'[3]CB-15'!AU71+'[3]CB-16'!AU71+'[4]LCT-1'!AU71+'[4]LCT-2'!AU71+'[4]LCT-3'!AU71+'[4]LCT-4'!AU71+'[4]LCT-5'!AU71+'[4]LCT-6'!AU71+'[4]LCT-7'!AU71+'[4]LCT-8'!AU71+'[5]TB-1'!AU71+'[5]TB-2'!AU71+'[5]TB-3'!AU71+'[5]TB-4'!AU71+'[5]TB-5'!AU71+'[5]TB-6'!AU71+'[5]TB-7'!AU71+'[5]TB-8'!AU71+'[5]TB-9'!AU71+'[5]TB-10'!AU71+'[6]DSV-1'!AU71+'[6]DSV-2'!AU71+'[6]DSV-3'!AU71+'[7]TUB-1'!AU71+'[7]TUB-2'!AU71+'[8]Barge-1'!AU71+'[8]Barge-2'!AU71+'[8]Barge-3'!AU71+'[8]Barge-4'!AU71</f>
        <v>10795.333333333334</v>
      </c>
      <c r="G73" s="179"/>
      <c r="H73" s="180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  <c r="AS73" s="94"/>
      <c r="AT73" s="94"/>
      <c r="AU73" s="94"/>
      <c r="AV73" s="94"/>
      <c r="AW73" s="94"/>
      <c r="AX73" s="94"/>
      <c r="AY73" s="94"/>
      <c r="AZ73" s="94"/>
      <c r="BA73" s="94"/>
      <c r="BB73" s="94"/>
      <c r="BC73" s="94"/>
      <c r="BD73" s="94"/>
      <c r="BE73" s="94"/>
      <c r="BF73" s="94"/>
      <c r="BG73" s="94"/>
      <c r="BH73" s="94"/>
      <c r="BI73" s="94"/>
      <c r="BJ73" s="94"/>
      <c r="BK73" s="94"/>
      <c r="BL73" s="94"/>
      <c r="BM73" s="94"/>
      <c r="BN73" s="94"/>
      <c r="BO73" s="94"/>
      <c r="BP73" s="94"/>
      <c r="BQ73" s="94"/>
      <c r="BR73" s="94"/>
      <c r="BS73" s="94"/>
      <c r="BT73" s="94"/>
      <c r="BU73" s="94"/>
      <c r="BV73" s="94"/>
      <c r="BW73" s="94"/>
      <c r="BX73" s="94"/>
      <c r="BY73" s="94"/>
      <c r="BZ73" s="94"/>
      <c r="CA73" s="94"/>
    </row>
    <row r="74" spans="1:79" s="100" customFormat="1" ht="15" customHeight="1" x14ac:dyDescent="0.25">
      <c r="A74" s="130">
        <f t="shared" si="2"/>
        <v>46009</v>
      </c>
      <c r="B74" s="135"/>
      <c r="C74" s="178">
        <f>'[2]AHTS-1'!AT72+'[2]AHTS-2'!AT72+'[2]AHTS-3'!AT72+'[2]AHTS-4'!AT72+'[2]AHTS-5'!AT72+'[2]AHTS-6'!AT72+'[3]CB-1'!AT72+'[3]CB-2'!AT72+'[3]CB-3'!AT72+'[3]CB-4'!AT72+'[3]CB-5'!AT72+'[3]CB-6'!AT72+'[3]CB-7'!AT72+'[3]CB-8'!AT72+'[3]CB-9'!AT72+'[3]CB-10'!AT72+'[3]CB-11'!AT72+'[3]CB-12'!AT72+'[3]CB-13'!AT72+'[3]CB-14'!AT72+'[3]CB-15'!AT72+'[3]CB-16'!AT72+'[4]LCT-1'!AT72+'[4]LCT-2'!AT72+'[4]LCT-3'!AT72+'[4]LCT-4'!AT72+'[4]LCT-5'!AT72+'[4]LCT-6'!AT72+'[4]LCT-7'!AT72+'[4]LCT-8'!AT72+'[5]TB-1'!AT72+'[5]TB-2'!AT72+'[5]TB-3'!AT72+'[5]TB-4'!AT72+'[5]TB-5'!AT72+'[5]TB-6'!AT72+'[5]TB-7'!AT72+'[5]TB-8'!AT72+'[5]TB-9'!AT72+'[5]TB-10'!AT72+'[6]DSV-1'!AT72+'[6]DSV-2'!AT72+'[6]DSV-3'!AT72+'[7]TUB-1'!AT72+'[7]TUB-2'!AT72+'[8]Barge-1'!AT72+'[8]Barge-2'!AT72+'[8]Barge-3'!AT72+'[8]Barge-4'!AT72</f>
        <v>9538</v>
      </c>
      <c r="D74" s="179"/>
      <c r="E74" s="180"/>
      <c r="F74" s="178">
        <f>'[2]AHTS-1'!AU72+'[2]AHTS-2'!AU72+'[2]AHTS-3'!AU72+'[2]AHTS-4'!AU72+'[2]AHTS-5'!AU72+'[2]AHTS-6'!AU72+'[3]CB-1'!AU72+'[3]CB-2'!AU72+'[3]CB-3'!AU72+'[3]CB-4'!AU72+'[3]CB-5'!AU72+'[3]CB-6'!AU72+'[3]CB-7'!AU72+'[3]CB-8'!AU72+'[3]CB-9'!AU72+'[3]CB-10'!AU72+'[3]CB-11'!AU72+'[3]CB-12'!AU72+'[3]CB-13'!AU72+'[3]CB-14'!AU72+'[3]CB-15'!AU72+'[3]CB-16'!AU72+'[4]LCT-1'!AU72+'[4]LCT-2'!AU72+'[4]LCT-3'!AU72+'[4]LCT-4'!AU72+'[4]LCT-5'!AU72+'[4]LCT-6'!AU72+'[4]LCT-7'!AU72+'[4]LCT-8'!AU72+'[5]TB-1'!AU72+'[5]TB-2'!AU72+'[5]TB-3'!AU72+'[5]TB-4'!AU72+'[5]TB-5'!AU72+'[5]TB-6'!AU72+'[5]TB-7'!AU72+'[5]TB-8'!AU72+'[5]TB-9'!AU72+'[5]TB-10'!AU72+'[6]DSV-1'!AU72+'[6]DSV-2'!AU72+'[6]DSV-3'!AU72+'[7]TUB-1'!AU72+'[7]TUB-2'!AU72+'[8]Barge-1'!AU72+'[8]Barge-2'!AU72+'[8]Barge-3'!AU72+'[8]Barge-4'!AU72</f>
        <v>2100.8888888888887</v>
      </c>
      <c r="G74" s="179"/>
      <c r="H74" s="180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  <c r="AS74" s="94"/>
      <c r="AT74" s="94"/>
      <c r="AU74" s="94"/>
      <c r="AV74" s="94"/>
      <c r="AW74" s="94"/>
      <c r="AX74" s="94"/>
      <c r="AY74" s="94"/>
      <c r="AZ74" s="94"/>
      <c r="BA74" s="94"/>
      <c r="BB74" s="94"/>
      <c r="BC74" s="94"/>
      <c r="BD74" s="94"/>
      <c r="BE74" s="94"/>
      <c r="BF74" s="94"/>
      <c r="BG74" s="94"/>
      <c r="BH74" s="94"/>
      <c r="BI74" s="94"/>
      <c r="BJ74" s="94"/>
      <c r="BK74" s="94"/>
      <c r="BL74" s="94"/>
      <c r="BM74" s="94"/>
      <c r="BN74" s="94"/>
      <c r="BO74" s="94"/>
      <c r="BP74" s="94"/>
      <c r="BQ74" s="94"/>
      <c r="BR74" s="94"/>
      <c r="BS74" s="94"/>
      <c r="BT74" s="94"/>
      <c r="BU74" s="94"/>
      <c r="BV74" s="94"/>
      <c r="BW74" s="94"/>
      <c r="BX74" s="94"/>
      <c r="BY74" s="94"/>
      <c r="BZ74" s="94"/>
      <c r="CA74" s="94"/>
    </row>
    <row r="75" spans="1:79" s="100" customFormat="1" ht="15" customHeight="1" x14ac:dyDescent="0.25">
      <c r="A75" s="130">
        <f t="shared" si="2"/>
        <v>46010</v>
      </c>
      <c r="B75" s="135"/>
      <c r="C75" s="178">
        <f>'[2]AHTS-1'!AT73+'[2]AHTS-2'!AT73+'[2]AHTS-3'!AT73+'[2]AHTS-4'!AT73+'[2]AHTS-5'!AT73+'[2]AHTS-6'!AT73+'[3]CB-1'!AT73+'[3]CB-2'!AT73+'[3]CB-3'!AT73+'[3]CB-4'!AT73+'[3]CB-5'!AT73+'[3]CB-6'!AT73+'[3]CB-7'!AT73+'[3]CB-8'!AT73+'[3]CB-9'!AT73+'[3]CB-10'!AT73+'[3]CB-11'!AT73+'[3]CB-12'!AT73+'[3]CB-13'!AT73+'[3]CB-14'!AT73+'[3]CB-15'!AT73+'[3]CB-16'!AT73+'[4]LCT-1'!AT73+'[4]LCT-2'!AT73+'[4]LCT-3'!AT73+'[4]LCT-4'!AT73+'[4]LCT-5'!AT73+'[4]LCT-6'!AT73+'[4]LCT-7'!AT73+'[4]LCT-8'!AT73+'[5]TB-1'!AT73+'[5]TB-2'!AT73+'[5]TB-3'!AT73+'[5]TB-4'!AT73+'[5]TB-5'!AT73+'[5]TB-6'!AT73+'[5]TB-7'!AT73+'[5]TB-8'!AT73+'[5]TB-9'!AT73+'[5]TB-10'!AT73+'[6]DSV-1'!AT73+'[6]DSV-2'!AT73+'[6]DSV-3'!AT73+'[7]TUB-1'!AT73+'[7]TUB-2'!AT73+'[8]Barge-1'!AT73+'[8]Barge-2'!AT73+'[8]Barge-3'!AT73+'[8]Barge-4'!AT73</f>
        <v>9691</v>
      </c>
      <c r="D75" s="179"/>
      <c r="E75" s="180"/>
      <c r="F75" s="178">
        <f>'[2]AHTS-1'!AU73+'[2]AHTS-2'!AU73+'[2]AHTS-3'!AU73+'[2]AHTS-4'!AU73+'[2]AHTS-5'!AU73+'[2]AHTS-6'!AU73+'[3]CB-1'!AU73+'[3]CB-2'!AU73+'[3]CB-3'!AU73+'[3]CB-4'!AU73+'[3]CB-5'!AU73+'[3]CB-6'!AU73+'[3]CB-7'!AU73+'[3]CB-8'!AU73+'[3]CB-9'!AU73+'[3]CB-10'!AU73+'[3]CB-11'!AU73+'[3]CB-12'!AU73+'[3]CB-13'!AU73+'[3]CB-14'!AU73+'[3]CB-15'!AU73+'[3]CB-16'!AU73+'[4]LCT-1'!AU73+'[4]LCT-2'!AU73+'[4]LCT-3'!AU73+'[4]LCT-4'!AU73+'[4]LCT-5'!AU73+'[4]LCT-6'!AU73+'[4]LCT-7'!AU73+'[4]LCT-8'!AU73+'[5]TB-1'!AU73+'[5]TB-2'!AU73+'[5]TB-3'!AU73+'[5]TB-4'!AU73+'[5]TB-5'!AU73+'[5]TB-6'!AU73+'[5]TB-7'!AU73+'[5]TB-8'!AU73+'[5]TB-9'!AU73+'[5]TB-10'!AU73+'[6]DSV-1'!AU73+'[6]DSV-2'!AU73+'[6]DSV-3'!AU73+'[7]TUB-1'!AU73+'[7]TUB-2'!AU73+'[8]Barge-1'!AU73+'[8]Barge-2'!AU73+'[8]Barge-3'!AU73+'[8]Barge-4'!AU73</f>
        <v>1717.1111111111111</v>
      </c>
      <c r="G75" s="179"/>
      <c r="H75" s="180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  <c r="BH75" s="94"/>
      <c r="BI75" s="94"/>
      <c r="BJ75" s="94"/>
      <c r="BK75" s="94"/>
      <c r="BL75" s="94"/>
      <c r="BM75" s="94"/>
      <c r="BN75" s="94"/>
      <c r="BO75" s="94"/>
      <c r="BP75" s="94"/>
      <c r="BQ75" s="94"/>
      <c r="BR75" s="94"/>
      <c r="BS75" s="94"/>
      <c r="BT75" s="94"/>
      <c r="BU75" s="94"/>
      <c r="BV75" s="94"/>
      <c r="BW75" s="94"/>
      <c r="BX75" s="94"/>
      <c r="BY75" s="94"/>
      <c r="BZ75" s="94"/>
      <c r="CA75" s="94"/>
    </row>
    <row r="76" spans="1:79" s="100" customFormat="1" ht="15" customHeight="1" x14ac:dyDescent="0.25">
      <c r="A76" s="130">
        <f t="shared" si="2"/>
        <v>46011</v>
      </c>
      <c r="B76" s="135"/>
      <c r="C76" s="178">
        <f>'[2]AHTS-1'!AT74+'[2]AHTS-2'!AT74+'[2]AHTS-3'!AT74+'[2]AHTS-4'!AT74+'[2]AHTS-5'!AT74+'[2]AHTS-6'!AT74+'[3]CB-1'!AT74+'[3]CB-2'!AT74+'[3]CB-3'!AT74+'[3]CB-4'!AT74+'[3]CB-5'!AT74+'[3]CB-6'!AT74+'[3]CB-7'!AT74+'[3]CB-8'!AT74+'[3]CB-9'!AT74+'[3]CB-10'!AT74+'[3]CB-11'!AT74+'[3]CB-12'!AT74+'[3]CB-13'!AT74+'[3]CB-14'!AT74+'[3]CB-15'!AT74+'[3]CB-16'!AT74+'[4]LCT-1'!AT74+'[4]LCT-2'!AT74+'[4]LCT-3'!AT74+'[4]LCT-4'!AT74+'[4]LCT-5'!AT74+'[4]LCT-6'!AT74+'[4]LCT-7'!AT74+'[4]LCT-8'!AT74+'[5]TB-1'!AT74+'[5]TB-2'!AT74+'[5]TB-3'!AT74+'[5]TB-4'!AT74+'[5]TB-5'!AT74+'[5]TB-6'!AT74+'[5]TB-7'!AT74+'[5]TB-8'!AT74+'[5]TB-9'!AT74+'[5]TB-10'!AT74+'[6]DSV-1'!AT74+'[6]DSV-2'!AT74+'[6]DSV-3'!AT74+'[7]TUB-1'!AT74+'[7]TUB-2'!AT74+'[8]Barge-1'!AT74+'[8]Barge-2'!AT74+'[8]Barge-3'!AT74+'[8]Barge-4'!AT74</f>
        <v>9931.5</v>
      </c>
      <c r="D76" s="179"/>
      <c r="E76" s="180"/>
      <c r="F76" s="178">
        <f>'[2]AHTS-1'!AU74+'[2]AHTS-2'!AU74+'[2]AHTS-3'!AU74+'[2]AHTS-4'!AU74+'[2]AHTS-5'!AU74+'[2]AHTS-6'!AU74+'[3]CB-1'!AU74+'[3]CB-2'!AU74+'[3]CB-3'!AU74+'[3]CB-4'!AU74+'[3]CB-5'!AU74+'[3]CB-6'!AU74+'[3]CB-7'!AU74+'[3]CB-8'!AU74+'[3]CB-9'!AU74+'[3]CB-10'!AU74+'[3]CB-11'!AU74+'[3]CB-12'!AU74+'[3]CB-13'!AU74+'[3]CB-14'!AU74+'[3]CB-15'!AU74+'[3]CB-16'!AU74+'[4]LCT-1'!AU74+'[4]LCT-2'!AU74+'[4]LCT-3'!AU74+'[4]LCT-4'!AU74+'[4]LCT-5'!AU74+'[4]LCT-6'!AU74+'[4]LCT-7'!AU74+'[4]LCT-8'!AU74+'[5]TB-1'!AU74+'[5]TB-2'!AU74+'[5]TB-3'!AU74+'[5]TB-4'!AU74+'[5]TB-5'!AU74+'[5]TB-6'!AU74+'[5]TB-7'!AU74+'[5]TB-8'!AU74+'[5]TB-9'!AU74+'[5]TB-10'!AU74+'[6]DSV-1'!AU74+'[6]DSV-2'!AU74+'[6]DSV-3'!AU74+'[7]TUB-1'!AU74+'[7]TUB-2'!AU74+'[8]Barge-1'!AU74+'[8]Barge-2'!AU74+'[8]Barge-3'!AU74+'[8]Barge-4'!AU74</f>
        <v>726.44444444444434</v>
      </c>
      <c r="G76" s="179"/>
      <c r="H76" s="180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  <c r="AS76" s="94"/>
      <c r="AT76" s="94"/>
      <c r="AU76" s="94"/>
      <c r="AV76" s="94"/>
      <c r="AW76" s="94"/>
      <c r="AX76" s="94"/>
      <c r="AY76" s="94"/>
      <c r="AZ76" s="94"/>
      <c r="BA76" s="94"/>
      <c r="BB76" s="94"/>
      <c r="BC76" s="94"/>
      <c r="BD76" s="94"/>
      <c r="BE76" s="94"/>
      <c r="BF76" s="94"/>
      <c r="BG76" s="94"/>
      <c r="BH76" s="94"/>
      <c r="BI76" s="94"/>
      <c r="BJ76" s="94"/>
      <c r="BK76" s="94"/>
      <c r="BL76" s="94"/>
      <c r="BM76" s="94"/>
      <c r="BN76" s="94"/>
      <c r="BO76" s="94"/>
      <c r="BP76" s="94"/>
      <c r="BQ76" s="94"/>
      <c r="BR76" s="94"/>
      <c r="BS76" s="94"/>
      <c r="BT76" s="94"/>
      <c r="BU76" s="94"/>
      <c r="BV76" s="94"/>
      <c r="BW76" s="94"/>
      <c r="BX76" s="94"/>
      <c r="BY76" s="94"/>
      <c r="BZ76" s="94"/>
      <c r="CA76" s="94"/>
    </row>
    <row r="77" spans="1:79" s="100" customFormat="1" ht="15" customHeight="1" x14ac:dyDescent="0.25">
      <c r="A77" s="130">
        <f t="shared" si="2"/>
        <v>46012</v>
      </c>
      <c r="B77" s="135"/>
      <c r="C77" s="178">
        <f>'[2]AHTS-1'!AT75+'[2]AHTS-2'!AT75+'[2]AHTS-3'!AT75+'[2]AHTS-4'!AT75+'[2]AHTS-5'!AT75+'[2]AHTS-6'!AT75+'[3]CB-1'!AT75+'[3]CB-2'!AT75+'[3]CB-3'!AT75+'[3]CB-4'!AT75+'[3]CB-5'!AT75+'[3]CB-6'!AT75+'[3]CB-7'!AT75+'[3]CB-8'!AT75+'[3]CB-9'!AT75+'[3]CB-10'!AT75+'[3]CB-11'!AT75+'[3]CB-12'!AT75+'[3]CB-13'!AT75+'[3]CB-14'!AT75+'[3]CB-15'!AT75+'[3]CB-16'!AT75+'[4]LCT-1'!AT75+'[4]LCT-2'!AT75+'[4]LCT-3'!AT75+'[4]LCT-4'!AT75+'[4]LCT-5'!AT75+'[4]LCT-6'!AT75+'[4]LCT-7'!AT75+'[4]LCT-8'!AT75+'[5]TB-1'!AT75+'[5]TB-2'!AT75+'[5]TB-3'!AT75+'[5]TB-4'!AT75+'[5]TB-5'!AT75+'[5]TB-6'!AT75+'[5]TB-7'!AT75+'[5]TB-8'!AT75+'[5]TB-9'!AT75+'[5]TB-10'!AT75+'[6]DSV-1'!AT75+'[6]DSV-2'!AT75+'[6]DSV-3'!AT75+'[7]TUB-1'!AT75+'[7]TUB-2'!AT75+'[8]Barge-1'!AT75+'[8]Barge-2'!AT75+'[8]Barge-3'!AT75+'[8]Barge-4'!AT75</f>
        <v>10875.5</v>
      </c>
      <c r="D77" s="179"/>
      <c r="E77" s="180"/>
      <c r="F77" s="178">
        <f>'[2]AHTS-1'!AU75+'[2]AHTS-2'!AU75+'[2]AHTS-3'!AU75+'[2]AHTS-4'!AU75+'[2]AHTS-5'!AU75+'[2]AHTS-6'!AU75+'[3]CB-1'!AU75+'[3]CB-2'!AU75+'[3]CB-3'!AU75+'[3]CB-4'!AU75+'[3]CB-5'!AU75+'[3]CB-6'!AU75+'[3]CB-7'!AU75+'[3]CB-8'!AU75+'[3]CB-9'!AU75+'[3]CB-10'!AU75+'[3]CB-11'!AU75+'[3]CB-12'!AU75+'[3]CB-13'!AU75+'[3]CB-14'!AU75+'[3]CB-15'!AU75+'[3]CB-16'!AU75+'[4]LCT-1'!AU75+'[4]LCT-2'!AU75+'[4]LCT-3'!AU75+'[4]LCT-4'!AU75+'[4]LCT-5'!AU75+'[4]LCT-6'!AU75+'[4]LCT-7'!AU75+'[4]LCT-8'!AU75+'[5]TB-1'!AU75+'[5]TB-2'!AU75+'[5]TB-3'!AU75+'[5]TB-4'!AU75+'[5]TB-5'!AU75+'[5]TB-6'!AU75+'[5]TB-7'!AU75+'[5]TB-8'!AU75+'[5]TB-9'!AU75+'[5]TB-10'!AU75+'[6]DSV-1'!AU75+'[6]DSV-2'!AU75+'[6]DSV-3'!AU75+'[7]TUB-1'!AU75+'[7]TUB-2'!AU75+'[8]Barge-1'!AU75+'[8]Barge-2'!AU75+'[8]Barge-3'!AU75+'[8]Barge-4'!AU75</f>
        <v>601.83333333333326</v>
      </c>
      <c r="G77" s="179"/>
      <c r="H77" s="180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  <c r="BM77" s="94"/>
      <c r="BN77" s="94"/>
      <c r="BO77" s="94"/>
      <c r="BP77" s="94"/>
      <c r="BQ77" s="94"/>
      <c r="BR77" s="94"/>
      <c r="BS77" s="94"/>
      <c r="BT77" s="94"/>
      <c r="BU77" s="94"/>
      <c r="BV77" s="94"/>
      <c r="BW77" s="94"/>
      <c r="BX77" s="94"/>
      <c r="BY77" s="94"/>
      <c r="BZ77" s="94"/>
      <c r="CA77" s="94"/>
    </row>
    <row r="78" spans="1:79" s="100" customFormat="1" ht="15" customHeight="1" x14ac:dyDescent="0.25">
      <c r="A78" s="130">
        <f t="shared" si="2"/>
        <v>46013</v>
      </c>
      <c r="B78" s="135"/>
      <c r="C78" s="178">
        <f>'[2]AHTS-1'!AT76+'[2]AHTS-2'!AT76+'[2]AHTS-3'!AT76+'[2]AHTS-4'!AT76+'[2]AHTS-5'!AT76+'[2]AHTS-6'!AT76+'[3]CB-1'!AT76+'[3]CB-2'!AT76+'[3]CB-3'!AT76+'[3]CB-4'!AT76+'[3]CB-5'!AT76+'[3]CB-6'!AT76+'[3]CB-7'!AT76+'[3]CB-8'!AT76+'[3]CB-9'!AT76+'[3]CB-10'!AT76+'[3]CB-11'!AT76+'[3]CB-12'!AT76+'[3]CB-13'!AT76+'[3]CB-14'!AT76+'[3]CB-15'!AT76+'[3]CB-16'!AT76+'[4]LCT-1'!AT76+'[4]LCT-2'!AT76+'[4]LCT-3'!AT76+'[4]LCT-4'!AT76+'[4]LCT-5'!AT76+'[4]LCT-6'!AT76+'[4]LCT-7'!AT76+'[4]LCT-8'!AT76+'[5]TB-1'!AT76+'[5]TB-2'!AT76+'[5]TB-3'!AT76+'[5]TB-4'!AT76+'[5]TB-5'!AT76+'[5]TB-6'!AT76+'[5]TB-7'!AT76+'[5]TB-8'!AT76+'[5]TB-9'!AT76+'[5]TB-10'!AT76+'[6]DSV-1'!AT76+'[6]DSV-2'!AT76+'[6]DSV-3'!AT76+'[7]TUB-1'!AT76+'[7]TUB-2'!AT76+'[8]Barge-1'!AT76+'[8]Barge-2'!AT76+'[8]Barge-3'!AT76+'[8]Barge-4'!AT76</f>
        <v>2712</v>
      </c>
      <c r="D78" s="179"/>
      <c r="E78" s="180"/>
      <c r="F78" s="178">
        <f>'[2]AHTS-1'!AU76+'[2]AHTS-2'!AU76+'[2]AHTS-3'!AU76+'[2]AHTS-4'!AU76+'[2]AHTS-5'!AU76+'[2]AHTS-6'!AU76+'[3]CB-1'!AU76+'[3]CB-2'!AU76+'[3]CB-3'!AU76+'[3]CB-4'!AU76+'[3]CB-5'!AU76+'[3]CB-6'!AU76+'[3]CB-7'!AU76+'[3]CB-8'!AU76+'[3]CB-9'!AU76+'[3]CB-10'!AU76+'[3]CB-11'!AU76+'[3]CB-12'!AU76+'[3]CB-13'!AU76+'[3]CB-14'!AU76+'[3]CB-15'!AU76+'[3]CB-16'!AU76+'[4]LCT-1'!AU76+'[4]LCT-2'!AU76+'[4]LCT-3'!AU76+'[4]LCT-4'!AU76+'[4]LCT-5'!AU76+'[4]LCT-6'!AU76+'[4]LCT-7'!AU76+'[4]LCT-8'!AU76+'[5]TB-1'!AU76+'[5]TB-2'!AU76+'[5]TB-3'!AU76+'[5]TB-4'!AU76+'[5]TB-5'!AU76+'[5]TB-6'!AU76+'[5]TB-7'!AU76+'[5]TB-8'!AU76+'[5]TB-9'!AU76+'[5]TB-10'!AU76+'[6]DSV-1'!AU76+'[6]DSV-2'!AU76+'[6]DSV-3'!AU76+'[7]TUB-1'!AU76+'[7]TUB-2'!AU76+'[8]Barge-1'!AU76+'[8]Barge-2'!AU76+'[8]Barge-3'!AU76+'[8]Barge-4'!AU76</f>
        <v>694.66666666666674</v>
      </c>
      <c r="G78" s="179"/>
      <c r="H78" s="180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  <c r="AS78" s="94"/>
      <c r="AT78" s="94"/>
      <c r="AU78" s="94"/>
      <c r="AV78" s="94"/>
      <c r="AW78" s="94"/>
      <c r="AX78" s="94"/>
      <c r="AY78" s="94"/>
      <c r="AZ78" s="94"/>
      <c r="BA78" s="94"/>
      <c r="BB78" s="94"/>
      <c r="BC78" s="94"/>
      <c r="BD78" s="94"/>
      <c r="BE78" s="94"/>
      <c r="BF78" s="94"/>
      <c r="BG78" s="94"/>
      <c r="BH78" s="94"/>
      <c r="BI78" s="94"/>
      <c r="BJ78" s="94"/>
      <c r="BK78" s="94"/>
      <c r="BL78" s="94"/>
      <c r="BM78" s="94"/>
      <c r="BN78" s="94"/>
      <c r="BO78" s="94"/>
      <c r="BP78" s="94"/>
      <c r="BQ78" s="94"/>
      <c r="BR78" s="94"/>
      <c r="BS78" s="94"/>
      <c r="BT78" s="94"/>
      <c r="BU78" s="94"/>
      <c r="BV78" s="94"/>
      <c r="BW78" s="94"/>
      <c r="BX78" s="94"/>
      <c r="BY78" s="94"/>
      <c r="BZ78" s="94"/>
      <c r="CA78" s="94"/>
    </row>
    <row r="79" spans="1:79" s="100" customFormat="1" ht="15" customHeight="1" x14ac:dyDescent="0.25">
      <c r="A79" s="130">
        <f t="shared" si="2"/>
        <v>46014</v>
      </c>
      <c r="B79" s="135"/>
      <c r="C79" s="178">
        <f>'[2]AHTS-1'!AT77+'[2]AHTS-2'!AT77+'[2]AHTS-3'!AT77+'[2]AHTS-4'!AT77+'[2]AHTS-5'!AT77+'[2]AHTS-6'!AT77+'[3]CB-1'!AT77+'[3]CB-2'!AT77+'[3]CB-3'!AT77+'[3]CB-4'!AT77+'[3]CB-5'!AT77+'[3]CB-6'!AT77+'[3]CB-7'!AT77+'[3]CB-8'!AT77+'[3]CB-9'!AT77+'[3]CB-10'!AT77+'[3]CB-11'!AT77+'[3]CB-12'!AT77+'[3]CB-13'!AT77+'[3]CB-14'!AT77+'[3]CB-15'!AT77+'[3]CB-16'!AT77+'[4]LCT-1'!AT77+'[4]LCT-2'!AT77+'[4]LCT-3'!AT77+'[4]LCT-4'!AT77+'[4]LCT-5'!AT77+'[4]LCT-6'!AT77+'[4]LCT-7'!AT77+'[4]LCT-8'!AT77+'[5]TB-1'!AT77+'[5]TB-2'!AT77+'[5]TB-3'!AT77+'[5]TB-4'!AT77+'[5]TB-5'!AT77+'[5]TB-6'!AT77+'[5]TB-7'!AT77+'[5]TB-8'!AT77+'[5]TB-9'!AT77+'[5]TB-10'!AT77+'[6]DSV-1'!AT77+'[6]DSV-2'!AT77+'[6]DSV-3'!AT77+'[7]TUB-1'!AT77+'[7]TUB-2'!AT77+'[8]Barge-1'!AT77+'[8]Barge-2'!AT77+'[8]Barge-3'!AT77+'[8]Barge-4'!AT77</f>
        <v>1048</v>
      </c>
      <c r="D79" s="179"/>
      <c r="E79" s="180"/>
      <c r="F79" s="178">
        <f>'[2]AHTS-1'!AU77+'[2]AHTS-2'!AU77+'[2]AHTS-3'!AU77+'[2]AHTS-4'!AU77+'[2]AHTS-5'!AU77+'[2]AHTS-6'!AU77+'[3]CB-1'!AU77+'[3]CB-2'!AU77+'[3]CB-3'!AU77+'[3]CB-4'!AU77+'[3]CB-5'!AU77+'[3]CB-6'!AU77+'[3]CB-7'!AU77+'[3]CB-8'!AU77+'[3]CB-9'!AU77+'[3]CB-10'!AU77+'[3]CB-11'!AU77+'[3]CB-12'!AU77+'[3]CB-13'!AU77+'[3]CB-14'!AU77+'[3]CB-15'!AU77+'[3]CB-16'!AU77+'[4]LCT-1'!AU77+'[4]LCT-2'!AU77+'[4]LCT-3'!AU77+'[4]LCT-4'!AU77+'[4]LCT-5'!AU77+'[4]LCT-6'!AU77+'[4]LCT-7'!AU77+'[4]LCT-8'!AU77+'[5]TB-1'!AU77+'[5]TB-2'!AU77+'[5]TB-3'!AU77+'[5]TB-4'!AU77+'[5]TB-5'!AU77+'[5]TB-6'!AU77+'[5]TB-7'!AU77+'[5]TB-8'!AU77+'[5]TB-9'!AU77+'[5]TB-10'!AU77+'[6]DSV-1'!AU77+'[6]DSV-2'!AU77+'[6]DSV-3'!AU77+'[7]TUB-1'!AU77+'[7]TUB-2'!AU77+'[8]Barge-1'!AU77+'[8]Barge-2'!AU77+'[8]Barge-3'!AU77+'[8]Barge-4'!AU77</f>
        <v>975.33333333333337</v>
      </c>
      <c r="G79" s="179"/>
      <c r="H79" s="180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  <c r="AS79" s="94"/>
      <c r="AT79" s="94"/>
      <c r="AU79" s="94"/>
      <c r="AV79" s="94"/>
      <c r="AW79" s="94"/>
      <c r="AX79" s="94"/>
      <c r="AY79" s="94"/>
      <c r="AZ79" s="94"/>
      <c r="BA79" s="94"/>
      <c r="BB79" s="94"/>
      <c r="BC79" s="94"/>
      <c r="BD79" s="94"/>
      <c r="BE79" s="94"/>
      <c r="BF79" s="94"/>
      <c r="BG79" s="94"/>
      <c r="BH79" s="94"/>
      <c r="BI79" s="94"/>
      <c r="BJ79" s="94"/>
      <c r="BK79" s="94"/>
      <c r="BL79" s="94"/>
      <c r="BM79" s="94"/>
      <c r="BN79" s="94"/>
      <c r="BO79" s="94"/>
      <c r="BP79" s="94"/>
      <c r="BQ79" s="94"/>
      <c r="BR79" s="94"/>
      <c r="BS79" s="94"/>
      <c r="BT79" s="94"/>
      <c r="BU79" s="94"/>
      <c r="BV79" s="94"/>
      <c r="BW79" s="94"/>
      <c r="BX79" s="94"/>
      <c r="BY79" s="94"/>
      <c r="BZ79" s="94"/>
      <c r="CA79" s="94"/>
    </row>
    <row r="80" spans="1:79" s="100" customFormat="1" ht="15" customHeight="1" x14ac:dyDescent="0.25">
      <c r="A80" s="130">
        <f t="shared" si="2"/>
        <v>46015</v>
      </c>
      <c r="B80" s="135"/>
      <c r="C80" s="178">
        <f>'[2]AHTS-1'!AT78+'[2]AHTS-2'!AT78+'[2]AHTS-3'!AT78+'[2]AHTS-4'!AT78+'[2]AHTS-5'!AT78+'[2]AHTS-6'!AT78+'[3]CB-1'!AT78+'[3]CB-2'!AT78+'[3]CB-3'!AT78+'[3]CB-4'!AT78+'[3]CB-5'!AT78+'[3]CB-6'!AT78+'[3]CB-7'!AT78+'[3]CB-8'!AT78+'[3]CB-9'!AT78+'[3]CB-10'!AT78+'[3]CB-11'!AT78+'[3]CB-12'!AT78+'[3]CB-13'!AT78+'[3]CB-14'!AT78+'[3]CB-15'!AT78+'[3]CB-16'!AT78+'[4]LCT-1'!AT78+'[4]LCT-2'!AT78+'[4]LCT-3'!AT78+'[4]LCT-4'!AT78+'[4]LCT-5'!AT78+'[4]LCT-6'!AT78+'[4]LCT-7'!AT78+'[4]LCT-8'!AT78+'[5]TB-1'!AT78+'[5]TB-2'!AT78+'[5]TB-3'!AT78+'[5]TB-4'!AT78+'[5]TB-5'!AT78+'[5]TB-6'!AT78+'[5]TB-7'!AT78+'[5]TB-8'!AT78+'[5]TB-9'!AT78+'[5]TB-10'!AT78+'[6]DSV-1'!AT78+'[6]DSV-2'!AT78+'[6]DSV-3'!AT78+'[7]TUB-1'!AT78+'[7]TUB-2'!AT78+'[8]Barge-1'!AT78+'[8]Barge-2'!AT78+'[8]Barge-3'!AT78+'[8]Barge-4'!AT78</f>
        <v>1113</v>
      </c>
      <c r="D80" s="179"/>
      <c r="E80" s="180"/>
      <c r="F80" s="178">
        <f>'[2]AHTS-1'!AU78+'[2]AHTS-2'!AU78+'[2]AHTS-3'!AU78+'[2]AHTS-4'!AU78+'[2]AHTS-5'!AU78+'[2]AHTS-6'!AU78+'[3]CB-1'!AU78+'[3]CB-2'!AU78+'[3]CB-3'!AU78+'[3]CB-4'!AU78+'[3]CB-5'!AU78+'[3]CB-6'!AU78+'[3]CB-7'!AU78+'[3]CB-8'!AU78+'[3]CB-9'!AU78+'[3]CB-10'!AU78+'[3]CB-11'!AU78+'[3]CB-12'!AU78+'[3]CB-13'!AU78+'[3]CB-14'!AU78+'[3]CB-15'!AU78+'[3]CB-16'!AU78+'[4]LCT-1'!AU78+'[4]LCT-2'!AU78+'[4]LCT-3'!AU78+'[4]LCT-4'!AU78+'[4]LCT-5'!AU78+'[4]LCT-6'!AU78+'[4]LCT-7'!AU78+'[4]LCT-8'!AU78+'[5]TB-1'!AU78+'[5]TB-2'!AU78+'[5]TB-3'!AU78+'[5]TB-4'!AU78+'[5]TB-5'!AU78+'[5]TB-6'!AU78+'[5]TB-7'!AU78+'[5]TB-8'!AU78+'[5]TB-9'!AU78+'[5]TB-10'!AU78+'[6]DSV-1'!AU78+'[6]DSV-2'!AU78+'[6]DSV-3'!AU78+'[7]TUB-1'!AU78+'[7]TUB-2'!AU78+'[8]Barge-1'!AU78+'[8]Barge-2'!AU78+'[8]Barge-3'!AU78+'[8]Barge-4'!AU78</f>
        <v>213.16666666666669</v>
      </c>
      <c r="G80" s="179"/>
      <c r="H80" s="180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  <c r="AS80" s="94"/>
      <c r="AT80" s="94"/>
      <c r="AU80" s="94"/>
      <c r="AV80" s="94"/>
      <c r="AW80" s="94"/>
      <c r="AX80" s="94"/>
      <c r="AY80" s="94"/>
      <c r="AZ80" s="94"/>
      <c r="BA80" s="94"/>
      <c r="BB80" s="94"/>
      <c r="BC80" s="94"/>
      <c r="BD80" s="94"/>
      <c r="BE80" s="94"/>
      <c r="BF80" s="94"/>
      <c r="BG80" s="94"/>
      <c r="BH80" s="94"/>
      <c r="BI80" s="94"/>
      <c r="BJ80" s="94"/>
      <c r="BK80" s="94"/>
      <c r="BL80" s="94"/>
      <c r="BM80" s="94"/>
      <c r="BN80" s="94"/>
      <c r="BO80" s="94"/>
      <c r="BP80" s="94"/>
      <c r="BQ80" s="94"/>
      <c r="BR80" s="94"/>
      <c r="BS80" s="94"/>
      <c r="BT80" s="94"/>
      <c r="BU80" s="94"/>
      <c r="BV80" s="94"/>
      <c r="BW80" s="94"/>
      <c r="BX80" s="94"/>
      <c r="BY80" s="94"/>
      <c r="BZ80" s="94"/>
      <c r="CA80" s="94"/>
    </row>
    <row r="81" spans="1:79" s="100" customFormat="1" ht="15" customHeight="1" x14ac:dyDescent="0.25">
      <c r="A81" s="130" t="str">
        <f t="shared" si="2"/>
        <v>-</v>
      </c>
      <c r="B81" s="135"/>
      <c r="C81" s="178">
        <f>'[2]AHTS-1'!AT79+'[2]AHTS-2'!AT79+'[2]AHTS-3'!AT79+'[2]AHTS-4'!AT79+'[2]AHTS-5'!AT79+'[2]AHTS-6'!AT79+'[3]CB-1'!AT79+'[3]CB-2'!AT79+'[3]CB-3'!AT79+'[3]CB-4'!AT79+'[3]CB-5'!AT79+'[3]CB-6'!AT79+'[3]CB-7'!AT79+'[3]CB-8'!AT79+'[3]CB-9'!AT79+'[3]CB-10'!AT79+'[3]CB-11'!AT79+'[3]CB-12'!AT79+'[3]CB-13'!AT79+'[3]CB-14'!AT79+'[3]CB-15'!AT79+'[3]CB-16'!AT79+'[4]LCT-1'!AT79+'[4]LCT-2'!AT79+'[4]LCT-3'!AT79+'[4]LCT-4'!AT79+'[4]LCT-5'!AT79+'[4]LCT-6'!AT79+'[4]LCT-7'!AT79+'[4]LCT-8'!AT79+'[5]TB-1'!AT79+'[5]TB-2'!AT79+'[5]TB-3'!AT79+'[5]TB-4'!AT79+'[5]TB-5'!AT79+'[5]TB-6'!AT79+'[5]TB-7'!AT79+'[5]TB-8'!AT79+'[5]TB-9'!AT79+'[5]TB-10'!AT79+'[6]DSV-1'!AT79+'[6]DSV-2'!AT79+'[6]DSV-3'!AT79+'[7]TUB-1'!AT79+'[7]TUB-2'!AT79+'[8]Barge-1'!AT79+'[8]Barge-2'!AT79+'[8]Barge-3'!AT79+'[8]Barge-4'!AT79</f>
        <v>0</v>
      </c>
      <c r="D81" s="179"/>
      <c r="E81" s="180"/>
      <c r="F81" s="178">
        <f>'[2]AHTS-1'!AU79+'[2]AHTS-2'!AU79+'[2]AHTS-3'!AU79+'[2]AHTS-4'!AU79+'[2]AHTS-5'!AU79+'[2]AHTS-6'!AU79+'[3]CB-1'!AU79+'[3]CB-2'!AU79+'[3]CB-3'!AU79+'[3]CB-4'!AU79+'[3]CB-5'!AU79+'[3]CB-6'!AU79+'[3]CB-7'!AU79+'[3]CB-8'!AU79+'[3]CB-9'!AU79+'[3]CB-10'!AU79+'[3]CB-11'!AU79+'[3]CB-12'!AU79+'[3]CB-13'!AU79+'[3]CB-14'!AU79+'[3]CB-15'!AU79+'[3]CB-16'!AU79+'[4]LCT-1'!AU79+'[4]LCT-2'!AU79+'[4]LCT-3'!AU79+'[4]LCT-4'!AU79+'[4]LCT-5'!AU79+'[4]LCT-6'!AU79+'[4]LCT-7'!AU79+'[4]LCT-8'!AU79+'[5]TB-1'!AU79+'[5]TB-2'!AU79+'[5]TB-3'!AU79+'[5]TB-4'!AU79+'[5]TB-5'!AU79+'[5]TB-6'!AU79+'[5]TB-7'!AU79+'[5]TB-8'!AU79+'[5]TB-9'!AU79+'[5]TB-10'!AU79+'[6]DSV-1'!AU79+'[6]DSV-2'!AU79+'[6]DSV-3'!AU79+'[7]TUB-1'!AU79+'[7]TUB-2'!AU79+'[8]Barge-1'!AU79+'[8]Barge-2'!AU79+'[8]Barge-3'!AU79+'[8]Barge-4'!AU79</f>
        <v>0</v>
      </c>
      <c r="G81" s="179"/>
      <c r="H81" s="180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  <c r="AS81" s="94"/>
      <c r="AT81" s="94"/>
      <c r="AU81" s="94"/>
      <c r="AV81" s="94"/>
      <c r="AW81" s="94"/>
      <c r="AX81" s="94"/>
      <c r="AY81" s="94"/>
      <c r="AZ81" s="94"/>
      <c r="BA81" s="94"/>
      <c r="BB81" s="94"/>
      <c r="BC81" s="94"/>
      <c r="BD81" s="94"/>
      <c r="BE81" s="94"/>
      <c r="BF81" s="94"/>
      <c r="BG81" s="94"/>
      <c r="BH81" s="94"/>
      <c r="BI81" s="94"/>
      <c r="BJ81" s="94"/>
      <c r="BK81" s="94"/>
      <c r="BL81" s="94"/>
      <c r="BM81" s="94"/>
      <c r="BN81" s="94"/>
      <c r="BO81" s="94"/>
      <c r="BP81" s="94"/>
      <c r="BQ81" s="94"/>
      <c r="BR81" s="94"/>
      <c r="BS81" s="94"/>
      <c r="BT81" s="94"/>
      <c r="BU81" s="94"/>
      <c r="BV81" s="94"/>
      <c r="BW81" s="94"/>
      <c r="BX81" s="94"/>
      <c r="BY81" s="94"/>
      <c r="BZ81" s="94"/>
      <c r="CA81" s="94"/>
    </row>
    <row r="82" spans="1:79" s="100" customFormat="1" ht="15" customHeight="1" x14ac:dyDescent="0.25">
      <c r="A82" s="136" t="str">
        <f t="shared" si="2"/>
        <v>SUM</v>
      </c>
      <c r="B82" s="137"/>
      <c r="C82" s="181">
        <f>SUM(C51:E81)</f>
        <v>44909</v>
      </c>
      <c r="D82" s="182"/>
      <c r="E82" s="183"/>
      <c r="F82" s="181">
        <f>SUM(F51:H81)</f>
        <v>114220.83749999998</v>
      </c>
      <c r="G82" s="182"/>
      <c r="H82" s="183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  <c r="AS82" s="94"/>
      <c r="AT82" s="94"/>
      <c r="AU82" s="94"/>
      <c r="AV82" s="94"/>
      <c r="AW82" s="94"/>
      <c r="AX82" s="94"/>
      <c r="AY82" s="94"/>
      <c r="AZ82" s="94"/>
      <c r="BA82" s="94"/>
      <c r="BB82" s="94"/>
      <c r="BC82" s="94"/>
      <c r="BD82" s="94"/>
      <c r="BE82" s="94"/>
      <c r="BF82" s="94"/>
      <c r="BG82" s="94"/>
      <c r="BH82" s="94"/>
      <c r="BI82" s="94"/>
      <c r="BJ82" s="94"/>
      <c r="BK82" s="94"/>
      <c r="BL82" s="94"/>
      <c r="BM82" s="94"/>
      <c r="BN82" s="94"/>
      <c r="BO82" s="94"/>
      <c r="BP82" s="94"/>
      <c r="BQ82" s="94"/>
      <c r="BR82" s="94"/>
      <c r="BS82" s="94"/>
      <c r="BT82" s="94"/>
      <c r="BU82" s="94"/>
      <c r="BV82" s="94"/>
      <c r="BW82" s="94"/>
      <c r="BX82" s="94"/>
      <c r="BY82" s="94"/>
      <c r="BZ82" s="94"/>
      <c r="CA82" s="94"/>
    </row>
    <row r="83" spans="1:79" s="100" customFormat="1" ht="17.850000000000001" customHeight="1" x14ac:dyDescent="0.25">
      <c r="A83" s="129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  <c r="AS83" s="94"/>
      <c r="AT83" s="94"/>
      <c r="AU83" s="94"/>
      <c r="AV83" s="94"/>
      <c r="AW83" s="94"/>
      <c r="AX83" s="94"/>
      <c r="AY83" s="94"/>
      <c r="AZ83" s="94"/>
      <c r="BA83" s="94"/>
      <c r="BB83" s="94"/>
      <c r="BC83" s="94"/>
      <c r="BD83" s="94"/>
      <c r="BE83" s="94"/>
      <c r="BF83" s="94"/>
      <c r="BG83" s="94"/>
      <c r="BH83" s="94"/>
      <c r="BI83" s="94"/>
      <c r="BJ83" s="94"/>
      <c r="BK83" s="94"/>
      <c r="BL83" s="94"/>
      <c r="BM83" s="94"/>
      <c r="BN83" s="94"/>
      <c r="BO83" s="94"/>
      <c r="BP83" s="94"/>
      <c r="BQ83" s="94"/>
      <c r="BR83" s="94"/>
      <c r="BS83" s="94"/>
      <c r="BT83" s="94"/>
      <c r="BU83" s="94"/>
      <c r="BV83" s="94"/>
      <c r="BW83" s="94"/>
      <c r="BX83" s="94"/>
      <c r="BY83" s="94"/>
      <c r="BZ83" s="94"/>
      <c r="CA83" s="94"/>
    </row>
    <row r="84" spans="1:79" s="100" customFormat="1" ht="17.850000000000001" customHeight="1" x14ac:dyDescent="0.25">
      <c r="A84" s="129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  <c r="AS84" s="94"/>
      <c r="AT84" s="94"/>
      <c r="AU84" s="94"/>
      <c r="AV84" s="94"/>
      <c r="AW84" s="94"/>
      <c r="AX84" s="94"/>
      <c r="AY84" s="94"/>
      <c r="AZ84" s="94"/>
      <c r="BA84" s="94"/>
      <c r="BB84" s="94"/>
      <c r="BC84" s="94"/>
      <c r="BD84" s="94"/>
      <c r="BE84" s="94"/>
      <c r="BF84" s="94"/>
      <c r="BG84" s="94"/>
      <c r="BH84" s="94"/>
      <c r="BI84" s="94"/>
      <c r="BJ84" s="94"/>
      <c r="BK84" s="94"/>
      <c r="BL84" s="94"/>
      <c r="BM84" s="94"/>
      <c r="BN84" s="94"/>
      <c r="BO84" s="94"/>
      <c r="BP84" s="94"/>
      <c r="BQ84" s="94"/>
      <c r="BR84" s="94"/>
      <c r="BS84" s="94"/>
      <c r="BT84" s="94"/>
      <c r="BU84" s="94"/>
      <c r="BV84" s="94"/>
      <c r="BW84" s="94"/>
      <c r="BX84" s="94"/>
      <c r="BY84" s="94"/>
      <c r="BZ84" s="94"/>
      <c r="CA84" s="94"/>
    </row>
    <row r="85" spans="1:79" s="100" customFormat="1" ht="17.850000000000001" customHeight="1" x14ac:dyDescent="0.25">
      <c r="A85" s="129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  <c r="AS85" s="94"/>
      <c r="AT85" s="94"/>
      <c r="AU85" s="94"/>
      <c r="AV85" s="94"/>
      <c r="AW85" s="94"/>
      <c r="AX85" s="94"/>
      <c r="AY85" s="94"/>
      <c r="AZ85" s="94"/>
      <c r="BA85" s="94"/>
      <c r="BB85" s="94"/>
      <c r="BC85" s="94"/>
      <c r="BD85" s="94"/>
      <c r="BE85" s="94"/>
      <c r="BF85" s="94"/>
      <c r="BG85" s="94"/>
      <c r="BH85" s="94"/>
      <c r="BI85" s="94"/>
      <c r="BJ85" s="94"/>
      <c r="BK85" s="94"/>
      <c r="BL85" s="94"/>
      <c r="BM85" s="94"/>
      <c r="BN85" s="94"/>
      <c r="BO85" s="94"/>
      <c r="BP85" s="94"/>
      <c r="BQ85" s="94"/>
      <c r="BR85" s="94"/>
      <c r="BS85" s="94"/>
      <c r="BT85" s="94"/>
      <c r="BU85" s="94"/>
      <c r="BV85" s="94"/>
      <c r="BW85" s="94"/>
      <c r="BX85" s="94"/>
      <c r="BY85" s="94"/>
      <c r="BZ85" s="94"/>
      <c r="CA85" s="94"/>
    </row>
    <row r="86" spans="1:79" s="100" customFormat="1" ht="17.850000000000001" customHeight="1" x14ac:dyDescent="0.25">
      <c r="A86" s="129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  <c r="AS86" s="94"/>
      <c r="AT86" s="94"/>
      <c r="AU86" s="94"/>
      <c r="AV86" s="94"/>
      <c r="AW86" s="94"/>
      <c r="AX86" s="94"/>
      <c r="AY86" s="94"/>
      <c r="AZ86" s="94"/>
      <c r="BA86" s="94"/>
      <c r="BB86" s="94"/>
      <c r="BC86" s="94"/>
      <c r="BD86" s="94"/>
      <c r="BE86" s="94"/>
      <c r="BF86" s="94"/>
      <c r="BG86" s="94"/>
      <c r="BH86" s="94"/>
      <c r="BI86" s="94"/>
      <c r="BJ86" s="94"/>
      <c r="BK86" s="94"/>
      <c r="BL86" s="94"/>
      <c r="BM86" s="94"/>
      <c r="BN86" s="94"/>
      <c r="BO86" s="94"/>
      <c r="BP86" s="94"/>
      <c r="BQ86" s="94"/>
      <c r="BR86" s="94"/>
      <c r="BS86" s="94"/>
      <c r="BT86" s="94"/>
      <c r="BU86" s="94"/>
      <c r="BV86" s="94"/>
      <c r="BW86" s="94"/>
      <c r="BX86" s="94"/>
      <c r="BY86" s="94"/>
      <c r="BZ86" s="94"/>
      <c r="CA86" s="94"/>
    </row>
    <row r="87" spans="1:79" s="100" customFormat="1" ht="17.850000000000001" customHeight="1" x14ac:dyDescent="0.25">
      <c r="A87" s="129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  <c r="AS87" s="94"/>
      <c r="AT87" s="94"/>
      <c r="AU87" s="94"/>
      <c r="AV87" s="94"/>
      <c r="AW87" s="94"/>
      <c r="AX87" s="94"/>
      <c r="AY87" s="94"/>
      <c r="AZ87" s="94"/>
      <c r="BA87" s="94"/>
      <c r="BB87" s="94"/>
      <c r="BC87" s="94"/>
      <c r="BD87" s="94"/>
      <c r="BE87" s="94"/>
      <c r="BF87" s="94"/>
      <c r="BG87" s="94"/>
      <c r="BH87" s="94"/>
      <c r="BI87" s="94"/>
      <c r="BJ87" s="94"/>
      <c r="BK87" s="94"/>
      <c r="BL87" s="94"/>
      <c r="BM87" s="94"/>
      <c r="BN87" s="94"/>
      <c r="BO87" s="94"/>
      <c r="BP87" s="94"/>
      <c r="BQ87" s="94"/>
      <c r="BR87" s="94"/>
      <c r="BS87" s="94"/>
      <c r="BT87" s="94"/>
      <c r="BU87" s="94"/>
      <c r="BV87" s="94"/>
      <c r="BW87" s="94"/>
      <c r="BX87" s="94"/>
      <c r="BY87" s="94"/>
      <c r="BZ87" s="94"/>
      <c r="CA87" s="94"/>
    </row>
    <row r="88" spans="1:79" s="100" customFormat="1" ht="17.850000000000001" customHeight="1" x14ac:dyDescent="0.25">
      <c r="A88" s="129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  <c r="BH88" s="94"/>
      <c r="BI88" s="94"/>
      <c r="BJ88" s="94"/>
      <c r="BK88" s="94"/>
      <c r="BL88" s="94"/>
      <c r="BM88" s="94"/>
      <c r="BN88" s="94"/>
      <c r="BO88" s="94"/>
      <c r="BP88" s="94"/>
      <c r="BQ88" s="94"/>
      <c r="BR88" s="94"/>
      <c r="BS88" s="94"/>
      <c r="BT88" s="94"/>
      <c r="BU88" s="94"/>
      <c r="BV88" s="94"/>
      <c r="BW88" s="94"/>
      <c r="BX88" s="94"/>
      <c r="BY88" s="94"/>
      <c r="BZ88" s="94"/>
      <c r="CA88" s="94"/>
    </row>
    <row r="89" spans="1:79" s="100" customFormat="1" ht="17.850000000000001" customHeight="1" x14ac:dyDescent="0.25">
      <c r="A89" s="129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  <c r="AS89" s="94"/>
      <c r="AT89" s="94"/>
      <c r="AU89" s="94"/>
      <c r="AV89" s="94"/>
      <c r="AW89" s="94"/>
      <c r="AX89" s="94"/>
      <c r="AY89" s="94"/>
      <c r="AZ89" s="94"/>
      <c r="BA89" s="94"/>
      <c r="BB89" s="94"/>
      <c r="BC89" s="94"/>
      <c r="BD89" s="94"/>
      <c r="BE89" s="94"/>
      <c r="BF89" s="94"/>
      <c r="BG89" s="94"/>
      <c r="BH89" s="94"/>
      <c r="BI89" s="94"/>
      <c r="BJ89" s="94"/>
      <c r="BK89" s="94"/>
      <c r="BL89" s="94"/>
      <c r="BM89" s="94"/>
      <c r="BN89" s="94"/>
      <c r="BO89" s="94"/>
      <c r="BP89" s="94"/>
      <c r="BQ89" s="94"/>
      <c r="BR89" s="94"/>
      <c r="BS89" s="94"/>
      <c r="BT89" s="94"/>
      <c r="BU89" s="94"/>
      <c r="BV89" s="94"/>
      <c r="BW89" s="94"/>
      <c r="BX89" s="94"/>
      <c r="BY89" s="94"/>
      <c r="BZ89" s="94"/>
      <c r="CA89" s="94"/>
    </row>
    <row r="90" spans="1:79" s="100" customFormat="1" ht="17.850000000000001" customHeight="1" x14ac:dyDescent="0.25">
      <c r="A90" s="129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  <c r="AS90" s="94"/>
      <c r="AT90" s="94"/>
      <c r="AU90" s="94"/>
      <c r="AV90" s="94"/>
      <c r="AW90" s="94"/>
      <c r="AX90" s="94"/>
      <c r="AY90" s="94"/>
      <c r="AZ90" s="94"/>
      <c r="BA90" s="94"/>
      <c r="BB90" s="94"/>
      <c r="BC90" s="94"/>
      <c r="BD90" s="94"/>
      <c r="BE90" s="94"/>
      <c r="BF90" s="94"/>
      <c r="BG90" s="94"/>
      <c r="BH90" s="94"/>
      <c r="BI90" s="94"/>
      <c r="BJ90" s="94"/>
      <c r="BK90" s="94"/>
      <c r="BL90" s="94"/>
      <c r="BM90" s="94"/>
      <c r="BN90" s="94"/>
      <c r="BO90" s="94"/>
      <c r="BP90" s="94"/>
      <c r="BQ90" s="94"/>
      <c r="BR90" s="94"/>
      <c r="BS90" s="94"/>
      <c r="BT90" s="94"/>
      <c r="BU90" s="94"/>
      <c r="BV90" s="94"/>
      <c r="BW90" s="94"/>
      <c r="BX90" s="94"/>
      <c r="BY90" s="94"/>
      <c r="BZ90" s="94"/>
      <c r="CA90" s="94"/>
    </row>
    <row r="91" spans="1:79" s="100" customFormat="1" ht="17.850000000000001" customHeight="1" x14ac:dyDescent="0.25">
      <c r="A91" s="129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  <c r="AS91" s="94"/>
      <c r="AT91" s="94"/>
      <c r="AU91" s="94"/>
      <c r="AV91" s="94"/>
      <c r="AW91" s="94"/>
      <c r="AX91" s="94"/>
      <c r="AY91" s="94"/>
      <c r="AZ91" s="94"/>
      <c r="BA91" s="94"/>
      <c r="BB91" s="94"/>
      <c r="BC91" s="94"/>
      <c r="BD91" s="94"/>
      <c r="BE91" s="94"/>
      <c r="BF91" s="94"/>
      <c r="BG91" s="94"/>
      <c r="BH91" s="94"/>
      <c r="BI91" s="94"/>
      <c r="BJ91" s="94"/>
      <c r="BK91" s="94"/>
      <c r="BL91" s="94"/>
      <c r="BM91" s="94"/>
      <c r="BN91" s="94"/>
      <c r="BO91" s="94"/>
      <c r="BP91" s="94"/>
      <c r="BQ91" s="94"/>
      <c r="BR91" s="94"/>
      <c r="BS91" s="94"/>
      <c r="BT91" s="94"/>
      <c r="BU91" s="94"/>
      <c r="BV91" s="94"/>
      <c r="BW91" s="94"/>
      <c r="BX91" s="94"/>
      <c r="BY91" s="94"/>
      <c r="BZ91" s="94"/>
      <c r="CA91" s="94"/>
    </row>
    <row r="92" spans="1:79" s="100" customFormat="1" ht="17.850000000000001" customHeight="1" x14ac:dyDescent="0.25">
      <c r="A92" s="129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  <c r="BG92" s="94"/>
      <c r="BH92" s="94"/>
      <c r="BI92" s="94"/>
      <c r="BJ92" s="94"/>
      <c r="BK92" s="94"/>
      <c r="BL92" s="94"/>
      <c r="BM92" s="94"/>
      <c r="BN92" s="94"/>
      <c r="BO92" s="94"/>
      <c r="BP92" s="94"/>
      <c r="BQ92" s="94"/>
      <c r="BR92" s="94"/>
      <c r="BS92" s="94"/>
      <c r="BT92" s="94"/>
      <c r="BU92" s="94"/>
      <c r="BV92" s="94"/>
      <c r="BW92" s="94"/>
      <c r="BX92" s="94"/>
      <c r="BY92" s="94"/>
      <c r="BZ92" s="94"/>
      <c r="CA92" s="94"/>
    </row>
    <row r="93" spans="1:79" s="100" customFormat="1" ht="17.850000000000001" customHeight="1" x14ac:dyDescent="0.25">
      <c r="A93" s="129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  <c r="BH93" s="94"/>
      <c r="BI93" s="94"/>
      <c r="BJ93" s="94"/>
      <c r="BK93" s="94"/>
      <c r="BL93" s="94"/>
      <c r="BM93" s="94"/>
      <c r="BN93" s="94"/>
      <c r="BO93" s="94"/>
      <c r="BP93" s="94"/>
      <c r="BQ93" s="94"/>
      <c r="BR93" s="94"/>
      <c r="BS93" s="94"/>
      <c r="BT93" s="94"/>
      <c r="BU93" s="94"/>
      <c r="BV93" s="94"/>
      <c r="BW93" s="94"/>
      <c r="BX93" s="94"/>
      <c r="BY93" s="94"/>
      <c r="BZ93" s="94"/>
      <c r="CA93" s="94"/>
    </row>
    <row r="94" spans="1:79" s="100" customFormat="1" ht="17.850000000000001" customHeight="1" x14ac:dyDescent="0.25">
      <c r="A94" s="129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  <c r="AS94" s="94"/>
      <c r="AT94" s="94"/>
      <c r="AU94" s="94"/>
      <c r="AV94" s="94"/>
      <c r="AW94" s="94"/>
      <c r="AX94" s="94"/>
      <c r="AY94" s="94"/>
      <c r="AZ94" s="94"/>
      <c r="BA94" s="94"/>
      <c r="BB94" s="94"/>
      <c r="BC94" s="94"/>
      <c r="BD94" s="94"/>
      <c r="BE94" s="94"/>
      <c r="BF94" s="94"/>
      <c r="BG94" s="94"/>
      <c r="BH94" s="94"/>
      <c r="BI94" s="94"/>
      <c r="BJ94" s="94"/>
      <c r="BK94" s="94"/>
      <c r="BL94" s="94"/>
      <c r="BM94" s="94"/>
      <c r="BN94" s="94"/>
      <c r="BO94" s="94"/>
      <c r="BP94" s="94"/>
      <c r="BQ94" s="94"/>
      <c r="BR94" s="94"/>
      <c r="BS94" s="94"/>
      <c r="BT94" s="94"/>
      <c r="BU94" s="94"/>
      <c r="BV94" s="94"/>
      <c r="BW94" s="94"/>
      <c r="BX94" s="94"/>
      <c r="BY94" s="94"/>
      <c r="BZ94" s="94"/>
      <c r="CA94" s="94"/>
    </row>
    <row r="95" spans="1:79" s="100" customFormat="1" ht="17.850000000000001" customHeight="1" x14ac:dyDescent="0.25">
      <c r="A95" s="129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  <c r="BB95" s="94"/>
      <c r="BC95" s="94"/>
      <c r="BD95" s="94"/>
      <c r="BE95" s="94"/>
      <c r="BF95" s="94"/>
      <c r="BG95" s="94"/>
      <c r="BH95" s="94"/>
      <c r="BI95" s="94"/>
      <c r="BJ95" s="94"/>
      <c r="BK95" s="94"/>
      <c r="BL95" s="94"/>
      <c r="BM95" s="94"/>
      <c r="BN95" s="94"/>
      <c r="BO95" s="94"/>
      <c r="BP95" s="94"/>
      <c r="BQ95" s="94"/>
      <c r="BR95" s="94"/>
      <c r="BS95" s="94"/>
      <c r="BT95" s="94"/>
      <c r="BU95" s="94"/>
      <c r="BV95" s="94"/>
      <c r="BW95" s="94"/>
      <c r="BX95" s="94"/>
      <c r="BY95" s="94"/>
      <c r="BZ95" s="94"/>
      <c r="CA95" s="94"/>
    </row>
    <row r="96" spans="1:79" s="100" customFormat="1" ht="17.850000000000001" customHeight="1" x14ac:dyDescent="0.25">
      <c r="A96" s="129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4"/>
      <c r="AT96" s="94"/>
      <c r="AU96" s="94"/>
      <c r="AV96" s="94"/>
      <c r="AW96" s="94"/>
      <c r="AX96" s="94"/>
      <c r="AY96" s="94"/>
      <c r="AZ96" s="94"/>
      <c r="BA96" s="94"/>
      <c r="BB96" s="94"/>
      <c r="BC96" s="94"/>
      <c r="BD96" s="94"/>
      <c r="BE96" s="94"/>
      <c r="BF96" s="94"/>
      <c r="BG96" s="94"/>
      <c r="BH96" s="94"/>
      <c r="BI96" s="94"/>
      <c r="BJ96" s="94"/>
      <c r="BK96" s="94"/>
      <c r="BL96" s="94"/>
      <c r="BM96" s="94"/>
      <c r="BN96" s="94"/>
      <c r="BO96" s="94"/>
      <c r="BP96" s="94"/>
      <c r="BQ96" s="94"/>
      <c r="BR96" s="94"/>
      <c r="BS96" s="94"/>
      <c r="BT96" s="94"/>
      <c r="BU96" s="94"/>
      <c r="BV96" s="94"/>
      <c r="BW96" s="94"/>
      <c r="BX96" s="94"/>
      <c r="BY96" s="94"/>
      <c r="BZ96" s="94"/>
      <c r="CA96" s="94"/>
    </row>
    <row r="97" spans="1:79" s="100" customFormat="1" ht="17.850000000000001" customHeight="1" x14ac:dyDescent="0.25">
      <c r="A97" s="129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  <c r="AS97" s="94"/>
      <c r="AT97" s="94"/>
      <c r="AU97" s="94"/>
      <c r="AV97" s="94"/>
      <c r="AW97" s="94"/>
      <c r="AX97" s="94"/>
      <c r="AY97" s="94"/>
      <c r="AZ97" s="94"/>
      <c r="BA97" s="94"/>
      <c r="BB97" s="94"/>
      <c r="BC97" s="94"/>
      <c r="BD97" s="94"/>
      <c r="BE97" s="94"/>
      <c r="BF97" s="94"/>
      <c r="BG97" s="94"/>
      <c r="BH97" s="94"/>
      <c r="BI97" s="94"/>
      <c r="BJ97" s="94"/>
      <c r="BK97" s="94"/>
      <c r="BL97" s="94"/>
      <c r="BM97" s="94"/>
      <c r="BN97" s="94"/>
      <c r="BO97" s="94"/>
      <c r="BP97" s="94"/>
      <c r="BQ97" s="94"/>
      <c r="BR97" s="94"/>
      <c r="BS97" s="94"/>
      <c r="BT97" s="94"/>
      <c r="BU97" s="94"/>
      <c r="BV97" s="94"/>
      <c r="BW97" s="94"/>
      <c r="BX97" s="94"/>
      <c r="BY97" s="94"/>
      <c r="BZ97" s="94"/>
      <c r="CA97" s="94"/>
    </row>
    <row r="98" spans="1:79" s="100" customFormat="1" ht="17.850000000000001" customHeight="1" x14ac:dyDescent="0.25">
      <c r="A98" s="129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  <c r="AS98" s="94"/>
      <c r="AT98" s="94"/>
      <c r="AU98" s="94"/>
      <c r="AV98" s="94"/>
      <c r="AW98" s="94"/>
      <c r="AX98" s="94"/>
      <c r="AY98" s="94"/>
      <c r="AZ98" s="94"/>
      <c r="BA98" s="94"/>
      <c r="BB98" s="94"/>
      <c r="BC98" s="94"/>
      <c r="BD98" s="94"/>
      <c r="BE98" s="94"/>
      <c r="BF98" s="94"/>
      <c r="BG98" s="94"/>
      <c r="BH98" s="94"/>
      <c r="BI98" s="94"/>
      <c r="BJ98" s="94"/>
      <c r="BK98" s="94"/>
      <c r="BL98" s="94"/>
      <c r="BM98" s="94"/>
      <c r="BN98" s="94"/>
      <c r="BO98" s="94"/>
      <c r="BP98" s="94"/>
      <c r="BQ98" s="94"/>
      <c r="BR98" s="94"/>
      <c r="BS98" s="94"/>
      <c r="BT98" s="94"/>
      <c r="BU98" s="94"/>
      <c r="BV98" s="94"/>
      <c r="BW98" s="94"/>
      <c r="BX98" s="94"/>
      <c r="BY98" s="94"/>
      <c r="BZ98" s="94"/>
      <c r="CA98" s="94"/>
    </row>
    <row r="99" spans="1:79" s="100" customFormat="1" ht="17.850000000000001" customHeight="1" x14ac:dyDescent="0.25">
      <c r="A99" s="129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4"/>
      <c r="BE99" s="94"/>
      <c r="BF99" s="94"/>
      <c r="BG99" s="94"/>
      <c r="BH99" s="94"/>
      <c r="BI99" s="94"/>
      <c r="BJ99" s="94"/>
      <c r="BK99" s="94"/>
      <c r="BL99" s="94"/>
      <c r="BM99" s="94"/>
      <c r="BN99" s="94"/>
      <c r="BO99" s="94"/>
      <c r="BP99" s="94"/>
      <c r="BQ99" s="94"/>
      <c r="BR99" s="94"/>
      <c r="BS99" s="94"/>
      <c r="BT99" s="94"/>
      <c r="BU99" s="94"/>
      <c r="BV99" s="94"/>
      <c r="BW99" s="94"/>
      <c r="BX99" s="94"/>
      <c r="BY99" s="94"/>
      <c r="BZ99" s="94"/>
      <c r="CA99" s="94"/>
    </row>
    <row r="100" spans="1:79" s="100" customFormat="1" ht="17.850000000000001" customHeight="1" x14ac:dyDescent="0.25">
      <c r="A100" s="129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  <c r="AS100" s="94"/>
      <c r="AT100" s="94"/>
      <c r="AU100" s="94"/>
      <c r="AV100" s="94"/>
      <c r="AW100" s="94"/>
      <c r="AX100" s="94"/>
      <c r="AY100" s="94"/>
      <c r="AZ100" s="94"/>
      <c r="BA100" s="94"/>
      <c r="BB100" s="94"/>
      <c r="BC100" s="94"/>
      <c r="BD100" s="94"/>
      <c r="BE100" s="94"/>
      <c r="BF100" s="94"/>
      <c r="BG100" s="94"/>
      <c r="BH100" s="94"/>
      <c r="BI100" s="94"/>
      <c r="BJ100" s="94"/>
      <c r="BK100" s="94"/>
      <c r="BL100" s="94"/>
      <c r="BM100" s="94"/>
      <c r="BN100" s="94"/>
      <c r="BO100" s="94"/>
      <c r="BP100" s="94"/>
      <c r="BQ100" s="94"/>
      <c r="BR100" s="94"/>
      <c r="BS100" s="94"/>
      <c r="BT100" s="94"/>
      <c r="BU100" s="94"/>
      <c r="BV100" s="94"/>
      <c r="BW100" s="94"/>
      <c r="BX100" s="94"/>
      <c r="BY100" s="94"/>
      <c r="BZ100" s="94"/>
      <c r="CA100" s="94"/>
    </row>
    <row r="101" spans="1:79" s="100" customFormat="1" ht="17.850000000000001" customHeight="1" x14ac:dyDescent="0.25">
      <c r="A101" s="129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  <c r="AS101" s="94"/>
      <c r="AT101" s="94"/>
      <c r="AU101" s="94"/>
      <c r="AV101" s="94"/>
      <c r="AW101" s="94"/>
      <c r="AX101" s="94"/>
      <c r="AY101" s="94"/>
      <c r="AZ101" s="94"/>
      <c r="BA101" s="94"/>
      <c r="BB101" s="94"/>
      <c r="BC101" s="94"/>
      <c r="BD101" s="94"/>
      <c r="BE101" s="94"/>
      <c r="BF101" s="94"/>
      <c r="BG101" s="94"/>
      <c r="BH101" s="94"/>
      <c r="BI101" s="94"/>
      <c r="BJ101" s="94"/>
      <c r="BK101" s="94"/>
      <c r="BL101" s="94"/>
      <c r="BM101" s="94"/>
      <c r="BN101" s="94"/>
      <c r="BO101" s="94"/>
      <c r="BP101" s="94"/>
      <c r="BQ101" s="94"/>
      <c r="BR101" s="94"/>
      <c r="BS101" s="94"/>
      <c r="BT101" s="94"/>
      <c r="BU101" s="94"/>
      <c r="BV101" s="94"/>
      <c r="BW101" s="94"/>
      <c r="BX101" s="94"/>
      <c r="BY101" s="94"/>
      <c r="BZ101" s="94"/>
      <c r="CA101" s="94"/>
    </row>
    <row r="102" spans="1:79" s="100" customFormat="1" ht="17.850000000000001" customHeight="1" x14ac:dyDescent="0.25">
      <c r="A102" s="129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  <c r="AS102" s="94"/>
      <c r="AT102" s="94"/>
      <c r="AU102" s="94"/>
      <c r="AV102" s="94"/>
      <c r="AW102" s="94"/>
      <c r="AX102" s="94"/>
      <c r="AY102" s="94"/>
      <c r="AZ102" s="94"/>
      <c r="BA102" s="94"/>
      <c r="BB102" s="94"/>
      <c r="BC102" s="94"/>
      <c r="BD102" s="94"/>
      <c r="BE102" s="94"/>
      <c r="BF102" s="94"/>
      <c r="BG102" s="94"/>
      <c r="BH102" s="94"/>
      <c r="BI102" s="94"/>
      <c r="BJ102" s="94"/>
      <c r="BK102" s="94"/>
      <c r="BL102" s="94"/>
      <c r="BM102" s="94"/>
      <c r="BN102" s="94"/>
      <c r="BO102" s="94"/>
      <c r="BP102" s="94"/>
      <c r="BQ102" s="94"/>
      <c r="BR102" s="94"/>
      <c r="BS102" s="94"/>
      <c r="BT102" s="94"/>
      <c r="BU102" s="94"/>
      <c r="BV102" s="94"/>
      <c r="BW102" s="94"/>
      <c r="BX102" s="94"/>
      <c r="BY102" s="94"/>
      <c r="BZ102" s="94"/>
      <c r="CA102" s="94"/>
    </row>
    <row r="103" spans="1:79" s="100" customFormat="1" ht="17.850000000000001" customHeight="1" x14ac:dyDescent="0.25">
      <c r="A103" s="129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  <c r="AS103" s="94"/>
      <c r="AT103" s="94"/>
      <c r="AU103" s="94"/>
      <c r="AV103" s="94"/>
      <c r="AW103" s="94"/>
      <c r="AX103" s="94"/>
      <c r="AY103" s="94"/>
      <c r="AZ103" s="94"/>
      <c r="BA103" s="94"/>
      <c r="BB103" s="94"/>
      <c r="BC103" s="94"/>
      <c r="BD103" s="94"/>
      <c r="BE103" s="94"/>
      <c r="BF103" s="94"/>
      <c r="BG103" s="94"/>
      <c r="BH103" s="94"/>
      <c r="BI103" s="94"/>
      <c r="BJ103" s="94"/>
      <c r="BK103" s="94"/>
      <c r="BL103" s="94"/>
      <c r="BM103" s="94"/>
      <c r="BN103" s="94"/>
      <c r="BO103" s="94"/>
      <c r="BP103" s="94"/>
      <c r="BQ103" s="94"/>
      <c r="BR103" s="94"/>
      <c r="BS103" s="94"/>
      <c r="BT103" s="94"/>
      <c r="BU103" s="94"/>
      <c r="BV103" s="94"/>
      <c r="BW103" s="94"/>
      <c r="BX103" s="94"/>
      <c r="BY103" s="94"/>
      <c r="BZ103" s="94"/>
      <c r="CA103" s="94"/>
    </row>
    <row r="104" spans="1:79" s="100" customFormat="1" ht="17.850000000000001" customHeight="1" x14ac:dyDescent="0.25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  <c r="AS104" s="94"/>
      <c r="AT104" s="94"/>
      <c r="AU104" s="94"/>
      <c r="AV104" s="94"/>
      <c r="AW104" s="94"/>
      <c r="AX104" s="94"/>
      <c r="AY104" s="94"/>
      <c r="AZ104" s="94"/>
      <c r="BA104" s="94"/>
      <c r="BB104" s="94"/>
      <c r="BC104" s="94"/>
      <c r="BD104" s="94"/>
      <c r="BE104" s="94"/>
      <c r="BF104" s="94"/>
      <c r="BG104" s="94"/>
      <c r="BH104" s="94"/>
      <c r="BI104" s="94"/>
      <c r="BJ104" s="94"/>
      <c r="BK104" s="94"/>
      <c r="BL104" s="94"/>
      <c r="BM104" s="94"/>
      <c r="BN104" s="94"/>
      <c r="BO104" s="94"/>
      <c r="BP104" s="94"/>
      <c r="BQ104" s="94"/>
      <c r="BR104" s="94"/>
      <c r="BS104" s="94"/>
      <c r="BT104" s="94"/>
      <c r="BU104" s="94"/>
      <c r="BV104" s="94"/>
      <c r="BW104" s="94"/>
      <c r="BX104" s="94"/>
      <c r="BY104" s="94"/>
      <c r="BZ104" s="94"/>
      <c r="CA104" s="94"/>
    </row>
    <row r="105" spans="1:79" s="100" customFormat="1" ht="17.850000000000001" customHeight="1" x14ac:dyDescent="0.2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  <c r="AS105" s="94"/>
      <c r="AT105" s="94"/>
      <c r="AU105" s="94"/>
      <c r="AV105" s="94"/>
      <c r="AW105" s="94"/>
      <c r="AX105" s="94"/>
      <c r="AY105" s="94"/>
      <c r="AZ105" s="94"/>
      <c r="BA105" s="94"/>
      <c r="BB105" s="94"/>
      <c r="BC105" s="94"/>
      <c r="BD105" s="94"/>
      <c r="BE105" s="94"/>
      <c r="BF105" s="94"/>
      <c r="BG105" s="94"/>
      <c r="BH105" s="94"/>
      <c r="BI105" s="94"/>
      <c r="BJ105" s="94"/>
      <c r="BK105" s="94"/>
      <c r="BL105" s="94"/>
      <c r="BM105" s="94"/>
      <c r="BN105" s="94"/>
      <c r="BO105" s="94"/>
      <c r="BP105" s="94"/>
      <c r="BQ105" s="94"/>
      <c r="BR105" s="94"/>
      <c r="BS105" s="94"/>
      <c r="BT105" s="94"/>
      <c r="BU105" s="94"/>
      <c r="BV105" s="94"/>
      <c r="BW105" s="94"/>
      <c r="BX105" s="94"/>
      <c r="BY105" s="94"/>
      <c r="BZ105" s="94"/>
      <c r="CA105" s="94"/>
    </row>
    <row r="106" spans="1:79" s="100" customFormat="1" ht="17.850000000000001" customHeight="1" x14ac:dyDescent="0.25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4"/>
      <c r="BK106" s="94"/>
      <c r="BL106" s="94"/>
      <c r="BM106" s="94"/>
      <c r="BN106" s="94"/>
      <c r="BO106" s="94"/>
      <c r="BP106" s="94"/>
      <c r="BQ106" s="94"/>
      <c r="BR106" s="94"/>
      <c r="BS106" s="94"/>
      <c r="BT106" s="94"/>
      <c r="BU106" s="94"/>
      <c r="BV106" s="94"/>
      <c r="BW106" s="94"/>
      <c r="BX106" s="94"/>
      <c r="BY106" s="94"/>
      <c r="BZ106" s="94"/>
      <c r="CA106" s="94"/>
    </row>
    <row r="107" spans="1:79" s="100" customFormat="1" ht="17.850000000000001" customHeight="1" x14ac:dyDescent="0.25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  <c r="AS107" s="94"/>
      <c r="AT107" s="94"/>
      <c r="AU107" s="94"/>
      <c r="AV107" s="94"/>
      <c r="AW107" s="94"/>
      <c r="AX107" s="94"/>
      <c r="AY107" s="94"/>
      <c r="AZ107" s="94"/>
      <c r="BA107" s="94"/>
      <c r="BB107" s="94"/>
      <c r="BC107" s="94"/>
      <c r="BD107" s="94"/>
      <c r="BE107" s="94"/>
      <c r="BF107" s="94"/>
      <c r="BG107" s="94"/>
      <c r="BH107" s="94"/>
      <c r="BI107" s="94"/>
      <c r="BJ107" s="94"/>
      <c r="BK107" s="94"/>
      <c r="BL107" s="94"/>
      <c r="BM107" s="94"/>
      <c r="BN107" s="94"/>
      <c r="BO107" s="94"/>
      <c r="BP107" s="94"/>
      <c r="BQ107" s="94"/>
      <c r="BR107" s="94"/>
      <c r="BS107" s="94"/>
      <c r="BT107" s="94"/>
      <c r="BU107" s="94"/>
      <c r="BV107" s="94"/>
      <c r="BW107" s="94"/>
      <c r="BX107" s="94"/>
      <c r="BY107" s="94"/>
      <c r="BZ107" s="94"/>
      <c r="CA107" s="94"/>
    </row>
    <row r="108" spans="1:79" s="100" customFormat="1" ht="17.850000000000001" customHeight="1" x14ac:dyDescent="0.25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  <c r="AS108" s="94"/>
      <c r="AT108" s="94"/>
      <c r="AU108" s="94"/>
      <c r="AV108" s="94"/>
      <c r="AW108" s="94"/>
      <c r="AX108" s="94"/>
      <c r="AY108" s="94"/>
      <c r="AZ108" s="94"/>
      <c r="BA108" s="94"/>
      <c r="BB108" s="94"/>
      <c r="BC108" s="94"/>
      <c r="BD108" s="94"/>
      <c r="BE108" s="94"/>
      <c r="BF108" s="94"/>
      <c r="BG108" s="94"/>
      <c r="BH108" s="94"/>
      <c r="BI108" s="94"/>
      <c r="BJ108" s="94"/>
      <c r="BK108" s="94"/>
      <c r="BL108" s="94"/>
      <c r="BM108" s="94"/>
      <c r="BN108" s="94"/>
      <c r="BO108" s="94"/>
      <c r="BP108" s="94"/>
      <c r="BQ108" s="94"/>
      <c r="BR108" s="94"/>
      <c r="BS108" s="94"/>
      <c r="BT108" s="94"/>
      <c r="BU108" s="94"/>
      <c r="BV108" s="94"/>
      <c r="BW108" s="94"/>
      <c r="BX108" s="94"/>
      <c r="BY108" s="94"/>
      <c r="BZ108" s="94"/>
      <c r="CA108" s="94"/>
    </row>
    <row r="109" spans="1:79" s="101" customFormat="1" x14ac:dyDescent="0.2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102"/>
      <c r="AN109" s="102"/>
      <c r="AO109" s="102"/>
      <c r="AP109" s="102"/>
      <c r="AQ109" s="102"/>
      <c r="AR109" s="102"/>
      <c r="AS109" s="102"/>
      <c r="AT109" s="102"/>
      <c r="AU109" s="102"/>
      <c r="AV109" s="102"/>
      <c r="AW109" s="102"/>
      <c r="AX109" s="102"/>
      <c r="AY109" s="102"/>
      <c r="AZ109" s="102"/>
      <c r="BA109" s="102"/>
      <c r="BB109" s="102"/>
      <c r="BC109" s="102"/>
      <c r="BD109" s="102"/>
      <c r="BE109" s="102"/>
      <c r="BF109" s="102"/>
      <c r="BG109" s="102"/>
      <c r="BH109" s="102"/>
      <c r="BI109" s="102"/>
      <c r="BJ109" s="102"/>
      <c r="BK109" s="102"/>
      <c r="BL109" s="102"/>
      <c r="BM109" s="102"/>
      <c r="BN109" s="102"/>
      <c r="BO109" s="102"/>
      <c r="BP109" s="102"/>
      <c r="BQ109" s="102"/>
      <c r="BR109" s="102"/>
      <c r="BS109" s="102"/>
      <c r="BT109" s="102"/>
      <c r="BU109" s="102"/>
      <c r="BV109" s="102"/>
      <c r="BW109" s="102"/>
      <c r="BX109" s="102"/>
      <c r="BY109" s="102"/>
      <c r="BZ109" s="102"/>
      <c r="CA109" s="102"/>
    </row>
    <row r="110" spans="1:79" s="101" customFormat="1" x14ac:dyDescent="0.25"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102"/>
      <c r="AN110" s="102"/>
      <c r="AO110" s="102"/>
      <c r="AP110" s="102"/>
      <c r="AQ110" s="102"/>
      <c r="AR110" s="102"/>
      <c r="AS110" s="102"/>
      <c r="AT110" s="102"/>
      <c r="AU110" s="102"/>
      <c r="AV110" s="102"/>
      <c r="AW110" s="102"/>
      <c r="AX110" s="102"/>
      <c r="AY110" s="102"/>
      <c r="AZ110" s="102"/>
      <c r="BA110" s="102"/>
      <c r="BB110" s="102"/>
      <c r="BC110" s="102"/>
      <c r="BD110" s="102"/>
      <c r="BE110" s="102"/>
      <c r="BF110" s="102"/>
      <c r="BG110" s="102"/>
      <c r="BH110" s="102"/>
      <c r="BI110" s="102"/>
      <c r="BJ110" s="102"/>
      <c r="BK110" s="102"/>
      <c r="BL110" s="102"/>
      <c r="BM110" s="102"/>
      <c r="BN110" s="102"/>
      <c r="BO110" s="102"/>
      <c r="BP110" s="102"/>
      <c r="BQ110" s="102"/>
      <c r="BR110" s="102"/>
      <c r="BS110" s="102"/>
      <c r="BT110" s="102"/>
      <c r="BU110" s="102"/>
      <c r="BV110" s="102"/>
      <c r="BW110" s="102"/>
      <c r="BX110" s="102"/>
      <c r="BY110" s="102"/>
      <c r="BZ110" s="102"/>
      <c r="CA110" s="102"/>
    </row>
    <row r="111" spans="1:79" s="101" customFormat="1" x14ac:dyDescent="0.25"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02"/>
      <c r="AL111" s="102"/>
      <c r="AM111" s="102"/>
      <c r="AN111" s="102"/>
      <c r="AO111" s="102"/>
      <c r="AP111" s="102"/>
      <c r="AQ111" s="102"/>
      <c r="AR111" s="102"/>
      <c r="AS111" s="102"/>
      <c r="AT111" s="102"/>
      <c r="AU111" s="102"/>
      <c r="AV111" s="102"/>
      <c r="AW111" s="102"/>
      <c r="AX111" s="102"/>
      <c r="AY111" s="102"/>
      <c r="AZ111" s="102"/>
      <c r="BA111" s="102"/>
      <c r="BB111" s="102"/>
      <c r="BC111" s="102"/>
      <c r="BD111" s="102"/>
      <c r="BE111" s="102"/>
      <c r="BF111" s="102"/>
      <c r="BG111" s="102"/>
      <c r="BH111" s="102"/>
      <c r="BI111" s="102"/>
      <c r="BJ111" s="102"/>
      <c r="BK111" s="102"/>
      <c r="BL111" s="102"/>
      <c r="BM111" s="102"/>
      <c r="BN111" s="102"/>
      <c r="BO111" s="102"/>
      <c r="BP111" s="102"/>
      <c r="BQ111" s="102"/>
      <c r="BR111" s="102"/>
      <c r="BS111" s="102"/>
      <c r="BT111" s="102"/>
      <c r="BU111" s="102"/>
      <c r="BV111" s="102"/>
      <c r="BW111" s="102"/>
      <c r="BX111" s="102"/>
      <c r="BY111" s="102"/>
      <c r="BZ111" s="102"/>
      <c r="CA111" s="102"/>
    </row>
  </sheetData>
  <sheetProtection algorithmName="SHA-512" hashValue="TZOgKUIGtGv8im6LArgTT0jZD4Kxnq+H/B+HEwPiGl1D+RwKKM2ozFc6pyrcGDVO9rwpuPFM1Yf/gfTWZq+5EQ==" saltValue="m00QySsJrTYs85ykEV03gA==" spinCount="100000" sheet="1" objects="1" scenarios="1"/>
  <mergeCells count="70">
    <mergeCell ref="C81:E81"/>
    <mergeCell ref="F81:H81"/>
    <mergeCell ref="C82:E82"/>
    <mergeCell ref="F82:H82"/>
    <mergeCell ref="C78:E78"/>
    <mergeCell ref="F78:H78"/>
    <mergeCell ref="C79:E79"/>
    <mergeCell ref="F79:H79"/>
    <mergeCell ref="C80:E80"/>
    <mergeCell ref="F80:H80"/>
    <mergeCell ref="C75:E75"/>
    <mergeCell ref="F75:H75"/>
    <mergeCell ref="C76:E76"/>
    <mergeCell ref="F76:H76"/>
    <mergeCell ref="C77:E77"/>
    <mergeCell ref="F77:H77"/>
    <mergeCell ref="C72:E72"/>
    <mergeCell ref="F72:H72"/>
    <mergeCell ref="C73:E73"/>
    <mergeCell ref="F73:H73"/>
    <mergeCell ref="C74:E74"/>
    <mergeCell ref="F74:H74"/>
    <mergeCell ref="C69:E69"/>
    <mergeCell ref="F69:H69"/>
    <mergeCell ref="C70:E70"/>
    <mergeCell ref="F70:H70"/>
    <mergeCell ref="C71:E71"/>
    <mergeCell ref="F71:H71"/>
    <mergeCell ref="C66:E66"/>
    <mergeCell ref="F66:H66"/>
    <mergeCell ref="C67:E67"/>
    <mergeCell ref="F67:H67"/>
    <mergeCell ref="C68:E68"/>
    <mergeCell ref="F68:H68"/>
    <mergeCell ref="C63:E63"/>
    <mergeCell ref="F63:H63"/>
    <mergeCell ref="C64:E64"/>
    <mergeCell ref="F64:H64"/>
    <mergeCell ref="C65:E65"/>
    <mergeCell ref="F65:H65"/>
    <mergeCell ref="C60:E60"/>
    <mergeCell ref="F60:H60"/>
    <mergeCell ref="C61:E61"/>
    <mergeCell ref="F61:H61"/>
    <mergeCell ref="C62:E62"/>
    <mergeCell ref="F62:H62"/>
    <mergeCell ref="C57:E57"/>
    <mergeCell ref="F57:H57"/>
    <mergeCell ref="C58:E58"/>
    <mergeCell ref="F58:H58"/>
    <mergeCell ref="C59:E59"/>
    <mergeCell ref="F59:H59"/>
    <mergeCell ref="C54:E54"/>
    <mergeCell ref="F54:H54"/>
    <mergeCell ref="C55:E55"/>
    <mergeCell ref="F55:H55"/>
    <mergeCell ref="C56:E56"/>
    <mergeCell ref="F56:H56"/>
    <mergeCell ref="C51:E51"/>
    <mergeCell ref="F51:H51"/>
    <mergeCell ref="C52:E52"/>
    <mergeCell ref="F52:H52"/>
    <mergeCell ref="C53:E53"/>
    <mergeCell ref="F53:H53"/>
    <mergeCell ref="W9:Y9"/>
    <mergeCell ref="Z9:AB9"/>
    <mergeCell ref="C9:E9"/>
    <mergeCell ref="F9:H9"/>
    <mergeCell ref="F50:H50"/>
    <mergeCell ref="C50:E50"/>
  </mergeCells>
  <conditionalFormatting sqref="C11:H41">
    <cfRule type="cellIs" dxfId="1" priority="2" stopIfTrue="1" operator="lessThanOrEqual">
      <formula>0</formula>
    </cfRule>
  </conditionalFormatting>
  <conditionalFormatting sqref="W11:AB41">
    <cfRule type="cellIs" dxfId="0" priority="1" stopIfTrue="1" operator="lessThanOrEqual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EnC</vt:lpstr>
      <vt:lpstr>Distribute</vt:lpstr>
      <vt:lpstr>EnC!Print_Area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2002-10-29T23:29:08Z</cp:lastPrinted>
  <dcterms:created xsi:type="dcterms:W3CDTF">2001-05-05T01:50:12Z</dcterms:created>
  <dcterms:modified xsi:type="dcterms:W3CDTF">2025-12-25T03:18:24Z</dcterms:modified>
</cp:coreProperties>
</file>