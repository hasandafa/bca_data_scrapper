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BS\SCM\FMLE\06. MARINE\1A_OPERATION KAPAL\BCA\2025\am_25Nov-24Dec_25\"/>
    </mc:Choice>
  </mc:AlternateContent>
  <xr:revisionPtr revIDLastSave="0" documentId="13_ncr:1_{FB7E09B9-E5D6-4F76-A671-5C217D81528E}" xr6:coauthVersionLast="47" xr6:coauthVersionMax="47" xr10:uidLastSave="{00000000-0000-0000-0000-000000000000}"/>
  <bookViews>
    <workbookView xWindow="-110" yWindow="-110" windowWidth="19420" windowHeight="10300" tabRatio="889" firstSheet="8" activeTab="8" xr2:uid="{00000000-000D-0000-FFFF-FFFF00000000}"/>
  </bookViews>
  <sheets>
    <sheet name="Summary" sheetId="49" state="hidden" r:id="rId1"/>
    <sheet name="Marine YTD 2023" sheetId="50" state="hidden" r:id="rId2"/>
    <sheet name="Mooring YTD 2023" sheetId="51" state="hidden" r:id="rId3"/>
    <sheet name="Security Patrol YTD 2023" sheetId="52" state="hidden" r:id="rId4"/>
    <sheet name="Actual Sewa &amp; BBM" sheetId="53" state="hidden" r:id="rId5"/>
    <sheet name="Marine" sheetId="54" state="hidden" r:id="rId6"/>
    <sheet name="Mooring" sheetId="55" state="hidden" r:id="rId7"/>
    <sheet name="Security Patrol" sheetId="56" state="hidden" r:id="rId8"/>
    <sheet name="Actual Cost per type" sheetId="40" r:id="rId9"/>
    <sheet name="Actual Cost Marine" sheetId="4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IDS">"Rectangle 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61" i="40" l="1"/>
  <c r="AW61" i="40"/>
  <c r="AX61" i="40"/>
  <c r="AY61" i="40"/>
  <c r="AZ61" i="40"/>
  <c r="BA61" i="40"/>
  <c r="BB61" i="40"/>
  <c r="BC61" i="40"/>
  <c r="BD61" i="40"/>
  <c r="BE61" i="40"/>
  <c r="BF61" i="40"/>
  <c r="BG61" i="40"/>
  <c r="BH61" i="40"/>
  <c r="BI61" i="40"/>
  <c r="BJ61" i="40"/>
  <c r="BK61" i="40"/>
  <c r="BL61" i="40"/>
  <c r="BM61" i="40"/>
  <c r="BN61" i="40"/>
  <c r="BO61" i="40"/>
  <c r="BP61" i="40"/>
  <c r="AU61" i="40"/>
  <c r="Z60" i="40"/>
  <c r="AA60" i="40"/>
  <c r="AB60" i="40"/>
  <c r="AC60" i="40"/>
  <c r="AD60" i="40"/>
  <c r="AE60" i="40"/>
  <c r="AF60" i="40"/>
  <c r="AG60" i="40"/>
  <c r="AH60" i="40"/>
  <c r="AI60" i="40"/>
  <c r="AJ60" i="40"/>
  <c r="AK60" i="40"/>
  <c r="AL60" i="40"/>
  <c r="AM60" i="40"/>
  <c r="AN60" i="40"/>
  <c r="AO60" i="40"/>
  <c r="AP60" i="40"/>
  <c r="AQ60" i="40"/>
  <c r="AR60" i="40"/>
  <c r="AS60" i="40"/>
  <c r="AT60" i="40"/>
  <c r="Z61" i="40"/>
  <c r="AA61" i="40"/>
  <c r="AB61" i="40"/>
  <c r="AC61" i="40"/>
  <c r="AD61" i="40"/>
  <c r="AE61" i="40"/>
  <c r="AF61" i="40"/>
  <c r="AG61" i="40"/>
  <c r="AH61" i="40"/>
  <c r="AI61" i="40"/>
  <c r="AJ61" i="40"/>
  <c r="AK61" i="40"/>
  <c r="AL61" i="40"/>
  <c r="AM61" i="40"/>
  <c r="AN61" i="40"/>
  <c r="AO61" i="40"/>
  <c r="AP61" i="40"/>
  <c r="AQ61" i="40"/>
  <c r="AR61" i="40"/>
  <c r="AS61" i="40"/>
  <c r="AT61" i="40"/>
  <c r="Y61" i="40"/>
  <c r="Y60" i="40"/>
  <c r="D60" i="40"/>
  <c r="E60" i="40"/>
  <c r="F60" i="40"/>
  <c r="G60" i="40"/>
  <c r="H60" i="40"/>
  <c r="I60" i="40"/>
  <c r="J60" i="40"/>
  <c r="K60" i="40"/>
  <c r="L60" i="40"/>
  <c r="M60" i="40"/>
  <c r="N60" i="40"/>
  <c r="O60" i="40"/>
  <c r="P60" i="40"/>
  <c r="Q60" i="40"/>
  <c r="R60" i="40"/>
  <c r="S60" i="40"/>
  <c r="T60" i="40"/>
  <c r="U60" i="40"/>
  <c r="V60" i="40"/>
  <c r="W60" i="40"/>
  <c r="X60" i="40"/>
  <c r="D61" i="40"/>
  <c r="E61" i="40"/>
  <c r="F61" i="40"/>
  <c r="G61" i="40"/>
  <c r="H61" i="40"/>
  <c r="I61" i="40"/>
  <c r="J61" i="40"/>
  <c r="K61" i="40"/>
  <c r="L61" i="40"/>
  <c r="M61" i="40"/>
  <c r="N61" i="40"/>
  <c r="O61" i="40"/>
  <c r="P61" i="40"/>
  <c r="Q61" i="40"/>
  <c r="R61" i="40"/>
  <c r="S61" i="40"/>
  <c r="T61" i="40"/>
  <c r="U61" i="40"/>
  <c r="V61" i="40"/>
  <c r="W61" i="40"/>
  <c r="X61" i="40"/>
  <c r="C61" i="40"/>
  <c r="C60" i="40"/>
  <c r="B62" i="40" l="1"/>
  <c r="B61" i="40"/>
  <c r="AT62" i="40" l="1"/>
  <c r="AP62" i="40"/>
  <c r="B60" i="40"/>
  <c r="BM62" i="40" l="1"/>
  <c r="BP62" i="40"/>
  <c r="BE62" i="40"/>
  <c r="BJ62" i="40"/>
  <c r="BL62" i="40"/>
  <c r="AG62" i="40"/>
  <c r="AC62" i="40"/>
  <c r="BC62" i="40"/>
  <c r="AA62" i="40"/>
  <c r="AD62" i="40"/>
  <c r="AM62" i="40"/>
  <c r="AL62" i="40"/>
  <c r="AB62" i="40"/>
  <c r="AE62" i="40"/>
  <c r="AR62" i="40"/>
  <c r="AH62" i="40"/>
  <c r="Z62" i="40"/>
  <c r="AI62" i="40"/>
  <c r="AO62" i="40"/>
  <c r="AN62" i="40"/>
  <c r="AF62" i="40"/>
  <c r="AJ62" i="40"/>
  <c r="AQ62" i="40"/>
  <c r="AK62" i="40"/>
  <c r="AS62" i="40"/>
  <c r="E14" i="41"/>
  <c r="E13" i="41"/>
  <c r="E12" i="41"/>
  <c r="E11" i="41"/>
  <c r="E10" i="41"/>
  <c r="E9" i="41"/>
  <c r="E8" i="41"/>
  <c r="E7" i="41"/>
  <c r="E6" i="41"/>
  <c r="D14" i="41"/>
  <c r="D13" i="41"/>
  <c r="D12" i="41"/>
  <c r="D11" i="41"/>
  <c r="D10" i="41"/>
  <c r="D9" i="41"/>
  <c r="D8" i="41"/>
  <c r="D7" i="41"/>
  <c r="D6" i="41"/>
  <c r="C14" i="41"/>
  <c r="C13" i="41"/>
  <c r="C12" i="41"/>
  <c r="C11" i="41"/>
  <c r="C10" i="41"/>
  <c r="C9" i="41"/>
  <c r="C8" i="41"/>
  <c r="C7" i="41"/>
  <c r="C6" i="41"/>
  <c r="B14" i="41"/>
  <c r="B13" i="41"/>
  <c r="B12" i="41"/>
  <c r="B11" i="41"/>
  <c r="B10" i="41"/>
  <c r="B9" i="41"/>
  <c r="B8" i="41"/>
  <c r="B7" i="41"/>
  <c r="B6" i="41"/>
  <c r="B5" i="41"/>
  <c r="E5" i="41"/>
  <c r="D5" i="41"/>
  <c r="C5" i="41"/>
  <c r="H71" i="53"/>
  <c r="H70" i="53"/>
  <c r="H69" i="53"/>
  <c r="H68" i="53"/>
  <c r="H67" i="53"/>
  <c r="H66" i="53"/>
  <c r="H65" i="53"/>
  <c r="H64" i="53"/>
  <c r="H63" i="53"/>
  <c r="Q62" i="40" l="1"/>
  <c r="I62" i="40"/>
  <c r="K62" i="40"/>
  <c r="T62" i="40"/>
  <c r="V62" i="40"/>
  <c r="P62" i="40"/>
  <c r="AV62" i="40"/>
  <c r="BJ60" i="40"/>
  <c r="AU60" i="40"/>
  <c r="BD62" i="40"/>
  <c r="BI62" i="40"/>
  <c r="AV60" i="40"/>
  <c r="BA62" i="40"/>
  <c r="BN62" i="40"/>
  <c r="BD60" i="40"/>
  <c r="BN60" i="40"/>
  <c r="BG62" i="40"/>
  <c r="BB60" i="40"/>
  <c r="BH60" i="40"/>
  <c r="BL60" i="40"/>
  <c r="BK60" i="40"/>
  <c r="AW60" i="40"/>
  <c r="BK62" i="40"/>
  <c r="BE60" i="40"/>
  <c r="BA60" i="40"/>
  <c r="AY62" i="40"/>
  <c r="BC60" i="40"/>
  <c r="AX60" i="40"/>
  <c r="BB62" i="40"/>
  <c r="BM60" i="40"/>
  <c r="AU62" i="40"/>
  <c r="Y62" i="40"/>
  <c r="BH62" i="40"/>
  <c r="BP60" i="40"/>
  <c r="AZ62" i="40"/>
  <c r="BF62" i="40"/>
  <c r="BO60" i="40"/>
  <c r="AX62" i="40"/>
  <c r="BG60" i="40"/>
  <c r="BF60" i="40"/>
  <c r="BI60" i="40"/>
  <c r="BO62" i="40"/>
  <c r="AZ60" i="40"/>
  <c r="AW62" i="40"/>
  <c r="AY60" i="40"/>
  <c r="S35" i="52"/>
  <c r="Q35" i="52"/>
  <c r="O35" i="52"/>
  <c r="H35" i="52"/>
  <c r="F35" i="52"/>
  <c r="D35" i="52"/>
  <c r="S35" i="51"/>
  <c r="Q35" i="51"/>
  <c r="O35" i="51"/>
  <c r="H35" i="51"/>
  <c r="F35" i="51"/>
  <c r="D35" i="51"/>
  <c r="D62" i="40" l="1"/>
  <c r="S62" i="40"/>
  <c r="J62" i="40"/>
  <c r="F62" i="40"/>
  <c r="U62" i="40"/>
  <c r="N62" i="40"/>
  <c r="C62" i="40"/>
  <c r="L62" i="40"/>
  <c r="W62" i="40"/>
  <c r="H62" i="40"/>
  <c r="O62" i="40"/>
  <c r="E62" i="40"/>
  <c r="M62" i="40"/>
  <c r="R62" i="40"/>
  <c r="X62" i="40"/>
  <c r="G62" i="40"/>
  <c r="R35" i="50"/>
  <c r="P35" i="50"/>
  <c r="N35" i="50"/>
  <c r="H35" i="50"/>
  <c r="F35" i="50"/>
  <c r="D35" i="50"/>
  <c r="M35" i="51" l="1"/>
  <c r="M35" i="52"/>
  <c r="S36" i="52" l="1"/>
  <c r="Q36" i="52"/>
  <c r="O36" i="52"/>
  <c r="H36" i="52"/>
  <c r="F36" i="52"/>
  <c r="D36" i="52"/>
  <c r="S36" i="51"/>
  <c r="Q36" i="51"/>
  <c r="O36" i="51"/>
  <c r="H36" i="51"/>
  <c r="F36" i="51"/>
  <c r="D36" i="51"/>
  <c r="R36" i="50" l="1"/>
  <c r="P36" i="50"/>
  <c r="N36" i="50"/>
  <c r="H36" i="50"/>
  <c r="F36" i="50"/>
  <c r="D36" i="50"/>
  <c r="A6" i="56" l="1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5" i="56"/>
  <c r="A4" i="56"/>
  <c r="A6" i="55"/>
  <c r="A7" i="55"/>
  <c r="A8" i="55"/>
  <c r="A9" i="55"/>
  <c r="A10" i="55"/>
  <c r="A11" i="55"/>
  <c r="A12" i="55"/>
  <c r="A13" i="55"/>
  <c r="A14" i="55"/>
  <c r="A15" i="55"/>
  <c r="A16" i="55"/>
  <c r="A17" i="55"/>
  <c r="A18" i="55"/>
  <c r="A19" i="55"/>
  <c r="A20" i="55"/>
  <c r="A21" i="55"/>
  <c r="A22" i="55"/>
  <c r="A23" i="55"/>
  <c r="A24" i="55"/>
  <c r="A25" i="55"/>
  <c r="A26" i="55"/>
  <c r="A27" i="55"/>
  <c r="A28" i="55"/>
  <c r="A29" i="55"/>
  <c r="A30" i="55"/>
  <c r="A31" i="55"/>
  <c r="A32" i="55"/>
  <c r="A33" i="55"/>
  <c r="A34" i="55"/>
  <c r="A5" i="55"/>
  <c r="A4" i="55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26" i="54"/>
  <c r="A27" i="54"/>
  <c r="A28" i="54"/>
  <c r="A29" i="54"/>
  <c r="A30" i="54"/>
  <c r="A31" i="54"/>
  <c r="A32" i="54"/>
  <c r="A33" i="54"/>
  <c r="A34" i="54"/>
  <c r="A5" i="54"/>
  <c r="A4" i="54"/>
  <c r="S36" i="56" l="1"/>
  <c r="Q36" i="56"/>
  <c r="O36" i="56"/>
  <c r="H36" i="56"/>
  <c r="F36" i="56"/>
  <c r="D36" i="56"/>
  <c r="S35" i="56"/>
  <c r="Q35" i="56"/>
  <c r="O35" i="56"/>
  <c r="H35" i="56"/>
  <c r="F35" i="56"/>
  <c r="D35" i="56"/>
  <c r="L34" i="56"/>
  <c r="L33" i="56"/>
  <c r="L32" i="56"/>
  <c r="L31" i="56"/>
  <c r="L30" i="56"/>
  <c r="L29" i="56"/>
  <c r="L28" i="56"/>
  <c r="L27" i="56"/>
  <c r="L26" i="56"/>
  <c r="L25" i="56"/>
  <c r="L24" i="56"/>
  <c r="L23" i="56"/>
  <c r="L22" i="56"/>
  <c r="L21" i="56"/>
  <c r="L20" i="56"/>
  <c r="L19" i="56"/>
  <c r="L18" i="56"/>
  <c r="L17" i="56"/>
  <c r="L16" i="56"/>
  <c r="L15" i="56"/>
  <c r="L14" i="56"/>
  <c r="L13" i="56"/>
  <c r="L12" i="56"/>
  <c r="L11" i="56"/>
  <c r="L10" i="56"/>
  <c r="L9" i="56"/>
  <c r="L8" i="56"/>
  <c r="L7" i="56"/>
  <c r="L6" i="56"/>
  <c r="L5" i="56"/>
  <c r="L4" i="56"/>
  <c r="S36" i="55"/>
  <c r="Q36" i="55"/>
  <c r="O36" i="55"/>
  <c r="H36" i="55"/>
  <c r="F36" i="55"/>
  <c r="D36" i="55"/>
  <c r="S35" i="55"/>
  <c r="Q35" i="55"/>
  <c r="O35" i="55"/>
  <c r="H35" i="55"/>
  <c r="F35" i="55"/>
  <c r="D35" i="55"/>
  <c r="L34" i="55"/>
  <c r="L33" i="55"/>
  <c r="L32" i="55"/>
  <c r="L31" i="55"/>
  <c r="L30" i="55"/>
  <c r="L29" i="55"/>
  <c r="L28" i="55"/>
  <c r="L27" i="55"/>
  <c r="L26" i="55"/>
  <c r="L25" i="55"/>
  <c r="L24" i="55"/>
  <c r="L23" i="55"/>
  <c r="L22" i="55"/>
  <c r="L21" i="55"/>
  <c r="L20" i="55"/>
  <c r="L19" i="55"/>
  <c r="L18" i="55"/>
  <c r="L17" i="55"/>
  <c r="L16" i="55"/>
  <c r="L15" i="55"/>
  <c r="L14" i="55"/>
  <c r="L13" i="55"/>
  <c r="L12" i="55"/>
  <c r="L11" i="55"/>
  <c r="L10" i="55"/>
  <c r="L9" i="55"/>
  <c r="L8" i="55"/>
  <c r="L7" i="55"/>
  <c r="L6" i="55"/>
  <c r="L5" i="55"/>
  <c r="L4" i="55"/>
  <c r="R36" i="54"/>
  <c r="P36" i="54"/>
  <c r="H36" i="54"/>
  <c r="F36" i="54"/>
  <c r="D36" i="54"/>
  <c r="R35" i="54"/>
  <c r="P35" i="54"/>
  <c r="H35" i="54"/>
  <c r="F35" i="54"/>
  <c r="D35" i="54"/>
  <c r="K34" i="54"/>
  <c r="N33" i="54"/>
  <c r="K33" i="54"/>
  <c r="N32" i="54"/>
  <c r="K32" i="54"/>
  <c r="N31" i="54"/>
  <c r="K31" i="54"/>
  <c r="N30" i="54"/>
  <c r="K30" i="54"/>
  <c r="N29" i="54"/>
  <c r="K29" i="54"/>
  <c r="N28" i="54"/>
  <c r="K28" i="54"/>
  <c r="N27" i="54"/>
  <c r="K27" i="54"/>
  <c r="N26" i="54"/>
  <c r="K26" i="54"/>
  <c r="N25" i="54"/>
  <c r="K25" i="54"/>
  <c r="N24" i="54"/>
  <c r="K24" i="54"/>
  <c r="N23" i="54"/>
  <c r="K23" i="54"/>
  <c r="N22" i="54"/>
  <c r="K22" i="54"/>
  <c r="N21" i="54"/>
  <c r="K21" i="54"/>
  <c r="N20" i="54"/>
  <c r="K20" i="54"/>
  <c r="N19" i="54"/>
  <c r="K19" i="54"/>
  <c r="N18" i="54"/>
  <c r="K18" i="54"/>
  <c r="N17" i="54"/>
  <c r="K17" i="54"/>
  <c r="N16" i="54"/>
  <c r="K16" i="54"/>
  <c r="N15" i="54"/>
  <c r="K15" i="54"/>
  <c r="N14" i="54"/>
  <c r="K14" i="54"/>
  <c r="N13" i="54"/>
  <c r="K13" i="54"/>
  <c r="N12" i="54"/>
  <c r="K12" i="54"/>
  <c r="N11" i="54"/>
  <c r="K11" i="54"/>
  <c r="N10" i="54"/>
  <c r="K10" i="54"/>
  <c r="N9" i="54"/>
  <c r="K9" i="54"/>
  <c r="N8" i="54"/>
  <c r="K8" i="54"/>
  <c r="N7" i="54"/>
  <c r="K7" i="54"/>
  <c r="N6" i="54"/>
  <c r="K6" i="54"/>
  <c r="N5" i="54"/>
  <c r="K5" i="54"/>
  <c r="N4" i="54"/>
  <c r="K4" i="54"/>
  <c r="M72" i="53"/>
  <c r="L72" i="53"/>
  <c r="K72" i="53"/>
  <c r="J72" i="53"/>
  <c r="I72" i="53"/>
  <c r="H72" i="53"/>
  <c r="G72" i="53"/>
  <c r="N59" i="53"/>
  <c r="M59" i="53"/>
  <c r="L59" i="53"/>
  <c r="K59" i="53"/>
  <c r="J59" i="53"/>
  <c r="I59" i="53"/>
  <c r="H59" i="53"/>
  <c r="G59" i="53"/>
  <c r="N46" i="53"/>
  <c r="M46" i="53"/>
  <c r="L46" i="53"/>
  <c r="K46" i="53"/>
  <c r="J46" i="53"/>
  <c r="I46" i="53"/>
  <c r="H46" i="53"/>
  <c r="G46" i="53"/>
  <c r="N32" i="53"/>
  <c r="M32" i="53"/>
  <c r="L32" i="53"/>
  <c r="K32" i="53"/>
  <c r="J32" i="53"/>
  <c r="I32" i="53"/>
  <c r="H32" i="53"/>
  <c r="G32" i="53"/>
  <c r="N19" i="53"/>
  <c r="M19" i="53"/>
  <c r="L19" i="53"/>
  <c r="K19" i="53"/>
  <c r="J19" i="53"/>
  <c r="I19" i="53"/>
  <c r="H19" i="53"/>
  <c r="G19" i="53"/>
  <c r="C19" i="53"/>
  <c r="K8" i="53"/>
  <c r="L34" i="52"/>
  <c r="L33" i="52"/>
  <c r="L32" i="52"/>
  <c r="L31" i="52"/>
  <c r="L30" i="52"/>
  <c r="L29" i="52"/>
  <c r="L28" i="52"/>
  <c r="L27" i="52"/>
  <c r="L26" i="52"/>
  <c r="L25" i="52"/>
  <c r="L24" i="52"/>
  <c r="L23" i="52"/>
  <c r="L22" i="52"/>
  <c r="L21" i="52"/>
  <c r="L20" i="52"/>
  <c r="L19" i="52"/>
  <c r="L18" i="52"/>
  <c r="L17" i="52"/>
  <c r="L16" i="52"/>
  <c r="L15" i="52"/>
  <c r="L14" i="52"/>
  <c r="L13" i="52"/>
  <c r="L12" i="52"/>
  <c r="L11" i="52"/>
  <c r="L10" i="52"/>
  <c r="L9" i="52"/>
  <c r="L8" i="52"/>
  <c r="L7" i="52"/>
  <c r="L6" i="52"/>
  <c r="L5" i="52"/>
  <c r="L4" i="52"/>
  <c r="L34" i="51"/>
  <c r="L33" i="51"/>
  <c r="L32" i="51"/>
  <c r="L31" i="51"/>
  <c r="L30" i="51"/>
  <c r="L29" i="51"/>
  <c r="L28" i="51"/>
  <c r="L27" i="51"/>
  <c r="L26" i="51"/>
  <c r="L25" i="51"/>
  <c r="L24" i="51"/>
  <c r="L23" i="51"/>
  <c r="L22" i="51"/>
  <c r="L21" i="51"/>
  <c r="L20" i="51"/>
  <c r="L19" i="51"/>
  <c r="L18" i="51"/>
  <c r="L17" i="51"/>
  <c r="L16" i="51"/>
  <c r="L15" i="51"/>
  <c r="L14" i="51"/>
  <c r="L13" i="51"/>
  <c r="L12" i="51"/>
  <c r="L11" i="51"/>
  <c r="L10" i="51"/>
  <c r="L9" i="51"/>
  <c r="L8" i="51"/>
  <c r="L7" i="51"/>
  <c r="L6" i="51"/>
  <c r="L5" i="51"/>
  <c r="L4" i="51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K18" i="50"/>
  <c r="K17" i="50"/>
  <c r="K16" i="50"/>
  <c r="K15" i="50"/>
  <c r="K14" i="50"/>
  <c r="K13" i="50"/>
  <c r="K12" i="50"/>
  <c r="K11" i="50"/>
  <c r="K10" i="50"/>
  <c r="K9" i="50"/>
  <c r="K8" i="50"/>
  <c r="K7" i="50"/>
  <c r="K6" i="50"/>
  <c r="K5" i="50"/>
  <c r="K4" i="50"/>
  <c r="E32" i="49"/>
  <c r="E20" i="49"/>
  <c r="F8" i="49"/>
  <c r="F10" i="49" s="1"/>
  <c r="E8" i="49"/>
  <c r="N36" i="54" l="1"/>
  <c r="B19" i="53"/>
  <c r="N35" i="54"/>
  <c r="AV3" i="40" l="1"/>
  <c r="AW3" i="40"/>
  <c r="AX3" i="40"/>
  <c r="AY3" i="40"/>
  <c r="AZ3" i="40"/>
  <c r="BA3" i="40"/>
  <c r="BB3" i="40"/>
  <c r="BC3" i="40"/>
  <c r="BD3" i="40"/>
  <c r="BE3" i="40"/>
  <c r="BF3" i="40"/>
  <c r="BG3" i="40"/>
  <c r="BH3" i="40"/>
  <c r="BI3" i="40"/>
  <c r="BJ3" i="40"/>
  <c r="BK3" i="40"/>
  <c r="BL3" i="40"/>
  <c r="BM3" i="40"/>
  <c r="BN3" i="40"/>
  <c r="BO3" i="40"/>
  <c r="BP3" i="40"/>
  <c r="AU3" i="40"/>
  <c r="Z3" i="40"/>
  <c r="AA3" i="40"/>
  <c r="AB3" i="40"/>
  <c r="AC3" i="40"/>
  <c r="AD3" i="40"/>
  <c r="AE3" i="40"/>
  <c r="AF3" i="40"/>
  <c r="AG3" i="40"/>
  <c r="AH3" i="40"/>
  <c r="AI3" i="40"/>
  <c r="AJ3" i="40"/>
  <c r="AK3" i="40"/>
  <c r="AL3" i="40"/>
  <c r="AM3" i="40"/>
  <c r="AN3" i="40"/>
  <c r="AO3" i="40"/>
  <c r="AP3" i="40"/>
  <c r="AQ3" i="40"/>
  <c r="AR3" i="40"/>
  <c r="AS3" i="40"/>
  <c r="AT3" i="40"/>
  <c r="Y3" i="40"/>
  <c r="U3" i="40"/>
  <c r="V3" i="40"/>
  <c r="W3" i="40"/>
  <c r="X3" i="40"/>
  <c r="T3" i="40"/>
  <c r="S3" i="40"/>
  <c r="R3" i="40"/>
  <c r="Q3" i="40"/>
  <c r="P3" i="40"/>
  <c r="O3" i="40"/>
  <c r="N3" i="40"/>
  <c r="M3" i="40"/>
  <c r="L3" i="40"/>
  <c r="K3" i="40"/>
  <c r="J3" i="40"/>
  <c r="I3" i="40"/>
  <c r="H3" i="40"/>
  <c r="G3" i="40"/>
  <c r="F3" i="40"/>
  <c r="E3" i="40"/>
  <c r="D3" i="40"/>
  <c r="C3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1" i="40"/>
  <c r="B22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B5" i="40"/>
  <c r="B4" i="40"/>
  <c r="B67" i="40" l="1"/>
  <c r="B68" i="40"/>
  <c r="B69" i="40"/>
  <c r="B70" i="40"/>
  <c r="B71" i="40"/>
  <c r="B72" i="40"/>
  <c r="B73" i="40"/>
  <c r="B74" i="40"/>
  <c r="B75" i="40"/>
  <c r="B76" i="40"/>
  <c r="B77" i="40"/>
  <c r="B78" i="40"/>
  <c r="B79" i="40"/>
  <c r="B82" i="40"/>
  <c r="B83" i="40"/>
  <c r="B86" i="40"/>
  <c r="B87" i="40"/>
  <c r="B88" i="40"/>
  <c r="B89" i="40"/>
  <c r="B90" i="40"/>
  <c r="B91" i="40"/>
  <c r="B92" i="40"/>
  <c r="D19" i="53" l="1"/>
  <c r="AW39" i="40" l="1"/>
  <c r="BL39" i="40"/>
  <c r="BN39" i="40"/>
  <c r="BF39" i="40"/>
  <c r="BB39" i="40"/>
  <c r="BJ39" i="40"/>
  <c r="BD39" i="40"/>
  <c r="BC39" i="40"/>
  <c r="BG48" i="40" l="1"/>
  <c r="BJ48" i="40"/>
  <c r="BA39" i="40"/>
  <c r="BN48" i="40"/>
  <c r="BG39" i="40"/>
  <c r="BL48" i="40"/>
  <c r="AV48" i="40"/>
  <c r="AX39" i="40"/>
  <c r="BK39" i="40"/>
  <c r="BF48" i="40"/>
  <c r="BP39" i="40"/>
  <c r="AY39" i="40"/>
  <c r="BH39" i="40"/>
  <c r="BI39" i="40"/>
  <c r="BA48" i="40"/>
  <c r="AZ39" i="40"/>
  <c r="BP48" i="40"/>
  <c r="BK48" i="40"/>
  <c r="BH48" i="40"/>
  <c r="AW48" i="40"/>
  <c r="BC48" i="40"/>
  <c r="BI48" i="40"/>
  <c r="AX48" i="40"/>
  <c r="BO48" i="40"/>
  <c r="BD48" i="40"/>
  <c r="BO38" i="40"/>
  <c r="BE39" i="40"/>
  <c r="AV39" i="40"/>
  <c r="BD38" i="40"/>
  <c r="BM48" i="40"/>
  <c r="AZ48" i="40"/>
  <c r="BM39" i="40"/>
  <c r="BO39" i="40"/>
  <c r="AU48" i="40"/>
  <c r="BE48" i="40"/>
  <c r="BB38" i="40"/>
  <c r="BB48" i="40"/>
  <c r="BC38" i="40"/>
  <c r="BP38" i="40"/>
  <c r="BH38" i="40"/>
  <c r="BJ38" i="40"/>
  <c r="BN38" i="40"/>
  <c r="BF38" i="40"/>
  <c r="BL38" i="40"/>
  <c r="BK38" i="40"/>
  <c r="BE38" i="40"/>
  <c r="AW38" i="40"/>
  <c r="BA38" i="40"/>
  <c r="BM38" i="40"/>
  <c r="AY38" i="40"/>
  <c r="AZ38" i="40"/>
  <c r="AV38" i="40"/>
  <c r="AX38" i="40"/>
  <c r="BI38" i="40"/>
  <c r="AY48" i="40" l="1"/>
  <c r="AU38" i="40"/>
  <c r="AU39" i="40"/>
  <c r="BG38" i="40"/>
  <c r="G36" i="51" l="1"/>
  <c r="E36" i="51"/>
  <c r="P36" i="52"/>
  <c r="P36" i="51"/>
  <c r="R36" i="51"/>
  <c r="G36" i="52"/>
  <c r="N36" i="51" l="1"/>
  <c r="M36" i="50"/>
  <c r="E36" i="52"/>
  <c r="E36" i="50"/>
  <c r="C36" i="52"/>
  <c r="Q36" i="50"/>
  <c r="O36" i="50"/>
  <c r="N36" i="52"/>
  <c r="G36" i="50"/>
  <c r="C36" i="51"/>
  <c r="C36" i="50"/>
  <c r="R36" i="52"/>
  <c r="F19" i="53"/>
  <c r="C15" i="41" l="1"/>
  <c r="C94" i="40" s="1"/>
  <c r="B71" i="53" s="1"/>
  <c r="BB35" i="40"/>
  <c r="BL35" i="40"/>
  <c r="AX35" i="40"/>
  <c r="BN35" i="40"/>
  <c r="AW35" i="40"/>
  <c r="BN32" i="40"/>
  <c r="BI21" i="40"/>
  <c r="AU35" i="40"/>
  <c r="BE32" i="40"/>
  <c r="BK23" i="40"/>
  <c r="BD19" i="40"/>
  <c r="BB23" i="40"/>
  <c r="BG32" i="40"/>
  <c r="BO35" i="40"/>
  <c r="BD20" i="40"/>
  <c r="BA20" i="40"/>
  <c r="AY20" i="40"/>
  <c r="AV20" i="40"/>
  <c r="BF20" i="40"/>
  <c r="BB20" i="40"/>
  <c r="BP20" i="40"/>
  <c r="BL20" i="40"/>
  <c r="BL13" i="40"/>
  <c r="BD13" i="40"/>
  <c r="BI13" i="40"/>
  <c r="BN13" i="40"/>
  <c r="BP13" i="40"/>
  <c r="BC13" i="40"/>
  <c r="BL16" i="40"/>
  <c r="BM16" i="40"/>
  <c r="BB16" i="40"/>
  <c r="BG16" i="40"/>
  <c r="AX13" i="40"/>
  <c r="BK16" i="40"/>
  <c r="AZ16" i="40"/>
  <c r="BA21" i="40"/>
  <c r="AX21" i="40"/>
  <c r="BN21" i="40"/>
  <c r="BH21" i="40"/>
  <c r="BB15" i="40"/>
  <c r="AT51" i="40" l="1"/>
  <c r="BE51" i="40"/>
  <c r="AZ51" i="40"/>
  <c r="BJ55" i="40"/>
  <c r="BM58" i="40"/>
  <c r="AX52" i="40"/>
  <c r="BN51" i="40"/>
  <c r="AV59" i="40"/>
  <c r="AG51" i="40"/>
  <c r="AL51" i="40"/>
  <c r="AQ57" i="40"/>
  <c r="AO57" i="40"/>
  <c r="BK54" i="40"/>
  <c r="BE54" i="40"/>
  <c r="AZ54" i="40"/>
  <c r="BJ54" i="40"/>
  <c r="AJ54" i="40"/>
  <c r="AX54" i="40"/>
  <c r="BN54" i="40"/>
  <c r="BI54" i="40"/>
  <c r="BC54" i="40"/>
  <c r="BP54" i="40"/>
  <c r="BD52" i="40"/>
  <c r="BJ52" i="40"/>
  <c r="BF52" i="40"/>
  <c r="BM59" i="40"/>
  <c r="AU54" i="40"/>
  <c r="BA59" i="40"/>
  <c r="AB57" i="40"/>
  <c r="AN57" i="40"/>
  <c r="AP57" i="40"/>
  <c r="AI57" i="40"/>
  <c r="AK57" i="40"/>
  <c r="BG55" i="40"/>
  <c r="BK55" i="40"/>
  <c r="BC50" i="40"/>
  <c r="BI50" i="40"/>
  <c r="BN59" i="40"/>
  <c r="BC59" i="40"/>
  <c r="BK58" i="40"/>
  <c r="BF53" i="40"/>
  <c r="BI53" i="40"/>
  <c r="BD53" i="40"/>
  <c r="BP59" i="40"/>
  <c r="BE59" i="40"/>
  <c r="AY55" i="40"/>
  <c r="BH58" i="40"/>
  <c r="BE58" i="40"/>
  <c r="BN58" i="40"/>
  <c r="BK59" i="40"/>
  <c r="AV50" i="40"/>
  <c r="BE50" i="40"/>
  <c r="AX59" i="40"/>
  <c r="BD58" i="40"/>
  <c r="BO58" i="40"/>
  <c r="BG58" i="40"/>
  <c r="AU58" i="40"/>
  <c r="AZ59" i="40"/>
  <c r="D15" i="41"/>
  <c r="D94" i="40" s="1"/>
  <c r="B58" i="53" s="1"/>
  <c r="AV46" i="40"/>
  <c r="BK44" i="40"/>
  <c r="BH46" i="40"/>
  <c r="BN46" i="40"/>
  <c r="BL46" i="40"/>
  <c r="AW46" i="40"/>
  <c r="BB41" i="40"/>
  <c r="BN47" i="40"/>
  <c r="AS41" i="40"/>
  <c r="BP41" i="40"/>
  <c r="BE45" i="40"/>
  <c r="BK42" i="40"/>
  <c r="AW42" i="40"/>
  <c r="BM42" i="40"/>
  <c r="BI45" i="40"/>
  <c r="AX47" i="40"/>
  <c r="BN42" i="40"/>
  <c r="BC42" i="40"/>
  <c r="AE41" i="40"/>
  <c r="BO44" i="40"/>
  <c r="AZ45" i="40"/>
  <c r="BI44" i="40"/>
  <c r="AZ44" i="40"/>
  <c r="BP44" i="40"/>
  <c r="BM41" i="40"/>
  <c r="BE46" i="40"/>
  <c r="BM37" i="40"/>
  <c r="BP37" i="40"/>
  <c r="BF37" i="40"/>
  <c r="BN16" i="40"/>
  <c r="BE21" i="40"/>
  <c r="BC21" i="40"/>
  <c r="AZ20" i="40"/>
  <c r="AM32" i="40"/>
  <c r="BM32" i="40"/>
  <c r="BK20" i="40"/>
  <c r="BK33" i="40"/>
  <c r="BB32" i="40"/>
  <c r="BE16" i="40"/>
  <c r="AW23" i="40"/>
  <c r="BL29" i="40"/>
  <c r="BH29" i="40"/>
  <c r="BK29" i="40"/>
  <c r="BP29" i="40"/>
  <c r="BO22" i="40"/>
  <c r="BI33" i="40"/>
  <c r="AX33" i="40"/>
  <c r="BE13" i="40"/>
  <c r="BE18" i="40"/>
  <c r="BF18" i="40"/>
  <c r="BN18" i="40"/>
  <c r="AZ18" i="40"/>
  <c r="BO16" i="40"/>
  <c r="BH26" i="40"/>
  <c r="AV26" i="40"/>
  <c r="BI26" i="40"/>
  <c r="AZ30" i="40"/>
  <c r="BG30" i="40"/>
  <c r="BI30" i="40"/>
  <c r="BC30" i="40"/>
  <c r="BK30" i="40"/>
  <c r="BM30" i="40"/>
  <c r="Y30" i="40"/>
  <c r="AT30" i="40"/>
  <c r="BJ30" i="40"/>
  <c r="AC16" i="40"/>
  <c r="AB18" i="40"/>
  <c r="BK18" i="40"/>
  <c r="AI13" i="40"/>
  <c r="AW36" i="40"/>
  <c r="AO36" i="40"/>
  <c r="AG36" i="40"/>
  <c r="BP36" i="40"/>
  <c r="AS36" i="40"/>
  <c r="BN36" i="40"/>
  <c r="AE36" i="40"/>
  <c r="AF36" i="40"/>
  <c r="BJ21" i="40"/>
  <c r="BA14" i="40"/>
  <c r="BP25" i="40"/>
  <c r="AY25" i="40"/>
  <c r="BM24" i="40"/>
  <c r="BK24" i="40"/>
  <c r="BF17" i="40"/>
  <c r="BA17" i="40"/>
  <c r="BN24" i="40"/>
  <c r="BG24" i="40"/>
  <c r="BJ24" i="40"/>
  <c r="BF25" i="40"/>
  <c r="BD22" i="40"/>
  <c r="BK22" i="40"/>
  <c r="BF22" i="40"/>
  <c r="BB22" i="40"/>
  <c r="BG22" i="40"/>
  <c r="AZ22" i="40"/>
  <c r="BJ22" i="40"/>
  <c r="AY22" i="40"/>
  <c r="BN22" i="40"/>
  <c r="BE22" i="40"/>
  <c r="BP31" i="40"/>
  <c r="AX28" i="40"/>
  <c r="BD28" i="40"/>
  <c r="AU31" i="40"/>
  <c r="Z31" i="40"/>
  <c r="BB31" i="40"/>
  <c r="BP12" i="40"/>
  <c r="BE8" i="40"/>
  <c r="BD7" i="40"/>
  <c r="BK8" i="40"/>
  <c r="AZ6" i="40"/>
  <c r="AY6" i="40"/>
  <c r="AV7" i="40"/>
  <c r="BE7" i="40"/>
  <c r="BC8" i="40"/>
  <c r="BA8" i="40"/>
  <c r="AO7" i="40"/>
  <c r="AA7" i="40"/>
  <c r="AN7" i="40"/>
  <c r="BN8" i="40"/>
  <c r="AU6" i="40"/>
  <c r="BG4" i="40"/>
  <c r="Y56" i="40"/>
  <c r="AC50" i="40"/>
  <c r="AJ52" i="40"/>
  <c r="BI51" i="40"/>
  <c r="AS51" i="40"/>
  <c r="AY54" i="40"/>
  <c r="Z50" i="40"/>
  <c r="BH52" i="40"/>
  <c r="AF57" i="40"/>
  <c r="BA58" i="40"/>
  <c r="AX51" i="40"/>
  <c r="BM55" i="40"/>
  <c r="AJ56" i="40"/>
  <c r="AB50" i="40"/>
  <c r="BC56" i="40"/>
  <c r="AT53" i="40"/>
  <c r="BA51" i="40"/>
  <c r="AM51" i="40"/>
  <c r="BD54" i="40"/>
  <c r="AZ58" i="40"/>
  <c r="AL50" i="40"/>
  <c r="AF51" i="40"/>
  <c r="AS53" i="40"/>
  <c r="AH51" i="40"/>
  <c r="AR54" i="40"/>
  <c r="Y54" i="40"/>
  <c r="AH56" i="40"/>
  <c r="AB58" i="40"/>
  <c r="AI50" i="40"/>
  <c r="AT56" i="40"/>
  <c r="AJ51" i="40"/>
  <c r="AE52" i="40"/>
  <c r="BD50" i="40"/>
  <c r="BB52" i="40"/>
  <c r="BP53" i="40"/>
  <c r="AL57" i="40"/>
  <c r="AN51" i="40"/>
  <c r="AW52" i="40"/>
  <c r="BG51" i="40"/>
  <c r="AW51" i="40"/>
  <c r="AX53" i="40"/>
  <c r="BB50" i="40"/>
  <c r="Z57" i="40"/>
  <c r="AG56" i="40"/>
  <c r="AO59" i="40"/>
  <c r="BM50" i="40"/>
  <c r="BJ51" i="40"/>
  <c r="Y52" i="40"/>
  <c r="AR50" i="40"/>
  <c r="AD50" i="40"/>
  <c r="AQ50" i="40"/>
  <c r="AA51" i="40"/>
  <c r="BP51" i="40"/>
  <c r="Y51" i="40"/>
  <c r="AN56" i="40"/>
  <c r="AP50" i="40"/>
  <c r="AS59" i="40"/>
  <c r="AQ51" i="40"/>
  <c r="AI58" i="40"/>
  <c r="BK56" i="40"/>
  <c r="AN54" i="40"/>
  <c r="AA50" i="40"/>
  <c r="AP52" i="40"/>
  <c r="BK51" i="40"/>
  <c r="AJ58" i="40"/>
  <c r="BC55" i="40"/>
  <c r="AY58" i="40"/>
  <c r="BL59" i="40"/>
  <c r="AT55" i="40"/>
  <c r="AH58" i="40"/>
  <c r="BM54" i="40"/>
  <c r="AV51" i="40"/>
  <c r="BL51" i="40"/>
  <c r="AW53" i="40"/>
  <c r="AI51" i="40"/>
  <c r="BD55" i="40"/>
  <c r="AC51" i="40"/>
  <c r="AP56" i="40"/>
  <c r="AL54" i="40"/>
  <c r="AC53" i="40"/>
  <c r="BF51" i="40"/>
  <c r="BM56" i="40"/>
  <c r="BK50" i="40"/>
  <c r="AO56" i="40"/>
  <c r="AM52" i="40"/>
  <c r="AW54" i="40"/>
  <c r="BF50" i="40"/>
  <c r="AK50" i="40"/>
  <c r="AY51" i="40"/>
  <c r="BM52" i="40"/>
  <c r="BK52" i="40"/>
  <c r="BE52" i="40"/>
  <c r="AD54" i="40"/>
  <c r="AJ50" i="40"/>
  <c r="BJ58" i="40"/>
  <c r="AM53" i="40"/>
  <c r="AL53" i="40"/>
  <c r="AE50" i="40"/>
  <c r="AI52" i="40"/>
  <c r="BO55" i="40"/>
  <c r="AH55" i="40"/>
  <c r="AM56" i="40"/>
  <c r="AI59" i="40"/>
  <c r="AR58" i="40"/>
  <c r="AX55" i="40"/>
  <c r="BC53" i="40"/>
  <c r="BB54" i="40"/>
  <c r="Y53" i="40"/>
  <c r="Z56" i="40"/>
  <c r="AF58" i="40"/>
  <c r="BL56" i="40"/>
  <c r="AH50" i="40"/>
  <c r="AK52" i="40"/>
  <c r="AG53" i="40"/>
  <c r="BD51" i="40"/>
  <c r="AD51" i="40"/>
  <c r="BC51" i="40"/>
  <c r="BP55" i="40"/>
  <c r="AO55" i="40"/>
  <c r="AF56" i="40"/>
  <c r="BL54" i="40"/>
  <c r="BP58" i="40"/>
  <c r="AH59" i="40"/>
  <c r="AU51" i="40"/>
  <c r="AQ56" i="40"/>
  <c r="BB51" i="40"/>
  <c r="BL58" i="40"/>
  <c r="AD59" i="40"/>
  <c r="AK53" i="40"/>
  <c r="AF53" i="40"/>
  <c r="AE51" i="40"/>
  <c r="AD53" i="40"/>
  <c r="AP51" i="40"/>
  <c r="AG57" i="40"/>
  <c r="AA53" i="40"/>
  <c r="AO51" i="40"/>
  <c r="BK53" i="40"/>
  <c r="BA52" i="40"/>
  <c r="AB51" i="40"/>
  <c r="AK51" i="40"/>
  <c r="BO53" i="40"/>
  <c r="AQ53" i="40"/>
  <c r="AY50" i="40"/>
  <c r="AQ58" i="40"/>
  <c r="AT50" i="40"/>
  <c r="Z51" i="40"/>
  <c r="AP53" i="40"/>
  <c r="AZ50" i="40"/>
  <c r="AZ53" i="40"/>
  <c r="BH54" i="40"/>
  <c r="AH53" i="40"/>
  <c r="AI56" i="40"/>
  <c r="AX50" i="40"/>
  <c r="AE53" i="40"/>
  <c r="BG50" i="40"/>
  <c r="AI54" i="40"/>
  <c r="AO53" i="40"/>
  <c r="BG54" i="40"/>
  <c r="BF58" i="40"/>
  <c r="AR53" i="40"/>
  <c r="AL56" i="40"/>
  <c r="BL50" i="40"/>
  <c r="AH54" i="40"/>
  <c r="BL55" i="40"/>
  <c r="AR51" i="40"/>
  <c r="BF54" i="40"/>
  <c r="AO58" i="40"/>
  <c r="AJ53" i="40"/>
  <c r="AA52" i="40"/>
  <c r="AC52" i="40"/>
  <c r="AB52" i="40"/>
  <c r="AE57" i="40"/>
  <c r="AB54" i="40"/>
  <c r="BM51" i="40"/>
  <c r="AN50" i="40"/>
  <c r="AG54" i="40"/>
  <c r="BI49" i="40"/>
  <c r="AY49" i="40"/>
  <c r="BD49" i="40"/>
  <c r="BE49" i="40"/>
  <c r="BN41" i="40"/>
  <c r="BO46" i="40"/>
  <c r="AN41" i="40"/>
  <c r="BM46" i="40"/>
  <c r="AD42" i="40"/>
  <c r="BA42" i="40"/>
  <c r="BF42" i="40"/>
  <c r="BJ42" i="40"/>
  <c r="AQ41" i="40"/>
  <c r="AG46" i="40"/>
  <c r="AF46" i="40"/>
  <c r="BI40" i="40"/>
  <c r="BH40" i="40"/>
  <c r="BK41" i="40"/>
  <c r="AT41" i="40"/>
  <c r="AU42" i="40"/>
  <c r="AY46" i="40"/>
  <c r="BK46" i="40"/>
  <c r="AZ42" i="40"/>
  <c r="BB42" i="40"/>
  <c r="AN42" i="40"/>
  <c r="AL41" i="40"/>
  <c r="AJ41" i="40"/>
  <c r="AM41" i="40"/>
  <c r="BL42" i="40"/>
  <c r="AC42" i="40"/>
  <c r="AH41" i="40"/>
  <c r="AO41" i="40"/>
  <c r="BI46" i="40"/>
  <c r="AJ46" i="40"/>
  <c r="BB44" i="40"/>
  <c r="BA44" i="40"/>
  <c r="AH46" i="40"/>
  <c r="AP46" i="40"/>
  <c r="AB42" i="40"/>
  <c r="BH41" i="40"/>
  <c r="AZ40" i="40"/>
  <c r="AA41" i="40"/>
  <c r="AY44" i="40"/>
  <c r="AY41" i="40"/>
  <c r="BA46" i="40"/>
  <c r="AY42" i="40"/>
  <c r="AT42" i="40"/>
  <c r="AE42" i="40"/>
  <c r="AZ41" i="40"/>
  <c r="AX41" i="40"/>
  <c r="BD41" i="40"/>
  <c r="AK41" i="40"/>
  <c r="BF46" i="40"/>
  <c r="AA46" i="40"/>
  <c r="AS42" i="40"/>
  <c r="Z42" i="40"/>
  <c r="AC41" i="40"/>
  <c r="AP41" i="40"/>
  <c r="AB46" i="40"/>
  <c r="AX42" i="40"/>
  <c r="BP42" i="40"/>
  <c r="AR45" i="40"/>
  <c r="BA45" i="40"/>
  <c r="BP45" i="40"/>
  <c r="AL45" i="40"/>
  <c r="AI45" i="40"/>
  <c r="AE45" i="40"/>
  <c r="BM45" i="40"/>
  <c r="BC45" i="40"/>
  <c r="BO45" i="40"/>
  <c r="AV45" i="40"/>
  <c r="BD45" i="40"/>
  <c r="AW45" i="40"/>
  <c r="AB45" i="40"/>
  <c r="AP45" i="40"/>
  <c r="AK45" i="40"/>
  <c r="Z45" i="40"/>
  <c r="AY45" i="40"/>
  <c r="AW41" i="40"/>
  <c r="AB41" i="40"/>
  <c r="AT46" i="40"/>
  <c r="AI42" i="40"/>
  <c r="BJ45" i="40"/>
  <c r="AV41" i="40"/>
  <c r="AJ42" i="40"/>
  <c r="BH47" i="40"/>
  <c r="AH47" i="40"/>
  <c r="AW47" i="40"/>
  <c r="AV47" i="40"/>
  <c r="BL47" i="40"/>
  <c r="AS47" i="40"/>
  <c r="AT47" i="40"/>
  <c r="AB47" i="40"/>
  <c r="AQ47" i="40"/>
  <c r="BD47" i="40"/>
  <c r="BJ47" i="40"/>
  <c r="BP47" i="40"/>
  <c r="BM47" i="40"/>
  <c r="BC41" i="40"/>
  <c r="BF47" i="40"/>
  <c r="AV42" i="40"/>
  <c r="BH42" i="40"/>
  <c r="BE43" i="40"/>
  <c r="AY43" i="40"/>
  <c r="BH43" i="40"/>
  <c r="BO43" i="40"/>
  <c r="AX43" i="40"/>
  <c r="AZ43" i="40"/>
  <c r="BA43" i="40"/>
  <c r="BC43" i="40"/>
  <c r="BB43" i="40"/>
  <c r="BP43" i="40"/>
  <c r="BG43" i="40"/>
  <c r="BF43" i="40"/>
  <c r="AE43" i="40"/>
  <c r="AN43" i="40"/>
  <c r="BE41" i="40"/>
  <c r="AH45" i="40"/>
  <c r="AK46" i="40"/>
  <c r="BN45" i="40"/>
  <c r="AI41" i="40"/>
  <c r="AJ47" i="40"/>
  <c r="BO42" i="40"/>
  <c r="Y42" i="40"/>
  <c r="AP42" i="40"/>
  <c r="BL43" i="40"/>
  <c r="BJ41" i="40"/>
  <c r="BK45" i="40"/>
  <c r="BL41" i="40"/>
  <c r="AD41" i="40"/>
  <c r="AQ43" i="40"/>
  <c r="BA41" i="40"/>
  <c r="BO41" i="40"/>
  <c r="AO46" i="40"/>
  <c r="AR42" i="40"/>
  <c r="BE42" i="40"/>
  <c r="AU44" i="40"/>
  <c r="Y43" i="40"/>
  <c r="AG42" i="40"/>
  <c r="BI42" i="40"/>
  <c r="BP40" i="40"/>
  <c r="BO40" i="40"/>
  <c r="AC45" i="40"/>
  <c r="AU41" i="40"/>
  <c r="AN46" i="40"/>
  <c r="Z46" i="40"/>
  <c r="AO47" i="40"/>
  <c r="BD42" i="40"/>
  <c r="AN39" i="40"/>
  <c r="AH37" i="40"/>
  <c r="BE37" i="40"/>
  <c r="BH37" i="40"/>
  <c r="BA37" i="40"/>
  <c r="AS37" i="40"/>
  <c r="BK37" i="40"/>
  <c r="BG37" i="40"/>
  <c r="BC37" i="40"/>
  <c r="BO37" i="40"/>
  <c r="BJ37" i="40"/>
  <c r="AK37" i="40"/>
  <c r="BD37" i="40"/>
  <c r="AV37" i="40"/>
  <c r="AO37" i="40"/>
  <c r="BI37" i="40"/>
  <c r="BN37" i="40"/>
  <c r="AM37" i="40"/>
  <c r="AN37" i="40"/>
  <c r="Z37" i="40"/>
  <c r="AL37" i="40"/>
  <c r="AE39" i="40"/>
  <c r="AA39" i="40"/>
  <c r="Y39" i="40"/>
  <c r="AR39" i="40"/>
  <c r="AG24" i="40"/>
  <c r="AM34" i="40"/>
  <c r="BP23" i="40"/>
  <c r="BG29" i="40"/>
  <c r="AY23" i="40"/>
  <c r="Y29" i="40"/>
  <c r="AS15" i="40"/>
  <c r="AB15" i="40"/>
  <c r="AQ35" i="40"/>
  <c r="AX20" i="40"/>
  <c r="AH17" i="40"/>
  <c r="AR23" i="40"/>
  <c r="AN23" i="40"/>
  <c r="AX22" i="40"/>
  <c r="BM22" i="40"/>
  <c r="AH33" i="40"/>
  <c r="AN33" i="40"/>
  <c r="AU33" i="40"/>
  <c r="AK23" i="40"/>
  <c r="AL26" i="40"/>
  <c r="AX29" i="40"/>
  <c r="AY32" i="40"/>
  <c r="AD29" i="40"/>
  <c r="AJ29" i="40"/>
  <c r="BM21" i="40"/>
  <c r="AA22" i="40"/>
  <c r="AR16" i="40"/>
  <c r="AM20" i="40"/>
  <c r="AU20" i="40"/>
  <c r="BJ17" i="40"/>
  <c r="AO29" i="40"/>
  <c r="AZ29" i="40"/>
  <c r="AV19" i="40"/>
  <c r="AN19" i="40"/>
  <c r="AY19" i="40"/>
  <c r="AS31" i="40"/>
  <c r="AA19" i="40"/>
  <c r="AB22" i="40"/>
  <c r="AW22" i="40"/>
  <c r="AD22" i="40"/>
  <c r="AG22" i="40"/>
  <c r="BD35" i="40"/>
  <c r="AU36" i="40"/>
  <c r="AF25" i="40"/>
  <c r="AU24" i="40"/>
  <c r="AH18" i="40"/>
  <c r="BE14" i="40"/>
  <c r="BN19" i="40"/>
  <c r="AX31" i="40"/>
  <c r="AW16" i="40"/>
  <c r="Z21" i="40"/>
  <c r="BL21" i="40"/>
  <c r="BA15" i="40"/>
  <c r="AV15" i="40"/>
  <c r="AK20" i="40"/>
  <c r="AA20" i="40"/>
  <c r="BM17" i="40"/>
  <c r="AG20" i="40"/>
  <c r="AP23" i="40"/>
  <c r="AI29" i="40"/>
  <c r="Y17" i="40"/>
  <c r="AV31" i="40"/>
  <c r="AR22" i="40"/>
  <c r="Z33" i="40"/>
  <c r="AK33" i="40"/>
  <c r="AB25" i="40"/>
  <c r="AC24" i="40"/>
  <c r="AE21" i="40"/>
  <c r="AF15" i="40"/>
  <c r="AW15" i="40"/>
  <c r="BP15" i="40"/>
  <c r="BK13" i="40"/>
  <c r="AV21" i="40"/>
  <c r="BC17" i="40"/>
  <c r="BE20" i="40"/>
  <c r="AO35" i="40"/>
  <c r="AB17" i="40"/>
  <c r="AG23" i="40"/>
  <c r="AQ23" i="40"/>
  <c r="AV17" i="40"/>
  <c r="BK31" i="40"/>
  <c r="AR19" i="40"/>
  <c r="BC22" i="40"/>
  <c r="AC33" i="40"/>
  <c r="AT23" i="40"/>
  <c r="BB34" i="40"/>
  <c r="BI24" i="40"/>
  <c r="AL31" i="40"/>
  <c r="AR21" i="40"/>
  <c r="AL21" i="40"/>
  <c r="AH16" i="40"/>
  <c r="AE15" i="40"/>
  <c r="AD15" i="40"/>
  <c r="BG20" i="40"/>
  <c r="BH17" i="40"/>
  <c r="AO20" i="40"/>
  <c r="AQ20" i="40"/>
  <c r="BO17" i="40"/>
  <c r="BN31" i="40"/>
  <c r="BF19" i="40"/>
  <c r="Z22" i="40"/>
  <c r="AT33" i="40"/>
  <c r="BF33" i="40"/>
  <c r="BJ26" i="40"/>
  <c r="AH29" i="40"/>
  <c r="AY36" i="40"/>
  <c r="BJ23" i="40"/>
  <c r="BA19" i="40"/>
  <c r="BB14" i="40"/>
  <c r="AL19" i="40"/>
  <c r="BO30" i="40"/>
  <c r="AK21" i="40"/>
  <c r="BI22" i="40"/>
  <c r="AT17" i="40"/>
  <c r="AL16" i="40"/>
  <c r="AD16" i="40"/>
  <c r="AQ15" i="40"/>
  <c r="AL13" i="40"/>
  <c r="BK17" i="40"/>
  <c r="AJ17" i="40"/>
  <c r="AJ24" i="40"/>
  <c r="AS17" i="40"/>
  <c r="AI19" i="40"/>
  <c r="AF19" i="40"/>
  <c r="AS22" i="40"/>
  <c r="Y34" i="40"/>
  <c r="AF35" i="40"/>
  <c r="AT32" i="40"/>
  <c r="BC29" i="40"/>
  <c r="AG21" i="40"/>
  <c r="BF16" i="40"/>
  <c r="BG15" i="40"/>
  <c r="AQ16" i="40"/>
  <c r="AR35" i="40"/>
  <c r="AH35" i="40"/>
  <c r="BG23" i="40"/>
  <c r="AN17" i="40"/>
  <c r="AY33" i="40"/>
  <c r="BK25" i="40"/>
  <c r="AR24" i="40"/>
  <c r="AW21" i="40"/>
  <c r="AT15" i="40"/>
  <c r="BB17" i="40"/>
  <c r="AP16" i="40"/>
  <c r="AP15" i="40"/>
  <c r="AB13" i="40"/>
  <c r="AE20" i="40"/>
  <c r="AU17" i="40"/>
  <c r="AN20" i="40"/>
  <c r="AO17" i="40"/>
  <c r="BD24" i="40"/>
  <c r="AQ24" i="40"/>
  <c r="BH33" i="40"/>
  <c r="AE19" i="40"/>
  <c r="Z19" i="40"/>
  <c r="AB19" i="40"/>
  <c r="BC19" i="40"/>
  <c r="BO36" i="40"/>
  <c r="Y25" i="40"/>
  <c r="BN25" i="40"/>
  <c r="AU14" i="40"/>
  <c r="AK25" i="40"/>
  <c r="Y16" i="40"/>
  <c r="AP13" i="40"/>
  <c r="Y13" i="40"/>
  <c r="BO20" i="40"/>
  <c r="AP20" i="40"/>
  <c r="AJ20" i="40"/>
  <c r="Y35" i="40"/>
  <c r="AZ17" i="40"/>
  <c r="AW29" i="40"/>
  <c r="AM17" i="40"/>
  <c r="AH31" i="40"/>
  <c r="AE22" i="40"/>
  <c r="AQ22" i="40"/>
  <c r="BO33" i="40"/>
  <c r="AS33" i="40"/>
  <c r="AY34" i="40"/>
  <c r="AK24" i="40"/>
  <c r="AV16" i="40"/>
  <c r="AG13" i="40"/>
  <c r="BG36" i="40"/>
  <c r="AW20" i="40"/>
  <c r="BE17" i="40"/>
  <c r="AR17" i="40"/>
  <c r="Y24" i="40"/>
  <c r="AW19" i="40"/>
  <c r="AO33" i="40"/>
  <c r="AA33" i="40"/>
  <c r="AE13" i="40"/>
  <c r="AC34" i="40"/>
  <c r="AE25" i="40"/>
  <c r="AP14" i="40"/>
  <c r="AT14" i="40"/>
  <c r="BO14" i="40"/>
  <c r="Y23" i="40"/>
  <c r="BE15" i="40"/>
  <c r="AI15" i="40"/>
  <c r="AO13" i="40"/>
  <c r="AT16" i="40"/>
  <c r="AS13" i="40"/>
  <c r="AA13" i="40"/>
  <c r="BJ18" i="40"/>
  <c r="AD20" i="40"/>
  <c r="Y36" i="40"/>
  <c r="AN36" i="40"/>
  <c r="AQ17" i="40"/>
  <c r="AP19" i="40"/>
  <c r="AQ31" i="40"/>
  <c r="AZ19" i="40"/>
  <c r="BL22" i="40"/>
  <c r="BL25" i="40"/>
  <c r="BG17" i="40"/>
  <c r="BH24" i="40"/>
  <c r="AA30" i="40"/>
  <c r="BH16" i="40"/>
  <c r="Y21" i="40"/>
  <c r="AJ15" i="40"/>
  <c r="Z15" i="40"/>
  <c r="AE16" i="40"/>
  <c r="AK16" i="40"/>
  <c r="AK13" i="40"/>
  <c r="Z20" i="40"/>
  <c r="AF20" i="40"/>
  <c r="AI17" i="40"/>
  <c r="BD17" i="40"/>
  <c r="BI19" i="40"/>
  <c r="AS19" i="40"/>
  <c r="AC22" i="40"/>
  <c r="AN22" i="40"/>
  <c r="BA22" i="40"/>
  <c r="AV33" i="40"/>
  <c r="BE24" i="40"/>
  <c r="BM14" i="40"/>
  <c r="AO30" i="40"/>
  <c r="AN21" i="40"/>
  <c r="BP16" i="40"/>
  <c r="BK15" i="40"/>
  <c r="AL15" i="40"/>
  <c r="BI15" i="40"/>
  <c r="BO15" i="40"/>
  <c r="AU16" i="40"/>
  <c r="AH13" i="40"/>
  <c r="BJ20" i="40"/>
  <c r="AV23" i="40"/>
  <c r="BC24" i="40"/>
  <c r="BJ19" i="40"/>
  <c r="BH19" i="40"/>
  <c r="AF22" i="40"/>
  <c r="AM33" i="40"/>
  <c r="AG33" i="40"/>
  <c r="BD33" i="40"/>
  <c r="AZ26" i="40"/>
  <c r="BK34" i="40"/>
  <c r="AZ25" i="40"/>
  <c r="AC29" i="40"/>
  <c r="AC17" i="40"/>
  <c r="BP24" i="40"/>
  <c r="AD18" i="40"/>
  <c r="AJ14" i="40"/>
  <c r="AI16" i="40"/>
  <c r="AA16" i="40"/>
  <c r="AC15" i="40"/>
  <c r="AI20" i="40"/>
  <c r="BM20" i="40"/>
  <c r="AN31" i="40"/>
  <c r="BP19" i="40"/>
  <c r="AK22" i="40"/>
  <c r="AH22" i="40"/>
  <c r="AS28" i="40"/>
  <c r="AH15" i="40"/>
  <c r="AJ13" i="40"/>
  <c r="AV35" i="40"/>
  <c r="AL17" i="40"/>
  <c r="BC23" i="40"/>
  <c r="AF23" i="40"/>
  <c r="AL24" i="40"/>
  <c r="AB27" i="40"/>
  <c r="BP17" i="40"/>
  <c r="AD19" i="40"/>
  <c r="AA31" i="40"/>
  <c r="AP33" i="40"/>
  <c r="BG33" i="40"/>
  <c r="AZ23" i="40"/>
  <c r="BM29" i="40"/>
  <c r="AP28" i="40"/>
  <c r="AP27" i="40"/>
  <c r="Z32" i="40"/>
  <c r="AH20" i="40"/>
  <c r="AF16" i="40"/>
  <c r="AR15" i="40"/>
  <c r="BM15" i="40"/>
  <c r="AA15" i="40"/>
  <c r="BF15" i="40"/>
  <c r="AD17" i="40"/>
  <c r="AA23" i="40"/>
  <c r="AC23" i="40"/>
  <c r="AG17" i="40"/>
  <c r="AJ22" i="40"/>
  <c r="AP22" i="40"/>
  <c r="BL33" i="40"/>
  <c r="BC31" i="40"/>
  <c r="BI17" i="40"/>
  <c r="BD23" i="40"/>
  <c r="AT24" i="40"/>
  <c r="BN29" i="40"/>
  <c r="Y19" i="40"/>
  <c r="AF31" i="40"/>
  <c r="BK19" i="40"/>
  <c r="AU22" i="40"/>
  <c r="AQ33" i="40"/>
  <c r="AD33" i="40"/>
  <c r="AR25" i="40"/>
  <c r="BA24" i="40"/>
  <c r="BO29" i="40"/>
  <c r="Z16" i="40"/>
  <c r="AJ23" i="40"/>
  <c r="AY15" i="40"/>
  <c r="AC14" i="40"/>
  <c r="AX14" i="40"/>
  <c r="AT19" i="40"/>
  <c r="AS32" i="40"/>
  <c r="AC21" i="40"/>
  <c r="BD21" i="40"/>
  <c r="BN15" i="40"/>
  <c r="BH15" i="40"/>
  <c r="BD15" i="40"/>
  <c r="AJ16" i="40"/>
  <c r="AG16" i="40"/>
  <c r="BI20" i="40"/>
  <c r="AV28" i="40"/>
  <c r="AL20" i="40"/>
  <c r="AZ32" i="40"/>
  <c r="Z23" i="40"/>
  <c r="AS23" i="40"/>
  <c r="BO19" i="40"/>
  <c r="AT22" i="40"/>
  <c r="AL33" i="40"/>
  <c r="BC33" i="40"/>
  <c r="AW33" i="40"/>
  <c r="BE33" i="40"/>
  <c r="AJ25" i="40"/>
  <c r="AD25" i="40"/>
  <c r="BO25" i="40"/>
  <c r="AW24" i="40"/>
  <c r="AG31" i="40"/>
  <c r="AE14" i="40"/>
  <c r="BD16" i="40"/>
  <c r="BC15" i="40"/>
  <c r="BL19" i="40"/>
  <c r="AI21" i="40"/>
  <c r="AO16" i="40"/>
  <c r="AO15" i="40"/>
  <c r="AN16" i="40"/>
  <c r="AQ13" i="40"/>
  <c r="AR20" i="40"/>
  <c r="AC28" i="40"/>
  <c r="Y20" i="40"/>
  <c r="AK34" i="40"/>
  <c r="AE17" i="40"/>
  <c r="BA23" i="40"/>
  <c r="AI23" i="40"/>
  <c r="BF23" i="40"/>
  <c r="AF17" i="40"/>
  <c r="AD24" i="40"/>
  <c r="BD31" i="40"/>
  <c r="Y22" i="40"/>
  <c r="AO22" i="40"/>
  <c r="AE33" i="40"/>
  <c r="AI33" i="40"/>
  <c r="Y33" i="40"/>
  <c r="BO23" i="40"/>
  <c r="BF35" i="40"/>
  <c r="BP32" i="40"/>
  <c r="BD18" i="40"/>
  <c r="AH25" i="40"/>
  <c r="AI34" i="40"/>
  <c r="AD31" i="40"/>
  <c r="AL14" i="40"/>
  <c r="BB21" i="40"/>
  <c r="AM14" i="40"/>
  <c r="AB21" i="40"/>
  <c r="AZ15" i="40"/>
  <c r="AB16" i="40"/>
  <c r="AC13" i="40"/>
  <c r="AL32" i="40"/>
  <c r="AD23" i="40"/>
  <c r="AR27" i="40"/>
  <c r="AP17" i="40"/>
  <c r="BO31" i="40"/>
  <c r="BH22" i="40"/>
  <c r="BA33" i="40"/>
  <c r="BK26" i="40"/>
  <c r="BA26" i="40"/>
  <c r="AL36" i="40"/>
  <c r="BJ27" i="40"/>
  <c r="BB19" i="40"/>
  <c r="AH19" i="40"/>
  <c r="BO21" i="40"/>
  <c r="AK15" i="40"/>
  <c r="AN15" i="40"/>
  <c r="AO14" i="40"/>
  <c r="AB35" i="40"/>
  <c r="BK21" i="40"/>
  <c r="AA21" i="40"/>
  <c r="AS16" i="40"/>
  <c r="BB13" i="40"/>
  <c r="AE27" i="40"/>
  <c r="BJ35" i="40"/>
  <c r="BH23" i="40"/>
  <c r="AX23" i="40"/>
  <c r="AL23" i="40"/>
  <c r="AB23" i="40"/>
  <c r="BN17" i="40"/>
  <c r="AM24" i="40"/>
  <c r="AK19" i="40"/>
  <c r="AP31" i="40"/>
  <c r="AE31" i="40"/>
  <c r="AM15" i="40"/>
  <c r="BP33" i="40"/>
  <c r="BB33" i="40"/>
  <c r="AW31" i="40"/>
  <c r="BC34" i="40"/>
  <c r="BP35" i="40"/>
  <c r="AQ18" i="40"/>
  <c r="AJ34" i="40"/>
  <c r="AU18" i="40"/>
  <c r="Y14" i="40"/>
  <c r="BE23" i="40"/>
  <c r="Y15" i="40"/>
  <c r="AX15" i="40"/>
  <c r="AB20" i="40"/>
  <c r="AS35" i="40"/>
  <c r="AX32" i="40"/>
  <c r="AU23" i="40"/>
  <c r="AA17" i="40"/>
  <c r="AO19" i="40"/>
  <c r="AC31" i="40"/>
  <c r="AT31" i="40"/>
  <c r="AQ19" i="40"/>
  <c r="AV22" i="40"/>
  <c r="BL32" i="40"/>
  <c r="AV25" i="40"/>
  <c r="AU19" i="40"/>
  <c r="AM22" i="40"/>
  <c r="AY31" i="40"/>
  <c r="AX16" i="40"/>
  <c r="BL15" i="40"/>
  <c r="AB24" i="40"/>
  <c r="BL14" i="40"/>
  <c r="BA16" i="40"/>
  <c r="BC20" i="40"/>
  <c r="AY16" i="40"/>
  <c r="BC16" i="40"/>
  <c r="AU15" i="40"/>
  <c r="BF13" i="40"/>
  <c r="AC20" i="40"/>
  <c r="BB28" i="40"/>
  <c r="Z17" i="40"/>
  <c r="BH31" i="40"/>
  <c r="AO31" i="40"/>
  <c r="AM19" i="40"/>
  <c r="AI22" i="40"/>
  <c r="AH21" i="40"/>
  <c r="AF34" i="40"/>
  <c r="BC27" i="40"/>
  <c r="AZ24" i="40"/>
  <c r="BM19" i="40"/>
  <c r="AH14" i="40"/>
  <c r="BE19" i="40"/>
  <c r="AA14" i="40"/>
  <c r="AH24" i="40"/>
  <c r="AI18" i="40"/>
  <c r="AJ19" i="40"/>
  <c r="AH27" i="40"/>
  <c r="BG19" i="40"/>
  <c r="AS20" i="40"/>
  <c r="BI16" i="40"/>
  <c r="AM16" i="40"/>
  <c r="AG15" i="40"/>
  <c r="BJ16" i="40"/>
  <c r="BA13" i="40"/>
  <c r="BG13" i="40"/>
  <c r="BH20" i="40"/>
  <c r="AT20" i="40"/>
  <c r="AH23" i="40"/>
  <c r="BL23" i="40"/>
  <c r="BL17" i="40"/>
  <c r="AP24" i="40"/>
  <c r="AC19" i="40"/>
  <c r="BE31" i="40"/>
  <c r="AK31" i="40"/>
  <c r="AG19" i="40"/>
  <c r="AZ33" i="40"/>
  <c r="AB33" i="40"/>
  <c r="AP36" i="40"/>
  <c r="BK36" i="40"/>
  <c r="AI35" i="40"/>
  <c r="BC35" i="40"/>
  <c r="AB30" i="40"/>
  <c r="AY26" i="40"/>
  <c r="AF21" i="40"/>
  <c r="AT27" i="40"/>
  <c r="AS29" i="40"/>
  <c r="Y27" i="40"/>
  <c r="AI25" i="40"/>
  <c r="AO26" i="40"/>
  <c r="AS30" i="40"/>
  <c r="AP35" i="40"/>
  <c r="AY27" i="40"/>
  <c r="AI30" i="40"/>
  <c r="AA26" i="40"/>
  <c r="BM28" i="40"/>
  <c r="AV36" i="40"/>
  <c r="AI32" i="40"/>
  <c r="AA25" i="40"/>
  <c r="BI29" i="40"/>
  <c r="AA29" i="40"/>
  <c r="BK27" i="40"/>
  <c r="BF27" i="40"/>
  <c r="AD27" i="40"/>
  <c r="BD25" i="40"/>
  <c r="AJ28" i="40"/>
  <c r="BD26" i="40"/>
  <c r="Z30" i="40"/>
  <c r="AM35" i="40"/>
  <c r="AP21" i="40"/>
  <c r="AZ28" i="40"/>
  <c r="AG28" i="40"/>
  <c r="BH25" i="40"/>
  <c r="AS25" i="40"/>
  <c r="BJ28" i="40"/>
  <c r="AX25" i="40"/>
  <c r="AP18" i="40"/>
  <c r="AC30" i="40"/>
  <c r="AE30" i="40"/>
  <c r="BL34" i="40"/>
  <c r="BI28" i="40"/>
  <c r="BD36" i="40"/>
  <c r="AD36" i="40"/>
  <c r="AW32" i="40"/>
  <c r="AX27" i="40"/>
  <c r="BM25" i="40"/>
  <c r="BM23" i="40"/>
  <c r="BC26" i="40"/>
  <c r="AT26" i="40"/>
  <c r="AX30" i="40"/>
  <c r="AZ13" i="40"/>
  <c r="AZ31" i="40"/>
  <c r="AC26" i="40"/>
  <c r="AI36" i="40"/>
  <c r="BG27" i="40"/>
  <c r="BN27" i="40"/>
  <c r="AM29" i="40"/>
  <c r="BB25" i="40"/>
  <c r="Z35" i="40"/>
  <c r="AX18" i="40"/>
  <c r="AG30" i="40"/>
  <c r="BM35" i="40"/>
  <c r="Z13" i="40"/>
  <c r="AG34" i="40"/>
  <c r="BD34" i="40"/>
  <c r="AD34" i="40"/>
  <c r="BM34" i="40"/>
  <c r="AU26" i="40"/>
  <c r="BN28" i="40"/>
  <c r="AH36" i="40"/>
  <c r="Y18" i="40"/>
  <c r="AG32" i="40"/>
  <c r="AQ25" i="40"/>
  <c r="AB29" i="40"/>
  <c r="AT25" i="40"/>
  <c r="AL25" i="40"/>
  <c r="BD27" i="40"/>
  <c r="BC36" i="40"/>
  <c r="BA18" i="40"/>
  <c r="AK30" i="40"/>
  <c r="BM33" i="40"/>
  <c r="AV13" i="40"/>
  <c r="AB31" i="40"/>
  <c r="BP34" i="40"/>
  <c r="AS26" i="40"/>
  <c r="BG28" i="40"/>
  <c r="BA28" i="40"/>
  <c r="AQ36" i="40"/>
  <c r="AN32" i="40"/>
  <c r="AG29" i="40"/>
  <c r="AJ27" i="40"/>
  <c r="AA36" i="40"/>
  <c r="AR34" i="40"/>
  <c r="AE34" i="40"/>
  <c r="BE35" i="40"/>
  <c r="AS24" i="40"/>
  <c r="AD21" i="40"/>
  <c r="AP34" i="40"/>
  <c r="BE26" i="40"/>
  <c r="AP26" i="40"/>
  <c r="AC36" i="40"/>
  <c r="BB36" i="40"/>
  <c r="BK32" i="40"/>
  <c r="BH32" i="40"/>
  <c r="AR29" i="40"/>
  <c r="BE27" i="40"/>
  <c r="BM27" i="40"/>
  <c r="BL27" i="40"/>
  <c r="BE25" i="40"/>
  <c r="BM18" i="40"/>
  <c r="AY35" i="40"/>
  <c r="AF33" i="40"/>
  <c r="Z24" i="40"/>
  <c r="AD28" i="40"/>
  <c r="BG26" i="40"/>
  <c r="AI28" i="40"/>
  <c r="AJ32" i="40"/>
  <c r="AE32" i="40"/>
  <c r="BA34" i="40"/>
  <c r="AU25" i="40"/>
  <c r="Z29" i="40"/>
  <c r="AV27" i="40"/>
  <c r="AS27" i="40"/>
  <c r="AW18" i="40"/>
  <c r="BO34" i="40"/>
  <c r="BG35" i="40"/>
  <c r="AH30" i="40"/>
  <c r="AM21" i="40"/>
  <c r="AN28" i="40"/>
  <c r="AR30" i="40"/>
  <c r="AS34" i="40"/>
  <c r="AN26" i="40"/>
  <c r="BO26" i="40"/>
  <c r="AS21" i="40"/>
  <c r="BH36" i="40"/>
  <c r="AQ32" i="40"/>
  <c r="AK32" i="40"/>
  <c r="AP29" i="40"/>
  <c r="AQ28" i="40"/>
  <c r="BJ25" i="40"/>
  <c r="AI27" i="40"/>
  <c r="AI31" i="40"/>
  <c r="BN23" i="40"/>
  <c r="BP26" i="40"/>
  <c r="BE36" i="40"/>
  <c r="AT13" i="40"/>
  <c r="AY13" i="40"/>
  <c r="AA34" i="40"/>
  <c r="AB34" i="40"/>
  <c r="AB32" i="40"/>
  <c r="AS18" i="40"/>
  <c r="BC25" i="40"/>
  <c r="BI32" i="40"/>
  <c r="AR18" i="40"/>
  <c r="AM36" i="40"/>
  <c r="AW13" i="40"/>
  <c r="AJ31" i="40"/>
  <c r="AW26" i="40"/>
  <c r="AT36" i="40"/>
  <c r="BJ32" i="40"/>
  <c r="BF21" i="40"/>
  <c r="BI25" i="40"/>
  <c r="AM18" i="40"/>
  <c r="BP27" i="40"/>
  <c r="AP32" i="40"/>
  <c r="BL18" i="40"/>
  <c r="BF26" i="40"/>
  <c r="BB26" i="40"/>
  <c r="AJ30" i="40"/>
  <c r="AG35" i="40"/>
  <c r="BH35" i="40"/>
  <c r="AU13" i="40"/>
  <c r="BG21" i="40"/>
  <c r="AN27" i="40"/>
  <c r="AO21" i="40"/>
  <c r="AZ27" i="40"/>
  <c r="AC18" i="40"/>
  <c r="BF32" i="40"/>
  <c r="AL30" i="40"/>
  <c r="BH13" i="40"/>
  <c r="AO28" i="40"/>
  <c r="BG34" i="40"/>
  <c r="AJ26" i="40"/>
  <c r="AY21" i="40"/>
  <c r="BA36" i="40"/>
  <c r="Z36" i="40"/>
  <c r="AH32" i="40"/>
  <c r="BP18" i="40"/>
  <c r="AL27" i="40"/>
  <c r="BO32" i="40"/>
  <c r="BF29" i="40"/>
  <c r="BJ29" i="40"/>
  <c r="AC25" i="40"/>
  <c r="AC27" i="40"/>
  <c r="BI36" i="40"/>
  <c r="BI18" i="40"/>
  <c r="AE23" i="40"/>
  <c r="AF26" i="40"/>
  <c r="AK35" i="40"/>
  <c r="BK35" i="40"/>
  <c r="BO13" i="40"/>
  <c r="AN13" i="40"/>
  <c r="AR13" i="40"/>
  <c r="AZ34" i="40"/>
  <c r="AO34" i="40"/>
  <c r="AV34" i="40"/>
  <c r="Z26" i="40"/>
  <c r="AQ26" i="40"/>
  <c r="AH28" i="40"/>
  <c r="BM36" i="40"/>
  <c r="BJ36" i="40"/>
  <c r="BA32" i="40"/>
  <c r="AF18" i="40"/>
  <c r="BG18" i="40"/>
  <c r="BH27" i="40"/>
  <c r="BI27" i="40"/>
  <c r="AW25" i="40"/>
  <c r="BB18" i="40"/>
  <c r="AD26" i="40"/>
  <c r="AA35" i="40"/>
  <c r="AF13" i="40"/>
  <c r="AN34" i="40"/>
  <c r="Z34" i="40"/>
  <c r="AE26" i="40"/>
  <c r="BP21" i="40"/>
  <c r="AB36" i="40"/>
  <c r="AZ36" i="40"/>
  <c r="AO25" i="40"/>
  <c r="BO27" i="40"/>
  <c r="BN33" i="40"/>
  <c r="AK18" i="40"/>
  <c r="AT35" i="40"/>
  <c r="BI35" i="40"/>
  <c r="BJ13" i="40"/>
  <c r="BF34" i="40"/>
  <c r="AQ34" i="40"/>
  <c r="AM26" i="40"/>
  <c r="AM25" i="40"/>
  <c r="AO32" i="40"/>
  <c r="BB27" i="40"/>
  <c r="AZ35" i="40"/>
  <c r="BF36" i="40"/>
  <c r="AM28" i="40"/>
  <c r="BD32" i="40"/>
  <c r="BC18" i="40"/>
  <c r="AM23" i="40"/>
  <c r="AE29" i="40"/>
  <c r="AQ29" i="40"/>
  <c r="AM27" i="40"/>
  <c r="Y32" i="40"/>
  <c r="AC35" i="40"/>
  <c r="AJ33" i="40"/>
  <c r="AH26" i="40"/>
  <c r="AR26" i="40"/>
  <c r="AR28" i="40"/>
  <c r="AZ21" i="40"/>
  <c r="AV32" i="40"/>
  <c r="AC32" i="40"/>
  <c r="AP25" i="40"/>
  <c r="AU21" i="40"/>
  <c r="AE35" i="40"/>
  <c r="AB26" i="40"/>
  <c r="Y28" i="40"/>
  <c r="Z18" i="40"/>
  <c r="BD29" i="40"/>
  <c r="Z25" i="40"/>
  <c r="BA27" i="40"/>
  <c r="AN29" i="40"/>
  <c r="AK36" i="40"/>
  <c r="AM13" i="40"/>
  <c r="AR32" i="40"/>
  <c r="AL29" i="40"/>
  <c r="AG25" i="40"/>
  <c r="AF27" i="40"/>
  <c r="AE28" i="40"/>
  <c r="AL18" i="40"/>
  <c r="AO23" i="40"/>
  <c r="BM26" i="40"/>
  <c r="AQ30" i="40"/>
  <c r="AQ21" i="40"/>
  <c r="AD13" i="40"/>
  <c r="AM30" i="40"/>
  <c r="AL34" i="40"/>
  <c r="AW34" i="40"/>
  <c r="AG26" i="40"/>
  <c r="AY29" i="40"/>
  <c r="AF29" i="40"/>
  <c r="BE34" i="40"/>
  <c r="AG27" i="40"/>
  <c r="Y26" i="40"/>
  <c r="AT29" i="40"/>
  <c r="AJ35" i="40"/>
  <c r="AH34" i="40"/>
  <c r="AI26" i="40"/>
  <c r="AT28" i="40"/>
  <c r="AB28" i="40"/>
  <c r="AJ36" i="40"/>
  <c r="AF32" i="40"/>
  <c r="BE29" i="40"/>
  <c r="AK27" i="40"/>
  <c r="AK26" i="40"/>
  <c r="AQ27" i="40"/>
  <c r="AU27" i="40"/>
  <c r="Z27" i="40"/>
  <c r="AA27" i="40"/>
  <c r="BB12" i="40"/>
  <c r="AW12" i="40"/>
  <c r="BI12" i="40"/>
  <c r="BK7" i="40"/>
  <c r="AC4" i="40"/>
  <c r="AK7" i="40"/>
  <c r="AD7" i="40"/>
  <c r="BM8" i="40"/>
  <c r="BH4" i="40"/>
  <c r="AI7" i="40"/>
  <c r="BJ7" i="40"/>
  <c r="BD4" i="40"/>
  <c r="BB8" i="40"/>
  <c r="AL7" i="40"/>
  <c r="BL4" i="40"/>
  <c r="BI7" i="40"/>
  <c r="AH7" i="40"/>
  <c r="AV8" i="40"/>
  <c r="AT7" i="40"/>
  <c r="AK4" i="40"/>
  <c r="AP7" i="40"/>
  <c r="BN9" i="40"/>
  <c r="AT8" i="40"/>
  <c r="AQ7" i="40"/>
  <c r="BJ4" i="40"/>
  <c r="BN7" i="40"/>
  <c r="AQ8" i="40"/>
  <c r="AF8" i="40"/>
  <c r="Y7" i="40"/>
  <c r="AP4" i="40"/>
  <c r="AM4" i="40"/>
  <c r="BP8" i="40"/>
  <c r="BA4" i="40"/>
  <c r="BD8" i="40"/>
  <c r="AB7" i="40"/>
  <c r="BE4" i="40"/>
  <c r="BB7" i="40"/>
  <c r="AN4" i="40"/>
  <c r="Z7" i="40"/>
  <c r="AX8" i="40"/>
  <c r="BC7" i="40"/>
  <c r="AU7" i="40"/>
  <c r="BM10" i="40"/>
  <c r="BP9" i="40"/>
  <c r="AW9" i="40"/>
  <c r="BI9" i="40"/>
  <c r="AV9" i="40"/>
  <c r="BL9" i="40"/>
  <c r="AZ9" i="40"/>
  <c r="BC9" i="40"/>
  <c r="BA9" i="40"/>
  <c r="BM9" i="40"/>
  <c r="BE9" i="40"/>
  <c r="BG10" i="40"/>
  <c r="BI10" i="40"/>
  <c r="AV10" i="40"/>
  <c r="BG7" i="40"/>
  <c r="AI8" i="40"/>
  <c r="AC7" i="40"/>
  <c r="AG7" i="40"/>
  <c r="AS4" i="40"/>
  <c r="AS8" i="40"/>
  <c r="BF4" i="40"/>
  <c r="BL8" i="40"/>
  <c r="AM7" i="40"/>
  <c r="BK6" i="40"/>
  <c r="AW8" i="40"/>
  <c r="BI8" i="40"/>
  <c r="BH7" i="40"/>
  <c r="AG4" i="40"/>
  <c r="AS11" i="40"/>
  <c r="AB6" i="40"/>
  <c r="BM7" i="40"/>
  <c r="BH11" i="40"/>
  <c r="AI4" i="40"/>
  <c r="AB4" i="40"/>
  <c r="AB8" i="40"/>
  <c r="AZ8" i="40"/>
  <c r="AW4" i="40"/>
  <c r="BL7" i="40"/>
  <c r="BF7" i="40"/>
  <c r="BF8" i="40"/>
  <c r="Z11" i="40"/>
  <c r="AQ11" i="40"/>
  <c r="BD11" i="40"/>
  <c r="BN11" i="40"/>
  <c r="BC11" i="40"/>
  <c r="BJ11" i="40"/>
  <c r="BE11" i="40"/>
  <c r="AV11" i="40"/>
  <c r="BI11" i="40"/>
  <c r="AY11" i="40"/>
  <c r="BP11" i="40"/>
  <c r="BM11" i="40"/>
  <c r="AX11" i="40"/>
  <c r="BB11" i="40"/>
  <c r="BL11" i="40"/>
  <c r="BG11" i="40"/>
  <c r="AZ11" i="40"/>
  <c r="BF11" i="40"/>
  <c r="BK11" i="40"/>
  <c r="BO7" i="40"/>
  <c r="AY4" i="40"/>
  <c r="Z8" i="40"/>
  <c r="AF5" i="40"/>
  <c r="BL5" i="40"/>
  <c r="AO4" i="40"/>
  <c r="AW11" i="40"/>
  <c r="BO8" i="40"/>
  <c r="AW7" i="40"/>
  <c r="AR8" i="40"/>
  <c r="AG49" i="40" l="1"/>
  <c r="AI9" i="40"/>
  <c r="AL4" i="40"/>
  <c r="AH8" i="40"/>
  <c r="AE4" i="40"/>
  <c r="AR7" i="40"/>
  <c r="AG5" i="40"/>
  <c r="AO12" i="40"/>
  <c r="AD4" i="40"/>
  <c r="AR31" i="40"/>
  <c r="AQ42" i="40"/>
  <c r="AD47" i="40"/>
  <c r="AJ59" i="40"/>
  <c r="AO44" i="40"/>
  <c r="AJ44" i="40"/>
  <c r="AN45" i="40"/>
  <c r="AD46" i="40"/>
  <c r="AS44" i="40"/>
  <c r="AS46" i="40"/>
  <c r="AL46" i="40"/>
  <c r="S16" i="40"/>
  <c r="AF42" i="40"/>
  <c r="AL42" i="40"/>
  <c r="AR46" i="40"/>
  <c r="AR41" i="40"/>
  <c r="U21" i="40"/>
  <c r="U16" i="40"/>
  <c r="L21" i="40"/>
  <c r="AT34" i="40"/>
  <c r="AN25" i="40"/>
  <c r="N19" i="40"/>
  <c r="AS54" i="40"/>
  <c r="D23" i="40"/>
  <c r="AE46" i="40"/>
  <c r="C23" i="40"/>
  <c r="AR33" i="40"/>
  <c r="AT54" i="40"/>
  <c r="P32" i="40"/>
  <c r="O16" i="40"/>
  <c r="AL22" i="40"/>
  <c r="AK56" i="40"/>
  <c r="V32" i="40"/>
  <c r="U23" i="40"/>
  <c r="F51" i="40"/>
  <c r="S23" i="40"/>
  <c r="AS57" i="40"/>
  <c r="X32" i="40"/>
  <c r="L23" i="40"/>
  <c r="AF54" i="40"/>
  <c r="V35" i="40"/>
  <c r="T19" i="40"/>
  <c r="J21" i="40"/>
  <c r="U57" i="40"/>
  <c r="X20" i="40"/>
  <c r="H21" i="40"/>
  <c r="AN35" i="40"/>
  <c r="AJ21" i="40"/>
  <c r="L54" i="40"/>
  <c r="N20" i="40"/>
  <c r="Q21" i="40"/>
  <c r="AD35" i="40"/>
  <c r="P57" i="40"/>
  <c r="P35" i="40"/>
  <c r="AL35" i="40"/>
  <c r="X21" i="40"/>
  <c r="AT21" i="40"/>
  <c r="T54" i="40"/>
  <c r="P20" i="40"/>
  <c r="M20" i="40"/>
  <c r="P54" i="40"/>
  <c r="J57" i="40"/>
  <c r="I35" i="40"/>
  <c r="N57" i="40"/>
  <c r="H20" i="40"/>
  <c r="O35" i="40"/>
  <c r="G20" i="40"/>
  <c r="Q35" i="40"/>
  <c r="D51" i="40"/>
  <c r="W20" i="40"/>
  <c r="Q16" i="40"/>
  <c r="Q20" i="40"/>
  <c r="W51" i="40"/>
  <c r="I20" i="40"/>
  <c r="AD32" i="40"/>
  <c r="J53" i="40"/>
  <c r="O20" i="40"/>
  <c r="K35" i="40"/>
  <c r="M16" i="40"/>
  <c r="L53" i="40"/>
  <c r="L20" i="40"/>
  <c r="X35" i="40"/>
  <c r="O55" i="40"/>
  <c r="W16" i="40"/>
  <c r="S50" i="40"/>
  <c r="J20" i="40"/>
  <c r="D21" i="40"/>
  <c r="R13" i="40"/>
  <c r="V13" i="40"/>
  <c r="V57" i="40"/>
  <c r="Q13" i="40"/>
  <c r="F13" i="40"/>
  <c r="L57" i="40"/>
  <c r="H13" i="40"/>
  <c r="X13" i="40"/>
  <c r="E32" i="40"/>
  <c r="W19" i="40"/>
  <c r="AA32" i="40"/>
  <c r="E57" i="40"/>
  <c r="J13" i="40"/>
  <c r="U52" i="40"/>
  <c r="P53" i="40"/>
  <c r="J58" i="40"/>
  <c r="BN57" i="40"/>
  <c r="BL57" i="40"/>
  <c r="BJ57" i="40"/>
  <c r="BE57" i="40"/>
  <c r="AW57" i="40"/>
  <c r="BH57" i="40"/>
  <c r="BM57" i="40"/>
  <c r="AY57" i="40"/>
  <c r="BG57" i="40"/>
  <c r="AZ52" i="40"/>
  <c r="BF57" i="40"/>
  <c r="BD57" i="40"/>
  <c r="BB57" i="40"/>
  <c r="AV57" i="40"/>
  <c r="BC57" i="40"/>
  <c r="AQ52" i="40"/>
  <c r="AW58" i="40"/>
  <c r="AR55" i="40"/>
  <c r="S54" i="40"/>
  <c r="AO54" i="40"/>
  <c r="AB55" i="40"/>
  <c r="AF59" i="40"/>
  <c r="BF55" i="40"/>
  <c r="AX58" i="40"/>
  <c r="BH50" i="40"/>
  <c r="AG52" i="40"/>
  <c r="BH53" i="40"/>
  <c r="BJ56" i="40"/>
  <c r="U51" i="40"/>
  <c r="BC58" i="40"/>
  <c r="AA59" i="40"/>
  <c r="BP52" i="40"/>
  <c r="AN52" i="40"/>
  <c r="AW56" i="40"/>
  <c r="P51" i="40"/>
  <c r="BH51" i="40"/>
  <c r="BI58" i="40"/>
  <c r="G54" i="40"/>
  <c r="AC54" i="40"/>
  <c r="AH57" i="40"/>
  <c r="BO56" i="40"/>
  <c r="BH55" i="40"/>
  <c r="AD55" i="40"/>
  <c r="AC56" i="40"/>
  <c r="AB59" i="40"/>
  <c r="AY59" i="40"/>
  <c r="BI52" i="40"/>
  <c r="AD52" i="40"/>
  <c r="AJ55" i="40"/>
  <c r="R54" i="40"/>
  <c r="AR52" i="40"/>
  <c r="AV53" i="40"/>
  <c r="BM53" i="40"/>
  <c r="BI55" i="40"/>
  <c r="AS55" i="40"/>
  <c r="BO54" i="40"/>
  <c r="AY56" i="40"/>
  <c r="AM59" i="40"/>
  <c r="AM54" i="40"/>
  <c r="U54" i="40"/>
  <c r="AI55" i="40"/>
  <c r="AB56" i="40"/>
  <c r="BB58" i="40"/>
  <c r="D54" i="40"/>
  <c r="Z54" i="40"/>
  <c r="BB56" i="40"/>
  <c r="AP54" i="40"/>
  <c r="BA55" i="40"/>
  <c r="AB53" i="40"/>
  <c r="BG59" i="40"/>
  <c r="BB55" i="40"/>
  <c r="AE55" i="40"/>
  <c r="BP56" i="40"/>
  <c r="AL55" i="40"/>
  <c r="BE55" i="40"/>
  <c r="Z53" i="40"/>
  <c r="AO50" i="40"/>
  <c r="AN59" i="40"/>
  <c r="Y50" i="40"/>
  <c r="BC52" i="40"/>
  <c r="BL53" i="40"/>
  <c r="BG53" i="40"/>
  <c r="AV56" i="40"/>
  <c r="AZ56" i="40"/>
  <c r="AC57" i="40"/>
  <c r="AM50" i="40"/>
  <c r="BA50" i="40"/>
  <c r="BO59" i="40"/>
  <c r="L52" i="40"/>
  <c r="AH52" i="40"/>
  <c r="AF52" i="40"/>
  <c r="E54" i="40"/>
  <c r="AA54" i="40"/>
  <c r="AM55" i="40"/>
  <c r="K57" i="40"/>
  <c r="AS56" i="40"/>
  <c r="BG52" i="40"/>
  <c r="AO52" i="40"/>
  <c r="AV54" i="40"/>
  <c r="BD56" i="40"/>
  <c r="BN55" i="40"/>
  <c r="AC55" i="40"/>
  <c r="AS50" i="40"/>
  <c r="BO50" i="40"/>
  <c r="AD57" i="40"/>
  <c r="AA57" i="40"/>
  <c r="AT57" i="40"/>
  <c r="BO52" i="40"/>
  <c r="AT52" i="40"/>
  <c r="AL52" i="40"/>
  <c r="AG55" i="40"/>
  <c r="AA55" i="40"/>
  <c r="BN52" i="40"/>
  <c r="AM57" i="40"/>
  <c r="AX56" i="40"/>
  <c r="AW55" i="40"/>
  <c r="Y55" i="40"/>
  <c r="AK55" i="40"/>
  <c r="AR59" i="40"/>
  <c r="BJ59" i="40"/>
  <c r="BN53" i="40"/>
  <c r="K51" i="40"/>
  <c r="AZ55" i="40"/>
  <c r="AQ59" i="40"/>
  <c r="AS52" i="40"/>
  <c r="BA56" i="40"/>
  <c r="AN55" i="40"/>
  <c r="AD56" i="40"/>
  <c r="M54" i="40"/>
  <c r="AV52" i="40"/>
  <c r="AR57" i="40"/>
  <c r="AY53" i="40"/>
  <c r="BH56" i="40"/>
  <c r="AK54" i="40"/>
  <c r="Q54" i="40"/>
  <c r="BH59" i="40"/>
  <c r="AY52" i="40"/>
  <c r="G52" i="40"/>
  <c r="V51" i="40"/>
  <c r="BI59" i="40"/>
  <c r="AE54" i="40"/>
  <c r="BN56" i="40"/>
  <c r="Q57" i="40"/>
  <c r="AV55" i="40"/>
  <c r="AQ55" i="40"/>
  <c r="AT59" i="40"/>
  <c r="BA54" i="40"/>
  <c r="AJ57" i="40"/>
  <c r="BG56" i="40"/>
  <c r="BE56" i="40"/>
  <c r="N52" i="40"/>
  <c r="AQ54" i="40"/>
  <c r="Z55" i="40"/>
  <c r="H56" i="40"/>
  <c r="BJ50" i="40"/>
  <c r="E53" i="40"/>
  <c r="BN50" i="40"/>
  <c r="AE56" i="40"/>
  <c r="BF59" i="40"/>
  <c r="AU53" i="40"/>
  <c r="BE53" i="40"/>
  <c r="BB53" i="40"/>
  <c r="AR56" i="40"/>
  <c r="BJ53" i="40"/>
  <c r="AF50" i="40"/>
  <c r="X53" i="40"/>
  <c r="AA56" i="40"/>
  <c r="I53" i="40"/>
  <c r="AI53" i="40"/>
  <c r="K53" i="40"/>
  <c r="M53" i="40"/>
  <c r="BB59" i="40"/>
  <c r="AN53" i="40"/>
  <c r="S53" i="40"/>
  <c r="Z59" i="40"/>
  <c r="V53" i="40"/>
  <c r="AG50" i="40"/>
  <c r="F53" i="40"/>
  <c r="AL58" i="40"/>
  <c r="BF56" i="40"/>
  <c r="I52" i="40"/>
  <c r="AW50" i="40"/>
  <c r="BP50" i="40"/>
  <c r="BO51" i="40"/>
  <c r="AU59" i="40"/>
  <c r="Z58" i="40"/>
  <c r="AK58" i="40"/>
  <c r="Z52" i="40"/>
  <c r="D52" i="40"/>
  <c r="AP58" i="40"/>
  <c r="AP55" i="40"/>
  <c r="AG58" i="40"/>
  <c r="V50" i="40"/>
  <c r="J54" i="40"/>
  <c r="AC58" i="40"/>
  <c r="AF55" i="40"/>
  <c r="AU52" i="40"/>
  <c r="Y57" i="40"/>
  <c r="BI56" i="40"/>
  <c r="AM58" i="40"/>
  <c r="AD58" i="40"/>
  <c r="K54" i="40"/>
  <c r="R58" i="40"/>
  <c r="AN58" i="40"/>
  <c r="X58" i="40"/>
  <c r="AT58" i="40"/>
  <c r="AK59" i="40"/>
  <c r="AV58" i="40"/>
  <c r="BA53" i="40"/>
  <c r="S59" i="40"/>
  <c r="AS58" i="40"/>
  <c r="U55" i="40"/>
  <c r="Y59" i="40"/>
  <c r="AA58" i="40"/>
  <c r="BL52" i="40"/>
  <c r="AE58" i="40"/>
  <c r="AP59" i="40"/>
  <c r="AU55" i="40"/>
  <c r="Y58" i="40"/>
  <c r="BD59" i="40"/>
  <c r="T57" i="40"/>
  <c r="AG59" i="40"/>
  <c r="AC59" i="40"/>
  <c r="AL59" i="40"/>
  <c r="AE59" i="40"/>
  <c r="H52" i="40"/>
  <c r="V54" i="40"/>
  <c r="X54" i="40"/>
  <c r="L55" i="40"/>
  <c r="M52" i="40"/>
  <c r="AW59" i="40"/>
  <c r="E59" i="40"/>
  <c r="T56" i="40"/>
  <c r="F52" i="40"/>
  <c r="AU50" i="40"/>
  <c r="BK49" i="40"/>
  <c r="BN49" i="40"/>
  <c r="AZ49" i="40"/>
  <c r="BO49" i="40"/>
  <c r="BA49" i="40"/>
  <c r="BL49" i="40"/>
  <c r="E15" i="41"/>
  <c r="BH45" i="40"/>
  <c r="BN43" i="40"/>
  <c r="AV43" i="40"/>
  <c r="BO47" i="40"/>
  <c r="BG47" i="40"/>
  <c r="BL45" i="40"/>
  <c r="BG41" i="40"/>
  <c r="R21" i="55"/>
  <c r="BM44" i="40"/>
  <c r="Y44" i="40"/>
  <c r="Y41" i="40"/>
  <c r="BG45" i="40"/>
  <c r="AL43" i="40"/>
  <c r="BB47" i="40"/>
  <c r="AC46" i="40"/>
  <c r="AI46" i="40"/>
  <c r="BG44" i="40"/>
  <c r="BN44" i="40"/>
  <c r="AM46" i="40"/>
  <c r="AM42" i="40"/>
  <c r="BL44" i="40"/>
  <c r="AZ46" i="40"/>
  <c r="BI43" i="40"/>
  <c r="BG40" i="40"/>
  <c r="BM40" i="40"/>
  <c r="AQ46" i="40"/>
  <c r="BD43" i="40"/>
  <c r="AE44" i="40"/>
  <c r="BG46" i="40"/>
  <c r="BH44" i="40"/>
  <c r="BK43" i="40"/>
  <c r="BK47" i="40"/>
  <c r="BJ46" i="40"/>
  <c r="BD46" i="40"/>
  <c r="BE47" i="40"/>
  <c r="BJ44" i="40"/>
  <c r="AH42" i="40"/>
  <c r="BF45" i="40"/>
  <c r="AG41" i="40"/>
  <c r="BP46" i="40"/>
  <c r="P20" i="56"/>
  <c r="AQ44" i="40"/>
  <c r="AW43" i="40"/>
  <c r="AP44" i="40"/>
  <c r="AY47" i="40"/>
  <c r="AZ47" i="40"/>
  <c r="AV44" i="40"/>
  <c r="BC46" i="40"/>
  <c r="AB43" i="40"/>
  <c r="AO42" i="40"/>
  <c r="AH44" i="40"/>
  <c r="AA42" i="40"/>
  <c r="BC44" i="40"/>
  <c r="AX46" i="40"/>
  <c r="BB45" i="40"/>
  <c r="BF41" i="40"/>
  <c r="BK40" i="40"/>
  <c r="AW44" i="40"/>
  <c r="BC47" i="40"/>
  <c r="Y46" i="40"/>
  <c r="AM47" i="40"/>
  <c r="BJ43" i="40"/>
  <c r="AE47" i="40"/>
  <c r="AX45" i="40"/>
  <c r="AK42" i="40"/>
  <c r="AX44" i="40"/>
  <c r="BF44" i="40"/>
  <c r="BI47" i="40"/>
  <c r="Z47" i="40"/>
  <c r="Z41" i="40"/>
  <c r="BA47" i="40"/>
  <c r="Z44" i="40"/>
  <c r="BM43" i="40"/>
  <c r="AF41" i="40"/>
  <c r="P16" i="56"/>
  <c r="AL44" i="40"/>
  <c r="AA44" i="40"/>
  <c r="AS43" i="40"/>
  <c r="BI41" i="40"/>
  <c r="BB46" i="40"/>
  <c r="AG44" i="40"/>
  <c r="G26" i="56"/>
  <c r="P22" i="55"/>
  <c r="AM44" i="40"/>
  <c r="BG42" i="40"/>
  <c r="R18" i="56"/>
  <c r="G22" i="54"/>
  <c r="AC44" i="40"/>
  <c r="AF44" i="40"/>
  <c r="AD44" i="40"/>
  <c r="T42" i="40"/>
  <c r="AI44" i="40"/>
  <c r="AB44" i="40"/>
  <c r="AN44" i="40"/>
  <c r="AR44" i="40"/>
  <c r="BE44" i="40"/>
  <c r="Q6" i="54"/>
  <c r="AK44" i="40"/>
  <c r="AU46" i="40"/>
  <c r="Q22" i="54"/>
  <c r="AT44" i="40"/>
  <c r="BD44" i="40"/>
  <c r="Q42" i="40"/>
  <c r="S42" i="40"/>
  <c r="O42" i="40"/>
  <c r="W42" i="40"/>
  <c r="J42" i="40"/>
  <c r="J41" i="40"/>
  <c r="R41" i="40"/>
  <c r="D41" i="40"/>
  <c r="M42" i="40"/>
  <c r="AW37" i="40"/>
  <c r="AZ37" i="40"/>
  <c r="AA37" i="40"/>
  <c r="BB37" i="40"/>
  <c r="BL37" i="40"/>
  <c r="AX37" i="40"/>
  <c r="AY37" i="40"/>
  <c r="P29" i="55"/>
  <c r="R9" i="55"/>
  <c r="BF30" i="40"/>
  <c r="J15" i="40"/>
  <c r="BH28" i="40"/>
  <c r="BE28" i="40"/>
  <c r="N35" i="40"/>
  <c r="BG25" i="40"/>
  <c r="BA31" i="40"/>
  <c r="O32" i="40"/>
  <c r="J35" i="40"/>
  <c r="N32" i="40"/>
  <c r="X23" i="40"/>
  <c r="U20" i="40"/>
  <c r="E20" i="40"/>
  <c r="BL31" i="40"/>
  <c r="BH34" i="40"/>
  <c r="H19" i="40"/>
  <c r="BF28" i="40"/>
  <c r="AN30" i="40"/>
  <c r="S15" i="40"/>
  <c r="AY17" i="40"/>
  <c r="BO28" i="40"/>
  <c r="BP30" i="40"/>
  <c r="BC28" i="40"/>
  <c r="BJ34" i="40"/>
  <c r="H32" i="40"/>
  <c r="U15" i="40"/>
  <c r="BG31" i="40"/>
  <c r="BK28" i="40"/>
  <c r="K27" i="40"/>
  <c r="BH18" i="40"/>
  <c r="R26" i="56"/>
  <c r="BM31" i="40"/>
  <c r="BJ31" i="40"/>
  <c r="D16" i="40"/>
  <c r="J16" i="40"/>
  <c r="F19" i="40"/>
  <c r="M23" i="40"/>
  <c r="BI31" i="40"/>
  <c r="AW28" i="40"/>
  <c r="BP28" i="40"/>
  <c r="AK17" i="40"/>
  <c r="AF30" i="40"/>
  <c r="BD14" i="40"/>
  <c r="BK14" i="40"/>
  <c r="O27" i="40"/>
  <c r="M26" i="40"/>
  <c r="AY18" i="40"/>
  <c r="AG18" i="40"/>
  <c r="AW14" i="40"/>
  <c r="AD30" i="40"/>
  <c r="AP30" i="40"/>
  <c r="U27" i="40"/>
  <c r="V26" i="40"/>
  <c r="AG14" i="40"/>
  <c r="Q29" i="40"/>
  <c r="BB29" i="40"/>
  <c r="AZ14" i="40"/>
  <c r="BN14" i="40"/>
  <c r="AN18" i="40"/>
  <c r="AY14" i="40"/>
  <c r="BN30" i="40"/>
  <c r="L27" i="40"/>
  <c r="N18" i="40"/>
  <c r="AJ18" i="40"/>
  <c r="Z14" i="40"/>
  <c r="F18" i="40"/>
  <c r="AK29" i="40"/>
  <c r="AD14" i="40"/>
  <c r="AR14" i="40"/>
  <c r="I27" i="40"/>
  <c r="V27" i="40"/>
  <c r="W26" i="40"/>
  <c r="AT18" i="40"/>
  <c r="AF14" i="40"/>
  <c r="AS14" i="40"/>
  <c r="AX34" i="40"/>
  <c r="AQ14" i="40"/>
  <c r="F27" i="40"/>
  <c r="P27" i="40"/>
  <c r="H29" i="40"/>
  <c r="BL26" i="40"/>
  <c r="AI14" i="40"/>
  <c r="AV30" i="40"/>
  <c r="M27" i="40"/>
  <c r="AN14" i="40"/>
  <c r="BC14" i="40"/>
  <c r="AW30" i="40"/>
  <c r="G29" i="40"/>
  <c r="AB14" i="40"/>
  <c r="BF14" i="40"/>
  <c r="S27" i="40"/>
  <c r="AO27" i="40"/>
  <c r="X27" i="40"/>
  <c r="BH30" i="40"/>
  <c r="AE18" i="40"/>
  <c r="K33" i="40"/>
  <c r="J27" i="40"/>
  <c r="AA18" i="40"/>
  <c r="U29" i="40"/>
  <c r="AK14" i="40"/>
  <c r="U30" i="40"/>
  <c r="D27" i="40"/>
  <c r="R26" i="40"/>
  <c r="BH14" i="40"/>
  <c r="K30" i="40"/>
  <c r="BD30" i="40"/>
  <c r="L18" i="40"/>
  <c r="BI34" i="40"/>
  <c r="K29" i="40"/>
  <c r="BP14" i="40"/>
  <c r="G27" i="40"/>
  <c r="D18" i="40"/>
  <c r="Q27" i="40"/>
  <c r="AO18" i="40"/>
  <c r="O18" i="40"/>
  <c r="P29" i="40"/>
  <c r="AY30" i="40"/>
  <c r="O26" i="40"/>
  <c r="H18" i="40"/>
  <c r="R33" i="40"/>
  <c r="P34" i="40"/>
  <c r="J29" i="40"/>
  <c r="AM31" i="40"/>
  <c r="BF24" i="40"/>
  <c r="R21" i="40"/>
  <c r="AY24" i="40"/>
  <c r="AX24" i="40"/>
  <c r="BO24" i="40"/>
  <c r="BB24" i="40"/>
  <c r="AE24" i="40"/>
  <c r="U36" i="40"/>
  <c r="O36" i="40"/>
  <c r="AF24" i="40"/>
  <c r="V36" i="40"/>
  <c r="K36" i="40"/>
  <c r="S36" i="40"/>
  <c r="AR36" i="40"/>
  <c r="F36" i="40"/>
  <c r="D36" i="40"/>
  <c r="C32" i="40"/>
  <c r="N36" i="40"/>
  <c r="G36" i="40"/>
  <c r="AX36" i="40"/>
  <c r="L15" i="40"/>
  <c r="I36" i="40"/>
  <c r="T36" i="40"/>
  <c r="W36" i="40"/>
  <c r="P19" i="55"/>
  <c r="AY28" i="40"/>
  <c r="Y31" i="40"/>
  <c r="BL36" i="40"/>
  <c r="BJ33" i="40"/>
  <c r="BN34" i="40"/>
  <c r="BA35" i="40"/>
  <c r="BN26" i="40"/>
  <c r="AX19" i="40"/>
  <c r="BL24" i="40"/>
  <c r="AU28" i="40"/>
  <c r="BO18" i="40"/>
  <c r="BA25" i="40"/>
  <c r="BI23" i="40"/>
  <c r="BC32" i="40"/>
  <c r="AX26" i="40"/>
  <c r="BL30" i="40"/>
  <c r="AV18" i="40"/>
  <c r="AW27" i="40"/>
  <c r="BP22" i="40"/>
  <c r="AU34" i="40"/>
  <c r="AV29" i="40"/>
  <c r="AW17" i="40"/>
  <c r="BM13" i="40"/>
  <c r="BF31" i="40"/>
  <c r="BB30" i="40"/>
  <c r="AX17" i="40"/>
  <c r="BA29" i="40"/>
  <c r="BN20" i="40"/>
  <c r="BG14" i="40"/>
  <c r="C22" i="40"/>
  <c r="AN24" i="40"/>
  <c r="AK28" i="40"/>
  <c r="K22" i="40"/>
  <c r="U22" i="40"/>
  <c r="F22" i="40"/>
  <c r="M22" i="40"/>
  <c r="V24" i="40"/>
  <c r="Q28" i="40"/>
  <c r="AA28" i="40"/>
  <c r="X22" i="40"/>
  <c r="BJ15" i="40"/>
  <c r="G22" i="40"/>
  <c r="W17" i="40"/>
  <c r="AU32" i="40"/>
  <c r="Z28" i="40"/>
  <c r="H31" i="40"/>
  <c r="I22" i="40"/>
  <c r="V17" i="40"/>
  <c r="R22" i="40"/>
  <c r="P22" i="40"/>
  <c r="AA24" i="40"/>
  <c r="M24" i="40"/>
  <c r="AI24" i="40"/>
  <c r="AO24" i="40"/>
  <c r="D14" i="40"/>
  <c r="AF28" i="40"/>
  <c r="I25" i="40"/>
  <c r="BJ14" i="40"/>
  <c r="E22" i="40"/>
  <c r="E14" i="40"/>
  <c r="X24" i="40"/>
  <c r="J14" i="40"/>
  <c r="S22" i="40"/>
  <c r="Q22" i="40"/>
  <c r="I14" i="40"/>
  <c r="H22" i="40"/>
  <c r="K17" i="40"/>
  <c r="E25" i="40"/>
  <c r="F14" i="40"/>
  <c r="AL28" i="40"/>
  <c r="N28" i="40"/>
  <c r="N22" i="40"/>
  <c r="H24" i="40"/>
  <c r="T17" i="40"/>
  <c r="G25" i="40"/>
  <c r="G29" i="56"/>
  <c r="R33" i="55"/>
  <c r="O29" i="54"/>
  <c r="P29" i="56"/>
  <c r="P33" i="55"/>
  <c r="P30" i="55"/>
  <c r="E19" i="54"/>
  <c r="R4" i="56"/>
  <c r="AZ12" i="40"/>
  <c r="O16" i="54"/>
  <c r="AY12" i="40"/>
  <c r="G12" i="54"/>
  <c r="BM12" i="40"/>
  <c r="BK12" i="40"/>
  <c r="BL12" i="40"/>
  <c r="AX12" i="40"/>
  <c r="BD12" i="40"/>
  <c r="BO12" i="40"/>
  <c r="R22" i="56"/>
  <c r="P28" i="55"/>
  <c r="E12" i="54"/>
  <c r="R30" i="56"/>
  <c r="BC4" i="40"/>
  <c r="AZ4" i="40"/>
  <c r="BO11" i="40"/>
  <c r="BJ10" i="40"/>
  <c r="BA7" i="40"/>
  <c r="Z6" i="40"/>
  <c r="BO5" i="40"/>
  <c r="BJ8" i="40"/>
  <c r="Z4" i="40"/>
  <c r="AZ5" i="40"/>
  <c r="BJ5" i="40"/>
  <c r="BG8" i="40"/>
  <c r="AB5" i="40"/>
  <c r="AY7" i="40"/>
  <c r="AE7" i="40"/>
  <c r="AS7" i="40"/>
  <c r="S6" i="40"/>
  <c r="AO6" i="40"/>
  <c r="AQ6" i="40"/>
  <c r="AY8" i="40"/>
  <c r="G18" i="56"/>
  <c r="BP7" i="40"/>
  <c r="BN4" i="40"/>
  <c r="AQ4" i="40"/>
  <c r="AU8" i="40"/>
  <c r="BD9" i="40"/>
  <c r="AI6" i="40"/>
  <c r="AL6" i="40"/>
  <c r="BB9" i="40"/>
  <c r="AD6" i="40"/>
  <c r="AT6" i="40"/>
  <c r="R30" i="55"/>
  <c r="AV6" i="40"/>
  <c r="BC6" i="40"/>
  <c r="AA4" i="40"/>
  <c r="AS6" i="40"/>
  <c r="G6" i="40"/>
  <c r="AC6" i="40"/>
  <c r="G17" i="56"/>
  <c r="AF4" i="40"/>
  <c r="BG9" i="40"/>
  <c r="AK6" i="40"/>
  <c r="AG6" i="40"/>
  <c r="AR6" i="40"/>
  <c r="AX10" i="40"/>
  <c r="BH6" i="40"/>
  <c r="BA11" i="40"/>
  <c r="BL10" i="40"/>
  <c r="BO9" i="40"/>
  <c r="BF6" i="40"/>
  <c r="AX6" i="40"/>
  <c r="BD10" i="40"/>
  <c r="AF7" i="40"/>
  <c r="BG6" i="40"/>
  <c r="AN6" i="40"/>
  <c r="BM6" i="40"/>
  <c r="BO6" i="40"/>
  <c r="AF6" i="40"/>
  <c r="BE6" i="40"/>
  <c r="Y6" i="40"/>
  <c r="AH4" i="40"/>
  <c r="R6" i="56"/>
  <c r="BI6" i="40"/>
  <c r="AM6" i="40"/>
  <c r="G29" i="54"/>
  <c r="AE6" i="40"/>
  <c r="AJ4" i="40"/>
  <c r="AX7" i="40"/>
  <c r="AH6" i="40"/>
  <c r="AA6" i="40"/>
  <c r="AW6" i="40"/>
  <c r="AR4" i="40"/>
  <c r="BD6" i="40"/>
  <c r="BJ6" i="40"/>
  <c r="BF9" i="40"/>
  <c r="BB6" i="40"/>
  <c r="BK10" i="40"/>
  <c r="T6" i="40"/>
  <c r="AP6" i="40"/>
  <c r="BJ9" i="40"/>
  <c r="AJ7" i="40"/>
  <c r="BF10" i="40"/>
  <c r="AY9" i="40"/>
  <c r="AO5" i="40"/>
  <c r="AR5" i="40"/>
  <c r="AZ7" i="40"/>
  <c r="BA6" i="40"/>
  <c r="BP6" i="40"/>
  <c r="BN6" i="40"/>
  <c r="BH9" i="40"/>
  <c r="P8" i="55"/>
  <c r="Y4" i="40"/>
  <c r="N6" i="40"/>
  <c r="AJ6" i="40"/>
  <c r="BI4" i="40"/>
  <c r="BM4" i="40"/>
  <c r="AV4" i="40"/>
  <c r="BB4" i="40"/>
  <c r="BP4" i="40"/>
  <c r="BK4" i="40"/>
  <c r="AN8" i="40"/>
  <c r="BO4" i="40"/>
  <c r="Q4" i="54"/>
  <c r="P4" i="55"/>
  <c r="O12" i="54"/>
  <c r="BK5" i="40"/>
  <c r="BA5" i="40"/>
  <c r="Y5" i="40"/>
  <c r="E20" i="55"/>
  <c r="G16" i="55"/>
  <c r="G25" i="55"/>
  <c r="R20" i="56"/>
  <c r="R12" i="55"/>
  <c r="BE5" i="40"/>
  <c r="G21" i="55"/>
  <c r="P8" i="56"/>
  <c r="P21" i="56"/>
  <c r="E22" i="54"/>
  <c r="O20" i="54"/>
  <c r="R19" i="56"/>
  <c r="Q8" i="54"/>
  <c r="R32" i="55"/>
  <c r="AQ5" i="40"/>
  <c r="E12" i="55"/>
  <c r="G17" i="54"/>
  <c r="P9" i="55"/>
  <c r="BG5" i="40"/>
  <c r="P12" i="55"/>
  <c r="R22" i="55"/>
  <c r="BD5" i="40"/>
  <c r="E28" i="55"/>
  <c r="G16" i="54"/>
  <c r="G5" i="56"/>
  <c r="P27" i="55"/>
  <c r="P20" i="55"/>
  <c r="O19" i="54"/>
  <c r="R12" i="56"/>
  <c r="P17" i="55"/>
  <c r="R29" i="55"/>
  <c r="G22" i="56"/>
  <c r="E19" i="56"/>
  <c r="Q9" i="54"/>
  <c r="E22" i="56"/>
  <c r="G25" i="56"/>
  <c r="P21" i="55"/>
  <c r="O6" i="54"/>
  <c r="AV5" i="40"/>
  <c r="R5" i="56"/>
  <c r="E6" i="55"/>
  <c r="R28" i="55"/>
  <c r="G12" i="56"/>
  <c r="G30" i="55"/>
  <c r="G8" i="54"/>
  <c r="P25" i="56"/>
  <c r="G9" i="56"/>
  <c r="E20" i="56"/>
  <c r="BM5" i="40"/>
  <c r="G12" i="55"/>
  <c r="E22" i="55"/>
  <c r="P25" i="55"/>
  <c r="BI5" i="40"/>
  <c r="BN5" i="40"/>
  <c r="AW5" i="40"/>
  <c r="BF5" i="40"/>
  <c r="E12" i="56"/>
  <c r="Q12" i="54"/>
  <c r="P17" i="56"/>
  <c r="R6" i="55"/>
  <c r="BH5" i="40"/>
  <c r="G20" i="55"/>
  <c r="AD5" i="40"/>
  <c r="G8" i="56"/>
  <c r="G24" i="55"/>
  <c r="AK5" i="40"/>
  <c r="R20" i="55"/>
  <c r="AU5" i="40"/>
  <c r="P12" i="56"/>
  <c r="G21" i="54"/>
  <c r="AX4" i="40"/>
  <c r="G32" i="55"/>
  <c r="G6" i="56"/>
  <c r="AU4" i="40"/>
  <c r="G8" i="55"/>
  <c r="R8" i="56"/>
  <c r="BC5" i="40"/>
  <c r="P19" i="56"/>
  <c r="G29" i="55"/>
  <c r="Q16" i="54"/>
  <c r="BP5" i="40"/>
  <c r="G20" i="56"/>
  <c r="AS5" i="40"/>
  <c r="E20" i="54"/>
  <c r="BB5" i="40"/>
  <c r="AX5" i="40"/>
  <c r="R19" i="55"/>
  <c r="Q19" i="54"/>
  <c r="G9" i="55"/>
  <c r="P16" i="55"/>
  <c r="R18" i="55"/>
  <c r="E16" i="56"/>
  <c r="G33" i="56"/>
  <c r="G4" i="56"/>
  <c r="G27" i="54"/>
  <c r="Q27" i="54"/>
  <c r="G22" i="55"/>
  <c r="P26" i="55"/>
  <c r="G4" i="54"/>
  <c r="G26" i="54"/>
  <c r="G18" i="54"/>
  <c r="R26" i="55"/>
  <c r="R28" i="56"/>
  <c r="O4" i="54"/>
  <c r="R4" i="55"/>
  <c r="Q18" i="54"/>
  <c r="G6" i="54"/>
  <c r="G6" i="55"/>
  <c r="G16" i="56"/>
  <c r="R27" i="56"/>
  <c r="G27" i="56"/>
  <c r="G24" i="54"/>
  <c r="G4" i="55"/>
  <c r="P18" i="55"/>
  <c r="G18" i="55"/>
  <c r="G26" i="55"/>
  <c r="G5" i="55"/>
  <c r="T52" i="40"/>
  <c r="C51" i="40"/>
  <c r="W54" i="40"/>
  <c r="D56" i="40"/>
  <c r="J51" i="40"/>
  <c r="P56" i="40"/>
  <c r="J50" i="40"/>
  <c r="F56" i="40"/>
  <c r="M51" i="40"/>
  <c r="I51" i="40"/>
  <c r="X56" i="40"/>
  <c r="G51" i="40"/>
  <c r="V56" i="40"/>
  <c r="G56" i="40"/>
  <c r="E58" i="40"/>
  <c r="T51" i="40"/>
  <c r="K50" i="40"/>
  <c r="O50" i="40"/>
  <c r="M50" i="40"/>
  <c r="T50" i="40"/>
  <c r="O56" i="40"/>
  <c r="J56" i="40"/>
  <c r="N56" i="40"/>
  <c r="V58" i="40"/>
  <c r="R51" i="40"/>
  <c r="E52" i="40"/>
  <c r="E50" i="40"/>
  <c r="L50" i="40"/>
  <c r="Q52" i="40"/>
  <c r="G50" i="40"/>
  <c r="H50" i="40"/>
  <c r="L51" i="40"/>
  <c r="S51" i="40"/>
  <c r="N51" i="40"/>
  <c r="D50" i="40"/>
  <c r="Q51" i="40"/>
  <c r="F50" i="40"/>
  <c r="AO49" i="40"/>
  <c r="AT48" i="40"/>
  <c r="AJ49" i="40"/>
  <c r="AB49" i="40"/>
  <c r="AR48" i="40"/>
  <c r="Y49" i="40"/>
  <c r="AC49" i="40"/>
  <c r="AN48" i="40"/>
  <c r="AR49" i="40"/>
  <c r="BF49" i="40"/>
  <c r="AK49" i="40"/>
  <c r="AS48" i="40"/>
  <c r="AE48" i="40"/>
  <c r="BJ49" i="40"/>
  <c r="AN49" i="40"/>
  <c r="AQ49" i="40"/>
  <c r="AF49" i="40"/>
  <c r="AQ48" i="40"/>
  <c r="AX49" i="40"/>
  <c r="BC49" i="40"/>
  <c r="AP48" i="40"/>
  <c r="Z48" i="40"/>
  <c r="AH48" i="40"/>
  <c r="AI48" i="40"/>
  <c r="AH49" i="40"/>
  <c r="AS49" i="40"/>
  <c r="AM49" i="40"/>
  <c r="AO48" i="40"/>
  <c r="AA48" i="40"/>
  <c r="AL48" i="40"/>
  <c r="AA49" i="40"/>
  <c r="AD49" i="40"/>
  <c r="AM48" i="40"/>
  <c r="AP49" i="40"/>
  <c r="AD48" i="40"/>
  <c r="AK48" i="40"/>
  <c r="BB49" i="40"/>
  <c r="AG48" i="40"/>
  <c r="BM49" i="40"/>
  <c r="AB48" i="40"/>
  <c r="Y48" i="40"/>
  <c r="BP49" i="40"/>
  <c r="BH49" i="40"/>
  <c r="AT49" i="40"/>
  <c r="AI49" i="40"/>
  <c r="AJ48" i="40"/>
  <c r="G48" i="40"/>
  <c r="AC48" i="40"/>
  <c r="AL49" i="40"/>
  <c r="D49" i="40"/>
  <c r="Z49" i="40"/>
  <c r="AF48" i="40"/>
  <c r="AE49" i="40"/>
  <c r="G43" i="40"/>
  <c r="AC43" i="40"/>
  <c r="AK43" i="40"/>
  <c r="P41" i="40"/>
  <c r="AC40" i="40"/>
  <c r="AK47" i="40"/>
  <c r="L43" i="40"/>
  <c r="AH43" i="40"/>
  <c r="AJ43" i="40"/>
  <c r="X43" i="40"/>
  <c r="AT43" i="40"/>
  <c r="O43" i="40"/>
  <c r="E43" i="40"/>
  <c r="AA43" i="40"/>
  <c r="K42" i="40"/>
  <c r="AT40" i="40"/>
  <c r="C41" i="40"/>
  <c r="AL40" i="40"/>
  <c r="T44" i="40"/>
  <c r="AN40" i="40"/>
  <c r="AW40" i="40"/>
  <c r="G41" i="40"/>
  <c r="F44" i="40"/>
  <c r="AG45" i="40"/>
  <c r="AQ45" i="40"/>
  <c r="BC40" i="40"/>
  <c r="AM40" i="40"/>
  <c r="Q45" i="40"/>
  <c r="AM45" i="40"/>
  <c r="AY40" i="40"/>
  <c r="BE40" i="40"/>
  <c r="BJ40" i="40"/>
  <c r="Q43" i="40"/>
  <c r="AM43" i="40"/>
  <c r="AF47" i="40"/>
  <c r="Y40" i="40"/>
  <c r="X47" i="40"/>
  <c r="J47" i="40"/>
  <c r="N45" i="40"/>
  <c r="AP40" i="40"/>
  <c r="BN40" i="40"/>
  <c r="BD40" i="40"/>
  <c r="AE40" i="40"/>
  <c r="J46" i="40"/>
  <c r="M47" i="40"/>
  <c r="AV40" i="40"/>
  <c r="BB40" i="40"/>
  <c r="P46" i="40"/>
  <c r="H42" i="40"/>
  <c r="AJ45" i="40"/>
  <c r="J43" i="40"/>
  <c r="AI40" i="40"/>
  <c r="AQ40" i="40"/>
  <c r="J45" i="40"/>
  <c r="AF45" i="40"/>
  <c r="K43" i="40"/>
  <c r="AG43" i="40"/>
  <c r="AG40" i="40"/>
  <c r="T43" i="40"/>
  <c r="AP43" i="40"/>
  <c r="V47" i="40"/>
  <c r="AD45" i="40"/>
  <c r="E46" i="40"/>
  <c r="I43" i="40"/>
  <c r="L47" i="40"/>
  <c r="V45" i="40"/>
  <c r="AJ40" i="40"/>
  <c r="R45" i="40"/>
  <c r="AR43" i="40"/>
  <c r="I45" i="40"/>
  <c r="C45" i="40"/>
  <c r="BA40" i="40"/>
  <c r="AK40" i="40"/>
  <c r="AO40" i="40"/>
  <c r="S43" i="40"/>
  <c r="AO43" i="40"/>
  <c r="V41" i="40"/>
  <c r="G42" i="40"/>
  <c r="Z40" i="40"/>
  <c r="AI47" i="40"/>
  <c r="H43" i="40"/>
  <c r="AD43" i="40"/>
  <c r="W45" i="40"/>
  <c r="AR40" i="40"/>
  <c r="AA45" i="40"/>
  <c r="AF40" i="40"/>
  <c r="R44" i="40"/>
  <c r="AO45" i="40"/>
  <c r="AA47" i="40"/>
  <c r="X41" i="40"/>
  <c r="O47" i="40"/>
  <c r="K45" i="40"/>
  <c r="M41" i="40"/>
  <c r="BF40" i="40"/>
  <c r="AD40" i="40"/>
  <c r="F43" i="40"/>
  <c r="W47" i="40"/>
  <c r="E45" i="40"/>
  <c r="O41" i="40"/>
  <c r="M46" i="40"/>
  <c r="AC47" i="40"/>
  <c r="T46" i="40"/>
  <c r="AH40" i="40"/>
  <c r="AA40" i="40"/>
  <c r="AS45" i="40"/>
  <c r="S46" i="40"/>
  <c r="P43" i="40"/>
  <c r="F41" i="40"/>
  <c r="S41" i="40"/>
  <c r="AS40" i="40"/>
  <c r="U47" i="40"/>
  <c r="AG47" i="40"/>
  <c r="N43" i="40"/>
  <c r="O45" i="40"/>
  <c r="G47" i="40"/>
  <c r="I42" i="40"/>
  <c r="AL47" i="40"/>
  <c r="AF43" i="40"/>
  <c r="M43" i="40"/>
  <c r="F47" i="40"/>
  <c r="T47" i="40"/>
  <c r="AP47" i="40"/>
  <c r="V46" i="40"/>
  <c r="M45" i="40"/>
  <c r="W41" i="40"/>
  <c r="R43" i="40"/>
  <c r="Y47" i="40"/>
  <c r="AX40" i="40"/>
  <c r="AT45" i="40"/>
  <c r="AR47" i="40"/>
  <c r="D43" i="40"/>
  <c r="W43" i="40"/>
  <c r="H47" i="40"/>
  <c r="AI43" i="40"/>
  <c r="F45" i="40"/>
  <c r="Y45" i="40"/>
  <c r="AB40" i="40"/>
  <c r="X42" i="40"/>
  <c r="P47" i="40"/>
  <c r="AN47" i="40"/>
  <c r="U43" i="40"/>
  <c r="N47" i="40"/>
  <c r="AB38" i="40"/>
  <c r="H37" i="40"/>
  <c r="AD37" i="40"/>
  <c r="Y38" i="40"/>
  <c r="AE38" i="40"/>
  <c r="AA38" i="40"/>
  <c r="U39" i="40"/>
  <c r="AQ39" i="40"/>
  <c r="AH39" i="40"/>
  <c r="AT38" i="40"/>
  <c r="AG39" i="40"/>
  <c r="AE37" i="40"/>
  <c r="AC38" i="40"/>
  <c r="T37" i="40"/>
  <c r="AP37" i="40"/>
  <c r="R39" i="40"/>
  <c r="AQ38" i="40"/>
  <c r="W39" i="40"/>
  <c r="AN38" i="40"/>
  <c r="AI38" i="40"/>
  <c r="AH38" i="40"/>
  <c r="V39" i="40"/>
  <c r="AK38" i="40"/>
  <c r="AR38" i="40"/>
  <c r="AG38" i="40"/>
  <c r="J39" i="40"/>
  <c r="AF39" i="40"/>
  <c r="AS39" i="40"/>
  <c r="AD38" i="40"/>
  <c r="T38" i="40"/>
  <c r="AP38" i="40"/>
  <c r="O37" i="40"/>
  <c r="AO38" i="40"/>
  <c r="AO39" i="40"/>
  <c r="AM38" i="40"/>
  <c r="G37" i="40"/>
  <c r="AC37" i="40"/>
  <c r="D37" i="40"/>
  <c r="K37" i="40"/>
  <c r="AG37" i="40"/>
  <c r="M39" i="40"/>
  <c r="AI39" i="40"/>
  <c r="L37" i="40"/>
  <c r="W37" i="40"/>
  <c r="V37" i="40"/>
  <c r="AK39" i="40"/>
  <c r="AS38" i="40"/>
  <c r="X37" i="40"/>
  <c r="AT37" i="40"/>
  <c r="U37" i="40"/>
  <c r="AQ37" i="40"/>
  <c r="AT39" i="40"/>
  <c r="K39" i="40"/>
  <c r="T39" i="40"/>
  <c r="AP39" i="40"/>
  <c r="G39" i="40"/>
  <c r="AC39" i="40"/>
  <c r="F39" i="40"/>
  <c r="AB39" i="40"/>
  <c r="AJ37" i="40"/>
  <c r="AJ38" i="40"/>
  <c r="P37" i="40"/>
  <c r="E37" i="40"/>
  <c r="AR37" i="40"/>
  <c r="R37" i="40"/>
  <c r="AJ39" i="40"/>
  <c r="AF38" i="40"/>
  <c r="Z38" i="40"/>
  <c r="J37" i="40"/>
  <c r="AF37" i="40"/>
  <c r="AB37" i="40"/>
  <c r="M37" i="40"/>
  <c r="AI37" i="40"/>
  <c r="AD39" i="40"/>
  <c r="C39" i="40"/>
  <c r="S37" i="40"/>
  <c r="AL39" i="40"/>
  <c r="Q39" i="40"/>
  <c r="AM39" i="40"/>
  <c r="N39" i="40"/>
  <c r="AL38" i="40"/>
  <c r="E39" i="40"/>
  <c r="C20" i="40"/>
  <c r="T27" i="40"/>
  <c r="K34" i="40"/>
  <c r="S34" i="40"/>
  <c r="H25" i="40"/>
  <c r="C21" i="40"/>
  <c r="D35" i="40"/>
  <c r="C18" i="40"/>
  <c r="H34" i="40"/>
  <c r="W27" i="40"/>
  <c r="X26" i="40"/>
  <c r="J32" i="40"/>
  <c r="W34" i="40"/>
  <c r="F34" i="40"/>
  <c r="L36" i="40"/>
  <c r="H26" i="40"/>
  <c r="D34" i="40"/>
  <c r="G32" i="40"/>
  <c r="F32" i="40"/>
  <c r="R27" i="40"/>
  <c r="N30" i="40"/>
  <c r="J36" i="40"/>
  <c r="Q36" i="40"/>
  <c r="N27" i="40"/>
  <c r="R32" i="40"/>
  <c r="K32" i="40"/>
  <c r="M36" i="40"/>
  <c r="F26" i="40"/>
  <c r="L32" i="40"/>
  <c r="O34" i="40"/>
  <c r="V29" i="40"/>
  <c r="X25" i="40"/>
  <c r="X36" i="40"/>
  <c r="G19" i="40"/>
  <c r="S21" i="40"/>
  <c r="G26" i="40"/>
  <c r="T26" i="40"/>
  <c r="F25" i="40"/>
  <c r="N34" i="40"/>
  <c r="U26" i="40"/>
  <c r="M28" i="40"/>
  <c r="Q19" i="40"/>
  <c r="K21" i="40"/>
  <c r="H15" i="40"/>
  <c r="O23" i="40"/>
  <c r="U19" i="40"/>
  <c r="H27" i="40"/>
  <c r="S26" i="40"/>
  <c r="C15" i="40"/>
  <c r="C33" i="40"/>
  <c r="S35" i="40"/>
  <c r="T23" i="40"/>
  <c r="O15" i="40"/>
  <c r="R35" i="40"/>
  <c r="G21" i="40"/>
  <c r="S30" i="40"/>
  <c r="W32" i="40"/>
  <c r="F33" i="40"/>
  <c r="E19" i="40"/>
  <c r="M33" i="40"/>
  <c r="F23" i="40"/>
  <c r="J17" i="40"/>
  <c r="T35" i="40"/>
  <c r="P23" i="40"/>
  <c r="L19" i="40"/>
  <c r="O19" i="40"/>
  <c r="M35" i="40"/>
  <c r="K15" i="40"/>
  <c r="H23" i="40"/>
  <c r="J26" i="40"/>
  <c r="S31" i="40"/>
  <c r="R34" i="40"/>
  <c r="T32" i="40"/>
  <c r="W21" i="40"/>
  <c r="D29" i="40"/>
  <c r="M32" i="40"/>
  <c r="O31" i="40"/>
  <c r="U13" i="40"/>
  <c r="P33" i="40"/>
  <c r="W23" i="40"/>
  <c r="I23" i="40"/>
  <c r="R17" i="40"/>
  <c r="U32" i="40"/>
  <c r="T34" i="40"/>
  <c r="E29" i="40"/>
  <c r="V20" i="40"/>
  <c r="D26" i="40"/>
  <c r="S32" i="40"/>
  <c r="I32" i="40"/>
  <c r="Q23" i="40"/>
  <c r="E36" i="40"/>
  <c r="L24" i="40"/>
  <c r="R15" i="40"/>
  <c r="H36" i="40"/>
  <c r="T21" i="40"/>
  <c r="W22" i="40"/>
  <c r="O21" i="40"/>
  <c r="P26" i="40"/>
  <c r="T20" i="40"/>
  <c r="G15" i="40"/>
  <c r="J22" i="40"/>
  <c r="O24" i="40"/>
  <c r="T33" i="40"/>
  <c r="R23" i="40"/>
  <c r="M15" i="40"/>
  <c r="L29" i="40"/>
  <c r="L33" i="40"/>
  <c r="M17" i="40"/>
  <c r="O13" i="40"/>
  <c r="I19" i="40"/>
  <c r="P21" i="40"/>
  <c r="W15" i="40"/>
  <c r="X19" i="40"/>
  <c r="E15" i="40"/>
  <c r="S13" i="40"/>
  <c r="E33" i="40"/>
  <c r="K13" i="40"/>
  <c r="T15" i="40"/>
  <c r="P13" i="40"/>
  <c r="X33" i="40"/>
  <c r="K23" i="40"/>
  <c r="E13" i="40"/>
  <c r="J19" i="40"/>
  <c r="O33" i="40"/>
  <c r="R36" i="40"/>
  <c r="S33" i="40"/>
  <c r="W33" i="40"/>
  <c r="V21" i="40"/>
  <c r="F17" i="40"/>
  <c r="T13" i="40"/>
  <c r="N17" i="40"/>
  <c r="I13" i="40"/>
  <c r="Q17" i="40"/>
  <c r="I15" i="40"/>
  <c r="V19" i="40"/>
  <c r="J23" i="40"/>
  <c r="L31" i="40"/>
  <c r="X17" i="40"/>
  <c r="P19" i="40"/>
  <c r="J31" i="40"/>
  <c r="V15" i="40"/>
  <c r="N13" i="40"/>
  <c r="R31" i="40"/>
  <c r="W13" i="40"/>
  <c r="G33" i="40"/>
  <c r="V23" i="40"/>
  <c r="F15" i="40"/>
  <c r="M21" i="40"/>
  <c r="F35" i="40"/>
  <c r="G17" i="40"/>
  <c r="S19" i="40"/>
  <c r="S17" i="40"/>
  <c r="M19" i="40"/>
  <c r="L17" i="40"/>
  <c r="I17" i="40"/>
  <c r="N23" i="40"/>
  <c r="S29" i="40"/>
  <c r="BN12" i="40"/>
  <c r="AM12" i="40"/>
  <c r="BJ12" i="40"/>
  <c r="BA12" i="40"/>
  <c r="AK12" i="40"/>
  <c r="AV12" i="40"/>
  <c r="Z12" i="40"/>
  <c r="AG12" i="40"/>
  <c r="AU12" i="40"/>
  <c r="AN12" i="40"/>
  <c r="AJ12" i="40"/>
  <c r="AS12" i="40"/>
  <c r="AD12" i="40"/>
  <c r="E12" i="40"/>
  <c r="AA12" i="40"/>
  <c r="BG12" i="40"/>
  <c r="AP12" i="40"/>
  <c r="AF12" i="40"/>
  <c r="AQ12" i="40"/>
  <c r="AB12" i="40"/>
  <c r="BF12" i="40"/>
  <c r="AI12" i="40"/>
  <c r="AH12" i="40"/>
  <c r="Y12" i="40"/>
  <c r="AE12" i="40"/>
  <c r="AR12" i="40"/>
  <c r="AT12" i="40"/>
  <c r="BC12" i="40"/>
  <c r="AL12" i="40"/>
  <c r="AC12" i="40"/>
  <c r="V12" i="40"/>
  <c r="AE5" i="40"/>
  <c r="AE9" i="40"/>
  <c r="Y8" i="40"/>
  <c r="AJ8" i="40"/>
  <c r="AF11" i="40"/>
  <c r="AL10" i="40"/>
  <c r="AF9" i="40"/>
  <c r="AP8" i="40"/>
  <c r="AW10" i="40"/>
  <c r="AI10" i="40"/>
  <c r="AI5" i="40"/>
  <c r="AH9" i="40"/>
  <c r="P7" i="40"/>
  <c r="Y11" i="40"/>
  <c r="K7" i="40"/>
  <c r="BN10" i="40"/>
  <c r="AK10" i="40"/>
  <c r="AQ9" i="40"/>
  <c r="Y9" i="40"/>
  <c r="AC5" i="40"/>
  <c r="AC10" i="40"/>
  <c r="H7" i="40"/>
  <c r="AH11" i="40"/>
  <c r="BK9" i="40"/>
  <c r="AD8" i="40"/>
  <c r="M11" i="40"/>
  <c r="AI11" i="40"/>
  <c r="F8" i="40"/>
  <c r="AM10" i="40"/>
  <c r="Z10" i="40"/>
  <c r="U10" i="40"/>
  <c r="P4" i="40"/>
  <c r="X11" i="40"/>
  <c r="AT11" i="40"/>
  <c r="AP10" i="40"/>
  <c r="AD10" i="40"/>
  <c r="AG11" i="40"/>
  <c r="AU10" i="40"/>
  <c r="AN9" i="40"/>
  <c r="AH5" i="40"/>
  <c r="Q8" i="40"/>
  <c r="AM5" i="40"/>
  <c r="AS9" i="40"/>
  <c r="AO10" i="40"/>
  <c r="AO9" i="40"/>
  <c r="J8" i="40"/>
  <c r="K5" i="40"/>
  <c r="N11" i="40"/>
  <c r="AJ11" i="40"/>
  <c r="AY10" i="40"/>
  <c r="BB10" i="40"/>
  <c r="BH10" i="40"/>
  <c r="AC9" i="40"/>
  <c r="AD9" i="40"/>
  <c r="AN5" i="40"/>
  <c r="AC8" i="40"/>
  <c r="AN11" i="40"/>
  <c r="J10" i="40"/>
  <c r="AF10" i="40"/>
  <c r="BE10" i="40"/>
  <c r="AC11" i="40"/>
  <c r="AB10" i="40"/>
  <c r="L10" i="40"/>
  <c r="AH10" i="40"/>
  <c r="Z9" i="40"/>
  <c r="G8" i="40"/>
  <c r="AT5" i="40"/>
  <c r="P8" i="40"/>
  <c r="AL8" i="40"/>
  <c r="AB11" i="40"/>
  <c r="P11" i="40"/>
  <c r="AL11" i="40"/>
  <c r="AS10" i="40"/>
  <c r="AA5" i="40"/>
  <c r="AA10" i="40"/>
  <c r="AK9" i="40"/>
  <c r="AA9" i="40"/>
  <c r="AM9" i="40"/>
  <c r="AQ10" i="40"/>
  <c r="U11" i="40"/>
  <c r="AK11" i="40"/>
  <c r="U7" i="40"/>
  <c r="X8" i="40"/>
  <c r="W11" i="40"/>
  <c r="AR11" i="40"/>
  <c r="AN10" i="40"/>
  <c r="AA8" i="40"/>
  <c r="T9" i="40"/>
  <c r="AP9" i="40"/>
  <c r="AO11" i="40"/>
  <c r="AE10" i="40"/>
  <c r="AO8" i="40"/>
  <c r="AG8" i="40"/>
  <c r="D11" i="40"/>
  <c r="AE11" i="40"/>
  <c r="T11" i="40"/>
  <c r="AT10" i="40"/>
  <c r="BC10" i="40"/>
  <c r="AJ10" i="40"/>
  <c r="N9" i="40"/>
  <c r="AJ9" i="40"/>
  <c r="AP11" i="40"/>
  <c r="AL5" i="40"/>
  <c r="Q4" i="40"/>
  <c r="AM8" i="40"/>
  <c r="L7" i="40"/>
  <c r="AK8" i="40"/>
  <c r="F9" i="40"/>
  <c r="AB9" i="40"/>
  <c r="E11" i="40"/>
  <c r="AA11" i="40"/>
  <c r="M8" i="40"/>
  <c r="BP10" i="40"/>
  <c r="AG9" i="40"/>
  <c r="AR9" i="40"/>
  <c r="V8" i="40"/>
  <c r="AD11" i="40"/>
  <c r="V10" i="40"/>
  <c r="AR10" i="40"/>
  <c r="AG10" i="40"/>
  <c r="BA10" i="40"/>
  <c r="AT9" i="40"/>
  <c r="M9" i="40"/>
  <c r="AM11" i="40"/>
  <c r="AP5" i="40"/>
  <c r="Y10" i="40"/>
  <c r="P9" i="40"/>
  <c r="AL9" i="40"/>
  <c r="V9" i="40"/>
  <c r="AJ5" i="40"/>
  <c r="I8" i="40"/>
  <c r="AE8" i="40"/>
  <c r="T16" i="40" l="1"/>
  <c r="I16" i="40"/>
  <c r="H16" i="40"/>
  <c r="P16" i="40"/>
  <c r="L16" i="40"/>
  <c r="I10" i="40"/>
  <c r="S10" i="40"/>
  <c r="D38" i="40"/>
  <c r="D7" i="40"/>
  <c r="D42" i="40"/>
  <c r="W35" i="40"/>
  <c r="C16" i="40"/>
  <c r="O25" i="40"/>
  <c r="M34" i="40"/>
  <c r="V11" i="40"/>
  <c r="X5" i="40"/>
  <c r="J38" i="40"/>
  <c r="R29" i="40"/>
  <c r="Q15" i="40"/>
  <c r="R5" i="40"/>
  <c r="J48" i="40"/>
  <c r="H28" i="40"/>
  <c r="V25" i="40"/>
  <c r="L42" i="40"/>
  <c r="W57" i="40"/>
  <c r="P50" i="40"/>
  <c r="S56" i="40"/>
  <c r="J52" i="40"/>
  <c r="R16" i="40"/>
  <c r="Z39" i="40"/>
  <c r="G4" i="40"/>
  <c r="L46" i="40"/>
  <c r="L35" i="40"/>
  <c r="N21" i="40"/>
  <c r="U45" i="40"/>
  <c r="M58" i="40"/>
  <c r="U35" i="40"/>
  <c r="K10" i="40"/>
  <c r="H9" i="40"/>
  <c r="L49" i="40"/>
  <c r="I7" i="40"/>
  <c r="R25" i="40"/>
  <c r="O22" i="40"/>
  <c r="O30" i="40"/>
  <c r="F29" i="40"/>
  <c r="D25" i="40"/>
  <c r="P30" i="40"/>
  <c r="W18" i="40"/>
  <c r="I34" i="40"/>
  <c r="Q46" i="40"/>
  <c r="F42" i="40"/>
  <c r="R50" i="40"/>
  <c r="J59" i="40"/>
  <c r="Q58" i="40"/>
  <c r="O58" i="40"/>
  <c r="U53" i="40"/>
  <c r="E55" i="40"/>
  <c r="I57" i="40"/>
  <c r="S58" i="40"/>
  <c r="S20" i="40"/>
  <c r="S4" i="40"/>
  <c r="F6" i="40"/>
  <c r="V33" i="40"/>
  <c r="P18" i="40"/>
  <c r="R42" i="40"/>
  <c r="L58" i="40"/>
  <c r="K19" i="40"/>
  <c r="V16" i="40"/>
  <c r="S24" i="40"/>
  <c r="R56" i="40"/>
  <c r="U42" i="40"/>
  <c r="N15" i="40"/>
  <c r="H49" i="40"/>
  <c r="M25" i="40"/>
  <c r="D31" i="40"/>
  <c r="T25" i="40"/>
  <c r="K26" i="40"/>
  <c r="T29" i="40"/>
  <c r="W50" i="40"/>
  <c r="O53" i="40"/>
  <c r="Q32" i="40"/>
  <c r="I11" i="40"/>
  <c r="P38" i="40"/>
  <c r="H39" i="40"/>
  <c r="D28" i="40"/>
  <c r="N25" i="40"/>
  <c r="X29" i="40"/>
  <c r="I29" i="40"/>
  <c r="M29" i="40"/>
  <c r="N42" i="40"/>
  <c r="E41" i="40"/>
  <c r="V59" i="40"/>
  <c r="R59" i="40"/>
  <c r="F20" i="40"/>
  <c r="N16" i="40"/>
  <c r="U4" i="40"/>
  <c r="J28" i="40"/>
  <c r="V34" i="40"/>
  <c r="S45" i="40"/>
  <c r="S44" i="40"/>
  <c r="X52" i="40"/>
  <c r="P58" i="40"/>
  <c r="G13" i="40"/>
  <c r="H33" i="40"/>
  <c r="M30" i="40"/>
  <c r="J33" i="40"/>
  <c r="L34" i="40"/>
  <c r="E42" i="40"/>
  <c r="V42" i="40"/>
  <c r="X46" i="40"/>
  <c r="N55" i="40"/>
  <c r="E34" i="40"/>
  <c r="C35" i="40"/>
  <c r="K4" i="40"/>
  <c r="V31" i="40"/>
  <c r="Q25" i="40"/>
  <c r="X30" i="40"/>
  <c r="Q26" i="40"/>
  <c r="I47" i="40"/>
  <c r="W59" i="40"/>
  <c r="I56" i="40"/>
  <c r="T58" i="40"/>
  <c r="H35" i="40"/>
  <c r="X15" i="40"/>
  <c r="H38" i="40"/>
  <c r="K31" i="40"/>
  <c r="M18" i="40"/>
  <c r="R30" i="40"/>
  <c r="W30" i="40"/>
  <c r="J34" i="40"/>
  <c r="D46" i="40"/>
  <c r="D57" i="40"/>
  <c r="AG63" i="40"/>
  <c r="D75" i="40" s="1"/>
  <c r="F11" i="40"/>
  <c r="R38" i="40"/>
  <c r="Q48" i="40"/>
  <c r="W25" i="40"/>
  <c r="F30" i="40"/>
  <c r="N33" i="40"/>
  <c r="T18" i="40"/>
  <c r="K25" i="40"/>
  <c r="T41" i="40"/>
  <c r="S52" i="40"/>
  <c r="F57" i="40"/>
  <c r="W52" i="40"/>
  <c r="S57" i="40"/>
  <c r="U5" i="40"/>
  <c r="L12" i="40"/>
  <c r="H17" i="40"/>
  <c r="L30" i="40"/>
  <c r="V30" i="40"/>
  <c r="U33" i="40"/>
  <c r="N50" i="40"/>
  <c r="M13" i="40"/>
  <c r="O51" i="40"/>
  <c r="H5" i="40"/>
  <c r="T12" i="40"/>
  <c r="H12" i="40"/>
  <c r="N12" i="40"/>
  <c r="N29" i="40"/>
  <c r="E30" i="40"/>
  <c r="N54" i="40"/>
  <c r="U58" i="40"/>
  <c r="O11" i="40"/>
  <c r="S12" i="40"/>
  <c r="R14" i="40"/>
  <c r="U34" i="40"/>
  <c r="T22" i="40"/>
  <c r="L26" i="40"/>
  <c r="I26" i="40"/>
  <c r="N41" i="40"/>
  <c r="I46" i="40"/>
  <c r="X59" i="40"/>
  <c r="I54" i="40"/>
  <c r="C54" i="40"/>
  <c r="M57" i="40"/>
  <c r="X51" i="40"/>
  <c r="O54" i="40"/>
  <c r="Q5" i="40"/>
  <c r="E5" i="40"/>
  <c r="N5" i="40"/>
  <c r="X39" i="40"/>
  <c r="I39" i="40"/>
  <c r="W4" i="40"/>
  <c r="E24" i="40"/>
  <c r="P25" i="40"/>
  <c r="W24" i="40"/>
  <c r="S18" i="40"/>
  <c r="Q30" i="40"/>
  <c r="J18" i="40"/>
  <c r="E18" i="40"/>
  <c r="I33" i="40"/>
  <c r="G46" i="40"/>
  <c r="Q53" i="40"/>
  <c r="X50" i="40"/>
  <c r="S55" i="40"/>
  <c r="R20" i="40"/>
  <c r="C5" i="40"/>
  <c r="K9" i="40"/>
  <c r="AI63" i="40"/>
  <c r="D77" i="40" s="1"/>
  <c r="O39" i="40"/>
  <c r="S25" i="40"/>
  <c r="P31" i="40"/>
  <c r="Q18" i="40"/>
  <c r="P42" i="40"/>
  <c r="F46" i="40"/>
  <c r="R57" i="40"/>
  <c r="M59" i="40"/>
  <c r="O52" i="40"/>
  <c r="K16" i="40"/>
  <c r="F5" i="40"/>
  <c r="O5" i="40"/>
  <c r="AC63" i="40"/>
  <c r="D71" i="40" s="1"/>
  <c r="W38" i="40"/>
  <c r="U25" i="40"/>
  <c r="F28" i="40"/>
  <c r="V28" i="40"/>
  <c r="E26" i="40"/>
  <c r="H46" i="40"/>
  <c r="D45" i="40"/>
  <c r="W44" i="40"/>
  <c r="I44" i="40"/>
  <c r="O57" i="40"/>
  <c r="U50" i="40"/>
  <c r="L59" i="40"/>
  <c r="W56" i="40"/>
  <c r="H51" i="40"/>
  <c r="C19" i="40"/>
  <c r="J55" i="40"/>
  <c r="V55" i="40"/>
  <c r="P9" i="56"/>
  <c r="H59" i="40"/>
  <c r="O59" i="40"/>
  <c r="T55" i="40"/>
  <c r="BI57" i="40"/>
  <c r="C50" i="40"/>
  <c r="AZ57" i="40"/>
  <c r="T59" i="40"/>
  <c r="U59" i="40"/>
  <c r="BA57" i="40"/>
  <c r="I59" i="40"/>
  <c r="M55" i="40"/>
  <c r="X57" i="40"/>
  <c r="H55" i="40"/>
  <c r="I58" i="40"/>
  <c r="T53" i="40"/>
  <c r="U56" i="40"/>
  <c r="BO57" i="40"/>
  <c r="P59" i="40"/>
  <c r="K58" i="40"/>
  <c r="P22" i="56"/>
  <c r="W58" i="40"/>
  <c r="P52" i="40"/>
  <c r="AU57" i="40"/>
  <c r="G9" i="54"/>
  <c r="BK57" i="40"/>
  <c r="BK63" i="40" s="1"/>
  <c r="E87" i="40" s="1"/>
  <c r="F58" i="40"/>
  <c r="E56" i="40"/>
  <c r="BP57" i="40"/>
  <c r="BP63" i="40" s="1"/>
  <c r="E92" i="40" s="1"/>
  <c r="H58" i="40"/>
  <c r="G59" i="40"/>
  <c r="K52" i="40"/>
  <c r="H53" i="40"/>
  <c r="H57" i="40"/>
  <c r="K59" i="40"/>
  <c r="D58" i="40"/>
  <c r="K56" i="40"/>
  <c r="Q30" i="54"/>
  <c r="G58" i="40"/>
  <c r="W53" i="40"/>
  <c r="N53" i="40"/>
  <c r="R52" i="40"/>
  <c r="G19" i="54"/>
  <c r="Q59" i="40"/>
  <c r="F59" i="40"/>
  <c r="M56" i="40"/>
  <c r="G57" i="40"/>
  <c r="AX57" i="40"/>
  <c r="G53" i="40"/>
  <c r="R53" i="40"/>
  <c r="AU56" i="40"/>
  <c r="Q50" i="40"/>
  <c r="O27" i="54"/>
  <c r="O22" i="54"/>
  <c r="C52" i="40"/>
  <c r="I50" i="40"/>
  <c r="N58" i="40"/>
  <c r="V52" i="40"/>
  <c r="Q56" i="40"/>
  <c r="F54" i="40"/>
  <c r="N59" i="40"/>
  <c r="H54" i="40"/>
  <c r="D59" i="40"/>
  <c r="C56" i="40"/>
  <c r="L56" i="40"/>
  <c r="E51" i="40"/>
  <c r="G20" i="54"/>
  <c r="Q21" i="54"/>
  <c r="C53" i="40"/>
  <c r="C57" i="40"/>
  <c r="X55" i="40"/>
  <c r="E16" i="54"/>
  <c r="I49" i="40"/>
  <c r="R33" i="56"/>
  <c r="O26" i="54"/>
  <c r="O18" i="54"/>
  <c r="P49" i="40"/>
  <c r="K49" i="40"/>
  <c r="P4" i="56"/>
  <c r="P30" i="56"/>
  <c r="E21" i="54"/>
  <c r="O21" i="54"/>
  <c r="O9" i="54"/>
  <c r="P18" i="56"/>
  <c r="AU49" i="40"/>
  <c r="Q28" i="54"/>
  <c r="BG49" i="40"/>
  <c r="BG63" i="40" s="1"/>
  <c r="E79" i="40" s="1"/>
  <c r="AW49" i="40"/>
  <c r="AW63" i="40" s="1"/>
  <c r="E69" i="40" s="1"/>
  <c r="AV49" i="40"/>
  <c r="P6" i="56"/>
  <c r="M21" i="54"/>
  <c r="Q24" i="54"/>
  <c r="E94" i="40"/>
  <c r="B45" i="53" s="1"/>
  <c r="N71" i="53"/>
  <c r="K47" i="40"/>
  <c r="Q26" i="54"/>
  <c r="P44" i="40"/>
  <c r="F40" i="40"/>
  <c r="Q25" i="54"/>
  <c r="K41" i="40"/>
  <c r="P27" i="56"/>
  <c r="N46" i="40"/>
  <c r="X45" i="40"/>
  <c r="X44" i="40"/>
  <c r="K44" i="40"/>
  <c r="G40" i="40"/>
  <c r="V40" i="40"/>
  <c r="G25" i="54"/>
  <c r="W46" i="40"/>
  <c r="O17" i="54"/>
  <c r="N44" i="40"/>
  <c r="J40" i="40"/>
  <c r="R46" i="40"/>
  <c r="H44" i="40"/>
  <c r="X40" i="40"/>
  <c r="E47" i="40"/>
  <c r="I41" i="40"/>
  <c r="L41" i="40"/>
  <c r="Q47" i="40"/>
  <c r="Q41" i="40"/>
  <c r="Q44" i="40"/>
  <c r="O44" i="40"/>
  <c r="H45" i="40"/>
  <c r="T45" i="40"/>
  <c r="R47" i="40"/>
  <c r="L45" i="40"/>
  <c r="C47" i="40"/>
  <c r="S47" i="40"/>
  <c r="O46" i="40"/>
  <c r="M44" i="40"/>
  <c r="L44" i="40"/>
  <c r="Q40" i="40"/>
  <c r="R40" i="40"/>
  <c r="V44" i="40"/>
  <c r="P40" i="40"/>
  <c r="V43" i="40"/>
  <c r="G44" i="40"/>
  <c r="E44" i="40"/>
  <c r="AB63" i="40"/>
  <c r="D70" i="40" s="1"/>
  <c r="C4" i="55"/>
  <c r="G45" i="40"/>
  <c r="N20" i="56"/>
  <c r="AU43" i="40"/>
  <c r="BL40" i="40"/>
  <c r="P45" i="40"/>
  <c r="Z43" i="40"/>
  <c r="H41" i="40"/>
  <c r="U41" i="40"/>
  <c r="D44" i="40"/>
  <c r="C44" i="40"/>
  <c r="U46" i="40"/>
  <c r="BD63" i="40"/>
  <c r="E76" i="40" s="1"/>
  <c r="C46" i="40"/>
  <c r="AU47" i="40"/>
  <c r="C42" i="40"/>
  <c r="N33" i="55"/>
  <c r="AU45" i="40"/>
  <c r="AU40" i="40"/>
  <c r="D47" i="40"/>
  <c r="K46" i="40"/>
  <c r="J44" i="40"/>
  <c r="Q37" i="40"/>
  <c r="F37" i="40"/>
  <c r="O30" i="54"/>
  <c r="N37" i="40"/>
  <c r="O25" i="54"/>
  <c r="I37" i="40"/>
  <c r="AU37" i="40"/>
  <c r="G27" i="55"/>
  <c r="Y37" i="40"/>
  <c r="Y63" i="40" s="1"/>
  <c r="G5" i="54"/>
  <c r="U18" i="40"/>
  <c r="O8" i="54"/>
  <c r="P6" i="55"/>
  <c r="D22" i="40"/>
  <c r="BE30" i="40"/>
  <c r="N26" i="40"/>
  <c r="X34" i="40"/>
  <c r="W28" i="40"/>
  <c r="O29" i="40"/>
  <c r="R16" i="56"/>
  <c r="G34" i="40"/>
  <c r="P26" i="56"/>
  <c r="J30" i="40"/>
  <c r="I30" i="40"/>
  <c r="AU30" i="40"/>
  <c r="R18" i="40"/>
  <c r="BL28" i="40"/>
  <c r="H30" i="40"/>
  <c r="R28" i="40"/>
  <c r="AU29" i="40"/>
  <c r="K18" i="40"/>
  <c r="P24" i="56"/>
  <c r="M31" i="40"/>
  <c r="T28" i="40"/>
  <c r="Q31" i="40"/>
  <c r="X28" i="40"/>
  <c r="N31" i="40"/>
  <c r="X18" i="40"/>
  <c r="C21" i="55"/>
  <c r="I28" i="40"/>
  <c r="AV24" i="40"/>
  <c r="C17" i="40"/>
  <c r="BA30" i="40"/>
  <c r="BI14" i="40"/>
  <c r="S28" i="40"/>
  <c r="X31" i="40"/>
  <c r="W31" i="40"/>
  <c r="W29" i="40"/>
  <c r="T31" i="40"/>
  <c r="U17" i="40"/>
  <c r="E17" i="40"/>
  <c r="O28" i="40"/>
  <c r="AV14" i="40"/>
  <c r="E31" i="40"/>
  <c r="Q14" i="40"/>
  <c r="F31" i="40"/>
  <c r="L25" i="40"/>
  <c r="I31" i="40"/>
  <c r="G24" i="40"/>
  <c r="X14" i="40"/>
  <c r="N14" i="40"/>
  <c r="S14" i="40"/>
  <c r="L14" i="40"/>
  <c r="O14" i="40"/>
  <c r="G14" i="40"/>
  <c r="U24" i="40"/>
  <c r="T24" i="40"/>
  <c r="I24" i="40"/>
  <c r="N24" i="40"/>
  <c r="J24" i="40"/>
  <c r="Q24" i="40"/>
  <c r="C16" i="54"/>
  <c r="L28" i="40"/>
  <c r="K28" i="40"/>
  <c r="P36" i="40"/>
  <c r="Q33" i="40"/>
  <c r="E27" i="40"/>
  <c r="P17" i="40"/>
  <c r="P15" i="40"/>
  <c r="C29" i="40"/>
  <c r="G35" i="40"/>
  <c r="G13" i="54"/>
  <c r="U31" i="40"/>
  <c r="D13" i="40"/>
  <c r="D32" i="40"/>
  <c r="K20" i="40"/>
  <c r="I21" i="40"/>
  <c r="C34" i="40"/>
  <c r="F16" i="40"/>
  <c r="F24" i="40"/>
  <c r="D30" i="40"/>
  <c r="D24" i="40"/>
  <c r="R19" i="40"/>
  <c r="C13" i="40"/>
  <c r="D33" i="40"/>
  <c r="C26" i="40"/>
  <c r="G23" i="40"/>
  <c r="K24" i="40"/>
  <c r="J25" i="40"/>
  <c r="D15" i="40"/>
  <c r="D19" i="40"/>
  <c r="G28" i="40"/>
  <c r="C31" i="40"/>
  <c r="C36" i="40"/>
  <c r="P28" i="40"/>
  <c r="D17" i="40"/>
  <c r="D20" i="40"/>
  <c r="F21" i="40"/>
  <c r="Q34" i="40"/>
  <c r="E16" i="40"/>
  <c r="V18" i="40"/>
  <c r="G30" i="40"/>
  <c r="C25" i="40"/>
  <c r="G18" i="40"/>
  <c r="L13" i="40"/>
  <c r="E21" i="40"/>
  <c r="E23" i="40"/>
  <c r="V22" i="40"/>
  <c r="G31" i="40"/>
  <c r="C28" i="40"/>
  <c r="E35" i="40"/>
  <c r="G30" i="54"/>
  <c r="G30" i="56"/>
  <c r="G21" i="56"/>
  <c r="R17" i="56"/>
  <c r="G7" i="56"/>
  <c r="O31" i="54"/>
  <c r="R12" i="40"/>
  <c r="G12" i="40"/>
  <c r="G31" i="55"/>
  <c r="X12" i="40"/>
  <c r="I12" i="40"/>
  <c r="F12" i="40"/>
  <c r="O12" i="40"/>
  <c r="W12" i="40"/>
  <c r="M25" i="54"/>
  <c r="P12" i="40"/>
  <c r="N17" i="56"/>
  <c r="BJ63" i="40"/>
  <c r="E86" i="40" s="1"/>
  <c r="AP63" i="40"/>
  <c r="D88" i="40" s="1"/>
  <c r="B52" i="53" s="1"/>
  <c r="BF63" i="40"/>
  <c r="E78" i="40" s="1"/>
  <c r="AL63" i="40"/>
  <c r="D82" i="40" s="1"/>
  <c r="AN63" i="40"/>
  <c r="D86" i="40" s="1"/>
  <c r="BH12" i="40"/>
  <c r="BE12" i="40"/>
  <c r="S5" i="40"/>
  <c r="AM63" i="40"/>
  <c r="D83" i="40" s="1"/>
  <c r="AD63" i="40"/>
  <c r="D72" i="40" s="1"/>
  <c r="T5" i="40"/>
  <c r="AS63" i="40"/>
  <c r="D91" i="40" s="1"/>
  <c r="B56" i="53" s="1"/>
  <c r="AT4" i="40"/>
  <c r="AT63" i="40" s="1"/>
  <c r="D92" i="40" s="1"/>
  <c r="E31" i="54"/>
  <c r="H6" i="40"/>
  <c r="E8" i="40"/>
  <c r="O4" i="40"/>
  <c r="P24" i="55"/>
  <c r="BL6" i="40"/>
  <c r="Q9" i="40"/>
  <c r="X10" i="40"/>
  <c r="L8" i="40"/>
  <c r="AO63" i="40"/>
  <c r="D87" i="40" s="1"/>
  <c r="B51" i="53" s="1"/>
  <c r="AE63" i="40"/>
  <c r="D73" i="40" s="1"/>
  <c r="AK63" i="40"/>
  <c r="D79" i="40" s="1"/>
  <c r="P5" i="40"/>
  <c r="L5" i="40"/>
  <c r="C9" i="55"/>
  <c r="N9" i="55"/>
  <c r="R8" i="40"/>
  <c r="G5" i="40"/>
  <c r="H11" i="40"/>
  <c r="D9" i="40"/>
  <c r="E31" i="55"/>
  <c r="W10" i="40"/>
  <c r="G31" i="54"/>
  <c r="AH63" i="40"/>
  <c r="D76" i="40" s="1"/>
  <c r="C7" i="40"/>
  <c r="AF63" i="40"/>
  <c r="D74" i="40" s="1"/>
  <c r="S11" i="40"/>
  <c r="K11" i="40"/>
  <c r="BC63" i="40"/>
  <c r="E75" i="40" s="1"/>
  <c r="S7" i="40"/>
  <c r="R31" i="55"/>
  <c r="M7" i="40"/>
  <c r="J5" i="40"/>
  <c r="G7" i="54"/>
  <c r="J7" i="40"/>
  <c r="U6" i="40"/>
  <c r="G31" i="56"/>
  <c r="V6" i="40"/>
  <c r="R7" i="40"/>
  <c r="L6" i="40"/>
  <c r="J6" i="40"/>
  <c r="O10" i="40"/>
  <c r="Q6" i="40"/>
  <c r="P6" i="40"/>
  <c r="AR63" i="40"/>
  <c r="D90" i="40" s="1"/>
  <c r="B54" i="53" s="1"/>
  <c r="K6" i="40"/>
  <c r="E6" i="40"/>
  <c r="X7" i="40"/>
  <c r="C4" i="40"/>
  <c r="I6" i="40"/>
  <c r="O6" i="40"/>
  <c r="Q31" i="54"/>
  <c r="R31" i="56"/>
  <c r="BB63" i="40"/>
  <c r="E74" i="40" s="1"/>
  <c r="Q7" i="40"/>
  <c r="M6" i="40"/>
  <c r="T7" i="40"/>
  <c r="P31" i="56"/>
  <c r="E31" i="56"/>
  <c r="BM63" i="40"/>
  <c r="E89" i="40" s="1"/>
  <c r="R6" i="40"/>
  <c r="X6" i="40"/>
  <c r="AQ63" i="40"/>
  <c r="D89" i="40" s="1"/>
  <c r="B53" i="53" s="1"/>
  <c r="Q33" i="54"/>
  <c r="N7" i="40"/>
  <c r="V7" i="40"/>
  <c r="BN63" i="40"/>
  <c r="E90" i="40" s="1"/>
  <c r="P31" i="55"/>
  <c r="AA63" i="40"/>
  <c r="D69" i="40" s="1"/>
  <c r="W7" i="40"/>
  <c r="AJ63" i="40"/>
  <c r="D78" i="40" s="1"/>
  <c r="W6" i="40"/>
  <c r="N4" i="40"/>
  <c r="X4" i="40"/>
  <c r="R4" i="40"/>
  <c r="E4" i="40"/>
  <c r="J4" i="40"/>
  <c r="V4" i="40"/>
  <c r="M4" i="40"/>
  <c r="T4" i="40"/>
  <c r="H4" i="40"/>
  <c r="I4" i="40"/>
  <c r="E4" i="55"/>
  <c r="N6" i="55"/>
  <c r="C19" i="56"/>
  <c r="N19" i="56"/>
  <c r="AU11" i="40"/>
  <c r="D6" i="40"/>
  <c r="P11" i="56"/>
  <c r="R7" i="55"/>
  <c r="E10" i="55"/>
  <c r="E32" i="56"/>
  <c r="G13" i="56"/>
  <c r="I5" i="40"/>
  <c r="C10" i="55"/>
  <c r="N10" i="55"/>
  <c r="G7" i="55"/>
  <c r="R11" i="55"/>
  <c r="E5" i="55"/>
  <c r="O10" i="54"/>
  <c r="G10" i="56"/>
  <c r="E23" i="56"/>
  <c r="R25" i="55"/>
  <c r="G7" i="40"/>
  <c r="H8" i="40"/>
  <c r="R13" i="56"/>
  <c r="E34" i="55"/>
  <c r="V5" i="40"/>
  <c r="N8" i="40"/>
  <c r="E33" i="54"/>
  <c r="E4" i="54"/>
  <c r="R32" i="56"/>
  <c r="G24" i="56"/>
  <c r="C19" i="55"/>
  <c r="R16" i="55"/>
  <c r="E18" i="56"/>
  <c r="C4" i="54"/>
  <c r="M4" i="54"/>
  <c r="G28" i="56"/>
  <c r="G28" i="54"/>
  <c r="D5" i="40"/>
  <c r="C33" i="54"/>
  <c r="M33" i="54"/>
  <c r="E26" i="56"/>
  <c r="O33" i="54"/>
  <c r="E27" i="54"/>
  <c r="P11" i="55"/>
  <c r="BO10" i="40"/>
  <c r="AU9" i="40"/>
  <c r="AY5" i="40"/>
  <c r="AY63" i="40" s="1"/>
  <c r="E71" i="40" s="1"/>
  <c r="G33" i="54"/>
  <c r="R24" i="55"/>
  <c r="K8" i="40"/>
  <c r="O7" i="40"/>
  <c r="W8" i="40"/>
  <c r="AZ10" i="40"/>
  <c r="S8" i="40"/>
  <c r="P7" i="56"/>
  <c r="R34" i="56"/>
  <c r="M5" i="40"/>
  <c r="Z5" i="40"/>
  <c r="F4" i="40"/>
  <c r="U8" i="40"/>
  <c r="Q34" i="54"/>
  <c r="O5" i="54"/>
  <c r="O11" i="54"/>
  <c r="N12" i="56"/>
  <c r="C12" i="56"/>
  <c r="N7" i="55"/>
  <c r="C7" i="55"/>
  <c r="R10" i="56"/>
  <c r="E7" i="56"/>
  <c r="E23" i="55"/>
  <c r="N28" i="55"/>
  <c r="C28" i="55"/>
  <c r="D4" i="40"/>
  <c r="Q23" i="54"/>
  <c r="O8" i="40"/>
  <c r="C20" i="54"/>
  <c r="M20" i="54"/>
  <c r="T8" i="40"/>
  <c r="Q11" i="54"/>
  <c r="G32" i="54"/>
  <c r="E14" i="56"/>
  <c r="C20" i="55"/>
  <c r="N20" i="55"/>
  <c r="W5" i="40"/>
  <c r="C19" i="54"/>
  <c r="R34" i="55"/>
  <c r="O23" i="54"/>
  <c r="C33" i="56"/>
  <c r="N33" i="56"/>
  <c r="P33" i="56"/>
  <c r="Q10" i="54"/>
  <c r="O24" i="54"/>
  <c r="G34" i="56"/>
  <c r="AX9" i="40"/>
  <c r="D8" i="40"/>
  <c r="P28" i="56"/>
  <c r="E10" i="56"/>
  <c r="P5" i="55"/>
  <c r="O7" i="54"/>
  <c r="E30" i="55"/>
  <c r="R21" i="56"/>
  <c r="E8" i="56"/>
  <c r="E28" i="56"/>
  <c r="E32" i="55"/>
  <c r="C8" i="56"/>
  <c r="N8" i="56"/>
  <c r="E14" i="55"/>
  <c r="R7" i="56"/>
  <c r="E5" i="54"/>
  <c r="E25" i="56"/>
  <c r="BH8" i="40"/>
  <c r="Q20" i="54"/>
  <c r="R11" i="56"/>
  <c r="E16" i="55"/>
  <c r="R5" i="55"/>
  <c r="P7" i="55"/>
  <c r="N24" i="55"/>
  <c r="C24" i="55"/>
  <c r="E4" i="56"/>
  <c r="P23" i="56"/>
  <c r="R14" i="56"/>
  <c r="E8" i="54"/>
  <c r="R15" i="56"/>
  <c r="R9" i="56"/>
  <c r="R15" i="55"/>
  <c r="C4" i="56"/>
  <c r="N4" i="56"/>
  <c r="E23" i="54"/>
  <c r="C8" i="54"/>
  <c r="M8" i="54"/>
  <c r="P14" i="56"/>
  <c r="E15" i="56"/>
  <c r="O15" i="54"/>
  <c r="E17" i="54"/>
  <c r="E8" i="55"/>
  <c r="E24" i="55"/>
  <c r="R14" i="55"/>
  <c r="E19" i="55"/>
  <c r="P15" i="55"/>
  <c r="E25" i="54"/>
  <c r="G23" i="55"/>
  <c r="N16" i="56"/>
  <c r="C16" i="56"/>
  <c r="O14" i="54"/>
  <c r="E9" i="56"/>
  <c r="C17" i="54"/>
  <c r="M17" i="54"/>
  <c r="N8" i="55"/>
  <c r="C8" i="55"/>
  <c r="E11" i="55"/>
  <c r="E7" i="55"/>
  <c r="N26" i="56"/>
  <c r="C26" i="56"/>
  <c r="E9" i="55"/>
  <c r="E34" i="56"/>
  <c r="G14" i="54"/>
  <c r="Q14" i="54"/>
  <c r="E14" i="54"/>
  <c r="P5" i="56"/>
  <c r="G14" i="56"/>
  <c r="P34" i="55"/>
  <c r="E26" i="54"/>
  <c r="E24" i="54"/>
  <c r="E11" i="56"/>
  <c r="P10" i="55"/>
  <c r="G33" i="55"/>
  <c r="E10" i="54"/>
  <c r="C16" i="55"/>
  <c r="N16" i="55"/>
  <c r="E13" i="56"/>
  <c r="E15" i="55"/>
  <c r="G17" i="55"/>
  <c r="R8" i="55"/>
  <c r="P13" i="56"/>
  <c r="R23" i="56"/>
  <c r="P34" i="56"/>
  <c r="E27" i="56"/>
  <c r="E6" i="54"/>
  <c r="E17" i="55"/>
  <c r="E30" i="54"/>
  <c r="G19" i="56"/>
  <c r="E33" i="56"/>
  <c r="R27" i="55"/>
  <c r="P32" i="55"/>
  <c r="N27" i="56"/>
  <c r="C27" i="56"/>
  <c r="Q17" i="54"/>
  <c r="C17" i="55"/>
  <c r="N17" i="55"/>
  <c r="G23" i="56"/>
  <c r="E7" i="54"/>
  <c r="P10" i="56"/>
  <c r="E27" i="55"/>
  <c r="E9" i="54"/>
  <c r="E13" i="55"/>
  <c r="R17" i="55"/>
  <c r="G11" i="54"/>
  <c r="N25" i="55"/>
  <c r="C25" i="55"/>
  <c r="P15" i="56"/>
  <c r="E34" i="54"/>
  <c r="G15" i="56"/>
  <c r="E6" i="56"/>
  <c r="Q29" i="54"/>
  <c r="C5" i="55"/>
  <c r="N5" i="55"/>
  <c r="G10" i="55"/>
  <c r="G28" i="55"/>
  <c r="N27" i="55"/>
  <c r="C27" i="55"/>
  <c r="E18" i="54"/>
  <c r="E24" i="56"/>
  <c r="G34" i="54"/>
  <c r="E33" i="55"/>
  <c r="E18" i="55"/>
  <c r="E29" i="54"/>
  <c r="E25" i="55"/>
  <c r="P13" i="55"/>
  <c r="G15" i="55"/>
  <c r="O32" i="54"/>
  <c r="C18" i="55"/>
  <c r="N18" i="55"/>
  <c r="E28" i="54"/>
  <c r="P32" i="56"/>
  <c r="E26" i="55"/>
  <c r="G15" i="54"/>
  <c r="C29" i="56"/>
  <c r="N29" i="56"/>
  <c r="G11" i="55"/>
  <c r="G32" i="56"/>
  <c r="E11" i="54"/>
  <c r="C29" i="55"/>
  <c r="N29" i="55"/>
  <c r="E29" i="56"/>
  <c r="G23" i="54"/>
  <c r="G34" i="55"/>
  <c r="N26" i="55"/>
  <c r="C26" i="55"/>
  <c r="E5" i="56"/>
  <c r="O13" i="54"/>
  <c r="E21" i="55"/>
  <c r="G19" i="55"/>
  <c r="Q15" i="54"/>
  <c r="R10" i="55"/>
  <c r="E32" i="54"/>
  <c r="E15" i="54"/>
  <c r="G13" i="55"/>
  <c r="R25" i="56"/>
  <c r="P14" i="55"/>
  <c r="R29" i="56"/>
  <c r="G11" i="56"/>
  <c r="E29" i="55"/>
  <c r="O28" i="54"/>
  <c r="E13" i="54"/>
  <c r="R13" i="55"/>
  <c r="P23" i="55"/>
  <c r="G10" i="54"/>
  <c r="Q5" i="54"/>
  <c r="E30" i="56"/>
  <c r="N21" i="56"/>
  <c r="C21" i="56"/>
  <c r="Q13" i="54"/>
  <c r="O34" i="54"/>
  <c r="R23" i="55"/>
  <c r="G14" i="55"/>
  <c r="Q32" i="54"/>
  <c r="E17" i="56"/>
  <c r="N22" i="55"/>
  <c r="C22" i="55"/>
  <c r="E21" i="56"/>
  <c r="R24" i="56"/>
  <c r="Q7" i="54"/>
  <c r="J49" i="40"/>
  <c r="R49" i="40"/>
  <c r="T49" i="40"/>
  <c r="G49" i="40"/>
  <c r="S49" i="40"/>
  <c r="P48" i="40"/>
  <c r="I48" i="40"/>
  <c r="X48" i="40"/>
  <c r="O49" i="40"/>
  <c r="X49" i="40"/>
  <c r="V48" i="40"/>
  <c r="E48" i="40"/>
  <c r="M48" i="40"/>
  <c r="N49" i="40"/>
  <c r="N48" i="40"/>
  <c r="M49" i="40"/>
  <c r="S48" i="40"/>
  <c r="L48" i="40"/>
  <c r="Q49" i="40"/>
  <c r="F49" i="40"/>
  <c r="K48" i="40"/>
  <c r="O48" i="40"/>
  <c r="W49" i="40"/>
  <c r="U48" i="40"/>
  <c r="R48" i="40"/>
  <c r="E49" i="40"/>
  <c r="H48" i="40"/>
  <c r="D48" i="40"/>
  <c r="W48" i="40"/>
  <c r="U49" i="40"/>
  <c r="T48" i="40"/>
  <c r="V49" i="40"/>
  <c r="O40" i="40"/>
  <c r="T40" i="40"/>
  <c r="K40" i="40"/>
  <c r="N40" i="40"/>
  <c r="U40" i="40"/>
  <c r="W40" i="40"/>
  <c r="M40" i="40"/>
  <c r="E40" i="40"/>
  <c r="I40" i="40"/>
  <c r="L40" i="40"/>
  <c r="D40" i="40"/>
  <c r="S40" i="40"/>
  <c r="H40" i="40"/>
  <c r="M38" i="40"/>
  <c r="F38" i="40"/>
  <c r="O38" i="40"/>
  <c r="Q38" i="40"/>
  <c r="I38" i="40"/>
  <c r="U38" i="40"/>
  <c r="G38" i="40"/>
  <c r="S39" i="40"/>
  <c r="X38" i="40"/>
  <c r="K38" i="40"/>
  <c r="S38" i="40"/>
  <c r="L39" i="40"/>
  <c r="E38" i="40"/>
  <c r="U12" i="40"/>
  <c r="Q12" i="40"/>
  <c r="J12" i="40"/>
  <c r="K12" i="40"/>
  <c r="C12" i="40"/>
  <c r="D12" i="40"/>
  <c r="M10" i="40"/>
  <c r="X9" i="40"/>
  <c r="G11" i="40"/>
  <c r="L11" i="40"/>
  <c r="J11" i="40"/>
  <c r="R10" i="40"/>
  <c r="E9" i="40"/>
  <c r="H10" i="40"/>
  <c r="G9" i="40"/>
  <c r="D10" i="40"/>
  <c r="J9" i="40"/>
  <c r="S9" i="40"/>
  <c r="W9" i="40"/>
  <c r="T10" i="40"/>
  <c r="O9" i="40"/>
  <c r="N10" i="40"/>
  <c r="Q10" i="40"/>
  <c r="P10" i="40"/>
  <c r="G10" i="40"/>
  <c r="F10" i="40"/>
  <c r="R11" i="40"/>
  <c r="R9" i="40"/>
  <c r="U9" i="40"/>
  <c r="L9" i="40"/>
  <c r="E10" i="40"/>
  <c r="B42" i="53" l="1"/>
  <c r="B55" i="53"/>
  <c r="B38" i="53"/>
  <c r="B41" i="53"/>
  <c r="B57" i="53"/>
  <c r="B40" i="53"/>
  <c r="BI63" i="40"/>
  <c r="E83" i="40" s="1"/>
  <c r="AV63" i="40"/>
  <c r="E68" i="40" s="1"/>
  <c r="AX63" i="40"/>
  <c r="E70" i="40" s="1"/>
  <c r="BO63" i="40"/>
  <c r="E91" i="40" s="1"/>
  <c r="BA63" i="40"/>
  <c r="E73" i="40" s="1"/>
  <c r="G35" i="51"/>
  <c r="C21" i="49" s="1"/>
  <c r="G35" i="52"/>
  <c r="C33" i="49" s="1"/>
  <c r="BE63" i="40"/>
  <c r="E77" i="40" s="1"/>
  <c r="Z63" i="40"/>
  <c r="D68" i="40" s="1"/>
  <c r="E35" i="52"/>
  <c r="E35" i="51"/>
  <c r="P35" i="51"/>
  <c r="P35" i="52"/>
  <c r="R35" i="52"/>
  <c r="R35" i="51"/>
  <c r="AU63" i="40"/>
  <c r="BL63" i="40"/>
  <c r="E88" i="40" s="1"/>
  <c r="AZ63" i="40"/>
  <c r="E72" i="40" s="1"/>
  <c r="BH63" i="40"/>
  <c r="E82" i="40" s="1"/>
  <c r="G16" i="40"/>
  <c r="L38" i="40"/>
  <c r="P39" i="40"/>
  <c r="V38" i="40"/>
  <c r="D39" i="40"/>
  <c r="F48" i="40"/>
  <c r="C48" i="40"/>
  <c r="C38" i="40"/>
  <c r="N38" i="40"/>
  <c r="N63" i="40" s="1"/>
  <c r="C78" i="40" s="1"/>
  <c r="X16" i="40"/>
  <c r="X63" i="40" s="1"/>
  <c r="C92" i="40" s="1"/>
  <c r="B68" i="53" s="1"/>
  <c r="N68" i="53" s="1"/>
  <c r="M16" i="54"/>
  <c r="D55" i="40"/>
  <c r="R55" i="40"/>
  <c r="C55" i="40"/>
  <c r="D53" i="40"/>
  <c r="G55" i="40"/>
  <c r="F55" i="40"/>
  <c r="I55" i="40"/>
  <c r="K55" i="40"/>
  <c r="Q55" i="40"/>
  <c r="P55" i="40"/>
  <c r="W55" i="40"/>
  <c r="M18" i="54"/>
  <c r="M7" i="54"/>
  <c r="N22" i="56"/>
  <c r="M22" i="54"/>
  <c r="C21" i="54"/>
  <c r="C31" i="54"/>
  <c r="C22" i="54"/>
  <c r="C59" i="40"/>
  <c r="N19" i="55"/>
  <c r="N21" i="55"/>
  <c r="C58" i="40"/>
  <c r="C18" i="56"/>
  <c r="C22" i="56"/>
  <c r="C20" i="56"/>
  <c r="C33" i="55"/>
  <c r="C18" i="54"/>
  <c r="C7" i="54"/>
  <c r="C5" i="54"/>
  <c r="N18" i="56"/>
  <c r="N4" i="55"/>
  <c r="M29" i="54"/>
  <c r="C49" i="40"/>
  <c r="M24" i="54"/>
  <c r="M32" i="54"/>
  <c r="C6" i="55"/>
  <c r="C24" i="54"/>
  <c r="C29" i="54"/>
  <c r="N24" i="56"/>
  <c r="M5" i="54"/>
  <c r="U44" i="40"/>
  <c r="C24" i="56"/>
  <c r="C27" i="54"/>
  <c r="M27" i="54"/>
  <c r="C25" i="54"/>
  <c r="C26" i="54"/>
  <c r="C43" i="40"/>
  <c r="S63" i="40"/>
  <c r="C87" i="40" s="1"/>
  <c r="B64" i="53" s="1"/>
  <c r="N64" i="53" s="1"/>
  <c r="M26" i="54"/>
  <c r="C40" i="40"/>
  <c r="M9" i="54"/>
  <c r="N9" i="56"/>
  <c r="C9" i="54"/>
  <c r="C37" i="40"/>
  <c r="M14" i="40"/>
  <c r="H14" i="40"/>
  <c r="H63" i="40" s="1"/>
  <c r="C72" i="40" s="1"/>
  <c r="T30" i="40"/>
  <c r="L22" i="40"/>
  <c r="U14" i="40"/>
  <c r="O17" i="40"/>
  <c r="O63" i="40" s="1"/>
  <c r="C79" i="40" s="1"/>
  <c r="U28" i="40"/>
  <c r="C30" i="40"/>
  <c r="I18" i="40"/>
  <c r="E28" i="40"/>
  <c r="C27" i="40"/>
  <c r="C14" i="40"/>
  <c r="T14" i="40"/>
  <c r="P14" i="40"/>
  <c r="V14" i="40"/>
  <c r="C24" i="40"/>
  <c r="R24" i="40"/>
  <c r="W14" i="40"/>
  <c r="K14" i="40"/>
  <c r="C17" i="56"/>
  <c r="P24" i="40"/>
  <c r="G35" i="56"/>
  <c r="G38" i="56" s="1"/>
  <c r="M31" i="54"/>
  <c r="C32" i="54"/>
  <c r="C5" i="56"/>
  <c r="C10" i="56"/>
  <c r="N5" i="56"/>
  <c r="O35" i="54"/>
  <c r="O38" i="54" s="1"/>
  <c r="G35" i="54"/>
  <c r="G38" i="54" s="1"/>
  <c r="G36" i="55"/>
  <c r="G36" i="56"/>
  <c r="P35" i="56"/>
  <c r="P38" i="56" s="1"/>
  <c r="G36" i="54"/>
  <c r="R35" i="56"/>
  <c r="R38" i="56" s="1"/>
  <c r="M12" i="40"/>
  <c r="N10" i="56"/>
  <c r="Q35" i="50"/>
  <c r="C6" i="49" s="1"/>
  <c r="P36" i="56"/>
  <c r="D67" i="40"/>
  <c r="F7" i="40"/>
  <c r="O36" i="54"/>
  <c r="G35" i="55"/>
  <c r="G38" i="55" s="1"/>
  <c r="G35" i="50"/>
  <c r="N31" i="56"/>
  <c r="C31" i="56"/>
  <c r="R35" i="55"/>
  <c r="R38" i="55" s="1"/>
  <c r="E35" i="50"/>
  <c r="D9" i="49" s="1"/>
  <c r="D10" i="49" s="1"/>
  <c r="J63" i="40"/>
  <c r="C74" i="40" s="1"/>
  <c r="R36" i="56"/>
  <c r="P35" i="55"/>
  <c r="P38" i="55" s="1"/>
  <c r="O35" i="50"/>
  <c r="O38" i="50" s="1"/>
  <c r="E7" i="40"/>
  <c r="C6" i="40"/>
  <c r="C31" i="55"/>
  <c r="N31" i="55"/>
  <c r="L4" i="40"/>
  <c r="Q35" i="54"/>
  <c r="Q38" i="54" s="1"/>
  <c r="Q36" i="54"/>
  <c r="R36" i="55"/>
  <c r="P36" i="55"/>
  <c r="E35" i="55"/>
  <c r="E38" i="55" s="1"/>
  <c r="E36" i="55"/>
  <c r="I9" i="40"/>
  <c r="C13" i="55"/>
  <c r="N13" i="55"/>
  <c r="N7" i="56"/>
  <c r="C7" i="56"/>
  <c r="C11" i="56"/>
  <c r="N11" i="56"/>
  <c r="C9" i="56"/>
  <c r="C12" i="55"/>
  <c r="N12" i="55"/>
  <c r="N14" i="56"/>
  <c r="C14" i="56"/>
  <c r="M14" i="54"/>
  <c r="C14" i="54"/>
  <c r="C32" i="56"/>
  <c r="N32" i="56"/>
  <c r="E35" i="56"/>
  <c r="E38" i="56" s="1"/>
  <c r="E36" i="56"/>
  <c r="C25" i="56"/>
  <c r="N25" i="56"/>
  <c r="M28" i="54"/>
  <c r="C28" i="54"/>
  <c r="N23" i="55"/>
  <c r="C23" i="55"/>
  <c r="N14" i="55"/>
  <c r="C14" i="55"/>
  <c r="C10" i="54"/>
  <c r="M10" i="54"/>
  <c r="C9" i="40"/>
  <c r="C30" i="55"/>
  <c r="N30" i="55"/>
  <c r="C13" i="54"/>
  <c r="M13" i="54"/>
  <c r="N15" i="56"/>
  <c r="C15" i="56"/>
  <c r="C23" i="54"/>
  <c r="M23" i="54"/>
  <c r="C6" i="56"/>
  <c r="N6" i="56"/>
  <c r="C28" i="56"/>
  <c r="N28" i="56"/>
  <c r="C30" i="54"/>
  <c r="M30" i="54"/>
  <c r="C15" i="55"/>
  <c r="N15" i="55"/>
  <c r="C12" i="54"/>
  <c r="M12" i="54"/>
  <c r="N23" i="56"/>
  <c r="C23" i="56"/>
  <c r="C10" i="40"/>
  <c r="C30" i="56"/>
  <c r="N30" i="56"/>
  <c r="C15" i="54"/>
  <c r="M15" i="54"/>
  <c r="N34" i="55"/>
  <c r="C34" i="55"/>
  <c r="M11" i="54"/>
  <c r="C11" i="54"/>
  <c r="C34" i="56"/>
  <c r="N34" i="56"/>
  <c r="C11" i="55"/>
  <c r="N11" i="55"/>
  <c r="C32" i="55"/>
  <c r="N32" i="55"/>
  <c r="M19" i="54"/>
  <c r="C8" i="40"/>
  <c r="Q11" i="40"/>
  <c r="N13" i="56"/>
  <c r="C13" i="56"/>
  <c r="C6" i="54"/>
  <c r="M6" i="54"/>
  <c r="E35" i="54"/>
  <c r="E38" i="54" s="1"/>
  <c r="E36" i="54"/>
  <c r="C11" i="40"/>
  <c r="C34" i="54"/>
  <c r="M34" i="54"/>
  <c r="B43" i="53" l="1"/>
  <c r="B50" i="53"/>
  <c r="B44" i="53"/>
  <c r="B39" i="53"/>
  <c r="G38" i="51"/>
  <c r="G38" i="52"/>
  <c r="C35" i="51"/>
  <c r="C38" i="51" s="1"/>
  <c r="D63" i="40"/>
  <c r="C68" i="40" s="1"/>
  <c r="C97" i="40"/>
  <c r="B97" i="40"/>
  <c r="N35" i="51"/>
  <c r="E18" i="49" s="1"/>
  <c r="E21" i="49" s="1"/>
  <c r="E22" i="49" s="1"/>
  <c r="T63" i="40"/>
  <c r="C88" i="40" s="1"/>
  <c r="B65" i="53" s="1"/>
  <c r="N65" i="53" s="1"/>
  <c r="C98" i="40"/>
  <c r="R38" i="51"/>
  <c r="C18" i="49"/>
  <c r="C35" i="52"/>
  <c r="C38" i="52" s="1"/>
  <c r="R38" i="52"/>
  <c r="C30" i="49"/>
  <c r="D30" i="49"/>
  <c r="P38" i="52"/>
  <c r="P38" i="51"/>
  <c r="D18" i="49"/>
  <c r="D21" i="49"/>
  <c r="D22" i="49" s="1"/>
  <c r="E38" i="51"/>
  <c r="N35" i="52"/>
  <c r="N38" i="52" s="1"/>
  <c r="C34" i="49"/>
  <c r="D33" i="49"/>
  <c r="D34" i="49" s="1"/>
  <c r="E38" i="52"/>
  <c r="E67" i="40"/>
  <c r="C22" i="49"/>
  <c r="I63" i="40"/>
  <c r="C73" i="40" s="1"/>
  <c r="F63" i="40"/>
  <c r="C70" i="40" s="1"/>
  <c r="U63" i="40"/>
  <c r="C89" i="40" s="1"/>
  <c r="B66" i="53" s="1"/>
  <c r="N66" i="53" s="1"/>
  <c r="V63" i="40"/>
  <c r="C90" i="40" s="1"/>
  <c r="B67" i="53" s="1"/>
  <c r="N67" i="53" s="1"/>
  <c r="P63" i="40"/>
  <c r="C82" i="40" s="1"/>
  <c r="M63" i="40"/>
  <c r="C77" i="40" s="1"/>
  <c r="E63" i="40"/>
  <c r="C69" i="40" s="1"/>
  <c r="W63" i="40"/>
  <c r="C91" i="40" s="1"/>
  <c r="B69" i="53" s="1"/>
  <c r="N69" i="53" s="1"/>
  <c r="K63" i="40"/>
  <c r="C75" i="40" s="1"/>
  <c r="R63" i="40"/>
  <c r="C86" i="40" s="1"/>
  <c r="G63" i="40"/>
  <c r="C71" i="40" s="1"/>
  <c r="Q63" i="40"/>
  <c r="C83" i="40" s="1"/>
  <c r="L63" i="40"/>
  <c r="C76" i="40" s="1"/>
  <c r="C63" i="40"/>
  <c r="C67" i="40" s="1"/>
  <c r="M35" i="50"/>
  <c r="M38" i="50" s="1"/>
  <c r="C35" i="50"/>
  <c r="C38" i="50" s="1"/>
  <c r="Q38" i="50"/>
  <c r="D6" i="49"/>
  <c r="N35" i="55"/>
  <c r="N38" i="55" s="1"/>
  <c r="N35" i="56"/>
  <c r="N38" i="56" s="1"/>
  <c r="N36" i="55"/>
  <c r="C35" i="56"/>
  <c r="C38" i="56" s="1"/>
  <c r="C36" i="55"/>
  <c r="M36" i="54"/>
  <c r="C35" i="54"/>
  <c r="C38" i="54" s="1"/>
  <c r="M35" i="54"/>
  <c r="M38" i="54" s="1"/>
  <c r="N36" i="56"/>
  <c r="G38" i="50"/>
  <c r="C9" i="49"/>
  <c r="C10" i="49" s="1"/>
  <c r="C35" i="55"/>
  <c r="C38" i="55" s="1"/>
  <c r="C36" i="54"/>
  <c r="C36" i="56"/>
  <c r="E38" i="50"/>
  <c r="B63" i="53" l="1"/>
  <c r="B70" i="53"/>
  <c r="N70" i="53" s="1"/>
  <c r="B98" i="40"/>
  <c r="B37" i="53"/>
  <c r="N38" i="51"/>
  <c r="C35" i="49"/>
  <c r="C23" i="49"/>
  <c r="B96" i="40"/>
  <c r="C96" i="40"/>
  <c r="E6" i="49"/>
  <c r="E9" i="49" s="1"/>
  <c r="E10" i="49" s="1"/>
  <c r="E30" i="49"/>
  <c r="E33" i="49" s="1"/>
  <c r="E34" i="49" s="1"/>
  <c r="C11" i="49"/>
  <c r="N63" i="53" l="1"/>
  <c r="N72" i="53" s="1"/>
</calcChain>
</file>

<file path=xl/sharedStrings.xml><?xml version="1.0" encoding="utf-8"?>
<sst xmlns="http://schemas.openxmlformats.org/spreadsheetml/2006/main" count="302" uniqueCount="82">
  <si>
    <t>Selisih</t>
  </si>
  <si>
    <t>Actual Vessel Charter (USD)</t>
  </si>
  <si>
    <t>Budget Vessel Charter (USD)</t>
  </si>
  <si>
    <t>Actual Vessel Fuel (USD)</t>
  </si>
  <si>
    <t>Budget Vessel Fuel (USD)</t>
  </si>
  <si>
    <t>Anggaran</t>
  </si>
  <si>
    <t>Aktual</t>
  </si>
  <si>
    <t>Konsumsi BBM Kapal (liter)</t>
  </si>
  <si>
    <t>Biaya Sewa Kapal (IDR)</t>
  </si>
  <si>
    <t>Biaya BBM Kapal (IDR)</t>
  </si>
  <si>
    <t>Budget</t>
  </si>
  <si>
    <t>Actual</t>
  </si>
  <si>
    <t>Vessel Charter Hire (USD)</t>
  </si>
  <si>
    <t>Vesel Fuel Cost (USD)</t>
  </si>
  <si>
    <t>Vessel Fuel Consumption (liter)</t>
  </si>
  <si>
    <t>Jasa Pendukung Marine (IDR)</t>
  </si>
  <si>
    <t>Other Marine Services (USD)</t>
  </si>
  <si>
    <t>%</t>
  </si>
  <si>
    <t>% all exclude liter</t>
  </si>
  <si>
    <t>No</t>
  </si>
  <si>
    <t>Area</t>
  </si>
  <si>
    <t>Biaya SEWA - USD</t>
  </si>
  <si>
    <t>Biaya BBM - USD</t>
  </si>
  <si>
    <t>Biaya BBM - Liter</t>
  </si>
  <si>
    <t>Nama Kapal</t>
  </si>
  <si>
    <t>LOGISTICS</t>
  </si>
  <si>
    <t>Biaya BBM</t>
  </si>
  <si>
    <t>Liter</t>
  </si>
  <si>
    <t>USD</t>
  </si>
  <si>
    <t>Biaya Sewa</t>
  </si>
  <si>
    <t>TOTAL</t>
  </si>
  <si>
    <t>DRILLING</t>
  </si>
  <si>
    <t>PRODUCTION</t>
  </si>
  <si>
    <t>Today:</t>
  </si>
  <si>
    <t>Anggaran Sewa - in IDR</t>
  </si>
  <si>
    <t xml:space="preserve"> Drilling</t>
  </si>
  <si>
    <t xml:space="preserve"> Prod. North Attaka</t>
  </si>
  <si>
    <t xml:space="preserve"> Prod. North NIB</t>
  </si>
  <si>
    <t xml:space="preserve"> Prod. North Santan</t>
  </si>
  <si>
    <t xml:space="preserve"> Security Patrol-North</t>
  </si>
  <si>
    <t xml:space="preserve"> Security Patrol-South</t>
  </si>
  <si>
    <t xml:space="preserve"> Prod. South</t>
  </si>
  <si>
    <t xml:space="preserve"> FE&amp;C</t>
  </si>
  <si>
    <t xml:space="preserve"> Logistics MLS</t>
  </si>
  <si>
    <t>Anggaran BBM - in IDR</t>
  </si>
  <si>
    <t>Anggaran Sewa - in USD</t>
  </si>
  <si>
    <t>Anggaran BBM - in USD</t>
  </si>
  <si>
    <t>Anggaran BBM - in LITERS</t>
  </si>
  <si>
    <t>MARINE</t>
  </si>
  <si>
    <t>MOORING</t>
  </si>
  <si>
    <t>SECURITY PATROL</t>
  </si>
  <si>
    <t>DATE</t>
  </si>
  <si>
    <t>Actual Vessel Fuel (Liters)</t>
  </si>
  <si>
    <t>Budget Vessel Fuel (Liters)</t>
  </si>
  <si>
    <t>Actual Vessel Fuel (IDR)</t>
  </si>
  <si>
    <t>Actual Vessel Charter (IDR)</t>
  </si>
  <si>
    <t>Budget Vessel Fuel (IDR)</t>
  </si>
  <si>
    <t>Budget Vessel Charter (IDR)</t>
  </si>
  <si>
    <t>SUM</t>
  </si>
  <si>
    <t>Jumlah</t>
  </si>
  <si>
    <t>This Month Daily AVG</t>
  </si>
  <si>
    <t>Rata-rata perhari</t>
  </si>
  <si>
    <t>BBM (ltr)</t>
  </si>
  <si>
    <t>BBM (USD)</t>
  </si>
  <si>
    <t>Charter (USD)</t>
  </si>
  <si>
    <t>BBM (IDR)</t>
  </si>
  <si>
    <t>Charter (IDR)</t>
  </si>
  <si>
    <t>Difference</t>
  </si>
  <si>
    <t>P_NORTH SANTAN TERMINAL</t>
  </si>
  <si>
    <t>Actual Vessel Fuel (Ltr)</t>
  </si>
  <si>
    <t>Budget Vessel Fuel (Ltr)</t>
  </si>
  <si>
    <t>P_NORTH AND P_SOUTH
SECURITY PATROL</t>
  </si>
  <si>
    <t>Biaya Sewa dan Biaya BBM Kapal</t>
  </si>
  <si>
    <t>BBM
(ltr)</t>
  </si>
  <si>
    <t>BBM
(IDR)</t>
  </si>
  <si>
    <t>CHARTER
(IDR)</t>
  </si>
  <si>
    <t>BBM
(USD)</t>
  </si>
  <si>
    <t>CHARTER
(USD)</t>
  </si>
  <si>
    <r>
      <rPr>
        <b/>
        <sz val="20"/>
        <color rgb="FFFFFF00"/>
        <rFont val="Arial"/>
        <family val="2"/>
      </rPr>
      <t>OPERATION</t>
    </r>
    <r>
      <rPr>
        <b/>
        <sz val="14"/>
        <color rgb="FFFFFF00"/>
        <rFont val="Arial"/>
        <family val="2"/>
      </rPr>
      <t xml:space="preserve">
(PRODUCTION SOUTH, NORTH, ATTAKA, NIB AND LOGISTICS)</t>
    </r>
  </si>
  <si>
    <t>2023 YTD</t>
  </si>
  <si>
    <t>Periode : 2023</t>
  </si>
  <si>
    <t>OSF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</si>
</sst>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[$$-409]* #,##0.00_);_([$$-409]* \(#,##0.00\);_([$$-409]* &quot;-&quot;??_);_(@_)"/>
    <numFmt numFmtId="167" formatCode="_(* #,##0.0_);_(* \(#,##0.0\);_(* &quot;-&quot;??_);_(@_)"/>
    <numFmt numFmtId="168" formatCode="_([$IDR]\ * #,##0.00_);_([$IDR]\ * \(#,##0.00\);_([$IDR]\ * &quot;-&quot;??_);_(@_)"/>
    <numFmt numFmtId="169" formatCode="_([$USD]\ * #,##0.00_);_([$USD]\ * \(#,##0.00\);_([$USD]\ * &quot;-&quot;??_);_(@_)"/>
    <numFmt numFmtId="170" formatCode="[$-409]dd\-mmm\-yy;@"/>
    <numFmt numFmtId="171" formatCode="_-[$Rp-3809]* #,##0_-;\-[$Rp-3809]* #,##0_-;_-[$Rp-3809]* &quot;-&quot;_-;_-@_-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MS Sans Serif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20"/>
      <color theme="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16"/>
      <color theme="0"/>
      <name val="Arial"/>
      <family val="2"/>
    </font>
    <font>
      <b/>
      <sz val="16"/>
      <color indexed="43"/>
      <name val="Arial"/>
      <family val="2"/>
    </font>
    <font>
      <sz val="12"/>
      <color theme="0"/>
      <name val="Arial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9"/>
      <color indexed="43"/>
      <name val="Arial"/>
      <family val="2"/>
    </font>
    <font>
      <b/>
      <sz val="8"/>
      <color indexed="43"/>
      <name val="Arial"/>
      <family val="2"/>
    </font>
    <font>
      <sz val="8"/>
      <color theme="0"/>
      <name val="Arial"/>
      <family val="2"/>
    </font>
    <font>
      <b/>
      <sz val="14"/>
      <color indexed="13"/>
      <name val="Arial Narrow"/>
      <family val="2"/>
    </font>
    <font>
      <u/>
      <sz val="10"/>
      <color indexed="12"/>
      <name val="Arial"/>
      <family val="2"/>
    </font>
    <font>
      <b/>
      <sz val="14"/>
      <color rgb="FFFFFF00"/>
      <name val="Arial"/>
      <family val="2"/>
    </font>
    <font>
      <b/>
      <sz val="9"/>
      <color theme="0"/>
      <name val="Arial Narrow"/>
      <family val="2"/>
    </font>
    <font>
      <b/>
      <sz val="9"/>
      <color indexed="13"/>
      <name val="Arial Narrow"/>
      <family val="2"/>
    </font>
    <font>
      <b/>
      <sz val="9"/>
      <color theme="0"/>
      <name val="Arial"/>
      <family val="2"/>
    </font>
    <font>
      <sz val="10"/>
      <color indexed="13"/>
      <name val="Arial Narrow"/>
      <family val="2"/>
    </font>
    <font>
      <sz val="8"/>
      <color indexed="18"/>
      <name val="Arial Narrow"/>
      <family val="2"/>
    </font>
    <font>
      <b/>
      <sz val="12"/>
      <color theme="0"/>
      <name val="Arial Narrow"/>
      <family val="2"/>
    </font>
    <font>
      <sz val="10"/>
      <color theme="0"/>
      <name val="Arial"/>
      <family val="2"/>
    </font>
    <font>
      <sz val="8"/>
      <color theme="0"/>
      <name val="Arial Narrow"/>
      <family val="2"/>
    </font>
    <font>
      <sz val="10"/>
      <color indexed="11"/>
      <name val="Arial"/>
      <family val="2"/>
    </font>
    <font>
      <sz val="10"/>
      <color theme="0"/>
      <name val="Arial Narrow"/>
      <family val="2"/>
    </font>
    <font>
      <b/>
      <sz val="10"/>
      <color theme="0"/>
      <name val="Arial Narrow"/>
      <family val="2"/>
    </font>
    <font>
      <vertAlign val="superscript"/>
      <sz val="10"/>
      <color indexed="13"/>
      <name val="Arial"/>
      <family val="2"/>
    </font>
    <font>
      <sz val="10"/>
      <color theme="7" tint="0.39997558519241921"/>
      <name val="Arial"/>
      <family val="2"/>
    </font>
    <font>
      <sz val="9"/>
      <color theme="0"/>
      <name val="Arial Narrow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Arial"/>
      <family val="2"/>
    </font>
    <font>
      <sz val="11"/>
      <color theme="0"/>
      <name val="Arial Narrow"/>
      <family val="2"/>
    </font>
    <font>
      <sz val="11"/>
      <color theme="0"/>
      <name val="Arial"/>
      <family val="2"/>
    </font>
    <font>
      <b/>
      <sz val="11"/>
      <color theme="0"/>
      <name val="Arial Narrow"/>
      <family val="2"/>
    </font>
    <font>
      <sz val="11"/>
      <color indexed="1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1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12"/>
      </bottom>
      <diagonal/>
    </border>
    <border>
      <left style="dashed">
        <color indexed="12"/>
      </left>
      <right style="dashed">
        <color indexed="12"/>
      </right>
      <top/>
      <bottom style="dashed">
        <color indexed="12"/>
      </bottom>
      <diagonal/>
    </border>
    <border>
      <left style="medium">
        <color indexed="64"/>
      </left>
      <right style="thin">
        <color indexed="64"/>
      </right>
      <top style="dashed">
        <color indexed="12"/>
      </top>
      <bottom style="dashed">
        <color indexed="12"/>
      </bottom>
      <diagonal/>
    </border>
    <border>
      <left style="dashed">
        <color indexed="12"/>
      </left>
      <right style="dashed">
        <color indexed="12"/>
      </right>
      <top style="dashed">
        <color indexed="12"/>
      </top>
      <bottom style="dashed">
        <color indexed="12"/>
      </bottom>
      <diagonal/>
    </border>
    <border>
      <left style="medium">
        <color indexed="64"/>
      </left>
      <right style="thin">
        <color indexed="64"/>
      </right>
      <top style="dashed">
        <color indexed="12"/>
      </top>
      <bottom/>
      <diagonal/>
    </border>
    <border>
      <left style="dashed">
        <color indexed="12"/>
      </left>
      <right style="dashed">
        <color indexed="12"/>
      </right>
      <top style="dashed">
        <color indexed="12"/>
      </top>
      <bottom/>
      <diagonal/>
    </border>
    <border>
      <left style="medium">
        <color indexed="64"/>
      </left>
      <right style="thin">
        <color indexed="64"/>
      </right>
      <top style="dashed">
        <color indexed="12"/>
      </top>
      <bottom style="dashed">
        <color rgb="FF0000FF"/>
      </bottom>
      <diagonal/>
    </border>
    <border>
      <left style="dashed">
        <color indexed="12"/>
      </left>
      <right style="dashed">
        <color indexed="12"/>
      </right>
      <top style="dashed">
        <color indexed="12"/>
      </top>
      <bottom style="dashed">
        <color rgb="FF0000FF"/>
      </bottom>
      <diagonal/>
    </border>
    <border>
      <left style="medium">
        <color indexed="64"/>
      </left>
      <right style="dashed">
        <color indexed="11"/>
      </right>
      <top style="medium">
        <color indexed="11"/>
      </top>
      <bottom style="medium">
        <color indexed="11"/>
      </bottom>
      <diagonal/>
    </border>
    <border>
      <left style="dashed">
        <color indexed="11"/>
      </left>
      <right style="dashed">
        <color indexed="11"/>
      </right>
      <top style="medium">
        <color indexed="11"/>
      </top>
      <bottom style="medium">
        <color indexed="1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12"/>
      </right>
      <top/>
      <bottom style="dashed">
        <color indexed="12"/>
      </bottom>
      <diagonal/>
    </border>
    <border>
      <left style="thin">
        <color indexed="64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indexed="64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rgb="FFC00000"/>
      </left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thin">
        <color rgb="FF00B0F0"/>
      </left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medium">
        <color rgb="FFFF0000"/>
      </left>
      <right style="medium">
        <color indexed="10"/>
      </right>
      <top style="medium">
        <color indexed="10"/>
      </top>
      <bottom style="thin">
        <color rgb="FF00FFFF"/>
      </bottom>
      <diagonal/>
    </border>
    <border>
      <left style="medium">
        <color rgb="FFC0000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medium">
        <color rgb="FFFF0000"/>
      </left>
      <right style="medium">
        <color indexed="10"/>
      </right>
      <top style="thin">
        <color rgb="FF00FFFF"/>
      </top>
      <bottom style="thin">
        <color rgb="FF00FFFF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10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indexed="10"/>
      </left>
      <right style="medium">
        <color indexed="10"/>
      </right>
      <top/>
      <bottom/>
      <diagonal/>
    </border>
  </borders>
  <cellStyleXfs count="9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26" borderId="5" applyNumberFormat="0" applyAlignment="0" applyProtection="0"/>
    <xf numFmtId="0" fontId="10" fillId="26" borderId="5" applyNumberFormat="0" applyAlignment="0" applyProtection="0"/>
    <xf numFmtId="0" fontId="11" fillId="27" borderId="6" applyNumberFormat="0" applyAlignment="0" applyProtection="0"/>
    <xf numFmtId="0" fontId="11" fillId="27" borderId="6" applyNumberFormat="0" applyAlignment="0" applyProtection="0"/>
    <xf numFmtId="167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13" borderId="5" applyNumberFormat="0" applyAlignment="0" applyProtection="0"/>
    <xf numFmtId="0" fontId="17" fillId="13" borderId="5" applyNumberFormat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2" fillId="0" borderId="0"/>
    <xf numFmtId="0" fontId="1" fillId="0" borderId="0"/>
    <xf numFmtId="0" fontId="24" fillId="0" borderId="0"/>
    <xf numFmtId="0" fontId="25" fillId="0" borderId="0"/>
    <xf numFmtId="0" fontId="6" fillId="29" borderId="11" applyNumberFormat="0" applyFont="0" applyAlignment="0" applyProtection="0"/>
    <xf numFmtId="0" fontId="6" fillId="29" borderId="11" applyNumberFormat="0" applyFont="0" applyAlignment="0" applyProtection="0"/>
    <xf numFmtId="0" fontId="20" fillId="26" borderId="12" applyNumberFormat="0" applyAlignment="0" applyProtection="0"/>
    <xf numFmtId="0" fontId="20" fillId="26" borderId="12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8" fillId="32" borderId="0" applyNumberFormat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</cellStyleXfs>
  <cellXfs count="222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6" borderId="1" xfId="1" applyNumberFormat="1" applyFont="1" applyFill="1" applyBorder="1" applyAlignment="1">
      <alignment wrapText="1"/>
    </xf>
    <xf numFmtId="9" fontId="0" fillId="6" borderId="1" xfId="4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vertical="center" wrapText="1"/>
    </xf>
    <xf numFmtId="164" fontId="0" fillId="7" borderId="1" xfId="1" applyNumberFormat="1" applyFont="1" applyFill="1" applyBorder="1" applyAlignment="1">
      <alignment wrapText="1"/>
    </xf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27" fillId="0" borderId="0" xfId="0" applyFont="1"/>
    <xf numFmtId="43" fontId="0" fillId="0" borderId="1" xfId="0" applyNumberFormat="1" applyBorder="1"/>
    <xf numFmtId="44" fontId="0" fillId="0" borderId="1" xfId="0" applyNumberFormat="1" applyBorder="1"/>
    <xf numFmtId="43" fontId="26" fillId="31" borderId="1" xfId="0" applyNumberFormat="1" applyFont="1" applyFill="1" applyBorder="1"/>
    <xf numFmtId="44" fontId="26" fillId="31" borderId="1" xfId="0" applyNumberFormat="1" applyFont="1" applyFill="1" applyBorder="1"/>
    <xf numFmtId="0" fontId="26" fillId="31" borderId="1" xfId="0" applyFont="1" applyFill="1" applyBorder="1" applyAlignment="1">
      <alignment horizontal="center"/>
    </xf>
    <xf numFmtId="0" fontId="26" fillId="31" borderId="1" xfId="0" applyFont="1" applyFill="1" applyBorder="1"/>
    <xf numFmtId="43" fontId="0" fillId="0" borderId="0" xfId="0" applyNumberFormat="1"/>
    <xf numFmtId="44" fontId="0" fillId="0" borderId="0" xfId="0" applyNumberFormat="1"/>
    <xf numFmtId="0" fontId="29" fillId="33" borderId="0" xfId="0" applyFont="1" applyFill="1" applyBorder="1" applyProtection="1">
      <protection hidden="1"/>
    </xf>
    <xf numFmtId="0" fontId="29" fillId="33" borderId="14" xfId="0" applyFont="1" applyFill="1" applyBorder="1" applyProtection="1">
      <protection hidden="1"/>
    </xf>
    <xf numFmtId="0" fontId="29" fillId="33" borderId="0" xfId="0" applyFont="1" applyFill="1" applyProtection="1">
      <protection hidden="1"/>
    </xf>
    <xf numFmtId="0" fontId="29" fillId="34" borderId="0" xfId="0" applyFont="1" applyFill="1" applyProtection="1">
      <protection hidden="1"/>
    </xf>
    <xf numFmtId="0" fontId="29" fillId="35" borderId="0" xfId="0" applyFont="1" applyFill="1" applyProtection="1">
      <protection hidden="1"/>
    </xf>
    <xf numFmtId="17" fontId="32" fillId="33" borderId="0" xfId="0" applyNumberFormat="1" applyFont="1" applyFill="1" applyBorder="1" applyAlignment="1" applyProtection="1">
      <protection hidden="1"/>
    </xf>
    <xf numFmtId="0" fontId="34" fillId="33" borderId="0" xfId="0" applyFont="1" applyFill="1" applyBorder="1" applyProtection="1">
      <protection hidden="1"/>
    </xf>
    <xf numFmtId="43" fontId="35" fillId="33" borderId="0" xfId="0" applyNumberFormat="1" applyFont="1" applyFill="1" applyBorder="1" applyProtection="1">
      <protection hidden="1"/>
    </xf>
    <xf numFmtId="0" fontId="36" fillId="37" borderId="15" xfId="0" applyFont="1" applyFill="1" applyBorder="1" applyAlignment="1" applyProtection="1">
      <alignment horizontal="center" vertical="center"/>
      <protection hidden="1"/>
    </xf>
    <xf numFmtId="0" fontId="38" fillId="33" borderId="0" xfId="0" applyFont="1" applyFill="1" applyAlignment="1" applyProtection="1">
      <alignment vertical="center"/>
      <protection hidden="1"/>
    </xf>
    <xf numFmtId="0" fontId="38" fillId="34" borderId="0" xfId="0" applyFont="1" applyFill="1" applyAlignment="1" applyProtection="1">
      <alignment vertical="center"/>
      <protection hidden="1"/>
    </xf>
    <xf numFmtId="0" fontId="38" fillId="0" borderId="0" xfId="0" applyFont="1" applyAlignment="1" applyProtection="1">
      <alignment vertical="center"/>
      <protection hidden="1"/>
    </xf>
    <xf numFmtId="0" fontId="39" fillId="38" borderId="16" xfId="0" applyFont="1" applyFill="1" applyBorder="1" applyAlignment="1" applyProtection="1">
      <alignment horizontal="left" vertical="center"/>
      <protection hidden="1"/>
    </xf>
    <xf numFmtId="168" fontId="40" fillId="39" borderId="17" xfId="0" applyNumberFormat="1" applyFont="1" applyFill="1" applyBorder="1" applyAlignment="1" applyProtection="1">
      <alignment vertical="center"/>
      <protection hidden="1"/>
    </xf>
    <xf numFmtId="0" fontId="29" fillId="33" borderId="0" xfId="0" applyFont="1" applyFill="1" applyAlignment="1" applyProtection="1">
      <alignment vertical="center"/>
      <protection hidden="1"/>
    </xf>
    <xf numFmtId="0" fontId="29" fillId="34" borderId="0" xfId="0" applyFont="1" applyFill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0" fontId="39" fillId="38" borderId="18" xfId="0" applyFont="1" applyFill="1" applyBorder="1" applyAlignment="1" applyProtection="1">
      <alignment horizontal="left" vertical="center"/>
      <protection hidden="1"/>
    </xf>
    <xf numFmtId="168" fontId="40" fillId="39" borderId="19" xfId="0" applyNumberFormat="1" applyFont="1" applyFill="1" applyBorder="1" applyAlignment="1" applyProtection="1">
      <alignment vertical="center"/>
      <protection hidden="1"/>
    </xf>
    <xf numFmtId="0" fontId="39" fillId="38" borderId="20" xfId="0" applyFont="1" applyFill="1" applyBorder="1" applyAlignment="1" applyProtection="1">
      <alignment horizontal="left" vertical="center"/>
      <protection hidden="1"/>
    </xf>
    <xf numFmtId="168" fontId="40" fillId="39" borderId="21" xfId="0" applyNumberFormat="1" applyFont="1" applyFill="1" applyBorder="1" applyAlignment="1" applyProtection="1">
      <alignment vertical="center"/>
      <protection hidden="1"/>
    </xf>
    <xf numFmtId="0" fontId="39" fillId="38" borderId="22" xfId="0" applyFont="1" applyFill="1" applyBorder="1" applyAlignment="1" applyProtection="1">
      <alignment horizontal="left" vertical="center"/>
      <protection hidden="1"/>
    </xf>
    <xf numFmtId="168" fontId="40" fillId="39" borderId="23" xfId="0" applyNumberFormat="1" applyFont="1" applyFill="1" applyBorder="1" applyAlignment="1" applyProtection="1">
      <alignment vertical="center"/>
      <protection hidden="1"/>
    </xf>
    <xf numFmtId="0" fontId="41" fillId="40" borderId="24" xfId="0" applyFont="1" applyFill="1" applyBorder="1" applyAlignment="1" applyProtection="1">
      <alignment horizontal="right" vertical="center"/>
      <protection hidden="1"/>
    </xf>
    <xf numFmtId="168" fontId="42" fillId="40" borderId="25" xfId="0" applyNumberFormat="1" applyFont="1" applyFill="1" applyBorder="1" applyAlignment="1" applyProtection="1">
      <alignment horizontal="right" vertical="center"/>
      <protection hidden="1"/>
    </xf>
    <xf numFmtId="0" fontId="29" fillId="33" borderId="0" xfId="0" applyFont="1" applyFill="1" applyAlignment="1" applyProtection="1">
      <alignment horizontal="right" vertical="center"/>
      <protection hidden="1"/>
    </xf>
    <xf numFmtId="0" fontId="29" fillId="34" borderId="0" xfId="0" applyFont="1" applyFill="1" applyAlignment="1" applyProtection="1">
      <alignment horizontal="right" vertical="center"/>
      <protection hidden="1"/>
    </xf>
    <xf numFmtId="0" fontId="29" fillId="35" borderId="0" xfId="0" applyFont="1" applyFill="1" applyAlignment="1" applyProtection="1">
      <alignment horizontal="right" vertical="center"/>
      <protection hidden="1"/>
    </xf>
    <xf numFmtId="0" fontId="29" fillId="33" borderId="26" xfId="0" applyFont="1" applyFill="1" applyBorder="1" applyProtection="1">
      <protection hidden="1"/>
    </xf>
    <xf numFmtId="40" fontId="29" fillId="33" borderId="0" xfId="0" applyNumberFormat="1" applyFont="1" applyFill="1" applyBorder="1" applyProtection="1">
      <protection hidden="1"/>
    </xf>
    <xf numFmtId="40" fontId="43" fillId="33" borderId="0" xfId="0" applyNumberFormat="1" applyFont="1" applyFill="1" applyBorder="1" applyProtection="1">
      <protection hidden="1"/>
    </xf>
    <xf numFmtId="49" fontId="29" fillId="33" borderId="26" xfId="0" applyNumberFormat="1" applyFont="1" applyFill="1" applyBorder="1" applyProtection="1">
      <protection hidden="1"/>
    </xf>
    <xf numFmtId="10" fontId="29" fillId="33" borderId="0" xfId="0" applyNumberFormat="1" applyFont="1" applyFill="1" applyBorder="1" applyProtection="1">
      <protection hidden="1"/>
    </xf>
    <xf numFmtId="169" fontId="40" fillId="39" borderId="17" xfId="0" applyNumberFormat="1" applyFont="1" applyFill="1" applyBorder="1" applyAlignment="1" applyProtection="1">
      <alignment vertical="center"/>
      <protection hidden="1"/>
    </xf>
    <xf numFmtId="169" fontId="40" fillId="39" borderId="19" xfId="0" applyNumberFormat="1" applyFont="1" applyFill="1" applyBorder="1" applyAlignment="1" applyProtection="1">
      <alignment vertical="center"/>
      <protection hidden="1"/>
    </xf>
    <xf numFmtId="169" fontId="40" fillId="39" borderId="21" xfId="0" applyNumberFormat="1" applyFont="1" applyFill="1" applyBorder="1" applyAlignment="1" applyProtection="1">
      <alignment vertical="center"/>
      <protection hidden="1"/>
    </xf>
    <xf numFmtId="169" fontId="40" fillId="39" borderId="23" xfId="0" applyNumberFormat="1" applyFont="1" applyFill="1" applyBorder="1" applyAlignment="1" applyProtection="1">
      <alignment vertical="center"/>
      <protection hidden="1"/>
    </xf>
    <xf numFmtId="169" fontId="42" fillId="40" borderId="25" xfId="0" applyNumberFormat="1" applyFont="1" applyFill="1" applyBorder="1" applyAlignment="1" applyProtection="1">
      <alignment horizontal="right" vertical="center"/>
      <protection hidden="1"/>
    </xf>
    <xf numFmtId="0" fontId="29" fillId="0" borderId="0" xfId="0" applyFont="1" applyProtection="1">
      <protection hidden="1"/>
    </xf>
    <xf numFmtId="43" fontId="39" fillId="38" borderId="18" xfId="1" applyFont="1" applyFill="1" applyBorder="1" applyAlignment="1" applyProtection="1">
      <alignment horizontal="left" vertical="center"/>
      <protection hidden="1"/>
    </xf>
    <xf numFmtId="44" fontId="40" fillId="39" borderId="17" xfId="95" applyFont="1" applyFill="1" applyBorder="1" applyAlignment="1" applyProtection="1">
      <alignment vertical="center"/>
      <protection hidden="1"/>
    </xf>
    <xf numFmtId="44" fontId="40" fillId="30" borderId="17" xfId="95" applyFont="1" applyFill="1" applyBorder="1" applyAlignment="1" applyProtection="1">
      <alignment vertical="center"/>
      <protection hidden="1"/>
    </xf>
    <xf numFmtId="0" fontId="36" fillId="2" borderId="1" xfId="0" applyFont="1" applyFill="1" applyBorder="1" applyAlignment="1" applyProtection="1">
      <alignment horizontal="center" vertical="center" wrapText="1"/>
      <protection hidden="1"/>
    </xf>
    <xf numFmtId="0" fontId="36" fillId="5" borderId="1" xfId="0" applyFont="1" applyFill="1" applyBorder="1" applyAlignment="1" applyProtection="1">
      <alignment horizontal="center" vertical="center" wrapText="1"/>
      <protection hidden="1"/>
    </xf>
    <xf numFmtId="0" fontId="36" fillId="30" borderId="1" xfId="0" applyFont="1" applyFill="1" applyBorder="1" applyAlignment="1" applyProtection="1">
      <alignment horizontal="center" vertical="center" wrapText="1"/>
      <protection hidden="1"/>
    </xf>
    <xf numFmtId="41" fontId="40" fillId="41" borderId="17" xfId="95" applyNumberFormat="1" applyFont="1" applyFill="1" applyBorder="1" applyAlignment="1" applyProtection="1">
      <alignment vertical="center"/>
      <protection hidden="1"/>
    </xf>
    <xf numFmtId="43" fontId="40" fillId="39" borderId="17" xfId="0" applyNumberFormat="1" applyFont="1" applyFill="1" applyBorder="1" applyAlignment="1" applyProtection="1">
      <alignment vertical="center"/>
      <protection hidden="1"/>
    </xf>
    <xf numFmtId="43" fontId="42" fillId="40" borderId="25" xfId="0" applyNumberFormat="1" applyFont="1" applyFill="1" applyBorder="1" applyAlignment="1" applyProtection="1">
      <alignment horizontal="right" vertical="center"/>
      <protection hidden="1"/>
    </xf>
    <xf numFmtId="170" fontId="33" fillId="33" borderId="0" xfId="0" applyNumberFormat="1" applyFont="1" applyFill="1" applyBorder="1" applyAlignment="1" applyProtection="1">
      <alignment horizontal="right"/>
      <protection hidden="1"/>
    </xf>
    <xf numFmtId="41" fontId="35" fillId="41" borderId="17" xfId="95" applyNumberFormat="1" applyFont="1" applyFill="1" applyBorder="1" applyAlignment="1" applyProtection="1">
      <alignment vertical="center"/>
      <protection hidden="1"/>
    </xf>
    <xf numFmtId="44" fontId="35" fillId="30" borderId="17" xfId="95" applyFont="1" applyFill="1" applyBorder="1" applyAlignment="1" applyProtection="1">
      <alignment vertical="center"/>
      <protection hidden="1"/>
    </xf>
    <xf numFmtId="44" fontId="35" fillId="39" borderId="17" xfId="95" applyFont="1" applyFill="1" applyBorder="1" applyAlignment="1" applyProtection="1">
      <alignment vertical="center"/>
      <protection hidden="1"/>
    </xf>
    <xf numFmtId="17" fontId="37" fillId="37" borderId="1" xfId="0" applyNumberFormat="1" applyFont="1" applyFill="1" applyBorder="1" applyAlignment="1" applyProtection="1">
      <alignment horizontal="center" vertical="center"/>
      <protection hidden="1"/>
    </xf>
    <xf numFmtId="0" fontId="33" fillId="33" borderId="0" xfId="0" applyFont="1" applyFill="1" applyBorder="1" applyAlignment="1" applyProtection="1">
      <alignment horizontal="right"/>
      <protection hidden="1"/>
    </xf>
    <xf numFmtId="171" fontId="0" fillId="7" borderId="1" xfId="1" applyNumberFormat="1" applyFont="1" applyFill="1" applyBorder="1" applyAlignment="1">
      <alignment wrapText="1"/>
    </xf>
    <xf numFmtId="44" fontId="0" fillId="6" borderId="1" xfId="95" applyFont="1" applyFill="1" applyBorder="1" applyAlignment="1">
      <alignment wrapText="1"/>
    </xf>
    <xf numFmtId="0" fontId="3" fillId="43" borderId="0" xfId="0" applyFont="1" applyFill="1" applyBorder="1"/>
    <xf numFmtId="9" fontId="0" fillId="43" borderId="0" xfId="4" applyFont="1" applyFill="1" applyBorder="1" applyAlignment="1">
      <alignment horizontal="center" wrapText="1"/>
    </xf>
    <xf numFmtId="0" fontId="0" fillId="43" borderId="0" xfId="0" applyFill="1"/>
    <xf numFmtId="0" fontId="0" fillId="0" borderId="30" xfId="0" applyBorder="1" applyAlignment="1"/>
    <xf numFmtId="9" fontId="0" fillId="6" borderId="2" xfId="4" applyFont="1" applyFill="1" applyBorder="1" applyAlignment="1">
      <alignment wrapText="1"/>
    </xf>
    <xf numFmtId="9" fontId="0" fillId="6" borderId="3" xfId="4" applyFont="1" applyFill="1" applyBorder="1" applyAlignment="1">
      <alignment wrapText="1"/>
    </xf>
    <xf numFmtId="0" fontId="0" fillId="44" borderId="0" xfId="0" applyFill="1" applyProtection="1">
      <protection hidden="1"/>
    </xf>
    <xf numFmtId="0" fontId="44" fillId="5" borderId="26" xfId="0" applyFont="1" applyFill="1" applyBorder="1" applyAlignment="1" applyProtection="1">
      <alignment horizontal="center" vertical="center" wrapText="1"/>
      <protection hidden="1"/>
    </xf>
    <xf numFmtId="0" fontId="44" fillId="5" borderId="0" xfId="0" applyFont="1" applyFill="1" applyBorder="1" applyAlignment="1" applyProtection="1">
      <alignment horizontal="center" vertical="center"/>
      <protection hidden="1"/>
    </xf>
    <xf numFmtId="0" fontId="44" fillId="5" borderId="0" xfId="0" applyFont="1" applyFill="1" applyAlignment="1" applyProtection="1">
      <alignment horizontal="center" vertical="center"/>
      <protection hidden="1"/>
    </xf>
    <xf numFmtId="0" fontId="44" fillId="44" borderId="0" xfId="0" applyFont="1" applyFill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 vertical="center"/>
      <protection hidden="1"/>
    </xf>
    <xf numFmtId="0" fontId="47" fillId="46" borderId="32" xfId="0" applyFont="1" applyFill="1" applyBorder="1" applyAlignment="1" applyProtection="1">
      <alignment horizontal="center" vertical="center" wrapText="1"/>
      <protection hidden="1"/>
    </xf>
    <xf numFmtId="0" fontId="47" fillId="33" borderId="0" xfId="0" applyFont="1" applyFill="1" applyBorder="1" applyAlignment="1" applyProtection="1">
      <alignment horizontal="center" vertical="center"/>
      <protection hidden="1"/>
    </xf>
    <xf numFmtId="0" fontId="47" fillId="47" borderId="33" xfId="0" applyFont="1" applyFill="1" applyBorder="1" applyAlignment="1" applyProtection="1">
      <alignment horizontal="center" vertical="center" wrapText="1"/>
      <protection hidden="1"/>
    </xf>
    <xf numFmtId="0" fontId="47" fillId="47" borderId="34" xfId="0" applyFont="1" applyFill="1" applyBorder="1" applyAlignment="1" applyProtection="1">
      <alignment horizontal="center" vertical="center" wrapText="1"/>
      <protection hidden="1"/>
    </xf>
    <xf numFmtId="0" fontId="48" fillId="5" borderId="0" xfId="0" applyFont="1" applyFill="1" applyAlignment="1" applyProtection="1">
      <alignment horizontal="center" vertical="center"/>
      <protection hidden="1"/>
    </xf>
    <xf numFmtId="0" fontId="48" fillId="44" borderId="0" xfId="0" applyFont="1" applyFill="1" applyAlignment="1" applyProtection="1">
      <alignment horizontal="center" vertical="center"/>
      <protection hidden="1"/>
    </xf>
    <xf numFmtId="0" fontId="48" fillId="0" borderId="0" xfId="0" applyFont="1" applyAlignment="1" applyProtection="1">
      <alignment horizontal="center" vertical="center"/>
      <protection hidden="1"/>
    </xf>
    <xf numFmtId="15" fontId="49" fillId="46" borderId="35" xfId="0" applyNumberFormat="1" applyFont="1" applyFill="1" applyBorder="1" applyAlignment="1" applyProtection="1">
      <alignment horizontal="center" vertical="center"/>
      <protection hidden="1"/>
    </xf>
    <xf numFmtId="0" fontId="50" fillId="33" borderId="0" xfId="0" applyFont="1" applyFill="1" applyBorder="1" applyAlignment="1" applyProtection="1">
      <alignment vertical="center"/>
      <protection hidden="1"/>
    </xf>
    <xf numFmtId="43" fontId="51" fillId="37" borderId="36" xfId="1" applyNumberFormat="1" applyFont="1" applyFill="1" applyBorder="1" applyAlignment="1" applyProtection="1">
      <alignment vertical="center"/>
      <protection hidden="1"/>
    </xf>
    <xf numFmtId="166" fontId="51" fillId="37" borderId="36" xfId="1" applyNumberFormat="1" applyFont="1" applyFill="1" applyBorder="1" applyAlignment="1" applyProtection="1">
      <alignment vertical="center"/>
      <protection hidden="1"/>
    </xf>
    <xf numFmtId="166" fontId="51" fillId="37" borderId="37" xfId="1" applyNumberFormat="1" applyFont="1" applyFill="1" applyBorder="1" applyAlignment="1" applyProtection="1">
      <alignment vertical="center"/>
      <protection hidden="1"/>
    </xf>
    <xf numFmtId="0" fontId="50" fillId="5" borderId="0" xfId="0" applyFont="1" applyFill="1" applyAlignment="1" applyProtection="1">
      <alignment vertical="center"/>
      <protection hidden="1"/>
    </xf>
    <xf numFmtId="0" fontId="50" fillId="44" borderId="0" xfId="0" applyFont="1" applyFill="1" applyAlignment="1" applyProtection="1">
      <alignment vertical="center"/>
      <protection hidden="1"/>
    </xf>
    <xf numFmtId="168" fontId="51" fillId="37" borderId="36" xfId="1" applyNumberFormat="1" applyFont="1" applyFill="1" applyBorder="1" applyAlignment="1" applyProtection="1">
      <alignment vertical="center"/>
      <protection hidden="1"/>
    </xf>
    <xf numFmtId="168" fontId="51" fillId="37" borderId="37" xfId="1" applyNumberFormat="1" applyFont="1" applyFill="1" applyBorder="1" applyAlignment="1" applyProtection="1">
      <alignment vertical="center"/>
      <protection hidden="1"/>
    </xf>
    <xf numFmtId="0" fontId="50" fillId="0" borderId="0" xfId="0" applyFont="1" applyAlignment="1" applyProtection="1">
      <alignment vertical="center"/>
      <protection hidden="1"/>
    </xf>
    <xf numFmtId="15" fontId="49" fillId="46" borderId="38" xfId="0" applyNumberFormat="1" applyFont="1" applyFill="1" applyBorder="1" applyAlignment="1" applyProtection="1">
      <alignment horizontal="center" vertical="center"/>
      <protection hidden="1"/>
    </xf>
    <xf numFmtId="0" fontId="52" fillId="40" borderId="32" xfId="0" applyFont="1" applyFill="1" applyBorder="1" applyAlignment="1" applyProtection="1">
      <alignment horizontal="center" vertical="center" wrapText="1"/>
      <protection hidden="1"/>
    </xf>
    <xf numFmtId="0" fontId="53" fillId="33" borderId="0" xfId="0" applyFont="1" applyFill="1" applyBorder="1" applyAlignment="1" applyProtection="1">
      <alignment vertical="center"/>
      <protection hidden="1"/>
    </xf>
    <xf numFmtId="43" fontId="54" fillId="40" borderId="39" xfId="0" applyNumberFormat="1" applyFont="1" applyFill="1" applyBorder="1" applyAlignment="1" applyProtection="1">
      <alignment horizontal="center" vertical="center" wrapText="1"/>
      <protection hidden="1"/>
    </xf>
    <xf numFmtId="166" fontId="54" fillId="40" borderId="39" xfId="0" applyNumberFormat="1" applyFont="1" applyFill="1" applyBorder="1" applyAlignment="1" applyProtection="1">
      <alignment horizontal="center" vertical="center" wrapText="1"/>
      <protection hidden="1"/>
    </xf>
    <xf numFmtId="0" fontId="55" fillId="5" borderId="0" xfId="0" applyFont="1" applyFill="1" applyAlignment="1" applyProtection="1">
      <alignment vertical="center"/>
      <protection hidden="1"/>
    </xf>
    <xf numFmtId="0" fontId="55" fillId="44" borderId="0" xfId="0" applyFont="1" applyFill="1" applyAlignment="1" applyProtection="1">
      <alignment vertical="center"/>
      <protection hidden="1"/>
    </xf>
    <xf numFmtId="168" fontId="54" fillId="40" borderId="39" xfId="0" applyNumberFormat="1" applyFont="1" applyFill="1" applyBorder="1" applyAlignment="1" applyProtection="1">
      <alignment horizontal="center" vertical="center" wrapText="1"/>
      <protection hidden="1"/>
    </xf>
    <xf numFmtId="0" fontId="55" fillId="0" borderId="0" xfId="0" applyFont="1" applyAlignment="1" applyProtection="1">
      <alignment vertical="center"/>
      <protection hidden="1"/>
    </xf>
    <xf numFmtId="0" fontId="56" fillId="40" borderId="32" xfId="0" applyFont="1" applyFill="1" applyBorder="1" applyAlignment="1" applyProtection="1">
      <alignment horizontal="right" vertical="center" wrapText="1"/>
      <protection hidden="1"/>
    </xf>
    <xf numFmtId="43" fontId="54" fillId="40" borderId="40" xfId="0" applyNumberFormat="1" applyFont="1" applyFill="1" applyBorder="1" applyAlignment="1" applyProtection="1">
      <alignment horizontal="center" vertical="center" wrapText="1"/>
      <protection hidden="1"/>
    </xf>
    <xf numFmtId="166" fontId="54" fillId="40" borderId="40" xfId="0" applyNumberFormat="1" applyFont="1" applyFill="1" applyBorder="1" applyAlignment="1" applyProtection="1">
      <alignment horizontal="center" vertical="center" wrapText="1"/>
      <protection hidden="1"/>
    </xf>
    <xf numFmtId="168" fontId="54" fillId="40" borderId="40" xfId="0" applyNumberFormat="1" applyFont="1" applyFill="1" applyBorder="1" applyAlignment="1" applyProtection="1">
      <alignment horizontal="center" vertical="center" wrapText="1"/>
      <protection hidden="1"/>
    </xf>
    <xf numFmtId="0" fontId="0" fillId="33" borderId="26" xfId="0" applyFill="1" applyBorder="1" applyAlignment="1" applyProtection="1">
      <alignment vertical="center"/>
      <protection hidden="1"/>
    </xf>
    <xf numFmtId="0" fontId="58" fillId="33" borderId="26" xfId="0" applyFont="1" applyFill="1" applyBorder="1" applyAlignment="1" applyProtection="1">
      <alignment horizontal="right" vertical="center"/>
      <protection hidden="1"/>
    </xf>
    <xf numFmtId="0" fontId="0" fillId="33" borderId="0" xfId="0" applyFill="1" applyBorder="1" applyAlignment="1" applyProtection="1">
      <alignment vertical="center"/>
      <protection hidden="1"/>
    </xf>
    <xf numFmtId="0" fontId="0" fillId="5" borderId="0" xfId="0" applyFill="1" applyAlignment="1" applyProtection="1">
      <alignment vertical="center"/>
      <protection hidden="1"/>
    </xf>
    <xf numFmtId="0" fontId="0" fillId="44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43" fontId="59" fillId="33" borderId="0" xfId="0" applyNumberFormat="1" applyFont="1" applyFill="1" applyBorder="1" applyAlignment="1" applyProtection="1">
      <alignment vertical="center"/>
      <protection hidden="1"/>
    </xf>
    <xf numFmtId="0" fontId="0" fillId="5" borderId="26" xfId="0" applyFill="1" applyBorder="1" applyAlignment="1" applyProtection="1">
      <alignment vertical="center"/>
      <protection hidden="1"/>
    </xf>
    <xf numFmtId="0" fontId="0" fillId="5" borderId="0" xfId="0" applyFill="1" applyBorder="1" applyAlignment="1" applyProtection="1">
      <alignment vertical="center"/>
      <protection hidden="1"/>
    </xf>
    <xf numFmtId="0" fontId="50" fillId="5" borderId="0" xfId="0" applyNumberFormat="1" applyFont="1" applyFill="1" applyBorder="1" applyAlignment="1" applyProtection="1">
      <alignment horizontal="center" vertical="center" wrapText="1"/>
      <protection hidden="1"/>
    </xf>
    <xf numFmtId="0" fontId="0" fillId="5" borderId="43" xfId="0" applyFill="1" applyBorder="1" applyAlignment="1" applyProtection="1">
      <alignment vertical="center"/>
      <protection hidden="1"/>
    </xf>
    <xf numFmtId="0" fontId="0" fillId="5" borderId="44" xfId="0" applyFill="1" applyBorder="1" applyAlignment="1" applyProtection="1">
      <alignment vertical="center"/>
      <protection hidden="1"/>
    </xf>
    <xf numFmtId="0" fontId="2" fillId="44" borderId="0" xfId="0" applyFont="1" applyFill="1" applyAlignment="1" applyProtection="1">
      <alignment vertical="center"/>
      <protection hidden="1"/>
    </xf>
    <xf numFmtId="0" fontId="2" fillId="48" borderId="0" xfId="0" applyFont="1" applyFill="1" applyAlignment="1" applyProtection="1">
      <alignment vertical="center"/>
      <protection hidden="1"/>
    </xf>
    <xf numFmtId="15" fontId="2" fillId="48" borderId="0" xfId="0" applyNumberFormat="1" applyFont="1" applyFill="1" applyAlignment="1" applyProtection="1">
      <alignment vertic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2" fillId="48" borderId="0" xfId="0" applyFont="1" applyFill="1" applyProtection="1">
      <protection hidden="1"/>
    </xf>
    <xf numFmtId="0" fontId="2" fillId="44" borderId="0" xfId="0" applyFont="1" applyFill="1" applyProtection="1">
      <protection hidden="1"/>
    </xf>
    <xf numFmtId="0" fontId="2" fillId="0" borderId="0" xfId="0" applyFont="1" applyFill="1" applyProtection="1">
      <protection hidden="1"/>
    </xf>
    <xf numFmtId="0" fontId="0" fillId="48" borderId="0" xfId="0" applyFill="1" applyProtection="1">
      <protection hidden="1"/>
    </xf>
    <xf numFmtId="0" fontId="0" fillId="0" borderId="0" xfId="0" applyProtection="1">
      <protection hidden="1"/>
    </xf>
    <xf numFmtId="43" fontId="51" fillId="37" borderId="45" xfId="1" applyNumberFormat="1" applyFont="1" applyFill="1" applyBorder="1" applyAlignment="1" applyProtection="1">
      <alignment vertical="center"/>
      <protection hidden="1"/>
    </xf>
    <xf numFmtId="43" fontId="51" fillId="37" borderId="46" xfId="1" applyNumberFormat="1" applyFont="1" applyFill="1" applyBorder="1" applyAlignment="1" applyProtection="1">
      <alignment vertical="center"/>
      <protection hidden="1"/>
    </xf>
    <xf numFmtId="166" fontId="51" fillId="37" borderId="45" xfId="1" applyNumberFormat="1" applyFont="1" applyFill="1" applyBorder="1" applyAlignment="1" applyProtection="1">
      <alignment vertical="center"/>
      <protection hidden="1"/>
    </xf>
    <xf numFmtId="166" fontId="51" fillId="37" borderId="46" xfId="1" applyNumberFormat="1" applyFont="1" applyFill="1" applyBorder="1" applyAlignment="1" applyProtection="1">
      <alignment vertical="center"/>
      <protection hidden="1"/>
    </xf>
    <xf numFmtId="168" fontId="51" fillId="37" borderId="45" xfId="1" applyNumberFormat="1" applyFont="1" applyFill="1" applyBorder="1" applyAlignment="1" applyProtection="1">
      <alignment vertical="center"/>
      <protection hidden="1"/>
    </xf>
    <xf numFmtId="168" fontId="51" fillId="37" borderId="46" xfId="1" applyNumberFormat="1" applyFont="1" applyFill="1" applyBorder="1" applyAlignment="1" applyProtection="1">
      <alignment vertical="center"/>
      <protection hidden="1"/>
    </xf>
    <xf numFmtId="0" fontId="60" fillId="40" borderId="32" xfId="0" applyFont="1" applyFill="1" applyBorder="1" applyAlignment="1" applyProtection="1">
      <alignment horizontal="right" vertical="center" wrapText="1"/>
      <protection hidden="1"/>
    </xf>
    <xf numFmtId="0" fontId="2" fillId="33" borderId="26" xfId="0" applyFont="1" applyFill="1" applyBorder="1" applyAlignment="1" applyProtection="1">
      <alignment vertical="center"/>
      <protection hidden="1"/>
    </xf>
    <xf numFmtId="0" fontId="2" fillId="33" borderId="0" xfId="0" applyFont="1" applyFill="1" applyBorder="1" applyAlignment="1" applyProtection="1">
      <alignment vertical="center"/>
      <protection hidden="1"/>
    </xf>
    <xf numFmtId="0" fontId="2" fillId="5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0" fillId="0" borderId="30" xfId="0" applyBorder="1"/>
    <xf numFmtId="0" fontId="3" fillId="0" borderId="4" xfId="0" applyFont="1" applyBorder="1"/>
    <xf numFmtId="0" fontId="3" fillId="0" borderId="4" xfId="0" applyFont="1" applyFill="1" applyBorder="1"/>
    <xf numFmtId="0" fontId="0" fillId="33" borderId="0" xfId="0" applyFill="1" applyBorder="1" applyAlignment="1" applyProtection="1">
      <alignment horizontal="center" vertical="center"/>
      <protection hidden="1"/>
    </xf>
    <xf numFmtId="0" fontId="53" fillId="33" borderId="54" xfId="0" applyFont="1" applyFill="1" applyBorder="1" applyAlignment="1" applyProtection="1">
      <alignment vertical="center"/>
      <protection hidden="1"/>
    </xf>
    <xf numFmtId="0" fontId="63" fillId="40" borderId="32" xfId="0" applyFont="1" applyFill="1" applyBorder="1" applyAlignment="1" applyProtection="1">
      <alignment horizontal="right" vertical="center" wrapText="1"/>
      <protection hidden="1"/>
    </xf>
    <xf numFmtId="0" fontId="64" fillId="33" borderId="0" xfId="0" applyFont="1" applyFill="1" applyBorder="1" applyAlignment="1" applyProtection="1">
      <alignment vertical="center"/>
      <protection hidden="1"/>
    </xf>
    <xf numFmtId="0" fontId="66" fillId="5" borderId="0" xfId="0" applyFont="1" applyFill="1" applyAlignment="1" applyProtection="1">
      <alignment vertical="center"/>
      <protection hidden="1"/>
    </xf>
    <xf numFmtId="0" fontId="66" fillId="44" borderId="0" xfId="0" applyFont="1" applyFill="1" applyAlignment="1" applyProtection="1">
      <alignment vertical="center"/>
      <protection hidden="1"/>
    </xf>
    <xf numFmtId="0" fontId="66" fillId="0" borderId="0" xfId="0" applyFont="1" applyAlignment="1" applyProtection="1">
      <alignment vertical="center"/>
      <protection hidden="1"/>
    </xf>
    <xf numFmtId="0" fontId="67" fillId="0" borderId="0" xfId="0" applyFont="1"/>
    <xf numFmtId="0" fontId="68" fillId="0" borderId="0" xfId="0" applyFont="1"/>
    <xf numFmtId="0" fontId="69" fillId="37" borderId="1" xfId="0" applyFont="1" applyFill="1" applyBorder="1" applyAlignment="1" applyProtection="1">
      <alignment horizontal="center" vertical="center"/>
      <protection hidden="1"/>
    </xf>
    <xf numFmtId="0" fontId="70" fillId="38" borderId="18" xfId="0" applyFont="1" applyFill="1" applyBorder="1" applyAlignment="1" applyProtection="1">
      <alignment horizontal="center" vertical="center"/>
      <protection hidden="1"/>
    </xf>
    <xf numFmtId="0" fontId="70" fillId="38" borderId="18" xfId="0" applyFont="1" applyFill="1" applyBorder="1" applyAlignment="1" applyProtection="1">
      <alignment horizontal="left" vertical="center"/>
      <protection hidden="1"/>
    </xf>
    <xf numFmtId="43" fontId="71" fillId="39" borderId="17" xfId="95" applyNumberFormat="1" applyFont="1" applyFill="1" applyBorder="1" applyAlignment="1" applyProtection="1">
      <alignment vertical="center"/>
      <protection hidden="1"/>
    </xf>
    <xf numFmtId="44" fontId="71" fillId="39" borderId="17" xfId="95" applyFont="1" applyFill="1" applyBorder="1" applyAlignment="1" applyProtection="1">
      <alignment vertical="center"/>
      <protection hidden="1"/>
    </xf>
    <xf numFmtId="43" fontId="70" fillId="38" borderId="18" xfId="1" applyFont="1" applyFill="1" applyBorder="1" applyAlignment="1" applyProtection="1">
      <alignment horizontal="left" vertical="center"/>
      <protection hidden="1"/>
    </xf>
    <xf numFmtId="0" fontId="70" fillId="38" borderId="20" xfId="0" applyFont="1" applyFill="1" applyBorder="1" applyAlignment="1" applyProtection="1">
      <alignment horizontal="left" vertical="center"/>
      <protection hidden="1"/>
    </xf>
    <xf numFmtId="43" fontId="73" fillId="3" borderId="29" xfId="95" applyNumberFormat="1" applyFont="1" applyFill="1" applyBorder="1" applyAlignment="1" applyProtection="1">
      <alignment vertical="center"/>
      <protection hidden="1"/>
    </xf>
    <xf numFmtId="44" fontId="73" fillId="3" borderId="17" xfId="95" applyFont="1" applyFill="1" applyBorder="1" applyAlignment="1" applyProtection="1">
      <alignment vertical="center"/>
      <protection hidden="1"/>
    </xf>
    <xf numFmtId="0" fontId="61" fillId="0" borderId="27" xfId="0" applyFont="1" applyBorder="1" applyAlignment="1">
      <alignment horizontal="center" vertical="center" textRotation="90"/>
    </xf>
    <xf numFmtId="0" fontId="61" fillId="0" borderId="50" xfId="0" applyFont="1" applyBorder="1" applyAlignment="1">
      <alignment horizontal="center" vertical="center" textRotation="90"/>
    </xf>
    <xf numFmtId="0" fontId="61" fillId="0" borderId="28" xfId="0" applyFont="1" applyBorder="1" applyAlignment="1">
      <alignment horizontal="center" vertical="center" textRotation="90"/>
    </xf>
    <xf numFmtId="0" fontId="3" fillId="42" borderId="48" xfId="0" applyFont="1" applyFill="1" applyBorder="1" applyAlignment="1">
      <alignment horizontal="center" vertical="center"/>
    </xf>
    <xf numFmtId="0" fontId="3" fillId="42" borderId="49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9" fontId="0" fillId="6" borderId="2" xfId="4" applyFont="1" applyFill="1" applyBorder="1" applyAlignment="1">
      <alignment horizontal="center" wrapText="1"/>
    </xf>
    <xf numFmtId="9" fontId="0" fillId="6" borderId="3" xfId="4" applyFont="1" applyFill="1" applyBorder="1" applyAlignment="1">
      <alignment horizontal="center" wrapText="1"/>
    </xf>
    <xf numFmtId="9" fontId="0" fillId="6" borderId="4" xfId="4" applyFont="1" applyFill="1" applyBorder="1" applyAlignment="1">
      <alignment horizontal="center" wrapText="1"/>
    </xf>
    <xf numFmtId="168" fontId="65" fillId="40" borderId="41" xfId="0" applyNumberFormat="1" applyFont="1" applyFill="1" applyBorder="1" applyAlignment="1" applyProtection="1">
      <alignment horizontal="center" vertical="center" wrapText="1"/>
      <protection hidden="1"/>
    </xf>
    <xf numFmtId="168" fontId="65" fillId="40" borderId="42" xfId="0" applyNumberFormat="1" applyFont="1" applyFill="1" applyBorder="1" applyAlignment="1" applyProtection="1">
      <alignment horizontal="center" vertical="center" wrapText="1"/>
      <protection hidden="1"/>
    </xf>
    <xf numFmtId="0" fontId="26" fillId="33" borderId="41" xfId="0" applyFont="1" applyFill="1" applyBorder="1" applyAlignment="1" applyProtection="1">
      <alignment horizontal="center" vertical="center" wrapText="1"/>
      <protection hidden="1"/>
    </xf>
    <xf numFmtId="0" fontId="26" fillId="33" borderId="42" xfId="0" applyFont="1" applyFill="1" applyBorder="1" applyAlignment="1" applyProtection="1">
      <alignment horizontal="center" vertical="center"/>
      <protection hidden="1"/>
    </xf>
    <xf numFmtId="0" fontId="46" fillId="45" borderId="51" xfId="97" applyFont="1" applyFill="1" applyBorder="1" applyAlignment="1" applyProtection="1">
      <alignment horizontal="center" vertical="center" wrapText="1"/>
      <protection hidden="1"/>
    </xf>
    <xf numFmtId="0" fontId="46" fillId="45" borderId="52" xfId="97" applyFont="1" applyFill="1" applyBorder="1" applyAlignment="1" applyProtection="1">
      <alignment horizontal="center" vertical="center" wrapText="1"/>
      <protection hidden="1"/>
    </xf>
    <xf numFmtId="0" fontId="46" fillId="45" borderId="53" xfId="97" applyFont="1" applyFill="1" applyBorder="1" applyAlignment="1" applyProtection="1">
      <alignment horizontal="center" vertical="center" wrapText="1"/>
      <protection hidden="1"/>
    </xf>
    <xf numFmtId="0" fontId="26" fillId="33" borderId="41" xfId="0" applyFont="1" applyFill="1" applyBorder="1" applyAlignment="1" applyProtection="1">
      <alignment horizontal="center" vertical="center"/>
      <protection hidden="1"/>
    </xf>
    <xf numFmtId="43" fontId="65" fillId="40" borderId="41" xfId="0" applyNumberFormat="1" applyFont="1" applyFill="1" applyBorder="1" applyAlignment="1" applyProtection="1">
      <alignment horizontal="center" vertical="center" wrapText="1"/>
      <protection hidden="1"/>
    </xf>
    <xf numFmtId="43" fontId="65" fillId="40" borderId="42" xfId="0" applyNumberFormat="1" applyFont="1" applyFill="1" applyBorder="1" applyAlignment="1" applyProtection="1">
      <alignment horizontal="center" vertical="center" wrapText="1"/>
      <protection hidden="1"/>
    </xf>
    <xf numFmtId="166" fontId="65" fillId="40" borderId="41" xfId="0" applyNumberFormat="1" applyFont="1" applyFill="1" applyBorder="1" applyAlignment="1" applyProtection="1">
      <alignment horizontal="center" vertical="center" wrapText="1"/>
      <protection hidden="1"/>
    </xf>
    <xf numFmtId="166" fontId="65" fillId="40" borderId="42" xfId="0" applyNumberFormat="1" applyFont="1" applyFill="1" applyBorder="1" applyAlignment="1" applyProtection="1">
      <alignment horizontal="center" vertical="center" wrapText="1"/>
      <protection hidden="1"/>
    </xf>
    <xf numFmtId="168" fontId="57" fillId="40" borderId="41" xfId="0" applyNumberFormat="1" applyFont="1" applyFill="1" applyBorder="1" applyAlignment="1" applyProtection="1">
      <alignment horizontal="center" vertical="center" wrapText="1"/>
      <protection hidden="1"/>
    </xf>
    <xf numFmtId="168" fontId="57" fillId="40" borderId="42" xfId="0" applyNumberFormat="1" applyFont="1" applyFill="1" applyBorder="1" applyAlignment="1" applyProtection="1">
      <alignment horizontal="center" vertical="center" wrapText="1"/>
      <protection hidden="1"/>
    </xf>
    <xf numFmtId="0" fontId="46" fillId="45" borderId="31" xfId="97" applyFont="1" applyFill="1" applyBorder="1" applyAlignment="1" applyProtection="1">
      <alignment horizontal="center" vertical="center" wrapText="1"/>
      <protection hidden="1"/>
    </xf>
    <xf numFmtId="0" fontId="26" fillId="33" borderId="40" xfId="0" applyFont="1" applyFill="1" applyBorder="1" applyAlignment="1" applyProtection="1">
      <alignment horizontal="center" vertical="center"/>
      <protection hidden="1"/>
    </xf>
    <xf numFmtId="43" fontId="57" fillId="40" borderId="41" xfId="0" applyNumberFormat="1" applyFont="1" applyFill="1" applyBorder="1" applyAlignment="1" applyProtection="1">
      <alignment horizontal="center" vertical="center" wrapText="1"/>
      <protection hidden="1"/>
    </xf>
    <xf numFmtId="43" fontId="57" fillId="40" borderId="42" xfId="0" applyNumberFormat="1" applyFont="1" applyFill="1" applyBorder="1" applyAlignment="1" applyProtection="1">
      <alignment horizontal="center" vertical="center" wrapText="1"/>
      <protection hidden="1"/>
    </xf>
    <xf numFmtId="166" fontId="57" fillId="40" borderId="41" xfId="0" applyNumberFormat="1" applyFont="1" applyFill="1" applyBorder="1" applyAlignment="1" applyProtection="1">
      <alignment horizontal="center" vertical="center" wrapText="1"/>
      <protection hidden="1"/>
    </xf>
    <xf numFmtId="166" fontId="57" fillId="40" borderId="42" xfId="0" applyNumberFormat="1" applyFont="1" applyFill="1" applyBorder="1" applyAlignment="1" applyProtection="1">
      <alignment horizontal="center" vertical="center" wrapText="1"/>
      <protection hidden="1"/>
    </xf>
    <xf numFmtId="0" fontId="30" fillId="36" borderId="0" xfId="96" applyFont="1" applyFill="1" applyBorder="1" applyAlignment="1" applyProtection="1">
      <alignment horizontal="center" vertical="center"/>
      <protection hidden="1"/>
    </xf>
    <xf numFmtId="17" fontId="31" fillId="36" borderId="0" xfId="96" applyNumberFormat="1" applyFont="1" applyFill="1" applyBorder="1" applyAlignment="1" applyProtection="1">
      <alignment horizontal="center" vertical="center"/>
      <protection hidden="1"/>
    </xf>
    <xf numFmtId="0" fontId="31" fillId="36" borderId="0" xfId="96" applyFont="1" applyFill="1" applyBorder="1" applyAlignment="1" applyProtection="1">
      <alignment horizontal="center" vertical="center"/>
      <protection hidden="1"/>
    </xf>
    <xf numFmtId="0" fontId="33" fillId="33" borderId="0" xfId="0" applyFont="1" applyFill="1" applyBorder="1" applyAlignment="1" applyProtection="1">
      <alignment horizontal="right"/>
      <protection hidden="1"/>
    </xf>
    <xf numFmtId="0" fontId="33" fillId="33" borderId="47" xfId="0" applyFont="1" applyFill="1" applyBorder="1" applyAlignment="1" applyProtection="1">
      <alignment horizontal="right"/>
      <protection hidden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30" borderId="1" xfId="0" applyFont="1" applyFill="1" applyBorder="1" applyAlignment="1">
      <alignment horizontal="center"/>
    </xf>
    <xf numFmtId="0" fontId="26" fillId="31" borderId="1" xfId="0" applyFont="1" applyFill="1" applyBorder="1" applyAlignment="1">
      <alignment horizontal="center"/>
    </xf>
    <xf numFmtId="0" fontId="26" fillId="3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9" fillId="37" borderId="2" xfId="0" applyFont="1" applyFill="1" applyBorder="1" applyAlignment="1" applyProtection="1">
      <alignment horizontal="center" vertical="center"/>
      <protection hidden="1"/>
    </xf>
    <xf numFmtId="0" fontId="69" fillId="37" borderId="4" xfId="0" applyFont="1" applyFill="1" applyBorder="1" applyAlignment="1" applyProtection="1">
      <alignment horizontal="center" vertical="center"/>
      <protection hidden="1"/>
    </xf>
    <xf numFmtId="0" fontId="69" fillId="37" borderId="27" xfId="0" applyFont="1" applyFill="1" applyBorder="1" applyAlignment="1" applyProtection="1">
      <alignment horizontal="center" vertical="center"/>
      <protection hidden="1"/>
    </xf>
    <xf numFmtId="0" fontId="69" fillId="37" borderId="28" xfId="0" applyFont="1" applyFill="1" applyBorder="1" applyAlignment="1" applyProtection="1">
      <alignment horizontal="center" vertical="center"/>
      <protection hidden="1"/>
    </xf>
    <xf numFmtId="0" fontId="72" fillId="3" borderId="1" xfId="0" applyFont="1" applyFill="1" applyBorder="1" applyAlignment="1">
      <alignment horizontal="center" vertical="center"/>
    </xf>
  </cellXfs>
  <cellStyles count="98">
    <cellStyle name="20% - Accent1 2" xfId="7" xr:uid="{00000000-0005-0000-0000-000000000000}"/>
    <cellStyle name="20% - Accent1 3" xfId="6" xr:uid="{00000000-0005-0000-0000-000001000000}"/>
    <cellStyle name="20% - Accent2 2" xfId="9" xr:uid="{00000000-0005-0000-0000-000002000000}"/>
    <cellStyle name="20% - Accent2 3" xfId="8" xr:uid="{00000000-0005-0000-0000-000003000000}"/>
    <cellStyle name="20% - Accent3 2" xfId="11" xr:uid="{00000000-0005-0000-0000-000004000000}"/>
    <cellStyle name="20% - Accent3 3" xfId="10" xr:uid="{00000000-0005-0000-0000-000005000000}"/>
    <cellStyle name="20% - Accent4 2" xfId="13" xr:uid="{00000000-0005-0000-0000-000006000000}"/>
    <cellStyle name="20% - Accent4 3" xfId="12" xr:uid="{00000000-0005-0000-0000-000007000000}"/>
    <cellStyle name="20% - Accent5 2" xfId="15" xr:uid="{00000000-0005-0000-0000-000008000000}"/>
    <cellStyle name="20% - Accent5 3" xfId="14" xr:uid="{00000000-0005-0000-0000-000009000000}"/>
    <cellStyle name="20% - Accent6 2" xfId="17" xr:uid="{00000000-0005-0000-0000-00000A000000}"/>
    <cellStyle name="20% - Accent6 3" xfId="16" xr:uid="{00000000-0005-0000-0000-00000B000000}"/>
    <cellStyle name="40% - Accent1 2" xfId="19" xr:uid="{00000000-0005-0000-0000-00000C000000}"/>
    <cellStyle name="40% - Accent1 3" xfId="18" xr:uid="{00000000-0005-0000-0000-00000D000000}"/>
    <cellStyle name="40% - Accent2 2" xfId="21" xr:uid="{00000000-0005-0000-0000-00000E000000}"/>
    <cellStyle name="40% - Accent2 3" xfId="20" xr:uid="{00000000-0005-0000-0000-00000F000000}"/>
    <cellStyle name="40% - Accent3 2" xfId="23" xr:uid="{00000000-0005-0000-0000-000010000000}"/>
    <cellStyle name="40% - Accent3 3" xfId="22" xr:uid="{00000000-0005-0000-0000-000011000000}"/>
    <cellStyle name="40% - Accent4 2" xfId="25" xr:uid="{00000000-0005-0000-0000-000012000000}"/>
    <cellStyle name="40% - Accent4 3" xfId="24" xr:uid="{00000000-0005-0000-0000-000013000000}"/>
    <cellStyle name="40% - Accent5 2" xfId="27" xr:uid="{00000000-0005-0000-0000-000014000000}"/>
    <cellStyle name="40% - Accent5 3" xfId="26" xr:uid="{00000000-0005-0000-0000-000015000000}"/>
    <cellStyle name="40% - Accent6 2" xfId="29" xr:uid="{00000000-0005-0000-0000-000016000000}"/>
    <cellStyle name="40% - Accent6 3" xfId="28" xr:uid="{00000000-0005-0000-0000-000017000000}"/>
    <cellStyle name="60% - Accent1" xfId="96" builtinId="32"/>
    <cellStyle name="60% - Accent1 2" xfId="31" xr:uid="{00000000-0005-0000-0000-000019000000}"/>
    <cellStyle name="60% - Accent1 3" xfId="30" xr:uid="{00000000-0005-0000-0000-00001A000000}"/>
    <cellStyle name="60% - Accent2 2" xfId="33" xr:uid="{00000000-0005-0000-0000-00001B000000}"/>
    <cellStyle name="60% - Accent2 3" xfId="32" xr:uid="{00000000-0005-0000-0000-00001C000000}"/>
    <cellStyle name="60% - Accent3 2" xfId="35" xr:uid="{00000000-0005-0000-0000-00001D000000}"/>
    <cellStyle name="60% - Accent3 3" xfId="34" xr:uid="{00000000-0005-0000-0000-00001E000000}"/>
    <cellStyle name="60% - Accent4 2" xfId="37" xr:uid="{00000000-0005-0000-0000-00001F000000}"/>
    <cellStyle name="60% - Accent4 3" xfId="36" xr:uid="{00000000-0005-0000-0000-000020000000}"/>
    <cellStyle name="60% - Accent5 2" xfId="39" xr:uid="{00000000-0005-0000-0000-000021000000}"/>
    <cellStyle name="60% - Accent5 3" xfId="38" xr:uid="{00000000-0005-0000-0000-000022000000}"/>
    <cellStyle name="60% - Accent6 2" xfId="41" xr:uid="{00000000-0005-0000-0000-000023000000}"/>
    <cellStyle name="60% - Accent6 3" xfId="40" xr:uid="{00000000-0005-0000-0000-000024000000}"/>
    <cellStyle name="Accent1 2" xfId="43" xr:uid="{00000000-0005-0000-0000-000025000000}"/>
    <cellStyle name="Accent1 3" xfId="42" xr:uid="{00000000-0005-0000-0000-000026000000}"/>
    <cellStyle name="Accent2 2" xfId="45" xr:uid="{00000000-0005-0000-0000-000027000000}"/>
    <cellStyle name="Accent2 3" xfId="44" xr:uid="{00000000-0005-0000-0000-000028000000}"/>
    <cellStyle name="Accent3 2" xfId="47" xr:uid="{00000000-0005-0000-0000-000029000000}"/>
    <cellStyle name="Accent3 3" xfId="46" xr:uid="{00000000-0005-0000-0000-00002A000000}"/>
    <cellStyle name="Accent4 2" xfId="49" xr:uid="{00000000-0005-0000-0000-00002B000000}"/>
    <cellStyle name="Accent4 3" xfId="48" xr:uid="{00000000-0005-0000-0000-00002C000000}"/>
    <cellStyle name="Accent5 2" xfId="51" xr:uid="{00000000-0005-0000-0000-00002D000000}"/>
    <cellStyle name="Accent5 3" xfId="50" xr:uid="{00000000-0005-0000-0000-00002E000000}"/>
    <cellStyle name="Accent6 2" xfId="53" xr:uid="{00000000-0005-0000-0000-00002F000000}"/>
    <cellStyle name="Accent6 3" xfId="52" xr:uid="{00000000-0005-0000-0000-000030000000}"/>
    <cellStyle name="Bad 2" xfId="55" xr:uid="{00000000-0005-0000-0000-000031000000}"/>
    <cellStyle name="Bad 3" xfId="54" xr:uid="{00000000-0005-0000-0000-000032000000}"/>
    <cellStyle name="Calculation 2" xfId="57" xr:uid="{00000000-0005-0000-0000-000033000000}"/>
    <cellStyle name="Calculation 3" xfId="56" xr:uid="{00000000-0005-0000-0000-000034000000}"/>
    <cellStyle name="Check Cell 2" xfId="59" xr:uid="{00000000-0005-0000-0000-000035000000}"/>
    <cellStyle name="Check Cell 3" xfId="58" xr:uid="{00000000-0005-0000-0000-000036000000}"/>
    <cellStyle name="Comma" xfId="1" builtinId="3"/>
    <cellStyle name="Comma 2" xfId="3" xr:uid="{00000000-0005-0000-0000-000038000000}"/>
    <cellStyle name="Comma 2 2" xfId="60" xr:uid="{00000000-0005-0000-0000-000039000000}"/>
    <cellStyle name="Comma 3" xfId="94" xr:uid="{00000000-0005-0000-0000-00003A000000}"/>
    <cellStyle name="Currency" xfId="95" builtinId="4"/>
    <cellStyle name="Currency 2" xfId="93" xr:uid="{00000000-0005-0000-0000-00003C000000}"/>
    <cellStyle name="Explanatory Text 2" xfId="62" xr:uid="{00000000-0005-0000-0000-00003D000000}"/>
    <cellStyle name="Explanatory Text 3" xfId="61" xr:uid="{00000000-0005-0000-0000-00003E000000}"/>
    <cellStyle name="Good 2" xfId="64" xr:uid="{00000000-0005-0000-0000-00003F000000}"/>
    <cellStyle name="Good 3" xfId="63" xr:uid="{00000000-0005-0000-0000-000040000000}"/>
    <cellStyle name="Heading 1 2" xfId="66" xr:uid="{00000000-0005-0000-0000-000041000000}"/>
    <cellStyle name="Heading 1 3" xfId="65" xr:uid="{00000000-0005-0000-0000-000042000000}"/>
    <cellStyle name="Heading 2 2" xfId="68" xr:uid="{00000000-0005-0000-0000-000043000000}"/>
    <cellStyle name="Heading 2 3" xfId="67" xr:uid="{00000000-0005-0000-0000-000044000000}"/>
    <cellStyle name="Heading 3 2" xfId="70" xr:uid="{00000000-0005-0000-0000-000045000000}"/>
    <cellStyle name="Heading 3 3" xfId="69" xr:uid="{00000000-0005-0000-0000-000046000000}"/>
    <cellStyle name="Heading 4 2" xfId="72" xr:uid="{00000000-0005-0000-0000-000047000000}"/>
    <cellStyle name="Heading 4 3" xfId="71" xr:uid="{00000000-0005-0000-0000-000048000000}"/>
    <cellStyle name="Hyperlink" xfId="97" builtinId="8"/>
    <cellStyle name="Input 2" xfId="74" xr:uid="{00000000-0005-0000-0000-00004A000000}"/>
    <cellStyle name="Input 3" xfId="73" xr:uid="{00000000-0005-0000-0000-00004B000000}"/>
    <cellStyle name="Linked Cell 2" xfId="76" xr:uid="{00000000-0005-0000-0000-00004C000000}"/>
    <cellStyle name="Linked Cell 3" xfId="75" xr:uid="{00000000-0005-0000-0000-00004D000000}"/>
    <cellStyle name="Neutral 2" xfId="78" xr:uid="{00000000-0005-0000-0000-00004E000000}"/>
    <cellStyle name="Neutral 3" xfId="77" xr:uid="{00000000-0005-0000-0000-00004F000000}"/>
    <cellStyle name="Normal" xfId="0" builtinId="0"/>
    <cellStyle name="Normal 2" xfId="2" xr:uid="{00000000-0005-0000-0000-000051000000}"/>
    <cellStyle name="Normal 3" xfId="79" xr:uid="{00000000-0005-0000-0000-000052000000}"/>
    <cellStyle name="Normal 4" xfId="80" xr:uid="{00000000-0005-0000-0000-000053000000}"/>
    <cellStyle name="Normal 5" xfId="81" xr:uid="{00000000-0005-0000-0000-000054000000}"/>
    <cellStyle name="Normal 6" xfId="82" xr:uid="{00000000-0005-0000-0000-000055000000}"/>
    <cellStyle name="Normal 7" xfId="5" xr:uid="{00000000-0005-0000-0000-000056000000}"/>
    <cellStyle name="Note 2" xfId="84" xr:uid="{00000000-0005-0000-0000-000057000000}"/>
    <cellStyle name="Note 3" xfId="83" xr:uid="{00000000-0005-0000-0000-000058000000}"/>
    <cellStyle name="Output 2" xfId="86" xr:uid="{00000000-0005-0000-0000-000059000000}"/>
    <cellStyle name="Output 3" xfId="85" xr:uid="{00000000-0005-0000-0000-00005A000000}"/>
    <cellStyle name="Percent" xfId="4" builtinId="5"/>
    <cellStyle name="Title 2" xfId="88" xr:uid="{00000000-0005-0000-0000-00005C000000}"/>
    <cellStyle name="Title 3" xfId="87" xr:uid="{00000000-0005-0000-0000-00005D000000}"/>
    <cellStyle name="Total 2" xfId="90" xr:uid="{00000000-0005-0000-0000-00005E000000}"/>
    <cellStyle name="Total 3" xfId="89" xr:uid="{00000000-0005-0000-0000-00005F000000}"/>
    <cellStyle name="Warning Text 2" xfId="92" xr:uid="{00000000-0005-0000-0000-000060000000}"/>
    <cellStyle name="Warning Text 3" xfId="91" xr:uid="{00000000-0005-0000-0000-000061000000}"/>
  </cellStyles>
  <dxfs count="1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strike val="0"/>
        <condense val="0"/>
        <extend val="0"/>
        <color indexed="8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304800</xdr:rowOff>
    </xdr:from>
    <xdr:to>
      <xdr:col>1</xdr:col>
      <xdr:colOff>63500</xdr:colOff>
      <xdr:row>1</xdr:row>
      <xdr:rowOff>666750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"/>
          <a:ext cx="9525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12</xdr:col>
      <xdr:colOff>12700</xdr:colOff>
      <xdr:row>1</xdr:row>
      <xdr:rowOff>673100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1700" y="311150"/>
          <a:ext cx="9525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63500</xdr:colOff>
      <xdr:row>1</xdr:row>
      <xdr:rowOff>673100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50"/>
          <a:ext cx="9525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13</xdr:col>
      <xdr:colOff>11206</xdr:colOff>
      <xdr:row>1</xdr:row>
      <xdr:rowOff>673100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311150"/>
          <a:ext cx="951006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13</xdr:col>
      <xdr:colOff>11206</xdr:colOff>
      <xdr:row>1</xdr:row>
      <xdr:rowOff>791882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311150"/>
          <a:ext cx="951006" cy="79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313764</xdr:rowOff>
    </xdr:from>
    <xdr:to>
      <xdr:col>1</xdr:col>
      <xdr:colOff>63500</xdr:colOff>
      <xdr:row>1</xdr:row>
      <xdr:rowOff>784410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764"/>
          <a:ext cx="952500" cy="781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304800</xdr:rowOff>
    </xdr:from>
    <xdr:to>
      <xdr:col>1</xdr:col>
      <xdr:colOff>63500</xdr:colOff>
      <xdr:row>1</xdr:row>
      <xdr:rowOff>666750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"/>
          <a:ext cx="9525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12</xdr:col>
      <xdr:colOff>12700</xdr:colOff>
      <xdr:row>1</xdr:row>
      <xdr:rowOff>673100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1700" y="311150"/>
          <a:ext cx="9525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63500</xdr:colOff>
      <xdr:row>1</xdr:row>
      <xdr:rowOff>673100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150"/>
          <a:ext cx="952500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13</xdr:col>
      <xdr:colOff>11206</xdr:colOff>
      <xdr:row>1</xdr:row>
      <xdr:rowOff>673100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311150"/>
          <a:ext cx="951006" cy="67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13</xdr:col>
      <xdr:colOff>11206</xdr:colOff>
      <xdr:row>1</xdr:row>
      <xdr:rowOff>791882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3700" y="311150"/>
          <a:ext cx="951006" cy="791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313764</xdr:rowOff>
    </xdr:from>
    <xdr:to>
      <xdr:col>1</xdr:col>
      <xdr:colOff>63500</xdr:colOff>
      <xdr:row>1</xdr:row>
      <xdr:rowOff>784410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764"/>
          <a:ext cx="952500" cy="781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A_OpenMeFir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S/SCM/FMLE/06.%20MARINE/1_OPERATION/BCA/2023/ad_25Mar-24Apr_23/CC_Ops_Windo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C_LogsWindo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_AH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_Barg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_C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_DSV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_LC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B_LogsVS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ontrol"/>
    </sheetNames>
    <sheetDataSet>
      <sheetData sheetId="0"/>
      <sheetData sheetId="1">
        <row r="11">
          <cell r="AX11">
            <v>45986</v>
          </cell>
        </row>
        <row r="12">
          <cell r="AX12">
            <v>45987</v>
          </cell>
        </row>
        <row r="13">
          <cell r="AX13">
            <v>45988</v>
          </cell>
        </row>
        <row r="14">
          <cell r="AX14">
            <v>45989</v>
          </cell>
        </row>
        <row r="15">
          <cell r="AX15">
            <v>45990</v>
          </cell>
        </row>
        <row r="16">
          <cell r="AX16">
            <v>45991</v>
          </cell>
        </row>
        <row r="17">
          <cell r="AX17">
            <v>45992</v>
          </cell>
        </row>
        <row r="18">
          <cell r="AX18">
            <v>45993</v>
          </cell>
        </row>
        <row r="19">
          <cell r="AX19">
            <v>45994</v>
          </cell>
        </row>
        <row r="20">
          <cell r="AX20">
            <v>45995</v>
          </cell>
        </row>
        <row r="21">
          <cell r="AX21">
            <v>45996</v>
          </cell>
        </row>
        <row r="22">
          <cell r="AX22">
            <v>45997</v>
          </cell>
        </row>
        <row r="23">
          <cell r="AX23">
            <v>45998</v>
          </cell>
        </row>
        <row r="24">
          <cell r="AX24">
            <v>45999</v>
          </cell>
        </row>
        <row r="25">
          <cell r="AX25">
            <v>46000</v>
          </cell>
        </row>
        <row r="26">
          <cell r="AX26">
            <v>46001</v>
          </cell>
        </row>
        <row r="27">
          <cell r="AX27">
            <v>46002</v>
          </cell>
        </row>
        <row r="28">
          <cell r="AX28">
            <v>46003</v>
          </cell>
        </row>
        <row r="29">
          <cell r="AX29">
            <v>46004</v>
          </cell>
        </row>
        <row r="30">
          <cell r="AX30">
            <v>46005</v>
          </cell>
        </row>
        <row r="31">
          <cell r="AX31">
            <v>46006</v>
          </cell>
        </row>
        <row r="32">
          <cell r="AX32">
            <v>46007</v>
          </cell>
        </row>
        <row r="33">
          <cell r="AX33">
            <v>46008</v>
          </cell>
        </row>
        <row r="34">
          <cell r="AX34">
            <v>46009</v>
          </cell>
        </row>
        <row r="35">
          <cell r="AX35">
            <v>46010</v>
          </cell>
        </row>
        <row r="36">
          <cell r="AX36">
            <v>46011</v>
          </cell>
        </row>
        <row r="37">
          <cell r="AX37">
            <v>46012</v>
          </cell>
        </row>
        <row r="38">
          <cell r="AX38">
            <v>46013</v>
          </cell>
        </row>
        <row r="39">
          <cell r="AX39">
            <v>46014</v>
          </cell>
        </row>
        <row r="40">
          <cell r="AX40">
            <v>46015</v>
          </cell>
        </row>
        <row r="41">
          <cell r="AX41" t="str">
            <v>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"/>
      <sheetName val="Distribute"/>
    </sheetNames>
    <sheetDataSet>
      <sheetData sheetId="0"/>
      <sheetData sheetId="1">
        <row r="11">
          <cell r="F11">
            <v>0</v>
          </cell>
          <cell r="G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U11">
            <v>0</v>
          </cell>
          <cell r="V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L11">
            <v>0</v>
          </cell>
          <cell r="AM11">
            <v>0</v>
          </cell>
          <cell r="AO11">
            <v>0</v>
          </cell>
          <cell r="AP11">
            <v>0</v>
          </cell>
          <cell r="AR11">
            <v>0</v>
          </cell>
          <cell r="AS11">
            <v>0</v>
          </cell>
          <cell r="AU11">
            <v>0</v>
          </cell>
          <cell r="AV11">
            <v>0</v>
          </cell>
        </row>
        <row r="12">
          <cell r="F12">
            <v>0</v>
          </cell>
          <cell r="G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R12">
            <v>0</v>
          </cell>
          <cell r="S12">
            <v>0</v>
          </cell>
          <cell r="U12">
            <v>0</v>
          </cell>
          <cell r="V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L12">
            <v>0</v>
          </cell>
          <cell r="AM12">
            <v>0</v>
          </cell>
          <cell r="AO12">
            <v>0</v>
          </cell>
          <cell r="AP12">
            <v>0</v>
          </cell>
          <cell r="AR12">
            <v>0</v>
          </cell>
          <cell r="AS12">
            <v>0</v>
          </cell>
          <cell r="AU12">
            <v>0</v>
          </cell>
          <cell r="AV12">
            <v>0</v>
          </cell>
        </row>
        <row r="13">
          <cell r="F13">
            <v>0</v>
          </cell>
          <cell r="G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R13">
            <v>0</v>
          </cell>
          <cell r="S13">
            <v>0</v>
          </cell>
          <cell r="U13">
            <v>0</v>
          </cell>
          <cell r="V13">
            <v>0</v>
          </cell>
          <cell r="AF13">
            <v>0</v>
          </cell>
          <cell r="AG13">
            <v>0</v>
          </cell>
          <cell r="AI13">
            <v>0</v>
          </cell>
          <cell r="AJ13">
            <v>0</v>
          </cell>
          <cell r="AL13">
            <v>0</v>
          </cell>
          <cell r="AM13">
            <v>0</v>
          </cell>
          <cell r="AO13">
            <v>0</v>
          </cell>
          <cell r="AP13">
            <v>0</v>
          </cell>
          <cell r="AR13">
            <v>0</v>
          </cell>
          <cell r="AS13">
            <v>0</v>
          </cell>
          <cell r="AU13">
            <v>0</v>
          </cell>
          <cell r="AV13">
            <v>0</v>
          </cell>
        </row>
        <row r="14">
          <cell r="F14">
            <v>0</v>
          </cell>
          <cell r="G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  <cell r="U14">
            <v>0</v>
          </cell>
          <cell r="V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L14">
            <v>0</v>
          </cell>
          <cell r="AM14">
            <v>0</v>
          </cell>
          <cell r="AO14">
            <v>0</v>
          </cell>
          <cell r="AP14">
            <v>0</v>
          </cell>
          <cell r="AR14">
            <v>0</v>
          </cell>
          <cell r="AS14">
            <v>0</v>
          </cell>
          <cell r="AU14">
            <v>0</v>
          </cell>
          <cell r="AV14">
            <v>0</v>
          </cell>
        </row>
        <row r="15">
          <cell r="F15">
            <v>0</v>
          </cell>
          <cell r="G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U15">
            <v>0</v>
          </cell>
          <cell r="V15">
            <v>0</v>
          </cell>
          <cell r="AF15">
            <v>0</v>
          </cell>
          <cell r="AG15">
            <v>0</v>
          </cell>
          <cell r="AI15">
            <v>0</v>
          </cell>
          <cell r="AJ15">
            <v>0</v>
          </cell>
          <cell r="AL15">
            <v>0</v>
          </cell>
          <cell r="AM15">
            <v>0</v>
          </cell>
          <cell r="AO15">
            <v>0</v>
          </cell>
          <cell r="AP15">
            <v>0</v>
          </cell>
          <cell r="AR15">
            <v>0</v>
          </cell>
          <cell r="AS15">
            <v>0</v>
          </cell>
          <cell r="AU15">
            <v>0</v>
          </cell>
          <cell r="AV15">
            <v>0</v>
          </cell>
        </row>
        <row r="16">
          <cell r="F16">
            <v>0</v>
          </cell>
          <cell r="G16">
            <v>0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O16">
            <v>0</v>
          </cell>
          <cell r="P16">
            <v>0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L16">
            <v>0</v>
          </cell>
          <cell r="AM16">
            <v>0</v>
          </cell>
          <cell r="AO16">
            <v>0</v>
          </cell>
          <cell r="AP16">
            <v>0</v>
          </cell>
          <cell r="AR16">
            <v>0</v>
          </cell>
          <cell r="AS16">
            <v>0</v>
          </cell>
          <cell r="AU16">
            <v>0</v>
          </cell>
          <cell r="AV16">
            <v>0</v>
          </cell>
        </row>
        <row r="17">
          <cell r="F17">
            <v>0</v>
          </cell>
          <cell r="G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U17">
            <v>0</v>
          </cell>
          <cell r="V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L17">
            <v>0</v>
          </cell>
          <cell r="AM17">
            <v>0</v>
          </cell>
          <cell r="AO17">
            <v>0</v>
          </cell>
          <cell r="AP17">
            <v>0</v>
          </cell>
          <cell r="AR17">
            <v>0</v>
          </cell>
          <cell r="AS17">
            <v>0</v>
          </cell>
          <cell r="AU17">
            <v>0</v>
          </cell>
          <cell r="AV17">
            <v>0</v>
          </cell>
        </row>
        <row r="18">
          <cell r="F18">
            <v>0</v>
          </cell>
          <cell r="G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R18">
            <v>0</v>
          </cell>
          <cell r="S18">
            <v>0</v>
          </cell>
          <cell r="U18">
            <v>0</v>
          </cell>
          <cell r="V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L18">
            <v>0</v>
          </cell>
          <cell r="AM18">
            <v>0</v>
          </cell>
          <cell r="AO18">
            <v>0</v>
          </cell>
          <cell r="AP18">
            <v>0</v>
          </cell>
          <cell r="AR18">
            <v>0</v>
          </cell>
          <cell r="AS18">
            <v>0</v>
          </cell>
          <cell r="AU18">
            <v>0</v>
          </cell>
          <cell r="AV18">
            <v>0</v>
          </cell>
        </row>
        <row r="19">
          <cell r="F19">
            <v>0</v>
          </cell>
          <cell r="G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L19">
            <v>0</v>
          </cell>
          <cell r="AM19">
            <v>0</v>
          </cell>
          <cell r="AO19">
            <v>0</v>
          </cell>
          <cell r="AP19">
            <v>0</v>
          </cell>
          <cell r="AR19">
            <v>0</v>
          </cell>
          <cell r="AS19">
            <v>0</v>
          </cell>
          <cell r="AU19">
            <v>0</v>
          </cell>
          <cell r="AV19">
            <v>0</v>
          </cell>
        </row>
        <row r="20">
          <cell r="F20">
            <v>0</v>
          </cell>
          <cell r="G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L20">
            <v>0</v>
          </cell>
          <cell r="AM20">
            <v>0</v>
          </cell>
          <cell r="AO20">
            <v>0</v>
          </cell>
          <cell r="AP20">
            <v>0</v>
          </cell>
          <cell r="AR20">
            <v>0</v>
          </cell>
          <cell r="AS20">
            <v>0</v>
          </cell>
          <cell r="AU20">
            <v>0</v>
          </cell>
          <cell r="AV20">
            <v>0</v>
          </cell>
        </row>
        <row r="21">
          <cell r="F21">
            <v>0</v>
          </cell>
          <cell r="G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L21">
            <v>0</v>
          </cell>
          <cell r="AM21">
            <v>0</v>
          </cell>
          <cell r="AO21">
            <v>0</v>
          </cell>
          <cell r="AP21">
            <v>0</v>
          </cell>
          <cell r="AR21">
            <v>0</v>
          </cell>
          <cell r="AS21">
            <v>0</v>
          </cell>
          <cell r="AU21">
            <v>0</v>
          </cell>
          <cell r="AV21">
            <v>0</v>
          </cell>
        </row>
        <row r="22">
          <cell r="F22">
            <v>0</v>
          </cell>
          <cell r="G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O22">
            <v>0</v>
          </cell>
          <cell r="P22">
            <v>0</v>
          </cell>
          <cell r="R22">
            <v>0</v>
          </cell>
          <cell r="S22">
            <v>0</v>
          </cell>
          <cell r="U22">
            <v>0</v>
          </cell>
          <cell r="V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L22">
            <v>0</v>
          </cell>
          <cell r="AM22">
            <v>0</v>
          </cell>
          <cell r="AO22">
            <v>0</v>
          </cell>
          <cell r="AP22">
            <v>0</v>
          </cell>
          <cell r="AR22">
            <v>0</v>
          </cell>
          <cell r="AS22">
            <v>0</v>
          </cell>
          <cell r="AU22">
            <v>0</v>
          </cell>
          <cell r="AV22">
            <v>0</v>
          </cell>
        </row>
        <row r="23">
          <cell r="F23">
            <v>0</v>
          </cell>
          <cell r="G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R23">
            <v>0</v>
          </cell>
          <cell r="S23">
            <v>0</v>
          </cell>
          <cell r="U23">
            <v>0</v>
          </cell>
          <cell r="V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L23">
            <v>0</v>
          </cell>
          <cell r="AM23">
            <v>0</v>
          </cell>
          <cell r="AO23">
            <v>0</v>
          </cell>
          <cell r="AP23">
            <v>0</v>
          </cell>
          <cell r="AR23">
            <v>0</v>
          </cell>
          <cell r="AS23">
            <v>0</v>
          </cell>
          <cell r="AU23">
            <v>0</v>
          </cell>
          <cell r="AV23">
            <v>0</v>
          </cell>
        </row>
        <row r="24">
          <cell r="F24">
            <v>0</v>
          </cell>
          <cell r="G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U24">
            <v>0</v>
          </cell>
          <cell r="V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L24">
            <v>0</v>
          </cell>
          <cell r="AM24">
            <v>0</v>
          </cell>
          <cell r="AO24">
            <v>0</v>
          </cell>
          <cell r="AP24">
            <v>0</v>
          </cell>
          <cell r="AR24">
            <v>0</v>
          </cell>
          <cell r="AS24">
            <v>0</v>
          </cell>
          <cell r="AU24">
            <v>0</v>
          </cell>
          <cell r="AV24">
            <v>0</v>
          </cell>
        </row>
        <row r="25">
          <cell r="F25">
            <v>0</v>
          </cell>
          <cell r="G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U25">
            <v>0</v>
          </cell>
          <cell r="V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L25">
            <v>0</v>
          </cell>
          <cell r="AM25">
            <v>0</v>
          </cell>
          <cell r="AO25">
            <v>0</v>
          </cell>
          <cell r="AP25">
            <v>0</v>
          </cell>
          <cell r="AR25">
            <v>0</v>
          </cell>
          <cell r="AS25">
            <v>0</v>
          </cell>
          <cell r="AU25">
            <v>0</v>
          </cell>
          <cell r="AV25">
            <v>0</v>
          </cell>
        </row>
        <row r="26">
          <cell r="F26">
            <v>0</v>
          </cell>
          <cell r="G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R26">
            <v>0</v>
          </cell>
          <cell r="S26">
            <v>0</v>
          </cell>
          <cell r="U26">
            <v>0</v>
          </cell>
          <cell r="V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L26">
            <v>0</v>
          </cell>
          <cell r="AM26">
            <v>0</v>
          </cell>
          <cell r="AO26">
            <v>0</v>
          </cell>
          <cell r="AP26">
            <v>0</v>
          </cell>
          <cell r="AR26">
            <v>0</v>
          </cell>
          <cell r="AS26">
            <v>0</v>
          </cell>
          <cell r="AU26">
            <v>0</v>
          </cell>
          <cell r="AV26">
            <v>0</v>
          </cell>
        </row>
        <row r="27">
          <cell r="F27">
            <v>0</v>
          </cell>
          <cell r="G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R27">
            <v>0</v>
          </cell>
          <cell r="S27">
            <v>0</v>
          </cell>
          <cell r="U27">
            <v>0</v>
          </cell>
          <cell r="V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L27">
            <v>0</v>
          </cell>
          <cell r="AM27">
            <v>0</v>
          </cell>
          <cell r="AO27">
            <v>0</v>
          </cell>
          <cell r="AP27">
            <v>0</v>
          </cell>
          <cell r="AR27">
            <v>0</v>
          </cell>
          <cell r="AS27">
            <v>0</v>
          </cell>
          <cell r="AU27">
            <v>0</v>
          </cell>
          <cell r="AV27">
            <v>0</v>
          </cell>
        </row>
        <row r="28">
          <cell r="F28">
            <v>0</v>
          </cell>
          <cell r="G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O28">
            <v>0</v>
          </cell>
          <cell r="P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L28">
            <v>0</v>
          </cell>
          <cell r="AM28">
            <v>0</v>
          </cell>
          <cell r="AO28">
            <v>0</v>
          </cell>
          <cell r="AP28">
            <v>0</v>
          </cell>
          <cell r="AR28">
            <v>0</v>
          </cell>
          <cell r="AS28">
            <v>0</v>
          </cell>
          <cell r="AU28">
            <v>0</v>
          </cell>
          <cell r="AV28">
            <v>0</v>
          </cell>
        </row>
        <row r="29">
          <cell r="F29">
            <v>0</v>
          </cell>
          <cell r="G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L29">
            <v>0</v>
          </cell>
          <cell r="AM29">
            <v>0</v>
          </cell>
          <cell r="AO29">
            <v>0</v>
          </cell>
          <cell r="AP29">
            <v>0</v>
          </cell>
          <cell r="AR29">
            <v>0</v>
          </cell>
          <cell r="AS29">
            <v>0</v>
          </cell>
          <cell r="AU29">
            <v>0</v>
          </cell>
          <cell r="AV29">
            <v>0</v>
          </cell>
        </row>
        <row r="30">
          <cell r="F30">
            <v>0</v>
          </cell>
          <cell r="G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U30">
            <v>0</v>
          </cell>
          <cell r="V30">
            <v>0</v>
          </cell>
          <cell r="AF30">
            <v>0</v>
          </cell>
          <cell r="AG30">
            <v>0</v>
          </cell>
          <cell r="AI30">
            <v>0</v>
          </cell>
          <cell r="AJ30">
            <v>0</v>
          </cell>
          <cell r="AL30">
            <v>0</v>
          </cell>
          <cell r="AM30">
            <v>0</v>
          </cell>
          <cell r="AO30">
            <v>0</v>
          </cell>
          <cell r="AP30">
            <v>0</v>
          </cell>
          <cell r="AR30">
            <v>0</v>
          </cell>
          <cell r="AS30">
            <v>0</v>
          </cell>
          <cell r="AU30">
            <v>0</v>
          </cell>
          <cell r="AV30">
            <v>0</v>
          </cell>
        </row>
        <row r="31">
          <cell r="F31">
            <v>0</v>
          </cell>
          <cell r="G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L31">
            <v>0</v>
          </cell>
          <cell r="AM31">
            <v>0</v>
          </cell>
          <cell r="AO31">
            <v>0</v>
          </cell>
          <cell r="AP31">
            <v>0</v>
          </cell>
          <cell r="AR31">
            <v>0</v>
          </cell>
          <cell r="AS31">
            <v>0</v>
          </cell>
          <cell r="AU31">
            <v>0</v>
          </cell>
          <cell r="AV31">
            <v>0</v>
          </cell>
        </row>
        <row r="32">
          <cell r="F32">
            <v>0</v>
          </cell>
          <cell r="G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L32">
            <v>0</v>
          </cell>
          <cell r="AM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0</v>
          </cell>
          <cell r="AU32">
            <v>0</v>
          </cell>
          <cell r="AV32">
            <v>0</v>
          </cell>
        </row>
        <row r="33">
          <cell r="F33">
            <v>0</v>
          </cell>
          <cell r="G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U33">
            <v>0</v>
          </cell>
          <cell r="V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L33">
            <v>0</v>
          </cell>
          <cell r="AM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0</v>
          </cell>
          <cell r="AU33">
            <v>0</v>
          </cell>
          <cell r="AV33">
            <v>0</v>
          </cell>
        </row>
        <row r="34">
          <cell r="F34">
            <v>0</v>
          </cell>
          <cell r="G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U34">
            <v>0</v>
          </cell>
          <cell r="V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L34">
            <v>0</v>
          </cell>
          <cell r="AM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0</v>
          </cell>
          <cell r="AU34">
            <v>0</v>
          </cell>
          <cell r="AV34">
            <v>0</v>
          </cell>
        </row>
        <row r="35">
          <cell r="F35">
            <v>0</v>
          </cell>
          <cell r="G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U35">
            <v>0</v>
          </cell>
          <cell r="V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L35">
            <v>0</v>
          </cell>
          <cell r="AM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0</v>
          </cell>
          <cell r="AU35">
            <v>0</v>
          </cell>
          <cell r="AV35">
            <v>0</v>
          </cell>
        </row>
        <row r="36">
          <cell r="F36">
            <v>0</v>
          </cell>
          <cell r="G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R36">
            <v>0</v>
          </cell>
          <cell r="S36">
            <v>0</v>
          </cell>
          <cell r="U36">
            <v>0</v>
          </cell>
          <cell r="V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L36">
            <v>0</v>
          </cell>
          <cell r="AM36">
            <v>0</v>
          </cell>
          <cell r="AO36">
            <v>0</v>
          </cell>
          <cell r="AP36">
            <v>0</v>
          </cell>
          <cell r="AR36">
            <v>0</v>
          </cell>
          <cell r="AS36">
            <v>0</v>
          </cell>
          <cell r="AU36">
            <v>0</v>
          </cell>
          <cell r="AV36">
            <v>0</v>
          </cell>
        </row>
        <row r="37">
          <cell r="F37">
            <v>0</v>
          </cell>
          <cell r="G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U37">
            <v>0</v>
          </cell>
          <cell r="V37">
            <v>0</v>
          </cell>
          <cell r="AF37">
            <v>0</v>
          </cell>
          <cell r="AG37">
            <v>0</v>
          </cell>
          <cell r="AI37">
            <v>0</v>
          </cell>
          <cell r="AJ37">
            <v>0</v>
          </cell>
          <cell r="AL37">
            <v>0</v>
          </cell>
          <cell r="AM37">
            <v>0</v>
          </cell>
          <cell r="AO37">
            <v>0</v>
          </cell>
          <cell r="AP37">
            <v>0</v>
          </cell>
          <cell r="AR37">
            <v>0</v>
          </cell>
          <cell r="AS37">
            <v>0</v>
          </cell>
          <cell r="AU37">
            <v>0</v>
          </cell>
          <cell r="AV37">
            <v>0</v>
          </cell>
        </row>
        <row r="38">
          <cell r="F38">
            <v>0</v>
          </cell>
          <cell r="G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L38">
            <v>0</v>
          </cell>
          <cell r="AM38">
            <v>0</v>
          </cell>
          <cell r="AO38">
            <v>0</v>
          </cell>
          <cell r="AP38">
            <v>0</v>
          </cell>
          <cell r="AR38">
            <v>0</v>
          </cell>
          <cell r="AS38">
            <v>0</v>
          </cell>
          <cell r="AU38">
            <v>0</v>
          </cell>
          <cell r="AV38">
            <v>0</v>
          </cell>
        </row>
        <row r="39">
          <cell r="F39">
            <v>0</v>
          </cell>
          <cell r="G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U39">
            <v>0</v>
          </cell>
          <cell r="V39">
            <v>0</v>
          </cell>
          <cell r="AF39">
            <v>0</v>
          </cell>
          <cell r="AG39">
            <v>0</v>
          </cell>
          <cell r="AI39">
            <v>0</v>
          </cell>
          <cell r="AJ39">
            <v>0</v>
          </cell>
          <cell r="AL39">
            <v>0</v>
          </cell>
          <cell r="AM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0</v>
          </cell>
          <cell r="AU39">
            <v>0</v>
          </cell>
          <cell r="AV39">
            <v>0</v>
          </cell>
        </row>
        <row r="40">
          <cell r="F40">
            <v>0</v>
          </cell>
          <cell r="G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L40">
            <v>0</v>
          </cell>
          <cell r="AM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U40">
            <v>0</v>
          </cell>
          <cell r="AV40">
            <v>0</v>
          </cell>
        </row>
        <row r="41">
          <cell r="F41">
            <v>0</v>
          </cell>
          <cell r="G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AF41">
            <v>0</v>
          </cell>
          <cell r="AG41">
            <v>0</v>
          </cell>
          <cell r="AI41">
            <v>0</v>
          </cell>
          <cell r="AJ41">
            <v>0</v>
          </cell>
          <cell r="AL41">
            <v>0</v>
          </cell>
          <cell r="AM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0</v>
          </cell>
          <cell r="AU41">
            <v>0</v>
          </cell>
          <cell r="AV41">
            <v>0</v>
          </cell>
        </row>
        <row r="51">
          <cell r="F51">
            <v>0</v>
          </cell>
          <cell r="I51">
            <v>0</v>
          </cell>
          <cell r="L51">
            <v>0</v>
          </cell>
          <cell r="O51">
            <v>0</v>
          </cell>
          <cell r="R51">
            <v>0</v>
          </cell>
          <cell r="U51">
            <v>0</v>
          </cell>
        </row>
        <row r="52">
          <cell r="F52">
            <v>0</v>
          </cell>
          <cell r="I52">
            <v>0</v>
          </cell>
          <cell r="L52">
            <v>0</v>
          </cell>
          <cell r="O52">
            <v>0</v>
          </cell>
          <cell r="R52">
            <v>0</v>
          </cell>
          <cell r="U52">
            <v>0</v>
          </cell>
        </row>
        <row r="53">
          <cell r="F53">
            <v>0</v>
          </cell>
          <cell r="I53">
            <v>0</v>
          </cell>
          <cell r="L53">
            <v>0</v>
          </cell>
          <cell r="O53">
            <v>0</v>
          </cell>
          <cell r="R53">
            <v>0</v>
          </cell>
          <cell r="U53">
            <v>0</v>
          </cell>
        </row>
        <row r="54">
          <cell r="F54">
            <v>0</v>
          </cell>
          <cell r="I54">
            <v>0</v>
          </cell>
          <cell r="L54">
            <v>0</v>
          </cell>
          <cell r="O54">
            <v>0</v>
          </cell>
          <cell r="R54">
            <v>0</v>
          </cell>
          <cell r="U54">
            <v>0</v>
          </cell>
        </row>
        <row r="55">
          <cell r="F55">
            <v>0</v>
          </cell>
          <cell r="I55">
            <v>0</v>
          </cell>
          <cell r="L55">
            <v>0</v>
          </cell>
          <cell r="O55">
            <v>0</v>
          </cell>
          <cell r="R55">
            <v>0</v>
          </cell>
          <cell r="U55">
            <v>0</v>
          </cell>
        </row>
        <row r="56">
          <cell r="F56">
            <v>0</v>
          </cell>
          <cell r="I56">
            <v>0</v>
          </cell>
          <cell r="L56">
            <v>0</v>
          </cell>
          <cell r="O56">
            <v>0</v>
          </cell>
          <cell r="R56">
            <v>0</v>
          </cell>
          <cell r="U56">
            <v>0</v>
          </cell>
        </row>
        <row r="57">
          <cell r="F57">
            <v>0</v>
          </cell>
          <cell r="I57">
            <v>0</v>
          </cell>
          <cell r="L57">
            <v>0</v>
          </cell>
          <cell r="O57">
            <v>0</v>
          </cell>
          <cell r="R57">
            <v>0</v>
          </cell>
          <cell r="U57">
            <v>0</v>
          </cell>
        </row>
        <row r="58">
          <cell r="F58">
            <v>0</v>
          </cell>
          <cell r="I58">
            <v>0</v>
          </cell>
          <cell r="L58">
            <v>0</v>
          </cell>
          <cell r="O58">
            <v>0</v>
          </cell>
          <cell r="R58">
            <v>0</v>
          </cell>
          <cell r="U58">
            <v>0</v>
          </cell>
        </row>
        <row r="59">
          <cell r="F59">
            <v>0</v>
          </cell>
          <cell r="I59">
            <v>0</v>
          </cell>
          <cell r="L59">
            <v>0</v>
          </cell>
          <cell r="O59">
            <v>0</v>
          </cell>
          <cell r="R59">
            <v>0</v>
          </cell>
          <cell r="U59">
            <v>0</v>
          </cell>
        </row>
        <row r="60">
          <cell r="F60">
            <v>0</v>
          </cell>
          <cell r="I60">
            <v>0</v>
          </cell>
          <cell r="L60">
            <v>0</v>
          </cell>
          <cell r="O60">
            <v>0</v>
          </cell>
          <cell r="R60">
            <v>0</v>
          </cell>
          <cell r="U60">
            <v>0</v>
          </cell>
        </row>
        <row r="61">
          <cell r="F61">
            <v>0</v>
          </cell>
          <cell r="I61">
            <v>0</v>
          </cell>
          <cell r="L61">
            <v>0</v>
          </cell>
          <cell r="O61">
            <v>0</v>
          </cell>
          <cell r="R61">
            <v>0</v>
          </cell>
          <cell r="U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  <cell r="O62">
            <v>0</v>
          </cell>
          <cell r="R62">
            <v>0</v>
          </cell>
          <cell r="U62">
            <v>0</v>
          </cell>
        </row>
        <row r="63">
          <cell r="F63">
            <v>0</v>
          </cell>
          <cell r="I63">
            <v>0</v>
          </cell>
          <cell r="L63">
            <v>0</v>
          </cell>
          <cell r="O63">
            <v>0</v>
          </cell>
          <cell r="R63">
            <v>0</v>
          </cell>
          <cell r="U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  <cell r="O64">
            <v>0</v>
          </cell>
          <cell r="R64">
            <v>0</v>
          </cell>
          <cell r="U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  <cell r="O65">
            <v>0</v>
          </cell>
          <cell r="R65">
            <v>0</v>
          </cell>
          <cell r="U65">
            <v>0</v>
          </cell>
        </row>
        <row r="66">
          <cell r="F66">
            <v>0</v>
          </cell>
          <cell r="I66">
            <v>0</v>
          </cell>
          <cell r="L66">
            <v>0</v>
          </cell>
          <cell r="O66">
            <v>0</v>
          </cell>
          <cell r="R66">
            <v>0</v>
          </cell>
          <cell r="U66">
            <v>0</v>
          </cell>
        </row>
        <row r="67">
          <cell r="F67">
            <v>0</v>
          </cell>
          <cell r="I67">
            <v>0</v>
          </cell>
          <cell r="L67">
            <v>0</v>
          </cell>
          <cell r="O67">
            <v>0</v>
          </cell>
          <cell r="R67">
            <v>0</v>
          </cell>
          <cell r="U67">
            <v>0</v>
          </cell>
        </row>
        <row r="68">
          <cell r="F68">
            <v>0</v>
          </cell>
          <cell r="I68">
            <v>0</v>
          </cell>
          <cell r="L68">
            <v>0</v>
          </cell>
          <cell r="O68">
            <v>0</v>
          </cell>
          <cell r="R68">
            <v>0</v>
          </cell>
          <cell r="U68">
            <v>0</v>
          </cell>
        </row>
        <row r="69">
          <cell r="F69">
            <v>0</v>
          </cell>
          <cell r="I69">
            <v>0</v>
          </cell>
          <cell r="L69">
            <v>0</v>
          </cell>
          <cell r="O69">
            <v>0</v>
          </cell>
          <cell r="R69">
            <v>0</v>
          </cell>
          <cell r="U69">
            <v>0</v>
          </cell>
        </row>
        <row r="70">
          <cell r="F70">
            <v>0</v>
          </cell>
          <cell r="I70">
            <v>0</v>
          </cell>
          <cell r="L70">
            <v>0</v>
          </cell>
          <cell r="O70">
            <v>0</v>
          </cell>
          <cell r="R70">
            <v>0</v>
          </cell>
          <cell r="U70">
            <v>0</v>
          </cell>
        </row>
        <row r="71">
          <cell r="F71">
            <v>0</v>
          </cell>
          <cell r="I71">
            <v>0</v>
          </cell>
          <cell r="L71">
            <v>0</v>
          </cell>
          <cell r="O71">
            <v>0</v>
          </cell>
          <cell r="R71">
            <v>0</v>
          </cell>
          <cell r="U71">
            <v>0</v>
          </cell>
        </row>
        <row r="72">
          <cell r="F72">
            <v>0</v>
          </cell>
          <cell r="I72">
            <v>0</v>
          </cell>
          <cell r="L72">
            <v>0</v>
          </cell>
          <cell r="O72">
            <v>0</v>
          </cell>
          <cell r="R72">
            <v>0</v>
          </cell>
          <cell r="U72">
            <v>0</v>
          </cell>
        </row>
        <row r="73">
          <cell r="F73">
            <v>0</v>
          </cell>
          <cell r="I73">
            <v>0</v>
          </cell>
          <cell r="L73">
            <v>0</v>
          </cell>
          <cell r="O73">
            <v>0</v>
          </cell>
          <cell r="R73">
            <v>0</v>
          </cell>
          <cell r="U73">
            <v>0</v>
          </cell>
        </row>
        <row r="74">
          <cell r="F74">
            <v>0</v>
          </cell>
          <cell r="I74">
            <v>0</v>
          </cell>
          <cell r="L74">
            <v>0</v>
          </cell>
          <cell r="O74">
            <v>0</v>
          </cell>
          <cell r="R74">
            <v>0</v>
          </cell>
          <cell r="U74">
            <v>0</v>
          </cell>
        </row>
        <row r="75">
          <cell r="F75">
            <v>0</v>
          </cell>
          <cell r="I75">
            <v>0</v>
          </cell>
          <cell r="L75">
            <v>0</v>
          </cell>
          <cell r="O75">
            <v>0</v>
          </cell>
          <cell r="R75">
            <v>0</v>
          </cell>
          <cell r="U75">
            <v>0</v>
          </cell>
        </row>
        <row r="76">
          <cell r="F76">
            <v>0</v>
          </cell>
          <cell r="I76">
            <v>0</v>
          </cell>
          <cell r="L76">
            <v>0</v>
          </cell>
          <cell r="O76">
            <v>0</v>
          </cell>
          <cell r="R76">
            <v>0</v>
          </cell>
          <cell r="U76">
            <v>0</v>
          </cell>
        </row>
        <row r="77">
          <cell r="F77">
            <v>0</v>
          </cell>
          <cell r="I77">
            <v>0</v>
          </cell>
          <cell r="L77">
            <v>0</v>
          </cell>
          <cell r="O77">
            <v>0</v>
          </cell>
          <cell r="R77">
            <v>0</v>
          </cell>
          <cell r="U77">
            <v>0</v>
          </cell>
        </row>
        <row r="78">
          <cell r="F78">
            <v>0</v>
          </cell>
          <cell r="I78">
            <v>0</v>
          </cell>
          <cell r="L78">
            <v>0</v>
          </cell>
          <cell r="O78">
            <v>0</v>
          </cell>
          <cell r="R78">
            <v>0</v>
          </cell>
          <cell r="U78">
            <v>0</v>
          </cell>
        </row>
        <row r="79">
          <cell r="F79">
            <v>0</v>
          </cell>
          <cell r="I79">
            <v>0</v>
          </cell>
          <cell r="L79">
            <v>0</v>
          </cell>
          <cell r="O79">
            <v>0</v>
          </cell>
          <cell r="R79">
            <v>0</v>
          </cell>
          <cell r="U79">
            <v>0</v>
          </cell>
        </row>
        <row r="80">
          <cell r="F80">
            <v>0</v>
          </cell>
          <cell r="I80">
            <v>0</v>
          </cell>
          <cell r="L80">
            <v>0</v>
          </cell>
          <cell r="O80">
            <v>0</v>
          </cell>
          <cell r="R80">
            <v>0</v>
          </cell>
          <cell r="U80">
            <v>0</v>
          </cell>
        </row>
        <row r="81">
          <cell r="F81">
            <v>0</v>
          </cell>
          <cell r="I81">
            <v>0</v>
          </cell>
          <cell r="L81">
            <v>0</v>
          </cell>
          <cell r="O81">
            <v>0</v>
          </cell>
          <cell r="R81">
            <v>0</v>
          </cell>
          <cell r="U81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s"/>
      <sheetName val="Sheet1"/>
    </sheetNames>
    <sheetDataSet>
      <sheetData sheetId="0"/>
      <sheetData sheetId="1">
        <row r="11">
          <cell r="C11">
            <v>0</v>
          </cell>
          <cell r="D11">
            <v>0</v>
          </cell>
          <cell r="E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H41">
            <v>0</v>
          </cell>
          <cell r="I41">
            <v>0</v>
          </cell>
          <cell r="J41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AHTS-1"/>
      <sheetName val="AHTS-2"/>
      <sheetName val="AHTS-3"/>
      <sheetName val="AHTS-4"/>
      <sheetName val="AHTS-5"/>
      <sheetName val="AHTS-6"/>
      <sheetName val="AHTS-7"/>
      <sheetName val="AHTS-8"/>
    </sheetNames>
    <sheetDataSet>
      <sheetData sheetId="0"/>
      <sheetData sheetId="1">
        <row r="8">
          <cell r="C8" t="str">
            <v>AHTS AMBER</v>
          </cell>
        </row>
        <row r="10">
          <cell r="AG10" t="str">
            <v>DAILY
FUEL
RUN EXPLOSIVE</v>
          </cell>
          <cell r="AH10" t="str">
            <v>DAILY
FUEL
ASSET</v>
          </cell>
          <cell r="AI10" t="str">
            <v>DAILY
FUEL
'TIRTA RAJAWALI</v>
          </cell>
          <cell r="AJ10" t="str">
            <v>DAILY
FUEL 
S: SLICKLINE UNIT</v>
          </cell>
          <cell r="AK10" t="str">
            <v>DAILY
FUEL
N: SLICKLINE (1)</v>
          </cell>
          <cell r="AL10" t="str">
            <v>DAILY
FUEL
LAIN-LAIN</v>
          </cell>
          <cell r="AM10" t="str">
            <v>DAILY
FUEL
SOIL BORING</v>
          </cell>
          <cell r="AN10" t="str">
            <v>DAILY
FUEL
N: SLICKLINE
(2)</v>
          </cell>
          <cell r="AO10" t="str">
            <v>DAILY
FUEL
DEBRIS SURVEY</v>
          </cell>
          <cell r="AP10" t="str">
            <v>DAILY
FUEL
STORK
(WLI)</v>
          </cell>
          <cell r="AQ10" t="str">
            <v>DAILY
FUEL
-</v>
          </cell>
          <cell r="AR10" t="str">
            <v>DAILY
FUEL
-</v>
          </cell>
          <cell r="AS10" t="str">
            <v>DAILY
FUEL
-</v>
          </cell>
          <cell r="AT10" t="str">
            <v>DAILY FUEL
SOUTH
OSF</v>
          </cell>
          <cell r="AU10" t="str">
            <v>DAILY FUEL
NORTH
OSF</v>
          </cell>
          <cell r="AV10" t="str">
            <v>DAILY FUEL  
-</v>
          </cell>
          <cell r="AW10" t="str">
            <v>DAILY FUEL 
P_NORTH
ATTAKA</v>
          </cell>
          <cell r="AX10" t="str">
            <v>DAILY FUEL
P_NORTH
NIB</v>
          </cell>
          <cell r="AY10" t="str">
            <v>DAILY FUEL
P_NORTH
SANTAN
TERMINAL</v>
          </cell>
          <cell r="AZ10" t="str">
            <v>DAILY FUEL
P_NORTH
SECURITY PATROL</v>
          </cell>
          <cell r="BA10" t="str">
            <v>DAILY FUEL
P_SOUTH</v>
          </cell>
          <cell r="BB10" t="str">
            <v>DAILY FUEL
P_SOUTH SECURITY PATROL</v>
          </cell>
          <cell r="BC10" t="str">
            <v>DAILY
HIRE RATE
RUN EXPLOSIVE</v>
          </cell>
          <cell r="BD10" t="str">
            <v>DAILY
HIRE RATE
ASSET</v>
          </cell>
          <cell r="BE10" t="str">
            <v>DAILY
HIRE RATE
'TIRTA RAJAWALI</v>
          </cell>
          <cell r="BF10" t="str">
            <v>DAILY
HIRE RATE
S: SLICKLINE UNIT</v>
          </cell>
          <cell r="BG10" t="str">
            <v>DAILY
HIRE RATE
N: SLICKLINE (1)</v>
          </cell>
          <cell r="BH10" t="str">
            <v>DAILY
HIRE RATE
LAIN-LAIN</v>
          </cell>
          <cell r="BI10" t="str">
            <v>DAILY
HIRE RATE
SOIL BORING</v>
          </cell>
          <cell r="BJ10" t="str">
            <v>DAILY
HIRE RATE
N: SLICKLINE
(2)</v>
          </cell>
          <cell r="BK10" t="str">
            <v>DAILY
HIRE RATE
DEBRIS SURVEY</v>
          </cell>
          <cell r="BL10" t="str">
            <v>DAILY
HIRE RATE
STORK
(WLI)</v>
          </cell>
          <cell r="BM10" t="str">
            <v>DAILY
HIRE RATE
-</v>
          </cell>
          <cell r="BN10" t="str">
            <v>DAILY
HIRE RATE
-</v>
          </cell>
          <cell r="BO10" t="str">
            <v>DAILY
HIRE RATE
-</v>
          </cell>
          <cell r="BP10" t="str">
            <v>DAILY HIRE RATE
SOUTH
OSF</v>
          </cell>
          <cell r="BQ10" t="str">
            <v>DAILY HIRE RATE
NORTH
OSF</v>
          </cell>
          <cell r="BR10" t="str">
            <v>DAILY HIRE RATE
-</v>
          </cell>
          <cell r="BS10" t="str">
            <v>DAILY HIRE RATE 
P_NORTH
ATTAKA</v>
          </cell>
          <cell r="BT10" t="str">
            <v>DAILY HIRE RATE
P_NORTH
NIB</v>
          </cell>
          <cell r="BU10" t="str">
            <v>DAILY HIRE RATE
P_NORTH
SANTAN
TERMINAL</v>
          </cell>
          <cell r="BV10" t="str">
            <v>DAILY HIRE RATE
P_NORTH
SECURITY PATROL</v>
          </cell>
          <cell r="BW10" t="str">
            <v>DAILY HIRE RATE
P_SOUTH</v>
          </cell>
          <cell r="BX10" t="str">
            <v>DAILY HIRE RATE
P_SOUTH SECURITY PATROL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48">
          <cell r="AG48" t="str">
            <v>RUN EXPLOSIVE</v>
          </cell>
          <cell r="AH48" t="str">
            <v>ASSET</v>
          </cell>
          <cell r="AI48" t="str">
            <v>TIRTA RAJAWALI</v>
          </cell>
          <cell r="AJ48" t="str">
            <v>S: SLICKLINE UNIT</v>
          </cell>
          <cell r="AK48" t="str">
            <v>N: SLICKLINE (1)</v>
          </cell>
          <cell r="AL48" t="str">
            <v>LAIN-LAIN</v>
          </cell>
          <cell r="AM48" t="str">
            <v>SOIL BORING</v>
          </cell>
          <cell r="AN48" t="str">
            <v>N: SLICKLINE
(2)</v>
          </cell>
          <cell r="AO48" t="str">
            <v>DEBRIS SURVEY</v>
          </cell>
          <cell r="AP48" t="str">
            <v>STORK
(WLI)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SOUTH
OSF</v>
          </cell>
          <cell r="AU48" t="str">
            <v>NORTH
OSF</v>
          </cell>
          <cell r="AV48" t="str">
            <v>-</v>
          </cell>
          <cell r="AW48" t="str">
            <v xml:space="preserve"> P_NORTH
ATTAKA</v>
          </cell>
          <cell r="AX48" t="str">
            <v>P_NORTH
NIB</v>
          </cell>
          <cell r="AY48" t="str">
            <v>P_NORTH
SANTAN
TERMINAL</v>
          </cell>
          <cell r="AZ48" t="str">
            <v>P_NORTH
SECURITY PATROL</v>
          </cell>
          <cell r="BA48" t="str">
            <v>P_SOUTH</v>
          </cell>
          <cell r="BB48" t="str">
            <v>P_SOUTH SECURITY PATROL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">
        <row r="8">
          <cell r="C8" t="str">
            <v>AHTS Temasek Sepinggan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3">
        <row r="8">
          <cell r="C8" t="str">
            <v>AHTS Temasek Attaka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4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5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6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7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8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Barge-1"/>
      <sheetName val="Barge-2"/>
      <sheetName val="Barge-3"/>
      <sheetName val="Barge-4"/>
    </sheetNames>
    <sheetDataSet>
      <sheetData sheetId="0"/>
      <sheetData sheetId="1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3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4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CB-1"/>
      <sheetName val="CB-2"/>
      <sheetName val="CB-3"/>
      <sheetName val="CB-4"/>
      <sheetName val="CB-5"/>
      <sheetName val="CB-6"/>
      <sheetName val="CB-7"/>
      <sheetName val="CB-8"/>
      <sheetName val="CB-9"/>
      <sheetName val="CB-10"/>
      <sheetName val="CB-11"/>
      <sheetName val="CB-12"/>
      <sheetName val="CB-13"/>
      <sheetName val="CB-14"/>
      <sheetName val="CB-15"/>
      <sheetName val="CB-16"/>
      <sheetName val="CB-17"/>
      <sheetName val="CB-18"/>
      <sheetName val="CB-19"/>
      <sheetName val="CB-20"/>
      <sheetName val="CB-21"/>
      <sheetName val="CB-22"/>
      <sheetName val="CB-23"/>
      <sheetName val="CB-24"/>
    </sheetNames>
    <sheetDataSet>
      <sheetData sheetId="0"/>
      <sheetData sheetId="1">
        <row r="8">
          <cell r="C8" t="str">
            <v>CB PEREGRIN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">
        <row r="8">
          <cell r="C8" t="str">
            <v>CB MALEO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3">
        <row r="8">
          <cell r="C8" t="str">
            <v>CB COLIBRI-1 (2nd call out EXPRESS 68)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4">
        <row r="8">
          <cell r="C8" t="str">
            <v>CB COCABORA (2nd call out EP ALFA)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5">
        <row r="8">
          <cell r="C8" t="str">
            <v>CB TEGUH 16 (sub EP ALFA)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6">
        <row r="8">
          <cell r="C8" t="str">
            <v>CB MANDAR (2nd call out CB GELATIK)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7">
        <row r="8">
          <cell r="C8" t="str">
            <v>CB GELATIK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8">
        <row r="8">
          <cell r="C8" t="str">
            <v>CB NURI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9">
        <row r="8">
          <cell r="C8" t="str">
            <v>CB PUYUH (sub CB PEREGRIN)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0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1">
        <row r="8">
          <cell r="C8" t="str">
            <v>CB KCT 1302 (sub Express 68)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2">
        <row r="8">
          <cell r="C8" t="str">
            <v>CB Baruna 222 (2nd call out CB MALEO)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3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4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5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6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7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8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9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0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1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2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3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4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SV-1"/>
      <sheetName val="DSV-2"/>
      <sheetName val="DSV-3"/>
    </sheetNames>
    <sheetDataSet>
      <sheetData sheetId="0"/>
      <sheetData sheetId="1">
        <row r="8">
          <cell r="C8" t="str">
            <v>DSV GARUDA OFFSHORE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3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LCT-1"/>
      <sheetName val="LCT-2"/>
      <sheetName val="LCT-3"/>
      <sheetName val="LCT-4"/>
      <sheetName val="LCT-5"/>
      <sheetName val="LCT-6"/>
      <sheetName val="LCT-7"/>
      <sheetName val="LCT-8"/>
    </sheetNames>
    <sheetDataSet>
      <sheetData sheetId="0"/>
      <sheetData sheetId="1">
        <row r="8">
          <cell r="C8" t="str">
            <v>LCT Hamota 3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">
        <row r="8">
          <cell r="C8" t="str">
            <v>LCT Hamota Berau (call out contract since 25 Sept 2020)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3">
        <row r="8">
          <cell r="C8" t="str">
            <v>LCT HAMOTA 2 (sub Hamota 3)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4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5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6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7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8">
        <row r="8">
          <cell r="C8" t="str">
            <v>LCT TRANSKO BARITO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UB-1"/>
      <sheetName val="TUB-2"/>
    </sheetNames>
    <sheetDataSet>
      <sheetData sheetId="0"/>
      <sheetData sheetId="1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B-1"/>
      <sheetName val="TB-2"/>
      <sheetName val="TB-3"/>
      <sheetName val="TB-4"/>
      <sheetName val="TB-5"/>
      <sheetName val="TB-6"/>
      <sheetName val="TB-7"/>
      <sheetName val="TB-8"/>
      <sheetName val="TB-9"/>
      <sheetName val="TB-10"/>
    </sheetNames>
    <sheetDataSet>
      <sheetData sheetId="0"/>
      <sheetData sheetId="1">
        <row r="8">
          <cell r="C8" t="str">
            <v>TB PANDU ADITYA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2">
        <row r="8">
          <cell r="C8" t="str">
            <v>TB DHANADA 2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3">
        <row r="8">
          <cell r="C8" t="str">
            <v>TB DHANADA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4">
        <row r="8">
          <cell r="C8" t="str">
            <v>TB DHANADA 3 (sub Tb Dhanada 2)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5">
        <row r="8">
          <cell r="C8" t="str">
            <v>TB Pandu Baruna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6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7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8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9"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  <sheetData sheetId="10">
        <row r="8">
          <cell r="C8" t="str">
            <v>TB DHANADA 3 (sub Tb Vanvorine)</v>
          </cell>
        </row>
        <row r="42"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</row>
        <row r="80"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Marine1"/>
      <sheetName val="Marine2"/>
      <sheetName val="Marine3"/>
      <sheetName val="Marine4"/>
      <sheetName val="Marine5"/>
      <sheetName val="Marine6"/>
      <sheetName val="Marine7"/>
      <sheetName val="Marine8"/>
      <sheetName val="Marine9"/>
      <sheetName val="Marine10"/>
    </sheetNames>
    <sheetDataSet>
      <sheetData sheetId="0"/>
      <sheetData sheetId="1">
        <row r="42">
          <cell r="G42">
            <v>0</v>
          </cell>
          <cell r="H42">
            <v>0</v>
          </cell>
          <cell r="K42">
            <v>0</v>
          </cell>
        </row>
      </sheetData>
      <sheetData sheetId="2">
        <row r="42">
          <cell r="G42">
            <v>0</v>
          </cell>
          <cell r="H42">
            <v>0</v>
          </cell>
          <cell r="K42">
            <v>0</v>
          </cell>
        </row>
      </sheetData>
      <sheetData sheetId="3">
        <row r="42">
          <cell r="G42">
            <v>0</v>
          </cell>
          <cell r="H42">
            <v>0</v>
          </cell>
          <cell r="K42">
            <v>0</v>
          </cell>
        </row>
      </sheetData>
      <sheetData sheetId="4">
        <row r="42">
          <cell r="G42">
            <v>0</v>
          </cell>
          <cell r="H42">
            <v>0</v>
          </cell>
          <cell r="K42">
            <v>0</v>
          </cell>
        </row>
      </sheetData>
      <sheetData sheetId="5">
        <row r="42">
          <cell r="G42">
            <v>0</v>
          </cell>
          <cell r="H42">
            <v>0</v>
          </cell>
          <cell r="K42">
            <v>0</v>
          </cell>
        </row>
      </sheetData>
      <sheetData sheetId="6">
        <row r="42">
          <cell r="G42">
            <v>0</v>
          </cell>
          <cell r="H42">
            <v>0</v>
          </cell>
          <cell r="K42">
            <v>0</v>
          </cell>
        </row>
      </sheetData>
      <sheetData sheetId="7">
        <row r="42">
          <cell r="G42">
            <v>0</v>
          </cell>
          <cell r="H42">
            <v>0</v>
          </cell>
          <cell r="K42">
            <v>0</v>
          </cell>
        </row>
      </sheetData>
      <sheetData sheetId="8">
        <row r="8">
          <cell r="R8">
            <v>0</v>
          </cell>
        </row>
        <row r="42">
          <cell r="H42">
            <v>0</v>
          </cell>
          <cell r="K42">
            <v>0</v>
          </cell>
          <cell r="V42">
            <v>0</v>
          </cell>
        </row>
      </sheetData>
      <sheetData sheetId="9">
        <row r="42">
          <cell r="G42">
            <v>0</v>
          </cell>
          <cell r="H42">
            <v>0</v>
          </cell>
          <cell r="K42">
            <v>0</v>
          </cell>
        </row>
      </sheetData>
      <sheetData sheetId="10">
        <row r="42">
          <cell r="G42">
            <v>0</v>
          </cell>
          <cell r="H42">
            <v>0</v>
          </cell>
          <cell r="K4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-0.249977111117893"/>
  </sheetPr>
  <dimension ref="A3:F35"/>
  <sheetViews>
    <sheetView showGridLines="0" topLeftCell="A16" workbookViewId="0">
      <selection activeCell="C30" sqref="C30"/>
    </sheetView>
  </sheetViews>
  <sheetFormatPr defaultRowHeight="14.5" x14ac:dyDescent="0.35"/>
  <cols>
    <col min="2" max="2" width="18.453125" customWidth="1"/>
    <col min="3" max="4" width="17.54296875" style="5" bestFit="1" customWidth="1"/>
    <col min="5" max="5" width="15.81640625" style="5" customWidth="1"/>
    <col min="6" max="6" width="16.36328125" bestFit="1" customWidth="1"/>
  </cols>
  <sheetData>
    <row r="3" spans="1:6" ht="15" customHeight="1" x14ac:dyDescent="0.35">
      <c r="A3" s="174" t="s">
        <v>48</v>
      </c>
      <c r="B3" s="177"/>
      <c r="C3" s="182" t="s">
        <v>79</v>
      </c>
      <c r="D3" s="182"/>
      <c r="E3" s="182"/>
      <c r="F3" s="182"/>
    </row>
    <row r="4" spans="1:6" s="6" customFormat="1" ht="38.25" customHeight="1" x14ac:dyDescent="0.35">
      <c r="A4" s="175"/>
      <c r="B4" s="178"/>
      <c r="C4" s="9" t="s">
        <v>8</v>
      </c>
      <c r="D4" s="9" t="s">
        <v>9</v>
      </c>
      <c r="E4" s="9" t="s">
        <v>7</v>
      </c>
      <c r="F4" s="9" t="s">
        <v>15</v>
      </c>
    </row>
    <row r="5" spans="1:6" x14ac:dyDescent="0.35">
      <c r="A5" s="175"/>
      <c r="B5" s="154" t="s">
        <v>5</v>
      </c>
      <c r="C5" s="77"/>
      <c r="D5" s="77"/>
      <c r="E5" s="10"/>
      <c r="F5" s="77"/>
    </row>
    <row r="6" spans="1:6" x14ac:dyDescent="0.35">
      <c r="A6" s="175"/>
      <c r="B6" s="154" t="s">
        <v>6</v>
      </c>
      <c r="C6" s="77">
        <f>'Marine YTD 2023'!Q35</f>
        <v>0</v>
      </c>
      <c r="D6" s="77">
        <f>'Marine YTD 2023'!O35</f>
        <v>0</v>
      </c>
      <c r="E6" s="10">
        <f>'Marine YTD 2023'!M35</f>
        <v>0</v>
      </c>
      <c r="F6" s="10"/>
    </row>
    <row r="7" spans="1:6" ht="48.75" customHeight="1" x14ac:dyDescent="0.35">
      <c r="A7" s="175"/>
      <c r="C7" s="4" t="s">
        <v>12</v>
      </c>
      <c r="D7" s="4" t="s">
        <v>13</v>
      </c>
      <c r="E7" s="4" t="s">
        <v>14</v>
      </c>
      <c r="F7" s="4" t="s">
        <v>16</v>
      </c>
    </row>
    <row r="8" spans="1:6" x14ac:dyDescent="0.35">
      <c r="A8" s="175"/>
      <c r="B8" s="154" t="s">
        <v>10</v>
      </c>
      <c r="C8" s="78"/>
      <c r="D8" s="78"/>
      <c r="E8" s="7">
        <f>E5</f>
        <v>0</v>
      </c>
      <c r="F8" s="78">
        <f>F5/15600</f>
        <v>0</v>
      </c>
    </row>
    <row r="9" spans="1:6" x14ac:dyDescent="0.35">
      <c r="A9" s="175"/>
      <c r="B9" s="154" t="s">
        <v>11</v>
      </c>
      <c r="C9" s="78">
        <f>'Marine YTD 2023'!G35</f>
        <v>0</v>
      </c>
      <c r="D9" s="78">
        <f>'Marine YTD 2023'!E35</f>
        <v>0</v>
      </c>
      <c r="E9" s="7">
        <f>E6</f>
        <v>0</v>
      </c>
      <c r="F9" s="7"/>
    </row>
    <row r="10" spans="1:6" x14ac:dyDescent="0.35">
      <c r="A10" s="175"/>
      <c r="B10" s="154" t="s">
        <v>17</v>
      </c>
      <c r="C10" s="8" t="e">
        <f>C9/C8</f>
        <v>#DIV/0!</v>
      </c>
      <c r="D10" s="8" t="e">
        <f>D9/D8</f>
        <v>#DIV/0!</v>
      </c>
      <c r="E10" s="8" t="e">
        <f t="shared" ref="E10:F10" si="0">E9/E8</f>
        <v>#DIV/0!</v>
      </c>
      <c r="F10" s="8" t="e">
        <f t="shared" si="0"/>
        <v>#DIV/0!</v>
      </c>
    </row>
    <row r="11" spans="1:6" x14ac:dyDescent="0.35">
      <c r="A11" s="176"/>
      <c r="B11" s="155" t="s">
        <v>18</v>
      </c>
      <c r="C11" s="183" t="e">
        <f>(C9+D9+F9)/(C8+D8+F8)</f>
        <v>#DIV/0!</v>
      </c>
      <c r="D11" s="184"/>
      <c r="E11" s="184"/>
      <c r="F11" s="185"/>
    </row>
    <row r="12" spans="1:6" s="81" customFormat="1" x14ac:dyDescent="0.35">
      <c r="B12" s="79"/>
      <c r="C12" s="80"/>
      <c r="D12" s="80"/>
      <c r="E12" s="80"/>
      <c r="F12" s="80"/>
    </row>
    <row r="13" spans="1:6" s="81" customFormat="1" x14ac:dyDescent="0.35">
      <c r="B13" s="79"/>
      <c r="C13" s="80"/>
      <c r="D13" s="80"/>
      <c r="E13" s="80"/>
      <c r="F13" s="80"/>
    </row>
    <row r="15" spans="1:6" ht="15" customHeight="1" x14ac:dyDescent="0.35">
      <c r="A15" s="174" t="s">
        <v>49</v>
      </c>
      <c r="B15" s="177"/>
      <c r="C15" s="179" t="s">
        <v>79</v>
      </c>
      <c r="D15" s="180"/>
      <c r="E15" s="181"/>
      <c r="F15" s="82"/>
    </row>
    <row r="16" spans="1:6" s="6" customFormat="1" ht="38.25" customHeight="1" x14ac:dyDescent="0.35">
      <c r="A16" s="175"/>
      <c r="B16" s="178"/>
      <c r="C16" s="9" t="s">
        <v>8</v>
      </c>
      <c r="D16" s="9" t="s">
        <v>9</v>
      </c>
      <c r="E16" s="9" t="s">
        <v>7</v>
      </c>
      <c r="F16" s="82"/>
    </row>
    <row r="17" spans="1:6" x14ac:dyDescent="0.35">
      <c r="A17" s="175"/>
      <c r="B17" s="154" t="s">
        <v>5</v>
      </c>
      <c r="C17" s="77"/>
      <c r="D17" s="77"/>
      <c r="E17" s="10"/>
      <c r="F17" s="82"/>
    </row>
    <row r="18" spans="1:6" x14ac:dyDescent="0.35">
      <c r="A18" s="175"/>
      <c r="B18" s="154" t="s">
        <v>6</v>
      </c>
      <c r="C18" s="77">
        <f>'Mooring YTD 2023'!R35</f>
        <v>0</v>
      </c>
      <c r="D18" s="77">
        <f>'Mooring YTD 2023'!P35</f>
        <v>0</v>
      </c>
      <c r="E18" s="10">
        <f>'Mooring YTD 2023'!N35</f>
        <v>0</v>
      </c>
      <c r="F18" s="82"/>
    </row>
    <row r="19" spans="1:6" ht="48.75" customHeight="1" x14ac:dyDescent="0.35">
      <c r="A19" s="175"/>
      <c r="C19" s="4" t="s">
        <v>12</v>
      </c>
      <c r="D19" s="4" t="s">
        <v>13</v>
      </c>
      <c r="E19" s="4" t="s">
        <v>14</v>
      </c>
      <c r="F19" s="82"/>
    </row>
    <row r="20" spans="1:6" x14ac:dyDescent="0.35">
      <c r="A20" s="175"/>
      <c r="B20" s="154" t="s">
        <v>10</v>
      </c>
      <c r="C20" s="78"/>
      <c r="D20" s="78"/>
      <c r="E20" s="7">
        <f>E17</f>
        <v>0</v>
      </c>
      <c r="F20" s="82"/>
    </row>
    <row r="21" spans="1:6" x14ac:dyDescent="0.35">
      <c r="A21" s="175"/>
      <c r="B21" s="154" t="s">
        <v>11</v>
      </c>
      <c r="C21" s="78">
        <f>'Mooring YTD 2023'!G35</f>
        <v>0</v>
      </c>
      <c r="D21" s="78">
        <f>'Mooring YTD 2023'!E35</f>
        <v>0</v>
      </c>
      <c r="E21" s="7">
        <f>E18</f>
        <v>0</v>
      </c>
      <c r="F21" s="82"/>
    </row>
    <row r="22" spans="1:6" x14ac:dyDescent="0.35">
      <c r="A22" s="175"/>
      <c r="B22" s="154" t="s">
        <v>17</v>
      </c>
      <c r="C22" s="8" t="e">
        <f>C21/C20</f>
        <v>#DIV/0!</v>
      </c>
      <c r="D22" s="8" t="e">
        <f>D21/D20</f>
        <v>#DIV/0!</v>
      </c>
      <c r="E22" s="8" t="e">
        <f t="shared" ref="E22" si="1">E21/E20</f>
        <v>#DIV/0!</v>
      </c>
      <c r="F22" s="82"/>
    </row>
    <row r="23" spans="1:6" x14ac:dyDescent="0.35">
      <c r="A23" s="176"/>
      <c r="B23" s="155" t="s">
        <v>18</v>
      </c>
      <c r="C23" s="83" t="e">
        <f>(C21+D21+F21)/(C20+D20+F20)</f>
        <v>#DIV/0!</v>
      </c>
      <c r="D23" s="84"/>
      <c r="E23" s="84"/>
      <c r="F23" s="82"/>
    </row>
    <row r="24" spans="1:6" s="81" customFormat="1" x14ac:dyDescent="0.35">
      <c r="B24" s="79"/>
      <c r="C24" s="80"/>
      <c r="D24" s="80"/>
      <c r="E24" s="80"/>
      <c r="F24" s="80"/>
    </row>
    <row r="25" spans="1:6" s="81" customFormat="1" x14ac:dyDescent="0.35">
      <c r="B25" s="79"/>
      <c r="C25" s="80"/>
      <c r="D25" s="80"/>
      <c r="E25" s="80"/>
      <c r="F25" s="80"/>
    </row>
    <row r="27" spans="1:6" ht="15" customHeight="1" x14ac:dyDescent="0.35">
      <c r="A27" s="174" t="s">
        <v>50</v>
      </c>
      <c r="B27" s="177"/>
      <c r="C27" s="179" t="s">
        <v>79</v>
      </c>
      <c r="D27" s="180"/>
      <c r="E27" s="181"/>
    </row>
    <row r="28" spans="1:6" s="6" customFormat="1" ht="38.25" customHeight="1" x14ac:dyDescent="0.35">
      <c r="A28" s="175"/>
      <c r="B28" s="178"/>
      <c r="C28" s="9" t="s">
        <v>8</v>
      </c>
      <c r="D28" s="9" t="s">
        <v>9</v>
      </c>
      <c r="E28" s="9" t="s">
        <v>7</v>
      </c>
      <c r="F28"/>
    </row>
    <row r="29" spans="1:6" x14ac:dyDescent="0.35">
      <c r="A29" s="175"/>
      <c r="B29" s="154" t="s">
        <v>5</v>
      </c>
      <c r="C29" s="77"/>
      <c r="D29" s="77"/>
      <c r="E29" s="10"/>
    </row>
    <row r="30" spans="1:6" x14ac:dyDescent="0.35">
      <c r="A30" s="175"/>
      <c r="B30" s="154" t="s">
        <v>6</v>
      </c>
      <c r="C30" s="77">
        <f>'Security Patrol YTD 2023'!R35</f>
        <v>0</v>
      </c>
      <c r="D30" s="77">
        <f>'Security Patrol YTD 2023'!P35</f>
        <v>0</v>
      </c>
      <c r="E30" s="10">
        <f>'Security Patrol'!N35</f>
        <v>0</v>
      </c>
    </row>
    <row r="31" spans="1:6" ht="48.75" customHeight="1" x14ac:dyDescent="0.35">
      <c r="A31" s="175"/>
      <c r="C31" s="4" t="s">
        <v>12</v>
      </c>
      <c r="D31" s="4" t="s">
        <v>13</v>
      </c>
      <c r="E31" s="4" t="s">
        <v>14</v>
      </c>
    </row>
    <row r="32" spans="1:6" x14ac:dyDescent="0.35">
      <c r="A32" s="175"/>
      <c r="B32" s="154" t="s">
        <v>10</v>
      </c>
      <c r="C32" s="78"/>
      <c r="D32" s="78"/>
      <c r="E32" s="7">
        <f>E29</f>
        <v>0</v>
      </c>
    </row>
    <row r="33" spans="1:6" x14ac:dyDescent="0.35">
      <c r="A33" s="175"/>
      <c r="B33" s="154" t="s">
        <v>11</v>
      </c>
      <c r="C33" s="78">
        <f>'Security Patrol YTD 2023'!G35</f>
        <v>0</v>
      </c>
      <c r="D33" s="78">
        <f>'Security Patrol YTD 2023'!E35</f>
        <v>0</v>
      </c>
      <c r="E33" s="7">
        <f>E30</f>
        <v>0</v>
      </c>
    </row>
    <row r="34" spans="1:6" x14ac:dyDescent="0.35">
      <c r="A34" s="175"/>
      <c r="B34" s="154" t="s">
        <v>17</v>
      </c>
      <c r="C34" s="8" t="e">
        <f>C33/C32</f>
        <v>#DIV/0!</v>
      </c>
      <c r="D34" s="8" t="e">
        <f>D33/D32</f>
        <v>#DIV/0!</v>
      </c>
      <c r="E34" s="8" t="e">
        <f t="shared" ref="E34" si="2">E33/E32</f>
        <v>#DIV/0!</v>
      </c>
    </row>
    <row r="35" spans="1:6" x14ac:dyDescent="0.35">
      <c r="A35" s="176"/>
      <c r="B35" s="155" t="s">
        <v>18</v>
      </c>
      <c r="C35" s="83" t="e">
        <f>(C33+D33+F33)/(C32+D32+F32)</f>
        <v>#DIV/0!</v>
      </c>
      <c r="D35" s="84"/>
      <c r="E35" s="84"/>
      <c r="F35" s="153"/>
    </row>
  </sheetData>
  <mergeCells count="10">
    <mergeCell ref="A3:A11"/>
    <mergeCell ref="A15:A23"/>
    <mergeCell ref="A27:A35"/>
    <mergeCell ref="B27:B28"/>
    <mergeCell ref="C27:E27"/>
    <mergeCell ref="B3:B4"/>
    <mergeCell ref="C3:F3"/>
    <mergeCell ref="C11:F11"/>
    <mergeCell ref="B15:B16"/>
    <mergeCell ref="C15:E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N66"/>
  <sheetViews>
    <sheetView zoomScale="70" zoomScaleNormal="70" workbookViewId="0">
      <pane xSplit="2" ySplit="3" topLeftCell="C4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9.1796875" defaultRowHeight="14.5" x14ac:dyDescent="0.35"/>
  <cols>
    <col min="1" max="1" width="12.81640625" style="141" customWidth="1"/>
    <col min="2" max="2" width="1" style="141" customWidth="1"/>
    <col min="3" max="8" width="15.36328125" style="141" customWidth="1"/>
    <col min="9" max="9" width="3.81640625" style="141" customWidth="1"/>
    <col min="10" max="10" width="3.1796875" style="141" customWidth="1"/>
    <col min="11" max="11" width="12.1796875" style="85" customWidth="1"/>
    <col min="12" max="12" width="1.1796875" style="85" customWidth="1"/>
    <col min="13" max="14" width="15.36328125" style="141" customWidth="1"/>
    <col min="15" max="15" width="18" style="141" customWidth="1"/>
    <col min="16" max="16" width="17.08984375" style="141" customWidth="1"/>
    <col min="17" max="17" width="17.6328125" style="141" customWidth="1"/>
    <col min="18" max="18" width="16.1796875" style="141" customWidth="1"/>
    <col min="19" max="19" width="5.1796875" style="85" customWidth="1"/>
    <col min="20" max="20" width="4.54296875" style="85" customWidth="1"/>
    <col min="21" max="66" width="9.1796875" style="85"/>
    <col min="67" max="225" width="9.1796875" style="141"/>
    <col min="226" max="226" width="12.81640625" style="141" customWidth="1"/>
    <col min="227" max="227" width="1" style="141" customWidth="1"/>
    <col min="228" max="229" width="12.81640625" style="141" customWidth="1"/>
    <col min="230" max="230" width="8.81640625" style="141" customWidth="1"/>
    <col min="231" max="232" width="12.81640625" style="141" customWidth="1"/>
    <col min="233" max="233" width="8.81640625" style="141" customWidth="1"/>
    <col min="234" max="235" width="12.81640625" style="141" customWidth="1"/>
    <col min="236" max="236" width="8.81640625" style="141" customWidth="1"/>
    <col min="237" max="238" width="12.81640625" style="141" customWidth="1"/>
    <col min="239" max="239" width="8.81640625" style="141" customWidth="1"/>
    <col min="240" max="241" width="12.81640625" style="141" customWidth="1"/>
    <col min="242" max="242" width="8.81640625" style="141" customWidth="1"/>
    <col min="243" max="244" width="12.81640625" style="141" customWidth="1"/>
    <col min="245" max="245" width="8.81640625" style="141" customWidth="1"/>
    <col min="246" max="247" width="12.81640625" style="141" customWidth="1"/>
    <col min="248" max="248" width="8.81640625" style="141" customWidth="1"/>
    <col min="249" max="249" width="3.81640625" style="141" customWidth="1"/>
    <col min="250" max="250" width="3.1796875" style="141" customWidth="1"/>
    <col min="251" max="251" width="9.1796875" style="141"/>
    <col min="252" max="252" width="12.1796875" style="141" customWidth="1"/>
    <col min="253" max="253" width="1.1796875" style="141" customWidth="1"/>
    <col min="254" max="255" width="12.81640625" style="141" customWidth="1"/>
    <col min="256" max="256" width="8.81640625" style="141" customWidth="1"/>
    <col min="257" max="258" width="12.81640625" style="141" customWidth="1"/>
    <col min="259" max="259" width="8.81640625" style="141" customWidth="1"/>
    <col min="260" max="261" width="12.81640625" style="141" customWidth="1"/>
    <col min="262" max="262" width="8.81640625" style="141" customWidth="1"/>
    <col min="263" max="264" width="12.81640625" style="141" customWidth="1"/>
    <col min="265" max="265" width="8.81640625" style="141" customWidth="1"/>
    <col min="266" max="267" width="12.81640625" style="141" customWidth="1"/>
    <col min="268" max="268" width="8.81640625" style="141" customWidth="1"/>
    <col min="269" max="269" width="14" style="141" bestFit="1" customWidth="1"/>
    <col min="270" max="270" width="12.81640625" style="141" customWidth="1"/>
    <col min="271" max="271" width="8.81640625" style="141" customWidth="1"/>
    <col min="272" max="273" width="12.81640625" style="141" customWidth="1"/>
    <col min="274" max="274" width="8.81640625" style="141" customWidth="1"/>
    <col min="275" max="275" width="5.1796875" style="141" customWidth="1"/>
    <col min="276" max="276" width="4.54296875" style="141" customWidth="1"/>
    <col min="277" max="481" width="9.1796875" style="141"/>
    <col min="482" max="482" width="12.81640625" style="141" customWidth="1"/>
    <col min="483" max="483" width="1" style="141" customWidth="1"/>
    <col min="484" max="485" width="12.81640625" style="141" customWidth="1"/>
    <col min="486" max="486" width="8.81640625" style="141" customWidth="1"/>
    <col min="487" max="488" width="12.81640625" style="141" customWidth="1"/>
    <col min="489" max="489" width="8.81640625" style="141" customWidth="1"/>
    <col min="490" max="491" width="12.81640625" style="141" customWidth="1"/>
    <col min="492" max="492" width="8.81640625" style="141" customWidth="1"/>
    <col min="493" max="494" width="12.81640625" style="141" customWidth="1"/>
    <col min="495" max="495" width="8.81640625" style="141" customWidth="1"/>
    <col min="496" max="497" width="12.81640625" style="141" customWidth="1"/>
    <col min="498" max="498" width="8.81640625" style="141" customWidth="1"/>
    <col min="499" max="500" width="12.81640625" style="141" customWidth="1"/>
    <col min="501" max="501" width="8.81640625" style="141" customWidth="1"/>
    <col min="502" max="503" width="12.81640625" style="141" customWidth="1"/>
    <col min="504" max="504" width="8.81640625" style="141" customWidth="1"/>
    <col min="505" max="505" width="3.81640625" style="141" customWidth="1"/>
    <col min="506" max="506" width="3.1796875" style="141" customWidth="1"/>
    <col min="507" max="507" width="9.1796875" style="141"/>
    <col min="508" max="508" width="12.1796875" style="141" customWidth="1"/>
    <col min="509" max="509" width="1.1796875" style="141" customWidth="1"/>
    <col min="510" max="511" width="12.81640625" style="141" customWidth="1"/>
    <col min="512" max="512" width="8.81640625" style="141" customWidth="1"/>
    <col min="513" max="514" width="12.81640625" style="141" customWidth="1"/>
    <col min="515" max="515" width="8.81640625" style="141" customWidth="1"/>
    <col min="516" max="517" width="12.81640625" style="141" customWidth="1"/>
    <col min="518" max="518" width="8.81640625" style="141" customWidth="1"/>
    <col min="519" max="520" width="12.81640625" style="141" customWidth="1"/>
    <col min="521" max="521" width="8.81640625" style="141" customWidth="1"/>
    <col min="522" max="523" width="12.81640625" style="141" customWidth="1"/>
    <col min="524" max="524" width="8.81640625" style="141" customWidth="1"/>
    <col min="525" max="525" width="14" style="141" bestFit="1" customWidth="1"/>
    <col min="526" max="526" width="12.81640625" style="141" customWidth="1"/>
    <col min="527" max="527" width="8.81640625" style="141" customWidth="1"/>
    <col min="528" max="529" width="12.81640625" style="141" customWidth="1"/>
    <col min="530" max="530" width="8.81640625" style="141" customWidth="1"/>
    <col min="531" max="531" width="5.1796875" style="141" customWidth="1"/>
    <col min="532" max="532" width="4.54296875" style="141" customWidth="1"/>
    <col min="533" max="737" width="9.1796875" style="141"/>
    <col min="738" max="738" width="12.81640625" style="141" customWidth="1"/>
    <col min="739" max="739" width="1" style="141" customWidth="1"/>
    <col min="740" max="741" width="12.81640625" style="141" customWidth="1"/>
    <col min="742" max="742" width="8.81640625" style="141" customWidth="1"/>
    <col min="743" max="744" width="12.81640625" style="141" customWidth="1"/>
    <col min="745" max="745" width="8.81640625" style="141" customWidth="1"/>
    <col min="746" max="747" width="12.81640625" style="141" customWidth="1"/>
    <col min="748" max="748" width="8.81640625" style="141" customWidth="1"/>
    <col min="749" max="750" width="12.81640625" style="141" customWidth="1"/>
    <col min="751" max="751" width="8.81640625" style="141" customWidth="1"/>
    <col min="752" max="753" width="12.81640625" style="141" customWidth="1"/>
    <col min="754" max="754" width="8.81640625" style="141" customWidth="1"/>
    <col min="755" max="756" width="12.81640625" style="141" customWidth="1"/>
    <col min="757" max="757" width="8.81640625" style="141" customWidth="1"/>
    <col min="758" max="759" width="12.81640625" style="141" customWidth="1"/>
    <col min="760" max="760" width="8.81640625" style="141" customWidth="1"/>
    <col min="761" max="761" width="3.81640625" style="141" customWidth="1"/>
    <col min="762" max="762" width="3.1796875" style="141" customWidth="1"/>
    <col min="763" max="763" width="9.1796875" style="141"/>
    <col min="764" max="764" width="12.1796875" style="141" customWidth="1"/>
    <col min="765" max="765" width="1.1796875" style="141" customWidth="1"/>
    <col min="766" max="767" width="12.81640625" style="141" customWidth="1"/>
    <col min="768" max="768" width="8.81640625" style="141" customWidth="1"/>
    <col min="769" max="770" width="12.81640625" style="141" customWidth="1"/>
    <col min="771" max="771" width="8.81640625" style="141" customWidth="1"/>
    <col min="772" max="773" width="12.81640625" style="141" customWidth="1"/>
    <col min="774" max="774" width="8.81640625" style="141" customWidth="1"/>
    <col min="775" max="776" width="12.81640625" style="141" customWidth="1"/>
    <col min="777" max="777" width="8.81640625" style="141" customWidth="1"/>
    <col min="778" max="779" width="12.81640625" style="141" customWidth="1"/>
    <col min="780" max="780" width="8.81640625" style="141" customWidth="1"/>
    <col min="781" max="781" width="14" style="141" bestFit="1" customWidth="1"/>
    <col min="782" max="782" width="12.81640625" style="141" customWidth="1"/>
    <col min="783" max="783" width="8.81640625" style="141" customWidth="1"/>
    <col min="784" max="785" width="12.81640625" style="141" customWidth="1"/>
    <col min="786" max="786" width="8.81640625" style="141" customWidth="1"/>
    <col min="787" max="787" width="5.1796875" style="141" customWidth="1"/>
    <col min="788" max="788" width="4.54296875" style="141" customWidth="1"/>
    <col min="789" max="993" width="9.1796875" style="141"/>
    <col min="994" max="994" width="12.81640625" style="141" customWidth="1"/>
    <col min="995" max="995" width="1" style="141" customWidth="1"/>
    <col min="996" max="997" width="12.81640625" style="141" customWidth="1"/>
    <col min="998" max="998" width="8.81640625" style="141" customWidth="1"/>
    <col min="999" max="1000" width="12.81640625" style="141" customWidth="1"/>
    <col min="1001" max="1001" width="8.81640625" style="141" customWidth="1"/>
    <col min="1002" max="1003" width="12.81640625" style="141" customWidth="1"/>
    <col min="1004" max="1004" width="8.81640625" style="141" customWidth="1"/>
    <col min="1005" max="1006" width="12.81640625" style="141" customWidth="1"/>
    <col min="1007" max="1007" width="8.81640625" style="141" customWidth="1"/>
    <col min="1008" max="1009" width="12.81640625" style="141" customWidth="1"/>
    <col min="1010" max="1010" width="8.81640625" style="141" customWidth="1"/>
    <col min="1011" max="1012" width="12.81640625" style="141" customWidth="1"/>
    <col min="1013" max="1013" width="8.81640625" style="141" customWidth="1"/>
    <col min="1014" max="1015" width="12.81640625" style="141" customWidth="1"/>
    <col min="1016" max="1016" width="8.81640625" style="141" customWidth="1"/>
    <col min="1017" max="1017" width="3.81640625" style="141" customWidth="1"/>
    <col min="1018" max="1018" width="3.1796875" style="141" customWidth="1"/>
    <col min="1019" max="1019" width="9.1796875" style="141"/>
    <col min="1020" max="1020" width="12.1796875" style="141" customWidth="1"/>
    <col min="1021" max="1021" width="1.1796875" style="141" customWidth="1"/>
    <col min="1022" max="1023" width="12.81640625" style="141" customWidth="1"/>
    <col min="1024" max="1024" width="8.81640625" style="141" customWidth="1"/>
    <col min="1025" max="1026" width="12.81640625" style="141" customWidth="1"/>
    <col min="1027" max="1027" width="8.81640625" style="141" customWidth="1"/>
    <col min="1028" max="1029" width="12.81640625" style="141" customWidth="1"/>
    <col min="1030" max="1030" width="8.81640625" style="141" customWidth="1"/>
    <col min="1031" max="1032" width="12.81640625" style="141" customWidth="1"/>
    <col min="1033" max="1033" width="8.81640625" style="141" customWidth="1"/>
    <col min="1034" max="1035" width="12.81640625" style="141" customWidth="1"/>
    <col min="1036" max="1036" width="8.81640625" style="141" customWidth="1"/>
    <col min="1037" max="1037" width="14" style="141" bestFit="1" customWidth="1"/>
    <col min="1038" max="1038" width="12.81640625" style="141" customWidth="1"/>
    <col min="1039" max="1039" width="8.81640625" style="141" customWidth="1"/>
    <col min="1040" max="1041" width="12.81640625" style="141" customWidth="1"/>
    <col min="1042" max="1042" width="8.81640625" style="141" customWidth="1"/>
    <col min="1043" max="1043" width="5.1796875" style="141" customWidth="1"/>
    <col min="1044" max="1044" width="4.54296875" style="141" customWidth="1"/>
    <col min="1045" max="1249" width="9.1796875" style="141"/>
    <col min="1250" max="1250" width="12.81640625" style="141" customWidth="1"/>
    <col min="1251" max="1251" width="1" style="141" customWidth="1"/>
    <col min="1252" max="1253" width="12.81640625" style="141" customWidth="1"/>
    <col min="1254" max="1254" width="8.81640625" style="141" customWidth="1"/>
    <col min="1255" max="1256" width="12.81640625" style="141" customWidth="1"/>
    <col min="1257" max="1257" width="8.81640625" style="141" customWidth="1"/>
    <col min="1258" max="1259" width="12.81640625" style="141" customWidth="1"/>
    <col min="1260" max="1260" width="8.81640625" style="141" customWidth="1"/>
    <col min="1261" max="1262" width="12.81640625" style="141" customWidth="1"/>
    <col min="1263" max="1263" width="8.81640625" style="141" customWidth="1"/>
    <col min="1264" max="1265" width="12.81640625" style="141" customWidth="1"/>
    <col min="1266" max="1266" width="8.81640625" style="141" customWidth="1"/>
    <col min="1267" max="1268" width="12.81640625" style="141" customWidth="1"/>
    <col min="1269" max="1269" width="8.81640625" style="141" customWidth="1"/>
    <col min="1270" max="1271" width="12.81640625" style="141" customWidth="1"/>
    <col min="1272" max="1272" width="8.81640625" style="141" customWidth="1"/>
    <col min="1273" max="1273" width="3.81640625" style="141" customWidth="1"/>
    <col min="1274" max="1274" width="3.1796875" style="141" customWidth="1"/>
    <col min="1275" max="1275" width="9.1796875" style="141"/>
    <col min="1276" max="1276" width="12.1796875" style="141" customWidth="1"/>
    <col min="1277" max="1277" width="1.1796875" style="141" customWidth="1"/>
    <col min="1278" max="1279" width="12.81640625" style="141" customWidth="1"/>
    <col min="1280" max="1280" width="8.81640625" style="141" customWidth="1"/>
    <col min="1281" max="1282" width="12.81640625" style="141" customWidth="1"/>
    <col min="1283" max="1283" width="8.81640625" style="141" customWidth="1"/>
    <col min="1284" max="1285" width="12.81640625" style="141" customWidth="1"/>
    <col min="1286" max="1286" width="8.81640625" style="141" customWidth="1"/>
    <col min="1287" max="1288" width="12.81640625" style="141" customWidth="1"/>
    <col min="1289" max="1289" width="8.81640625" style="141" customWidth="1"/>
    <col min="1290" max="1291" width="12.81640625" style="141" customWidth="1"/>
    <col min="1292" max="1292" width="8.81640625" style="141" customWidth="1"/>
    <col min="1293" max="1293" width="14" style="141" bestFit="1" customWidth="1"/>
    <col min="1294" max="1294" width="12.81640625" style="141" customWidth="1"/>
    <col min="1295" max="1295" width="8.81640625" style="141" customWidth="1"/>
    <col min="1296" max="1297" width="12.81640625" style="141" customWidth="1"/>
    <col min="1298" max="1298" width="8.81640625" style="141" customWidth="1"/>
    <col min="1299" max="1299" width="5.1796875" style="141" customWidth="1"/>
    <col min="1300" max="1300" width="4.54296875" style="141" customWidth="1"/>
    <col min="1301" max="1505" width="9.1796875" style="141"/>
    <col min="1506" max="1506" width="12.81640625" style="141" customWidth="1"/>
    <col min="1507" max="1507" width="1" style="141" customWidth="1"/>
    <col min="1508" max="1509" width="12.81640625" style="141" customWidth="1"/>
    <col min="1510" max="1510" width="8.81640625" style="141" customWidth="1"/>
    <col min="1511" max="1512" width="12.81640625" style="141" customWidth="1"/>
    <col min="1513" max="1513" width="8.81640625" style="141" customWidth="1"/>
    <col min="1514" max="1515" width="12.81640625" style="141" customWidth="1"/>
    <col min="1516" max="1516" width="8.81640625" style="141" customWidth="1"/>
    <col min="1517" max="1518" width="12.81640625" style="141" customWidth="1"/>
    <col min="1519" max="1519" width="8.81640625" style="141" customWidth="1"/>
    <col min="1520" max="1521" width="12.81640625" style="141" customWidth="1"/>
    <col min="1522" max="1522" width="8.81640625" style="141" customWidth="1"/>
    <col min="1523" max="1524" width="12.81640625" style="141" customWidth="1"/>
    <col min="1525" max="1525" width="8.81640625" style="141" customWidth="1"/>
    <col min="1526" max="1527" width="12.81640625" style="141" customWidth="1"/>
    <col min="1528" max="1528" width="8.81640625" style="141" customWidth="1"/>
    <col min="1529" max="1529" width="3.81640625" style="141" customWidth="1"/>
    <col min="1530" max="1530" width="3.1796875" style="141" customWidth="1"/>
    <col min="1531" max="1531" width="9.1796875" style="141"/>
    <col min="1532" max="1532" width="12.1796875" style="141" customWidth="1"/>
    <col min="1533" max="1533" width="1.1796875" style="141" customWidth="1"/>
    <col min="1534" max="1535" width="12.81640625" style="141" customWidth="1"/>
    <col min="1536" max="1536" width="8.81640625" style="141" customWidth="1"/>
    <col min="1537" max="1538" width="12.81640625" style="141" customWidth="1"/>
    <col min="1539" max="1539" width="8.81640625" style="141" customWidth="1"/>
    <col min="1540" max="1541" width="12.81640625" style="141" customWidth="1"/>
    <col min="1542" max="1542" width="8.81640625" style="141" customWidth="1"/>
    <col min="1543" max="1544" width="12.81640625" style="141" customWidth="1"/>
    <col min="1545" max="1545" width="8.81640625" style="141" customWidth="1"/>
    <col min="1546" max="1547" width="12.81640625" style="141" customWidth="1"/>
    <col min="1548" max="1548" width="8.81640625" style="141" customWidth="1"/>
    <col min="1549" max="1549" width="14" style="141" bestFit="1" customWidth="1"/>
    <col min="1550" max="1550" width="12.81640625" style="141" customWidth="1"/>
    <col min="1551" max="1551" width="8.81640625" style="141" customWidth="1"/>
    <col min="1552" max="1553" width="12.81640625" style="141" customWidth="1"/>
    <col min="1554" max="1554" width="8.81640625" style="141" customWidth="1"/>
    <col min="1555" max="1555" width="5.1796875" style="141" customWidth="1"/>
    <col min="1556" max="1556" width="4.54296875" style="141" customWidth="1"/>
    <col min="1557" max="1761" width="9.1796875" style="141"/>
    <col min="1762" max="1762" width="12.81640625" style="141" customWidth="1"/>
    <col min="1763" max="1763" width="1" style="141" customWidth="1"/>
    <col min="1764" max="1765" width="12.81640625" style="141" customWidth="1"/>
    <col min="1766" max="1766" width="8.81640625" style="141" customWidth="1"/>
    <col min="1767" max="1768" width="12.81640625" style="141" customWidth="1"/>
    <col min="1769" max="1769" width="8.81640625" style="141" customWidth="1"/>
    <col min="1770" max="1771" width="12.81640625" style="141" customWidth="1"/>
    <col min="1772" max="1772" width="8.81640625" style="141" customWidth="1"/>
    <col min="1773" max="1774" width="12.81640625" style="141" customWidth="1"/>
    <col min="1775" max="1775" width="8.81640625" style="141" customWidth="1"/>
    <col min="1776" max="1777" width="12.81640625" style="141" customWidth="1"/>
    <col min="1778" max="1778" width="8.81640625" style="141" customWidth="1"/>
    <col min="1779" max="1780" width="12.81640625" style="141" customWidth="1"/>
    <col min="1781" max="1781" width="8.81640625" style="141" customWidth="1"/>
    <col min="1782" max="1783" width="12.81640625" style="141" customWidth="1"/>
    <col min="1784" max="1784" width="8.81640625" style="141" customWidth="1"/>
    <col min="1785" max="1785" width="3.81640625" style="141" customWidth="1"/>
    <col min="1786" max="1786" width="3.1796875" style="141" customWidth="1"/>
    <col min="1787" max="1787" width="9.1796875" style="141"/>
    <col min="1788" max="1788" width="12.1796875" style="141" customWidth="1"/>
    <col min="1789" max="1789" width="1.1796875" style="141" customWidth="1"/>
    <col min="1790" max="1791" width="12.81640625" style="141" customWidth="1"/>
    <col min="1792" max="1792" width="8.81640625" style="141" customWidth="1"/>
    <col min="1793" max="1794" width="12.81640625" style="141" customWidth="1"/>
    <col min="1795" max="1795" width="8.81640625" style="141" customWidth="1"/>
    <col min="1796" max="1797" width="12.81640625" style="141" customWidth="1"/>
    <col min="1798" max="1798" width="8.81640625" style="141" customWidth="1"/>
    <col min="1799" max="1800" width="12.81640625" style="141" customWidth="1"/>
    <col min="1801" max="1801" width="8.81640625" style="141" customWidth="1"/>
    <col min="1802" max="1803" width="12.81640625" style="141" customWidth="1"/>
    <col min="1804" max="1804" width="8.81640625" style="141" customWidth="1"/>
    <col min="1805" max="1805" width="14" style="141" bestFit="1" customWidth="1"/>
    <col min="1806" max="1806" width="12.81640625" style="141" customWidth="1"/>
    <col min="1807" max="1807" width="8.81640625" style="141" customWidth="1"/>
    <col min="1808" max="1809" width="12.81640625" style="141" customWidth="1"/>
    <col min="1810" max="1810" width="8.81640625" style="141" customWidth="1"/>
    <col min="1811" max="1811" width="5.1796875" style="141" customWidth="1"/>
    <col min="1812" max="1812" width="4.54296875" style="141" customWidth="1"/>
    <col min="1813" max="2017" width="9.1796875" style="141"/>
    <col min="2018" max="2018" width="12.81640625" style="141" customWidth="1"/>
    <col min="2019" max="2019" width="1" style="141" customWidth="1"/>
    <col min="2020" max="2021" width="12.81640625" style="141" customWidth="1"/>
    <col min="2022" max="2022" width="8.81640625" style="141" customWidth="1"/>
    <col min="2023" max="2024" width="12.81640625" style="141" customWidth="1"/>
    <col min="2025" max="2025" width="8.81640625" style="141" customWidth="1"/>
    <col min="2026" max="2027" width="12.81640625" style="141" customWidth="1"/>
    <col min="2028" max="2028" width="8.81640625" style="141" customWidth="1"/>
    <col min="2029" max="2030" width="12.81640625" style="141" customWidth="1"/>
    <col min="2031" max="2031" width="8.81640625" style="141" customWidth="1"/>
    <col min="2032" max="2033" width="12.81640625" style="141" customWidth="1"/>
    <col min="2034" max="2034" width="8.81640625" style="141" customWidth="1"/>
    <col min="2035" max="2036" width="12.81640625" style="141" customWidth="1"/>
    <col min="2037" max="2037" width="8.81640625" style="141" customWidth="1"/>
    <col min="2038" max="2039" width="12.81640625" style="141" customWidth="1"/>
    <col min="2040" max="2040" width="8.81640625" style="141" customWidth="1"/>
    <col min="2041" max="2041" width="3.81640625" style="141" customWidth="1"/>
    <col min="2042" max="2042" width="3.1796875" style="141" customWidth="1"/>
    <col min="2043" max="2043" width="9.1796875" style="141"/>
    <col min="2044" max="2044" width="12.1796875" style="141" customWidth="1"/>
    <col min="2045" max="2045" width="1.1796875" style="141" customWidth="1"/>
    <col min="2046" max="2047" width="12.81640625" style="141" customWidth="1"/>
    <col min="2048" max="2048" width="8.81640625" style="141" customWidth="1"/>
    <col min="2049" max="2050" width="12.81640625" style="141" customWidth="1"/>
    <col min="2051" max="2051" width="8.81640625" style="141" customWidth="1"/>
    <col min="2052" max="2053" width="12.81640625" style="141" customWidth="1"/>
    <col min="2054" max="2054" width="8.81640625" style="141" customWidth="1"/>
    <col min="2055" max="2056" width="12.81640625" style="141" customWidth="1"/>
    <col min="2057" max="2057" width="8.81640625" style="141" customWidth="1"/>
    <col min="2058" max="2059" width="12.81640625" style="141" customWidth="1"/>
    <col min="2060" max="2060" width="8.81640625" style="141" customWidth="1"/>
    <col min="2061" max="2061" width="14" style="141" bestFit="1" customWidth="1"/>
    <col min="2062" max="2062" width="12.81640625" style="141" customWidth="1"/>
    <col min="2063" max="2063" width="8.81640625" style="141" customWidth="1"/>
    <col min="2064" max="2065" width="12.81640625" style="141" customWidth="1"/>
    <col min="2066" max="2066" width="8.81640625" style="141" customWidth="1"/>
    <col min="2067" max="2067" width="5.1796875" style="141" customWidth="1"/>
    <col min="2068" max="2068" width="4.54296875" style="141" customWidth="1"/>
    <col min="2069" max="2273" width="9.1796875" style="141"/>
    <col min="2274" max="2274" width="12.81640625" style="141" customWidth="1"/>
    <col min="2275" max="2275" width="1" style="141" customWidth="1"/>
    <col min="2276" max="2277" width="12.81640625" style="141" customWidth="1"/>
    <col min="2278" max="2278" width="8.81640625" style="141" customWidth="1"/>
    <col min="2279" max="2280" width="12.81640625" style="141" customWidth="1"/>
    <col min="2281" max="2281" width="8.81640625" style="141" customWidth="1"/>
    <col min="2282" max="2283" width="12.81640625" style="141" customWidth="1"/>
    <col min="2284" max="2284" width="8.81640625" style="141" customWidth="1"/>
    <col min="2285" max="2286" width="12.81640625" style="141" customWidth="1"/>
    <col min="2287" max="2287" width="8.81640625" style="141" customWidth="1"/>
    <col min="2288" max="2289" width="12.81640625" style="141" customWidth="1"/>
    <col min="2290" max="2290" width="8.81640625" style="141" customWidth="1"/>
    <col min="2291" max="2292" width="12.81640625" style="141" customWidth="1"/>
    <col min="2293" max="2293" width="8.81640625" style="141" customWidth="1"/>
    <col min="2294" max="2295" width="12.81640625" style="141" customWidth="1"/>
    <col min="2296" max="2296" width="8.81640625" style="141" customWidth="1"/>
    <col min="2297" max="2297" width="3.81640625" style="141" customWidth="1"/>
    <col min="2298" max="2298" width="3.1796875" style="141" customWidth="1"/>
    <col min="2299" max="2299" width="9.1796875" style="141"/>
    <col min="2300" max="2300" width="12.1796875" style="141" customWidth="1"/>
    <col min="2301" max="2301" width="1.1796875" style="141" customWidth="1"/>
    <col min="2302" max="2303" width="12.81640625" style="141" customWidth="1"/>
    <col min="2304" max="2304" width="8.81640625" style="141" customWidth="1"/>
    <col min="2305" max="2306" width="12.81640625" style="141" customWidth="1"/>
    <col min="2307" max="2307" width="8.81640625" style="141" customWidth="1"/>
    <col min="2308" max="2309" width="12.81640625" style="141" customWidth="1"/>
    <col min="2310" max="2310" width="8.81640625" style="141" customWidth="1"/>
    <col min="2311" max="2312" width="12.81640625" style="141" customWidth="1"/>
    <col min="2313" max="2313" width="8.81640625" style="141" customWidth="1"/>
    <col min="2314" max="2315" width="12.81640625" style="141" customWidth="1"/>
    <col min="2316" max="2316" width="8.81640625" style="141" customWidth="1"/>
    <col min="2317" max="2317" width="14" style="141" bestFit="1" customWidth="1"/>
    <col min="2318" max="2318" width="12.81640625" style="141" customWidth="1"/>
    <col min="2319" max="2319" width="8.81640625" style="141" customWidth="1"/>
    <col min="2320" max="2321" width="12.81640625" style="141" customWidth="1"/>
    <col min="2322" max="2322" width="8.81640625" style="141" customWidth="1"/>
    <col min="2323" max="2323" width="5.1796875" style="141" customWidth="1"/>
    <col min="2324" max="2324" width="4.54296875" style="141" customWidth="1"/>
    <col min="2325" max="2529" width="9.1796875" style="141"/>
    <col min="2530" max="2530" width="12.81640625" style="141" customWidth="1"/>
    <col min="2531" max="2531" width="1" style="141" customWidth="1"/>
    <col min="2532" max="2533" width="12.81640625" style="141" customWidth="1"/>
    <col min="2534" max="2534" width="8.81640625" style="141" customWidth="1"/>
    <col min="2535" max="2536" width="12.81640625" style="141" customWidth="1"/>
    <col min="2537" max="2537" width="8.81640625" style="141" customWidth="1"/>
    <col min="2538" max="2539" width="12.81640625" style="141" customWidth="1"/>
    <col min="2540" max="2540" width="8.81640625" style="141" customWidth="1"/>
    <col min="2541" max="2542" width="12.81640625" style="141" customWidth="1"/>
    <col min="2543" max="2543" width="8.81640625" style="141" customWidth="1"/>
    <col min="2544" max="2545" width="12.81640625" style="141" customWidth="1"/>
    <col min="2546" max="2546" width="8.81640625" style="141" customWidth="1"/>
    <col min="2547" max="2548" width="12.81640625" style="141" customWidth="1"/>
    <col min="2549" max="2549" width="8.81640625" style="141" customWidth="1"/>
    <col min="2550" max="2551" width="12.81640625" style="141" customWidth="1"/>
    <col min="2552" max="2552" width="8.81640625" style="141" customWidth="1"/>
    <col min="2553" max="2553" width="3.81640625" style="141" customWidth="1"/>
    <col min="2554" max="2554" width="3.1796875" style="141" customWidth="1"/>
    <col min="2555" max="2555" width="9.1796875" style="141"/>
    <col min="2556" max="2556" width="12.1796875" style="141" customWidth="1"/>
    <col min="2557" max="2557" width="1.1796875" style="141" customWidth="1"/>
    <col min="2558" max="2559" width="12.81640625" style="141" customWidth="1"/>
    <col min="2560" max="2560" width="8.81640625" style="141" customWidth="1"/>
    <col min="2561" max="2562" width="12.81640625" style="141" customWidth="1"/>
    <col min="2563" max="2563" width="8.81640625" style="141" customWidth="1"/>
    <col min="2564" max="2565" width="12.81640625" style="141" customWidth="1"/>
    <col min="2566" max="2566" width="8.81640625" style="141" customWidth="1"/>
    <col min="2567" max="2568" width="12.81640625" style="141" customWidth="1"/>
    <col min="2569" max="2569" width="8.81640625" style="141" customWidth="1"/>
    <col min="2570" max="2571" width="12.81640625" style="141" customWidth="1"/>
    <col min="2572" max="2572" width="8.81640625" style="141" customWidth="1"/>
    <col min="2573" max="2573" width="14" style="141" bestFit="1" customWidth="1"/>
    <col min="2574" max="2574" width="12.81640625" style="141" customWidth="1"/>
    <col min="2575" max="2575" width="8.81640625" style="141" customWidth="1"/>
    <col min="2576" max="2577" width="12.81640625" style="141" customWidth="1"/>
    <col min="2578" max="2578" width="8.81640625" style="141" customWidth="1"/>
    <col min="2579" max="2579" width="5.1796875" style="141" customWidth="1"/>
    <col min="2580" max="2580" width="4.54296875" style="141" customWidth="1"/>
    <col min="2581" max="2785" width="9.1796875" style="141"/>
    <col min="2786" max="2786" width="12.81640625" style="141" customWidth="1"/>
    <col min="2787" max="2787" width="1" style="141" customWidth="1"/>
    <col min="2788" max="2789" width="12.81640625" style="141" customWidth="1"/>
    <col min="2790" max="2790" width="8.81640625" style="141" customWidth="1"/>
    <col min="2791" max="2792" width="12.81640625" style="141" customWidth="1"/>
    <col min="2793" max="2793" width="8.81640625" style="141" customWidth="1"/>
    <col min="2794" max="2795" width="12.81640625" style="141" customWidth="1"/>
    <col min="2796" max="2796" width="8.81640625" style="141" customWidth="1"/>
    <col min="2797" max="2798" width="12.81640625" style="141" customWidth="1"/>
    <col min="2799" max="2799" width="8.81640625" style="141" customWidth="1"/>
    <col min="2800" max="2801" width="12.81640625" style="141" customWidth="1"/>
    <col min="2802" max="2802" width="8.81640625" style="141" customWidth="1"/>
    <col min="2803" max="2804" width="12.81640625" style="141" customWidth="1"/>
    <col min="2805" max="2805" width="8.81640625" style="141" customWidth="1"/>
    <col min="2806" max="2807" width="12.81640625" style="141" customWidth="1"/>
    <col min="2808" max="2808" width="8.81640625" style="141" customWidth="1"/>
    <col min="2809" max="2809" width="3.81640625" style="141" customWidth="1"/>
    <col min="2810" max="2810" width="3.1796875" style="141" customWidth="1"/>
    <col min="2811" max="2811" width="9.1796875" style="141"/>
    <col min="2812" max="2812" width="12.1796875" style="141" customWidth="1"/>
    <col min="2813" max="2813" width="1.1796875" style="141" customWidth="1"/>
    <col min="2814" max="2815" width="12.81640625" style="141" customWidth="1"/>
    <col min="2816" max="2816" width="8.81640625" style="141" customWidth="1"/>
    <col min="2817" max="2818" width="12.81640625" style="141" customWidth="1"/>
    <col min="2819" max="2819" width="8.81640625" style="141" customWidth="1"/>
    <col min="2820" max="2821" width="12.81640625" style="141" customWidth="1"/>
    <col min="2822" max="2822" width="8.81640625" style="141" customWidth="1"/>
    <col min="2823" max="2824" width="12.81640625" style="141" customWidth="1"/>
    <col min="2825" max="2825" width="8.81640625" style="141" customWidth="1"/>
    <col min="2826" max="2827" width="12.81640625" style="141" customWidth="1"/>
    <col min="2828" max="2828" width="8.81640625" style="141" customWidth="1"/>
    <col min="2829" max="2829" width="14" style="141" bestFit="1" customWidth="1"/>
    <col min="2830" max="2830" width="12.81640625" style="141" customWidth="1"/>
    <col min="2831" max="2831" width="8.81640625" style="141" customWidth="1"/>
    <col min="2832" max="2833" width="12.81640625" style="141" customWidth="1"/>
    <col min="2834" max="2834" width="8.81640625" style="141" customWidth="1"/>
    <col min="2835" max="2835" width="5.1796875" style="141" customWidth="1"/>
    <col min="2836" max="2836" width="4.54296875" style="141" customWidth="1"/>
    <col min="2837" max="3041" width="9.1796875" style="141"/>
    <col min="3042" max="3042" width="12.81640625" style="141" customWidth="1"/>
    <col min="3043" max="3043" width="1" style="141" customWidth="1"/>
    <col min="3044" max="3045" width="12.81640625" style="141" customWidth="1"/>
    <col min="3046" max="3046" width="8.81640625" style="141" customWidth="1"/>
    <col min="3047" max="3048" width="12.81640625" style="141" customWidth="1"/>
    <col min="3049" max="3049" width="8.81640625" style="141" customWidth="1"/>
    <col min="3050" max="3051" width="12.81640625" style="141" customWidth="1"/>
    <col min="3052" max="3052" width="8.81640625" style="141" customWidth="1"/>
    <col min="3053" max="3054" width="12.81640625" style="141" customWidth="1"/>
    <col min="3055" max="3055" width="8.81640625" style="141" customWidth="1"/>
    <col min="3056" max="3057" width="12.81640625" style="141" customWidth="1"/>
    <col min="3058" max="3058" width="8.81640625" style="141" customWidth="1"/>
    <col min="3059" max="3060" width="12.81640625" style="141" customWidth="1"/>
    <col min="3061" max="3061" width="8.81640625" style="141" customWidth="1"/>
    <col min="3062" max="3063" width="12.81640625" style="141" customWidth="1"/>
    <col min="3064" max="3064" width="8.81640625" style="141" customWidth="1"/>
    <col min="3065" max="3065" width="3.81640625" style="141" customWidth="1"/>
    <col min="3066" max="3066" width="3.1796875" style="141" customWidth="1"/>
    <col min="3067" max="3067" width="9.1796875" style="141"/>
    <col min="3068" max="3068" width="12.1796875" style="141" customWidth="1"/>
    <col min="3069" max="3069" width="1.1796875" style="141" customWidth="1"/>
    <col min="3070" max="3071" width="12.81640625" style="141" customWidth="1"/>
    <col min="3072" max="3072" width="8.81640625" style="141" customWidth="1"/>
    <col min="3073" max="3074" width="12.81640625" style="141" customWidth="1"/>
    <col min="3075" max="3075" width="8.81640625" style="141" customWidth="1"/>
    <col min="3076" max="3077" width="12.81640625" style="141" customWidth="1"/>
    <col min="3078" max="3078" width="8.81640625" style="141" customWidth="1"/>
    <col min="3079" max="3080" width="12.81640625" style="141" customWidth="1"/>
    <col min="3081" max="3081" width="8.81640625" style="141" customWidth="1"/>
    <col min="3082" max="3083" width="12.81640625" style="141" customWidth="1"/>
    <col min="3084" max="3084" width="8.81640625" style="141" customWidth="1"/>
    <col min="3085" max="3085" width="14" style="141" bestFit="1" customWidth="1"/>
    <col min="3086" max="3086" width="12.81640625" style="141" customWidth="1"/>
    <col min="3087" max="3087" width="8.81640625" style="141" customWidth="1"/>
    <col min="3088" max="3089" width="12.81640625" style="141" customWidth="1"/>
    <col min="3090" max="3090" width="8.81640625" style="141" customWidth="1"/>
    <col min="3091" max="3091" width="5.1796875" style="141" customWidth="1"/>
    <col min="3092" max="3092" width="4.54296875" style="141" customWidth="1"/>
    <col min="3093" max="3297" width="9.1796875" style="141"/>
    <col min="3298" max="3298" width="12.81640625" style="141" customWidth="1"/>
    <col min="3299" max="3299" width="1" style="141" customWidth="1"/>
    <col min="3300" max="3301" width="12.81640625" style="141" customWidth="1"/>
    <col min="3302" max="3302" width="8.81640625" style="141" customWidth="1"/>
    <col min="3303" max="3304" width="12.81640625" style="141" customWidth="1"/>
    <col min="3305" max="3305" width="8.81640625" style="141" customWidth="1"/>
    <col min="3306" max="3307" width="12.81640625" style="141" customWidth="1"/>
    <col min="3308" max="3308" width="8.81640625" style="141" customWidth="1"/>
    <col min="3309" max="3310" width="12.81640625" style="141" customWidth="1"/>
    <col min="3311" max="3311" width="8.81640625" style="141" customWidth="1"/>
    <col min="3312" max="3313" width="12.81640625" style="141" customWidth="1"/>
    <col min="3314" max="3314" width="8.81640625" style="141" customWidth="1"/>
    <col min="3315" max="3316" width="12.81640625" style="141" customWidth="1"/>
    <col min="3317" max="3317" width="8.81640625" style="141" customWidth="1"/>
    <col min="3318" max="3319" width="12.81640625" style="141" customWidth="1"/>
    <col min="3320" max="3320" width="8.81640625" style="141" customWidth="1"/>
    <col min="3321" max="3321" width="3.81640625" style="141" customWidth="1"/>
    <col min="3322" max="3322" width="3.1796875" style="141" customWidth="1"/>
    <col min="3323" max="3323" width="9.1796875" style="141"/>
    <col min="3324" max="3324" width="12.1796875" style="141" customWidth="1"/>
    <col min="3325" max="3325" width="1.1796875" style="141" customWidth="1"/>
    <col min="3326" max="3327" width="12.81640625" style="141" customWidth="1"/>
    <col min="3328" max="3328" width="8.81640625" style="141" customWidth="1"/>
    <col min="3329" max="3330" width="12.81640625" style="141" customWidth="1"/>
    <col min="3331" max="3331" width="8.81640625" style="141" customWidth="1"/>
    <col min="3332" max="3333" width="12.81640625" style="141" customWidth="1"/>
    <col min="3334" max="3334" width="8.81640625" style="141" customWidth="1"/>
    <col min="3335" max="3336" width="12.81640625" style="141" customWidth="1"/>
    <col min="3337" max="3337" width="8.81640625" style="141" customWidth="1"/>
    <col min="3338" max="3339" width="12.81640625" style="141" customWidth="1"/>
    <col min="3340" max="3340" width="8.81640625" style="141" customWidth="1"/>
    <col min="3341" max="3341" width="14" style="141" bestFit="1" customWidth="1"/>
    <col min="3342" max="3342" width="12.81640625" style="141" customWidth="1"/>
    <col min="3343" max="3343" width="8.81640625" style="141" customWidth="1"/>
    <col min="3344" max="3345" width="12.81640625" style="141" customWidth="1"/>
    <col min="3346" max="3346" width="8.81640625" style="141" customWidth="1"/>
    <col min="3347" max="3347" width="5.1796875" style="141" customWidth="1"/>
    <col min="3348" max="3348" width="4.54296875" style="141" customWidth="1"/>
    <col min="3349" max="3553" width="9.1796875" style="141"/>
    <col min="3554" max="3554" width="12.81640625" style="141" customWidth="1"/>
    <col min="3555" max="3555" width="1" style="141" customWidth="1"/>
    <col min="3556" max="3557" width="12.81640625" style="141" customWidth="1"/>
    <col min="3558" max="3558" width="8.81640625" style="141" customWidth="1"/>
    <col min="3559" max="3560" width="12.81640625" style="141" customWidth="1"/>
    <col min="3561" max="3561" width="8.81640625" style="141" customWidth="1"/>
    <col min="3562" max="3563" width="12.81640625" style="141" customWidth="1"/>
    <col min="3564" max="3564" width="8.81640625" style="141" customWidth="1"/>
    <col min="3565" max="3566" width="12.81640625" style="141" customWidth="1"/>
    <col min="3567" max="3567" width="8.81640625" style="141" customWidth="1"/>
    <col min="3568" max="3569" width="12.81640625" style="141" customWidth="1"/>
    <col min="3570" max="3570" width="8.81640625" style="141" customWidth="1"/>
    <col min="3571" max="3572" width="12.81640625" style="141" customWidth="1"/>
    <col min="3573" max="3573" width="8.81640625" style="141" customWidth="1"/>
    <col min="3574" max="3575" width="12.81640625" style="141" customWidth="1"/>
    <col min="3576" max="3576" width="8.81640625" style="141" customWidth="1"/>
    <col min="3577" max="3577" width="3.81640625" style="141" customWidth="1"/>
    <col min="3578" max="3578" width="3.1796875" style="141" customWidth="1"/>
    <col min="3579" max="3579" width="9.1796875" style="141"/>
    <col min="3580" max="3580" width="12.1796875" style="141" customWidth="1"/>
    <col min="3581" max="3581" width="1.1796875" style="141" customWidth="1"/>
    <col min="3582" max="3583" width="12.81640625" style="141" customWidth="1"/>
    <col min="3584" max="3584" width="8.81640625" style="141" customWidth="1"/>
    <col min="3585" max="3586" width="12.81640625" style="141" customWidth="1"/>
    <col min="3587" max="3587" width="8.81640625" style="141" customWidth="1"/>
    <col min="3588" max="3589" width="12.81640625" style="141" customWidth="1"/>
    <col min="3590" max="3590" width="8.81640625" style="141" customWidth="1"/>
    <col min="3591" max="3592" width="12.81640625" style="141" customWidth="1"/>
    <col min="3593" max="3593" width="8.81640625" style="141" customWidth="1"/>
    <col min="3594" max="3595" width="12.81640625" style="141" customWidth="1"/>
    <col min="3596" max="3596" width="8.81640625" style="141" customWidth="1"/>
    <col min="3597" max="3597" width="14" style="141" bestFit="1" customWidth="1"/>
    <col min="3598" max="3598" width="12.81640625" style="141" customWidth="1"/>
    <col min="3599" max="3599" width="8.81640625" style="141" customWidth="1"/>
    <col min="3600" max="3601" width="12.81640625" style="141" customWidth="1"/>
    <col min="3602" max="3602" width="8.81640625" style="141" customWidth="1"/>
    <col min="3603" max="3603" width="5.1796875" style="141" customWidth="1"/>
    <col min="3604" max="3604" width="4.54296875" style="141" customWidth="1"/>
    <col min="3605" max="3809" width="9.1796875" style="141"/>
    <col min="3810" max="3810" width="12.81640625" style="141" customWidth="1"/>
    <col min="3811" max="3811" width="1" style="141" customWidth="1"/>
    <col min="3812" max="3813" width="12.81640625" style="141" customWidth="1"/>
    <col min="3814" max="3814" width="8.81640625" style="141" customWidth="1"/>
    <col min="3815" max="3816" width="12.81640625" style="141" customWidth="1"/>
    <col min="3817" max="3817" width="8.81640625" style="141" customWidth="1"/>
    <col min="3818" max="3819" width="12.81640625" style="141" customWidth="1"/>
    <col min="3820" max="3820" width="8.81640625" style="141" customWidth="1"/>
    <col min="3821" max="3822" width="12.81640625" style="141" customWidth="1"/>
    <col min="3823" max="3823" width="8.81640625" style="141" customWidth="1"/>
    <col min="3824" max="3825" width="12.81640625" style="141" customWidth="1"/>
    <col min="3826" max="3826" width="8.81640625" style="141" customWidth="1"/>
    <col min="3827" max="3828" width="12.81640625" style="141" customWidth="1"/>
    <col min="3829" max="3829" width="8.81640625" style="141" customWidth="1"/>
    <col min="3830" max="3831" width="12.81640625" style="141" customWidth="1"/>
    <col min="3832" max="3832" width="8.81640625" style="141" customWidth="1"/>
    <col min="3833" max="3833" width="3.81640625" style="141" customWidth="1"/>
    <col min="3834" max="3834" width="3.1796875" style="141" customWidth="1"/>
    <col min="3835" max="3835" width="9.1796875" style="141"/>
    <col min="3836" max="3836" width="12.1796875" style="141" customWidth="1"/>
    <col min="3837" max="3837" width="1.1796875" style="141" customWidth="1"/>
    <col min="3838" max="3839" width="12.81640625" style="141" customWidth="1"/>
    <col min="3840" max="3840" width="8.81640625" style="141" customWidth="1"/>
    <col min="3841" max="3842" width="12.81640625" style="141" customWidth="1"/>
    <col min="3843" max="3843" width="8.81640625" style="141" customWidth="1"/>
    <col min="3844" max="3845" width="12.81640625" style="141" customWidth="1"/>
    <col min="3846" max="3846" width="8.81640625" style="141" customWidth="1"/>
    <col min="3847" max="3848" width="12.81640625" style="141" customWidth="1"/>
    <col min="3849" max="3849" width="8.81640625" style="141" customWidth="1"/>
    <col min="3850" max="3851" width="12.81640625" style="141" customWidth="1"/>
    <col min="3852" max="3852" width="8.81640625" style="141" customWidth="1"/>
    <col min="3853" max="3853" width="14" style="141" bestFit="1" customWidth="1"/>
    <col min="3854" max="3854" width="12.81640625" style="141" customWidth="1"/>
    <col min="3855" max="3855" width="8.81640625" style="141" customWidth="1"/>
    <col min="3856" max="3857" width="12.81640625" style="141" customWidth="1"/>
    <col min="3858" max="3858" width="8.81640625" style="141" customWidth="1"/>
    <col min="3859" max="3859" width="5.1796875" style="141" customWidth="1"/>
    <col min="3860" max="3860" width="4.54296875" style="141" customWidth="1"/>
    <col min="3861" max="4065" width="9.1796875" style="141"/>
    <col min="4066" max="4066" width="12.81640625" style="141" customWidth="1"/>
    <col min="4067" max="4067" width="1" style="141" customWidth="1"/>
    <col min="4068" max="4069" width="12.81640625" style="141" customWidth="1"/>
    <col min="4070" max="4070" width="8.81640625" style="141" customWidth="1"/>
    <col min="4071" max="4072" width="12.81640625" style="141" customWidth="1"/>
    <col min="4073" max="4073" width="8.81640625" style="141" customWidth="1"/>
    <col min="4074" max="4075" width="12.81640625" style="141" customWidth="1"/>
    <col min="4076" max="4076" width="8.81640625" style="141" customWidth="1"/>
    <col min="4077" max="4078" width="12.81640625" style="141" customWidth="1"/>
    <col min="4079" max="4079" width="8.81640625" style="141" customWidth="1"/>
    <col min="4080" max="4081" width="12.81640625" style="141" customWidth="1"/>
    <col min="4082" max="4082" width="8.81640625" style="141" customWidth="1"/>
    <col min="4083" max="4084" width="12.81640625" style="141" customWidth="1"/>
    <col min="4085" max="4085" width="8.81640625" style="141" customWidth="1"/>
    <col min="4086" max="4087" width="12.81640625" style="141" customWidth="1"/>
    <col min="4088" max="4088" width="8.81640625" style="141" customWidth="1"/>
    <col min="4089" max="4089" width="3.81640625" style="141" customWidth="1"/>
    <col min="4090" max="4090" width="3.1796875" style="141" customWidth="1"/>
    <col min="4091" max="4091" width="9.1796875" style="141"/>
    <col min="4092" max="4092" width="12.1796875" style="141" customWidth="1"/>
    <col min="4093" max="4093" width="1.1796875" style="141" customWidth="1"/>
    <col min="4094" max="4095" width="12.81640625" style="141" customWidth="1"/>
    <col min="4096" max="4096" width="8.81640625" style="141" customWidth="1"/>
    <col min="4097" max="4098" width="12.81640625" style="141" customWidth="1"/>
    <col min="4099" max="4099" width="8.81640625" style="141" customWidth="1"/>
    <col min="4100" max="4101" width="12.81640625" style="141" customWidth="1"/>
    <col min="4102" max="4102" width="8.81640625" style="141" customWidth="1"/>
    <col min="4103" max="4104" width="12.81640625" style="141" customWidth="1"/>
    <col min="4105" max="4105" width="8.81640625" style="141" customWidth="1"/>
    <col min="4106" max="4107" width="12.81640625" style="141" customWidth="1"/>
    <col min="4108" max="4108" width="8.81640625" style="141" customWidth="1"/>
    <col min="4109" max="4109" width="14" style="141" bestFit="1" customWidth="1"/>
    <col min="4110" max="4110" width="12.81640625" style="141" customWidth="1"/>
    <col min="4111" max="4111" width="8.81640625" style="141" customWidth="1"/>
    <col min="4112" max="4113" width="12.81640625" style="141" customWidth="1"/>
    <col min="4114" max="4114" width="8.81640625" style="141" customWidth="1"/>
    <col min="4115" max="4115" width="5.1796875" style="141" customWidth="1"/>
    <col min="4116" max="4116" width="4.54296875" style="141" customWidth="1"/>
    <col min="4117" max="4321" width="9.1796875" style="141"/>
    <col min="4322" max="4322" width="12.81640625" style="141" customWidth="1"/>
    <col min="4323" max="4323" width="1" style="141" customWidth="1"/>
    <col min="4324" max="4325" width="12.81640625" style="141" customWidth="1"/>
    <col min="4326" max="4326" width="8.81640625" style="141" customWidth="1"/>
    <col min="4327" max="4328" width="12.81640625" style="141" customWidth="1"/>
    <col min="4329" max="4329" width="8.81640625" style="141" customWidth="1"/>
    <col min="4330" max="4331" width="12.81640625" style="141" customWidth="1"/>
    <col min="4332" max="4332" width="8.81640625" style="141" customWidth="1"/>
    <col min="4333" max="4334" width="12.81640625" style="141" customWidth="1"/>
    <col min="4335" max="4335" width="8.81640625" style="141" customWidth="1"/>
    <col min="4336" max="4337" width="12.81640625" style="141" customWidth="1"/>
    <col min="4338" max="4338" width="8.81640625" style="141" customWidth="1"/>
    <col min="4339" max="4340" width="12.81640625" style="141" customWidth="1"/>
    <col min="4341" max="4341" width="8.81640625" style="141" customWidth="1"/>
    <col min="4342" max="4343" width="12.81640625" style="141" customWidth="1"/>
    <col min="4344" max="4344" width="8.81640625" style="141" customWidth="1"/>
    <col min="4345" max="4345" width="3.81640625" style="141" customWidth="1"/>
    <col min="4346" max="4346" width="3.1796875" style="141" customWidth="1"/>
    <col min="4347" max="4347" width="9.1796875" style="141"/>
    <col min="4348" max="4348" width="12.1796875" style="141" customWidth="1"/>
    <col min="4349" max="4349" width="1.1796875" style="141" customWidth="1"/>
    <col min="4350" max="4351" width="12.81640625" style="141" customWidth="1"/>
    <col min="4352" max="4352" width="8.81640625" style="141" customWidth="1"/>
    <col min="4353" max="4354" width="12.81640625" style="141" customWidth="1"/>
    <col min="4355" max="4355" width="8.81640625" style="141" customWidth="1"/>
    <col min="4356" max="4357" width="12.81640625" style="141" customWidth="1"/>
    <col min="4358" max="4358" width="8.81640625" style="141" customWidth="1"/>
    <col min="4359" max="4360" width="12.81640625" style="141" customWidth="1"/>
    <col min="4361" max="4361" width="8.81640625" style="141" customWidth="1"/>
    <col min="4362" max="4363" width="12.81640625" style="141" customWidth="1"/>
    <col min="4364" max="4364" width="8.81640625" style="141" customWidth="1"/>
    <col min="4365" max="4365" width="14" style="141" bestFit="1" customWidth="1"/>
    <col min="4366" max="4366" width="12.81640625" style="141" customWidth="1"/>
    <col min="4367" max="4367" width="8.81640625" style="141" customWidth="1"/>
    <col min="4368" max="4369" width="12.81640625" style="141" customWidth="1"/>
    <col min="4370" max="4370" width="8.81640625" style="141" customWidth="1"/>
    <col min="4371" max="4371" width="5.1796875" style="141" customWidth="1"/>
    <col min="4372" max="4372" width="4.54296875" style="141" customWidth="1"/>
    <col min="4373" max="4577" width="9.1796875" style="141"/>
    <col min="4578" max="4578" width="12.81640625" style="141" customWidth="1"/>
    <col min="4579" max="4579" width="1" style="141" customWidth="1"/>
    <col min="4580" max="4581" width="12.81640625" style="141" customWidth="1"/>
    <col min="4582" max="4582" width="8.81640625" style="141" customWidth="1"/>
    <col min="4583" max="4584" width="12.81640625" style="141" customWidth="1"/>
    <col min="4585" max="4585" width="8.81640625" style="141" customWidth="1"/>
    <col min="4586" max="4587" width="12.81640625" style="141" customWidth="1"/>
    <col min="4588" max="4588" width="8.81640625" style="141" customWidth="1"/>
    <col min="4589" max="4590" width="12.81640625" style="141" customWidth="1"/>
    <col min="4591" max="4591" width="8.81640625" style="141" customWidth="1"/>
    <col min="4592" max="4593" width="12.81640625" style="141" customWidth="1"/>
    <col min="4594" max="4594" width="8.81640625" style="141" customWidth="1"/>
    <col min="4595" max="4596" width="12.81640625" style="141" customWidth="1"/>
    <col min="4597" max="4597" width="8.81640625" style="141" customWidth="1"/>
    <col min="4598" max="4599" width="12.81640625" style="141" customWidth="1"/>
    <col min="4600" max="4600" width="8.81640625" style="141" customWidth="1"/>
    <col min="4601" max="4601" width="3.81640625" style="141" customWidth="1"/>
    <col min="4602" max="4602" width="3.1796875" style="141" customWidth="1"/>
    <col min="4603" max="4603" width="9.1796875" style="141"/>
    <col min="4604" max="4604" width="12.1796875" style="141" customWidth="1"/>
    <col min="4605" max="4605" width="1.1796875" style="141" customWidth="1"/>
    <col min="4606" max="4607" width="12.81640625" style="141" customWidth="1"/>
    <col min="4608" max="4608" width="8.81640625" style="141" customWidth="1"/>
    <col min="4609" max="4610" width="12.81640625" style="141" customWidth="1"/>
    <col min="4611" max="4611" width="8.81640625" style="141" customWidth="1"/>
    <col min="4612" max="4613" width="12.81640625" style="141" customWidth="1"/>
    <col min="4614" max="4614" width="8.81640625" style="141" customWidth="1"/>
    <col min="4615" max="4616" width="12.81640625" style="141" customWidth="1"/>
    <col min="4617" max="4617" width="8.81640625" style="141" customWidth="1"/>
    <col min="4618" max="4619" width="12.81640625" style="141" customWidth="1"/>
    <col min="4620" max="4620" width="8.81640625" style="141" customWidth="1"/>
    <col min="4621" max="4621" width="14" style="141" bestFit="1" customWidth="1"/>
    <col min="4622" max="4622" width="12.81640625" style="141" customWidth="1"/>
    <col min="4623" max="4623" width="8.81640625" style="141" customWidth="1"/>
    <col min="4624" max="4625" width="12.81640625" style="141" customWidth="1"/>
    <col min="4626" max="4626" width="8.81640625" style="141" customWidth="1"/>
    <col min="4627" max="4627" width="5.1796875" style="141" customWidth="1"/>
    <col min="4628" max="4628" width="4.54296875" style="141" customWidth="1"/>
    <col min="4629" max="4833" width="9.1796875" style="141"/>
    <col min="4834" max="4834" width="12.81640625" style="141" customWidth="1"/>
    <col min="4835" max="4835" width="1" style="141" customWidth="1"/>
    <col min="4836" max="4837" width="12.81640625" style="141" customWidth="1"/>
    <col min="4838" max="4838" width="8.81640625" style="141" customWidth="1"/>
    <col min="4839" max="4840" width="12.81640625" style="141" customWidth="1"/>
    <col min="4841" max="4841" width="8.81640625" style="141" customWidth="1"/>
    <col min="4842" max="4843" width="12.81640625" style="141" customWidth="1"/>
    <col min="4844" max="4844" width="8.81640625" style="141" customWidth="1"/>
    <col min="4845" max="4846" width="12.81640625" style="141" customWidth="1"/>
    <col min="4847" max="4847" width="8.81640625" style="141" customWidth="1"/>
    <col min="4848" max="4849" width="12.81640625" style="141" customWidth="1"/>
    <col min="4850" max="4850" width="8.81640625" style="141" customWidth="1"/>
    <col min="4851" max="4852" width="12.81640625" style="141" customWidth="1"/>
    <col min="4853" max="4853" width="8.81640625" style="141" customWidth="1"/>
    <col min="4854" max="4855" width="12.81640625" style="141" customWidth="1"/>
    <col min="4856" max="4856" width="8.81640625" style="141" customWidth="1"/>
    <col min="4857" max="4857" width="3.81640625" style="141" customWidth="1"/>
    <col min="4858" max="4858" width="3.1796875" style="141" customWidth="1"/>
    <col min="4859" max="4859" width="9.1796875" style="141"/>
    <col min="4860" max="4860" width="12.1796875" style="141" customWidth="1"/>
    <col min="4861" max="4861" width="1.1796875" style="141" customWidth="1"/>
    <col min="4862" max="4863" width="12.81640625" style="141" customWidth="1"/>
    <col min="4864" max="4864" width="8.81640625" style="141" customWidth="1"/>
    <col min="4865" max="4866" width="12.81640625" style="141" customWidth="1"/>
    <col min="4867" max="4867" width="8.81640625" style="141" customWidth="1"/>
    <col min="4868" max="4869" width="12.81640625" style="141" customWidth="1"/>
    <col min="4870" max="4870" width="8.81640625" style="141" customWidth="1"/>
    <col min="4871" max="4872" width="12.81640625" style="141" customWidth="1"/>
    <col min="4873" max="4873" width="8.81640625" style="141" customWidth="1"/>
    <col min="4874" max="4875" width="12.81640625" style="141" customWidth="1"/>
    <col min="4876" max="4876" width="8.81640625" style="141" customWidth="1"/>
    <col min="4877" max="4877" width="14" style="141" bestFit="1" customWidth="1"/>
    <col min="4878" max="4878" width="12.81640625" style="141" customWidth="1"/>
    <col min="4879" max="4879" width="8.81640625" style="141" customWidth="1"/>
    <col min="4880" max="4881" width="12.81640625" style="141" customWidth="1"/>
    <col min="4882" max="4882" width="8.81640625" style="141" customWidth="1"/>
    <col min="4883" max="4883" width="5.1796875" style="141" customWidth="1"/>
    <col min="4884" max="4884" width="4.54296875" style="141" customWidth="1"/>
    <col min="4885" max="5089" width="9.1796875" style="141"/>
    <col min="5090" max="5090" width="12.81640625" style="141" customWidth="1"/>
    <col min="5091" max="5091" width="1" style="141" customWidth="1"/>
    <col min="5092" max="5093" width="12.81640625" style="141" customWidth="1"/>
    <col min="5094" max="5094" width="8.81640625" style="141" customWidth="1"/>
    <col min="5095" max="5096" width="12.81640625" style="141" customWidth="1"/>
    <col min="5097" max="5097" width="8.81640625" style="141" customWidth="1"/>
    <col min="5098" max="5099" width="12.81640625" style="141" customWidth="1"/>
    <col min="5100" max="5100" width="8.81640625" style="141" customWidth="1"/>
    <col min="5101" max="5102" width="12.81640625" style="141" customWidth="1"/>
    <col min="5103" max="5103" width="8.81640625" style="141" customWidth="1"/>
    <col min="5104" max="5105" width="12.81640625" style="141" customWidth="1"/>
    <col min="5106" max="5106" width="8.81640625" style="141" customWidth="1"/>
    <col min="5107" max="5108" width="12.81640625" style="141" customWidth="1"/>
    <col min="5109" max="5109" width="8.81640625" style="141" customWidth="1"/>
    <col min="5110" max="5111" width="12.81640625" style="141" customWidth="1"/>
    <col min="5112" max="5112" width="8.81640625" style="141" customWidth="1"/>
    <col min="5113" max="5113" width="3.81640625" style="141" customWidth="1"/>
    <col min="5114" max="5114" width="3.1796875" style="141" customWidth="1"/>
    <col min="5115" max="5115" width="9.1796875" style="141"/>
    <col min="5116" max="5116" width="12.1796875" style="141" customWidth="1"/>
    <col min="5117" max="5117" width="1.1796875" style="141" customWidth="1"/>
    <col min="5118" max="5119" width="12.81640625" style="141" customWidth="1"/>
    <col min="5120" max="5120" width="8.81640625" style="141" customWidth="1"/>
    <col min="5121" max="5122" width="12.81640625" style="141" customWidth="1"/>
    <col min="5123" max="5123" width="8.81640625" style="141" customWidth="1"/>
    <col min="5124" max="5125" width="12.81640625" style="141" customWidth="1"/>
    <col min="5126" max="5126" width="8.81640625" style="141" customWidth="1"/>
    <col min="5127" max="5128" width="12.81640625" style="141" customWidth="1"/>
    <col min="5129" max="5129" width="8.81640625" style="141" customWidth="1"/>
    <col min="5130" max="5131" width="12.81640625" style="141" customWidth="1"/>
    <col min="5132" max="5132" width="8.81640625" style="141" customWidth="1"/>
    <col min="5133" max="5133" width="14" style="141" bestFit="1" customWidth="1"/>
    <col min="5134" max="5134" width="12.81640625" style="141" customWidth="1"/>
    <col min="5135" max="5135" width="8.81640625" style="141" customWidth="1"/>
    <col min="5136" max="5137" width="12.81640625" style="141" customWidth="1"/>
    <col min="5138" max="5138" width="8.81640625" style="141" customWidth="1"/>
    <col min="5139" max="5139" width="5.1796875" style="141" customWidth="1"/>
    <col min="5140" max="5140" width="4.54296875" style="141" customWidth="1"/>
    <col min="5141" max="5345" width="9.1796875" style="141"/>
    <col min="5346" max="5346" width="12.81640625" style="141" customWidth="1"/>
    <col min="5347" max="5347" width="1" style="141" customWidth="1"/>
    <col min="5348" max="5349" width="12.81640625" style="141" customWidth="1"/>
    <col min="5350" max="5350" width="8.81640625" style="141" customWidth="1"/>
    <col min="5351" max="5352" width="12.81640625" style="141" customWidth="1"/>
    <col min="5353" max="5353" width="8.81640625" style="141" customWidth="1"/>
    <col min="5354" max="5355" width="12.81640625" style="141" customWidth="1"/>
    <col min="5356" max="5356" width="8.81640625" style="141" customWidth="1"/>
    <col min="5357" max="5358" width="12.81640625" style="141" customWidth="1"/>
    <col min="5359" max="5359" width="8.81640625" style="141" customWidth="1"/>
    <col min="5360" max="5361" width="12.81640625" style="141" customWidth="1"/>
    <col min="5362" max="5362" width="8.81640625" style="141" customWidth="1"/>
    <col min="5363" max="5364" width="12.81640625" style="141" customWidth="1"/>
    <col min="5365" max="5365" width="8.81640625" style="141" customWidth="1"/>
    <col min="5366" max="5367" width="12.81640625" style="141" customWidth="1"/>
    <col min="5368" max="5368" width="8.81640625" style="141" customWidth="1"/>
    <col min="5369" max="5369" width="3.81640625" style="141" customWidth="1"/>
    <col min="5370" max="5370" width="3.1796875" style="141" customWidth="1"/>
    <col min="5371" max="5371" width="9.1796875" style="141"/>
    <col min="5372" max="5372" width="12.1796875" style="141" customWidth="1"/>
    <col min="5373" max="5373" width="1.1796875" style="141" customWidth="1"/>
    <col min="5374" max="5375" width="12.81640625" style="141" customWidth="1"/>
    <col min="5376" max="5376" width="8.81640625" style="141" customWidth="1"/>
    <col min="5377" max="5378" width="12.81640625" style="141" customWidth="1"/>
    <col min="5379" max="5379" width="8.81640625" style="141" customWidth="1"/>
    <col min="5380" max="5381" width="12.81640625" style="141" customWidth="1"/>
    <col min="5382" max="5382" width="8.81640625" style="141" customWidth="1"/>
    <col min="5383" max="5384" width="12.81640625" style="141" customWidth="1"/>
    <col min="5385" max="5385" width="8.81640625" style="141" customWidth="1"/>
    <col min="5386" max="5387" width="12.81640625" style="141" customWidth="1"/>
    <col min="5388" max="5388" width="8.81640625" style="141" customWidth="1"/>
    <col min="5389" max="5389" width="14" style="141" bestFit="1" customWidth="1"/>
    <col min="5390" max="5390" width="12.81640625" style="141" customWidth="1"/>
    <col min="5391" max="5391" width="8.81640625" style="141" customWidth="1"/>
    <col min="5392" max="5393" width="12.81640625" style="141" customWidth="1"/>
    <col min="5394" max="5394" width="8.81640625" style="141" customWidth="1"/>
    <col min="5395" max="5395" width="5.1796875" style="141" customWidth="1"/>
    <col min="5396" max="5396" width="4.54296875" style="141" customWidth="1"/>
    <col min="5397" max="5601" width="9.1796875" style="141"/>
    <col min="5602" max="5602" width="12.81640625" style="141" customWidth="1"/>
    <col min="5603" max="5603" width="1" style="141" customWidth="1"/>
    <col min="5604" max="5605" width="12.81640625" style="141" customWidth="1"/>
    <col min="5606" max="5606" width="8.81640625" style="141" customWidth="1"/>
    <col min="5607" max="5608" width="12.81640625" style="141" customWidth="1"/>
    <col min="5609" max="5609" width="8.81640625" style="141" customWidth="1"/>
    <col min="5610" max="5611" width="12.81640625" style="141" customWidth="1"/>
    <col min="5612" max="5612" width="8.81640625" style="141" customWidth="1"/>
    <col min="5613" max="5614" width="12.81640625" style="141" customWidth="1"/>
    <col min="5615" max="5615" width="8.81640625" style="141" customWidth="1"/>
    <col min="5616" max="5617" width="12.81640625" style="141" customWidth="1"/>
    <col min="5618" max="5618" width="8.81640625" style="141" customWidth="1"/>
    <col min="5619" max="5620" width="12.81640625" style="141" customWidth="1"/>
    <col min="5621" max="5621" width="8.81640625" style="141" customWidth="1"/>
    <col min="5622" max="5623" width="12.81640625" style="141" customWidth="1"/>
    <col min="5624" max="5624" width="8.81640625" style="141" customWidth="1"/>
    <col min="5625" max="5625" width="3.81640625" style="141" customWidth="1"/>
    <col min="5626" max="5626" width="3.1796875" style="141" customWidth="1"/>
    <col min="5627" max="5627" width="9.1796875" style="141"/>
    <col min="5628" max="5628" width="12.1796875" style="141" customWidth="1"/>
    <col min="5629" max="5629" width="1.1796875" style="141" customWidth="1"/>
    <col min="5630" max="5631" width="12.81640625" style="141" customWidth="1"/>
    <col min="5632" max="5632" width="8.81640625" style="141" customWidth="1"/>
    <col min="5633" max="5634" width="12.81640625" style="141" customWidth="1"/>
    <col min="5635" max="5635" width="8.81640625" style="141" customWidth="1"/>
    <col min="5636" max="5637" width="12.81640625" style="141" customWidth="1"/>
    <col min="5638" max="5638" width="8.81640625" style="141" customWidth="1"/>
    <col min="5639" max="5640" width="12.81640625" style="141" customWidth="1"/>
    <col min="5641" max="5641" width="8.81640625" style="141" customWidth="1"/>
    <col min="5642" max="5643" width="12.81640625" style="141" customWidth="1"/>
    <col min="5644" max="5644" width="8.81640625" style="141" customWidth="1"/>
    <col min="5645" max="5645" width="14" style="141" bestFit="1" customWidth="1"/>
    <col min="5646" max="5646" width="12.81640625" style="141" customWidth="1"/>
    <col min="5647" max="5647" width="8.81640625" style="141" customWidth="1"/>
    <col min="5648" max="5649" width="12.81640625" style="141" customWidth="1"/>
    <col min="5650" max="5650" width="8.81640625" style="141" customWidth="1"/>
    <col min="5651" max="5651" width="5.1796875" style="141" customWidth="1"/>
    <col min="5652" max="5652" width="4.54296875" style="141" customWidth="1"/>
    <col min="5653" max="5857" width="9.1796875" style="141"/>
    <col min="5858" max="5858" width="12.81640625" style="141" customWidth="1"/>
    <col min="5859" max="5859" width="1" style="141" customWidth="1"/>
    <col min="5860" max="5861" width="12.81640625" style="141" customWidth="1"/>
    <col min="5862" max="5862" width="8.81640625" style="141" customWidth="1"/>
    <col min="5863" max="5864" width="12.81640625" style="141" customWidth="1"/>
    <col min="5865" max="5865" width="8.81640625" style="141" customWidth="1"/>
    <col min="5866" max="5867" width="12.81640625" style="141" customWidth="1"/>
    <col min="5868" max="5868" width="8.81640625" style="141" customWidth="1"/>
    <col min="5869" max="5870" width="12.81640625" style="141" customWidth="1"/>
    <col min="5871" max="5871" width="8.81640625" style="141" customWidth="1"/>
    <col min="5872" max="5873" width="12.81640625" style="141" customWidth="1"/>
    <col min="5874" max="5874" width="8.81640625" style="141" customWidth="1"/>
    <col min="5875" max="5876" width="12.81640625" style="141" customWidth="1"/>
    <col min="5877" max="5877" width="8.81640625" style="141" customWidth="1"/>
    <col min="5878" max="5879" width="12.81640625" style="141" customWidth="1"/>
    <col min="5880" max="5880" width="8.81640625" style="141" customWidth="1"/>
    <col min="5881" max="5881" width="3.81640625" style="141" customWidth="1"/>
    <col min="5882" max="5882" width="3.1796875" style="141" customWidth="1"/>
    <col min="5883" max="5883" width="9.1796875" style="141"/>
    <col min="5884" max="5884" width="12.1796875" style="141" customWidth="1"/>
    <col min="5885" max="5885" width="1.1796875" style="141" customWidth="1"/>
    <col min="5886" max="5887" width="12.81640625" style="141" customWidth="1"/>
    <col min="5888" max="5888" width="8.81640625" style="141" customWidth="1"/>
    <col min="5889" max="5890" width="12.81640625" style="141" customWidth="1"/>
    <col min="5891" max="5891" width="8.81640625" style="141" customWidth="1"/>
    <col min="5892" max="5893" width="12.81640625" style="141" customWidth="1"/>
    <col min="5894" max="5894" width="8.81640625" style="141" customWidth="1"/>
    <col min="5895" max="5896" width="12.81640625" style="141" customWidth="1"/>
    <col min="5897" max="5897" width="8.81640625" style="141" customWidth="1"/>
    <col min="5898" max="5899" width="12.81640625" style="141" customWidth="1"/>
    <col min="5900" max="5900" width="8.81640625" style="141" customWidth="1"/>
    <col min="5901" max="5901" width="14" style="141" bestFit="1" customWidth="1"/>
    <col min="5902" max="5902" width="12.81640625" style="141" customWidth="1"/>
    <col min="5903" max="5903" width="8.81640625" style="141" customWidth="1"/>
    <col min="5904" max="5905" width="12.81640625" style="141" customWidth="1"/>
    <col min="5906" max="5906" width="8.81640625" style="141" customWidth="1"/>
    <col min="5907" max="5907" width="5.1796875" style="141" customWidth="1"/>
    <col min="5908" max="5908" width="4.54296875" style="141" customWidth="1"/>
    <col min="5909" max="6113" width="9.1796875" style="141"/>
    <col min="6114" max="6114" width="12.81640625" style="141" customWidth="1"/>
    <col min="6115" max="6115" width="1" style="141" customWidth="1"/>
    <col min="6116" max="6117" width="12.81640625" style="141" customWidth="1"/>
    <col min="6118" max="6118" width="8.81640625" style="141" customWidth="1"/>
    <col min="6119" max="6120" width="12.81640625" style="141" customWidth="1"/>
    <col min="6121" max="6121" width="8.81640625" style="141" customWidth="1"/>
    <col min="6122" max="6123" width="12.81640625" style="141" customWidth="1"/>
    <col min="6124" max="6124" width="8.81640625" style="141" customWidth="1"/>
    <col min="6125" max="6126" width="12.81640625" style="141" customWidth="1"/>
    <col min="6127" max="6127" width="8.81640625" style="141" customWidth="1"/>
    <col min="6128" max="6129" width="12.81640625" style="141" customWidth="1"/>
    <col min="6130" max="6130" width="8.81640625" style="141" customWidth="1"/>
    <col min="6131" max="6132" width="12.81640625" style="141" customWidth="1"/>
    <col min="6133" max="6133" width="8.81640625" style="141" customWidth="1"/>
    <col min="6134" max="6135" width="12.81640625" style="141" customWidth="1"/>
    <col min="6136" max="6136" width="8.81640625" style="141" customWidth="1"/>
    <col min="6137" max="6137" width="3.81640625" style="141" customWidth="1"/>
    <col min="6138" max="6138" width="3.1796875" style="141" customWidth="1"/>
    <col min="6139" max="6139" width="9.1796875" style="141"/>
    <col min="6140" max="6140" width="12.1796875" style="141" customWidth="1"/>
    <col min="6141" max="6141" width="1.1796875" style="141" customWidth="1"/>
    <col min="6142" max="6143" width="12.81640625" style="141" customWidth="1"/>
    <col min="6144" max="6144" width="8.81640625" style="141" customWidth="1"/>
    <col min="6145" max="6146" width="12.81640625" style="141" customWidth="1"/>
    <col min="6147" max="6147" width="8.81640625" style="141" customWidth="1"/>
    <col min="6148" max="6149" width="12.81640625" style="141" customWidth="1"/>
    <col min="6150" max="6150" width="8.81640625" style="141" customWidth="1"/>
    <col min="6151" max="6152" width="12.81640625" style="141" customWidth="1"/>
    <col min="6153" max="6153" width="8.81640625" style="141" customWidth="1"/>
    <col min="6154" max="6155" width="12.81640625" style="141" customWidth="1"/>
    <col min="6156" max="6156" width="8.81640625" style="141" customWidth="1"/>
    <col min="6157" max="6157" width="14" style="141" bestFit="1" customWidth="1"/>
    <col min="6158" max="6158" width="12.81640625" style="141" customWidth="1"/>
    <col min="6159" max="6159" width="8.81640625" style="141" customWidth="1"/>
    <col min="6160" max="6161" width="12.81640625" style="141" customWidth="1"/>
    <col min="6162" max="6162" width="8.81640625" style="141" customWidth="1"/>
    <col min="6163" max="6163" width="5.1796875" style="141" customWidth="1"/>
    <col min="6164" max="6164" width="4.54296875" style="141" customWidth="1"/>
    <col min="6165" max="6369" width="9.1796875" style="141"/>
    <col min="6370" max="6370" width="12.81640625" style="141" customWidth="1"/>
    <col min="6371" max="6371" width="1" style="141" customWidth="1"/>
    <col min="6372" max="6373" width="12.81640625" style="141" customWidth="1"/>
    <col min="6374" max="6374" width="8.81640625" style="141" customWidth="1"/>
    <col min="6375" max="6376" width="12.81640625" style="141" customWidth="1"/>
    <col min="6377" max="6377" width="8.81640625" style="141" customWidth="1"/>
    <col min="6378" max="6379" width="12.81640625" style="141" customWidth="1"/>
    <col min="6380" max="6380" width="8.81640625" style="141" customWidth="1"/>
    <col min="6381" max="6382" width="12.81640625" style="141" customWidth="1"/>
    <col min="6383" max="6383" width="8.81640625" style="141" customWidth="1"/>
    <col min="6384" max="6385" width="12.81640625" style="141" customWidth="1"/>
    <col min="6386" max="6386" width="8.81640625" style="141" customWidth="1"/>
    <col min="6387" max="6388" width="12.81640625" style="141" customWidth="1"/>
    <col min="6389" max="6389" width="8.81640625" style="141" customWidth="1"/>
    <col min="6390" max="6391" width="12.81640625" style="141" customWidth="1"/>
    <col min="6392" max="6392" width="8.81640625" style="141" customWidth="1"/>
    <col min="6393" max="6393" width="3.81640625" style="141" customWidth="1"/>
    <col min="6394" max="6394" width="3.1796875" style="141" customWidth="1"/>
    <col min="6395" max="6395" width="9.1796875" style="141"/>
    <col min="6396" max="6396" width="12.1796875" style="141" customWidth="1"/>
    <col min="6397" max="6397" width="1.1796875" style="141" customWidth="1"/>
    <col min="6398" max="6399" width="12.81640625" style="141" customWidth="1"/>
    <col min="6400" max="6400" width="8.81640625" style="141" customWidth="1"/>
    <col min="6401" max="6402" width="12.81640625" style="141" customWidth="1"/>
    <col min="6403" max="6403" width="8.81640625" style="141" customWidth="1"/>
    <col min="6404" max="6405" width="12.81640625" style="141" customWidth="1"/>
    <col min="6406" max="6406" width="8.81640625" style="141" customWidth="1"/>
    <col min="6407" max="6408" width="12.81640625" style="141" customWidth="1"/>
    <col min="6409" max="6409" width="8.81640625" style="141" customWidth="1"/>
    <col min="6410" max="6411" width="12.81640625" style="141" customWidth="1"/>
    <col min="6412" max="6412" width="8.81640625" style="141" customWidth="1"/>
    <col min="6413" max="6413" width="14" style="141" bestFit="1" customWidth="1"/>
    <col min="6414" max="6414" width="12.81640625" style="141" customWidth="1"/>
    <col min="6415" max="6415" width="8.81640625" style="141" customWidth="1"/>
    <col min="6416" max="6417" width="12.81640625" style="141" customWidth="1"/>
    <col min="6418" max="6418" width="8.81640625" style="141" customWidth="1"/>
    <col min="6419" max="6419" width="5.1796875" style="141" customWidth="1"/>
    <col min="6420" max="6420" width="4.54296875" style="141" customWidth="1"/>
    <col min="6421" max="6625" width="9.1796875" style="141"/>
    <col min="6626" max="6626" width="12.81640625" style="141" customWidth="1"/>
    <col min="6627" max="6627" width="1" style="141" customWidth="1"/>
    <col min="6628" max="6629" width="12.81640625" style="141" customWidth="1"/>
    <col min="6630" max="6630" width="8.81640625" style="141" customWidth="1"/>
    <col min="6631" max="6632" width="12.81640625" style="141" customWidth="1"/>
    <col min="6633" max="6633" width="8.81640625" style="141" customWidth="1"/>
    <col min="6634" max="6635" width="12.81640625" style="141" customWidth="1"/>
    <col min="6636" max="6636" width="8.81640625" style="141" customWidth="1"/>
    <col min="6637" max="6638" width="12.81640625" style="141" customWidth="1"/>
    <col min="6639" max="6639" width="8.81640625" style="141" customWidth="1"/>
    <col min="6640" max="6641" width="12.81640625" style="141" customWidth="1"/>
    <col min="6642" max="6642" width="8.81640625" style="141" customWidth="1"/>
    <col min="6643" max="6644" width="12.81640625" style="141" customWidth="1"/>
    <col min="6645" max="6645" width="8.81640625" style="141" customWidth="1"/>
    <col min="6646" max="6647" width="12.81640625" style="141" customWidth="1"/>
    <col min="6648" max="6648" width="8.81640625" style="141" customWidth="1"/>
    <col min="6649" max="6649" width="3.81640625" style="141" customWidth="1"/>
    <col min="6650" max="6650" width="3.1796875" style="141" customWidth="1"/>
    <col min="6651" max="6651" width="9.1796875" style="141"/>
    <col min="6652" max="6652" width="12.1796875" style="141" customWidth="1"/>
    <col min="6653" max="6653" width="1.1796875" style="141" customWidth="1"/>
    <col min="6654" max="6655" width="12.81640625" style="141" customWidth="1"/>
    <col min="6656" max="6656" width="8.81640625" style="141" customWidth="1"/>
    <col min="6657" max="6658" width="12.81640625" style="141" customWidth="1"/>
    <col min="6659" max="6659" width="8.81640625" style="141" customWidth="1"/>
    <col min="6660" max="6661" width="12.81640625" style="141" customWidth="1"/>
    <col min="6662" max="6662" width="8.81640625" style="141" customWidth="1"/>
    <col min="6663" max="6664" width="12.81640625" style="141" customWidth="1"/>
    <col min="6665" max="6665" width="8.81640625" style="141" customWidth="1"/>
    <col min="6666" max="6667" width="12.81640625" style="141" customWidth="1"/>
    <col min="6668" max="6668" width="8.81640625" style="141" customWidth="1"/>
    <col min="6669" max="6669" width="14" style="141" bestFit="1" customWidth="1"/>
    <col min="6670" max="6670" width="12.81640625" style="141" customWidth="1"/>
    <col min="6671" max="6671" width="8.81640625" style="141" customWidth="1"/>
    <col min="6672" max="6673" width="12.81640625" style="141" customWidth="1"/>
    <col min="6674" max="6674" width="8.81640625" style="141" customWidth="1"/>
    <col min="6675" max="6675" width="5.1796875" style="141" customWidth="1"/>
    <col min="6676" max="6676" width="4.54296875" style="141" customWidth="1"/>
    <col min="6677" max="6881" width="9.1796875" style="141"/>
    <col min="6882" max="6882" width="12.81640625" style="141" customWidth="1"/>
    <col min="6883" max="6883" width="1" style="141" customWidth="1"/>
    <col min="6884" max="6885" width="12.81640625" style="141" customWidth="1"/>
    <col min="6886" max="6886" width="8.81640625" style="141" customWidth="1"/>
    <col min="6887" max="6888" width="12.81640625" style="141" customWidth="1"/>
    <col min="6889" max="6889" width="8.81640625" style="141" customWidth="1"/>
    <col min="6890" max="6891" width="12.81640625" style="141" customWidth="1"/>
    <col min="6892" max="6892" width="8.81640625" style="141" customWidth="1"/>
    <col min="6893" max="6894" width="12.81640625" style="141" customWidth="1"/>
    <col min="6895" max="6895" width="8.81640625" style="141" customWidth="1"/>
    <col min="6896" max="6897" width="12.81640625" style="141" customWidth="1"/>
    <col min="6898" max="6898" width="8.81640625" style="141" customWidth="1"/>
    <col min="6899" max="6900" width="12.81640625" style="141" customWidth="1"/>
    <col min="6901" max="6901" width="8.81640625" style="141" customWidth="1"/>
    <col min="6902" max="6903" width="12.81640625" style="141" customWidth="1"/>
    <col min="6904" max="6904" width="8.81640625" style="141" customWidth="1"/>
    <col min="6905" max="6905" width="3.81640625" style="141" customWidth="1"/>
    <col min="6906" max="6906" width="3.1796875" style="141" customWidth="1"/>
    <col min="6907" max="6907" width="9.1796875" style="141"/>
    <col min="6908" max="6908" width="12.1796875" style="141" customWidth="1"/>
    <col min="6909" max="6909" width="1.1796875" style="141" customWidth="1"/>
    <col min="6910" max="6911" width="12.81640625" style="141" customWidth="1"/>
    <col min="6912" max="6912" width="8.81640625" style="141" customWidth="1"/>
    <col min="6913" max="6914" width="12.81640625" style="141" customWidth="1"/>
    <col min="6915" max="6915" width="8.81640625" style="141" customWidth="1"/>
    <col min="6916" max="6917" width="12.81640625" style="141" customWidth="1"/>
    <col min="6918" max="6918" width="8.81640625" style="141" customWidth="1"/>
    <col min="6919" max="6920" width="12.81640625" style="141" customWidth="1"/>
    <col min="6921" max="6921" width="8.81640625" style="141" customWidth="1"/>
    <col min="6922" max="6923" width="12.81640625" style="141" customWidth="1"/>
    <col min="6924" max="6924" width="8.81640625" style="141" customWidth="1"/>
    <col min="6925" max="6925" width="14" style="141" bestFit="1" customWidth="1"/>
    <col min="6926" max="6926" width="12.81640625" style="141" customWidth="1"/>
    <col min="6927" max="6927" width="8.81640625" style="141" customWidth="1"/>
    <col min="6928" max="6929" width="12.81640625" style="141" customWidth="1"/>
    <col min="6930" max="6930" width="8.81640625" style="141" customWidth="1"/>
    <col min="6931" max="6931" width="5.1796875" style="141" customWidth="1"/>
    <col min="6932" max="6932" width="4.54296875" style="141" customWidth="1"/>
    <col min="6933" max="7137" width="9.1796875" style="141"/>
    <col min="7138" max="7138" width="12.81640625" style="141" customWidth="1"/>
    <col min="7139" max="7139" width="1" style="141" customWidth="1"/>
    <col min="7140" max="7141" width="12.81640625" style="141" customWidth="1"/>
    <col min="7142" max="7142" width="8.81640625" style="141" customWidth="1"/>
    <col min="7143" max="7144" width="12.81640625" style="141" customWidth="1"/>
    <col min="7145" max="7145" width="8.81640625" style="141" customWidth="1"/>
    <col min="7146" max="7147" width="12.81640625" style="141" customWidth="1"/>
    <col min="7148" max="7148" width="8.81640625" style="141" customWidth="1"/>
    <col min="7149" max="7150" width="12.81640625" style="141" customWidth="1"/>
    <col min="7151" max="7151" width="8.81640625" style="141" customWidth="1"/>
    <col min="7152" max="7153" width="12.81640625" style="141" customWidth="1"/>
    <col min="7154" max="7154" width="8.81640625" style="141" customWidth="1"/>
    <col min="7155" max="7156" width="12.81640625" style="141" customWidth="1"/>
    <col min="7157" max="7157" width="8.81640625" style="141" customWidth="1"/>
    <col min="7158" max="7159" width="12.81640625" style="141" customWidth="1"/>
    <col min="7160" max="7160" width="8.81640625" style="141" customWidth="1"/>
    <col min="7161" max="7161" width="3.81640625" style="141" customWidth="1"/>
    <col min="7162" max="7162" width="3.1796875" style="141" customWidth="1"/>
    <col min="7163" max="7163" width="9.1796875" style="141"/>
    <col min="7164" max="7164" width="12.1796875" style="141" customWidth="1"/>
    <col min="7165" max="7165" width="1.1796875" style="141" customWidth="1"/>
    <col min="7166" max="7167" width="12.81640625" style="141" customWidth="1"/>
    <col min="7168" max="7168" width="8.81640625" style="141" customWidth="1"/>
    <col min="7169" max="7170" width="12.81640625" style="141" customWidth="1"/>
    <col min="7171" max="7171" width="8.81640625" style="141" customWidth="1"/>
    <col min="7172" max="7173" width="12.81640625" style="141" customWidth="1"/>
    <col min="7174" max="7174" width="8.81640625" style="141" customWidth="1"/>
    <col min="7175" max="7176" width="12.81640625" style="141" customWidth="1"/>
    <col min="7177" max="7177" width="8.81640625" style="141" customWidth="1"/>
    <col min="7178" max="7179" width="12.81640625" style="141" customWidth="1"/>
    <col min="7180" max="7180" width="8.81640625" style="141" customWidth="1"/>
    <col min="7181" max="7181" width="14" style="141" bestFit="1" customWidth="1"/>
    <col min="7182" max="7182" width="12.81640625" style="141" customWidth="1"/>
    <col min="7183" max="7183" width="8.81640625" style="141" customWidth="1"/>
    <col min="7184" max="7185" width="12.81640625" style="141" customWidth="1"/>
    <col min="7186" max="7186" width="8.81640625" style="141" customWidth="1"/>
    <col min="7187" max="7187" width="5.1796875" style="141" customWidth="1"/>
    <col min="7188" max="7188" width="4.54296875" style="141" customWidth="1"/>
    <col min="7189" max="7393" width="9.1796875" style="141"/>
    <col min="7394" max="7394" width="12.81640625" style="141" customWidth="1"/>
    <col min="7395" max="7395" width="1" style="141" customWidth="1"/>
    <col min="7396" max="7397" width="12.81640625" style="141" customWidth="1"/>
    <col min="7398" max="7398" width="8.81640625" style="141" customWidth="1"/>
    <col min="7399" max="7400" width="12.81640625" style="141" customWidth="1"/>
    <col min="7401" max="7401" width="8.81640625" style="141" customWidth="1"/>
    <col min="7402" max="7403" width="12.81640625" style="141" customWidth="1"/>
    <col min="7404" max="7404" width="8.81640625" style="141" customWidth="1"/>
    <col min="7405" max="7406" width="12.81640625" style="141" customWidth="1"/>
    <col min="7407" max="7407" width="8.81640625" style="141" customWidth="1"/>
    <col min="7408" max="7409" width="12.81640625" style="141" customWidth="1"/>
    <col min="7410" max="7410" width="8.81640625" style="141" customWidth="1"/>
    <col min="7411" max="7412" width="12.81640625" style="141" customWidth="1"/>
    <col min="7413" max="7413" width="8.81640625" style="141" customWidth="1"/>
    <col min="7414" max="7415" width="12.81640625" style="141" customWidth="1"/>
    <col min="7416" max="7416" width="8.81640625" style="141" customWidth="1"/>
    <col min="7417" max="7417" width="3.81640625" style="141" customWidth="1"/>
    <col min="7418" max="7418" width="3.1796875" style="141" customWidth="1"/>
    <col min="7419" max="7419" width="9.1796875" style="141"/>
    <col min="7420" max="7420" width="12.1796875" style="141" customWidth="1"/>
    <col min="7421" max="7421" width="1.1796875" style="141" customWidth="1"/>
    <col min="7422" max="7423" width="12.81640625" style="141" customWidth="1"/>
    <col min="7424" max="7424" width="8.81640625" style="141" customWidth="1"/>
    <col min="7425" max="7426" width="12.81640625" style="141" customWidth="1"/>
    <col min="7427" max="7427" width="8.81640625" style="141" customWidth="1"/>
    <col min="7428" max="7429" width="12.81640625" style="141" customWidth="1"/>
    <col min="7430" max="7430" width="8.81640625" style="141" customWidth="1"/>
    <col min="7431" max="7432" width="12.81640625" style="141" customWidth="1"/>
    <col min="7433" max="7433" width="8.81640625" style="141" customWidth="1"/>
    <col min="7434" max="7435" width="12.81640625" style="141" customWidth="1"/>
    <col min="7436" max="7436" width="8.81640625" style="141" customWidth="1"/>
    <col min="7437" max="7437" width="14" style="141" bestFit="1" customWidth="1"/>
    <col min="7438" max="7438" width="12.81640625" style="141" customWidth="1"/>
    <col min="7439" max="7439" width="8.81640625" style="141" customWidth="1"/>
    <col min="7440" max="7441" width="12.81640625" style="141" customWidth="1"/>
    <col min="7442" max="7442" width="8.81640625" style="141" customWidth="1"/>
    <col min="7443" max="7443" width="5.1796875" style="141" customWidth="1"/>
    <col min="7444" max="7444" width="4.54296875" style="141" customWidth="1"/>
    <col min="7445" max="7649" width="9.1796875" style="141"/>
    <col min="7650" max="7650" width="12.81640625" style="141" customWidth="1"/>
    <col min="7651" max="7651" width="1" style="141" customWidth="1"/>
    <col min="7652" max="7653" width="12.81640625" style="141" customWidth="1"/>
    <col min="7654" max="7654" width="8.81640625" style="141" customWidth="1"/>
    <col min="7655" max="7656" width="12.81640625" style="141" customWidth="1"/>
    <col min="7657" max="7657" width="8.81640625" style="141" customWidth="1"/>
    <col min="7658" max="7659" width="12.81640625" style="141" customWidth="1"/>
    <col min="7660" max="7660" width="8.81640625" style="141" customWidth="1"/>
    <col min="7661" max="7662" width="12.81640625" style="141" customWidth="1"/>
    <col min="7663" max="7663" width="8.81640625" style="141" customWidth="1"/>
    <col min="7664" max="7665" width="12.81640625" style="141" customWidth="1"/>
    <col min="7666" max="7666" width="8.81640625" style="141" customWidth="1"/>
    <col min="7667" max="7668" width="12.81640625" style="141" customWidth="1"/>
    <col min="7669" max="7669" width="8.81640625" style="141" customWidth="1"/>
    <col min="7670" max="7671" width="12.81640625" style="141" customWidth="1"/>
    <col min="7672" max="7672" width="8.81640625" style="141" customWidth="1"/>
    <col min="7673" max="7673" width="3.81640625" style="141" customWidth="1"/>
    <col min="7674" max="7674" width="3.1796875" style="141" customWidth="1"/>
    <col min="7675" max="7675" width="9.1796875" style="141"/>
    <col min="7676" max="7676" width="12.1796875" style="141" customWidth="1"/>
    <col min="7677" max="7677" width="1.1796875" style="141" customWidth="1"/>
    <col min="7678" max="7679" width="12.81640625" style="141" customWidth="1"/>
    <col min="7680" max="7680" width="8.81640625" style="141" customWidth="1"/>
    <col min="7681" max="7682" width="12.81640625" style="141" customWidth="1"/>
    <col min="7683" max="7683" width="8.81640625" style="141" customWidth="1"/>
    <col min="7684" max="7685" width="12.81640625" style="141" customWidth="1"/>
    <col min="7686" max="7686" width="8.81640625" style="141" customWidth="1"/>
    <col min="7687" max="7688" width="12.81640625" style="141" customWidth="1"/>
    <col min="7689" max="7689" width="8.81640625" style="141" customWidth="1"/>
    <col min="7690" max="7691" width="12.81640625" style="141" customWidth="1"/>
    <col min="7692" max="7692" width="8.81640625" style="141" customWidth="1"/>
    <col min="7693" max="7693" width="14" style="141" bestFit="1" customWidth="1"/>
    <col min="7694" max="7694" width="12.81640625" style="141" customWidth="1"/>
    <col min="7695" max="7695" width="8.81640625" style="141" customWidth="1"/>
    <col min="7696" max="7697" width="12.81640625" style="141" customWidth="1"/>
    <col min="7698" max="7698" width="8.81640625" style="141" customWidth="1"/>
    <col min="7699" max="7699" width="5.1796875" style="141" customWidth="1"/>
    <col min="7700" max="7700" width="4.54296875" style="141" customWidth="1"/>
    <col min="7701" max="7905" width="9.1796875" style="141"/>
    <col min="7906" max="7906" width="12.81640625" style="141" customWidth="1"/>
    <col min="7907" max="7907" width="1" style="141" customWidth="1"/>
    <col min="7908" max="7909" width="12.81640625" style="141" customWidth="1"/>
    <col min="7910" max="7910" width="8.81640625" style="141" customWidth="1"/>
    <col min="7911" max="7912" width="12.81640625" style="141" customWidth="1"/>
    <col min="7913" max="7913" width="8.81640625" style="141" customWidth="1"/>
    <col min="7914" max="7915" width="12.81640625" style="141" customWidth="1"/>
    <col min="7916" max="7916" width="8.81640625" style="141" customWidth="1"/>
    <col min="7917" max="7918" width="12.81640625" style="141" customWidth="1"/>
    <col min="7919" max="7919" width="8.81640625" style="141" customWidth="1"/>
    <col min="7920" max="7921" width="12.81640625" style="141" customWidth="1"/>
    <col min="7922" max="7922" width="8.81640625" style="141" customWidth="1"/>
    <col min="7923" max="7924" width="12.81640625" style="141" customWidth="1"/>
    <col min="7925" max="7925" width="8.81640625" style="141" customWidth="1"/>
    <col min="7926" max="7927" width="12.81640625" style="141" customWidth="1"/>
    <col min="7928" max="7928" width="8.81640625" style="141" customWidth="1"/>
    <col min="7929" max="7929" width="3.81640625" style="141" customWidth="1"/>
    <col min="7930" max="7930" width="3.1796875" style="141" customWidth="1"/>
    <col min="7931" max="7931" width="9.1796875" style="141"/>
    <col min="7932" max="7932" width="12.1796875" style="141" customWidth="1"/>
    <col min="7933" max="7933" width="1.1796875" style="141" customWidth="1"/>
    <col min="7934" max="7935" width="12.81640625" style="141" customWidth="1"/>
    <col min="7936" max="7936" width="8.81640625" style="141" customWidth="1"/>
    <col min="7937" max="7938" width="12.81640625" style="141" customWidth="1"/>
    <col min="7939" max="7939" width="8.81640625" style="141" customWidth="1"/>
    <col min="7940" max="7941" width="12.81640625" style="141" customWidth="1"/>
    <col min="7942" max="7942" width="8.81640625" style="141" customWidth="1"/>
    <col min="7943" max="7944" width="12.81640625" style="141" customWidth="1"/>
    <col min="7945" max="7945" width="8.81640625" style="141" customWidth="1"/>
    <col min="7946" max="7947" width="12.81640625" style="141" customWidth="1"/>
    <col min="7948" max="7948" width="8.81640625" style="141" customWidth="1"/>
    <col min="7949" max="7949" width="14" style="141" bestFit="1" customWidth="1"/>
    <col min="7950" max="7950" width="12.81640625" style="141" customWidth="1"/>
    <col min="7951" max="7951" width="8.81640625" style="141" customWidth="1"/>
    <col min="7952" max="7953" width="12.81640625" style="141" customWidth="1"/>
    <col min="7954" max="7954" width="8.81640625" style="141" customWidth="1"/>
    <col min="7955" max="7955" width="5.1796875" style="141" customWidth="1"/>
    <col min="7956" max="7956" width="4.54296875" style="141" customWidth="1"/>
    <col min="7957" max="8161" width="9.1796875" style="141"/>
    <col min="8162" max="8162" width="12.81640625" style="141" customWidth="1"/>
    <col min="8163" max="8163" width="1" style="141" customWidth="1"/>
    <col min="8164" max="8165" width="12.81640625" style="141" customWidth="1"/>
    <col min="8166" max="8166" width="8.81640625" style="141" customWidth="1"/>
    <col min="8167" max="8168" width="12.81640625" style="141" customWidth="1"/>
    <col min="8169" max="8169" width="8.81640625" style="141" customWidth="1"/>
    <col min="8170" max="8171" width="12.81640625" style="141" customWidth="1"/>
    <col min="8172" max="8172" width="8.81640625" style="141" customWidth="1"/>
    <col min="8173" max="8174" width="12.81640625" style="141" customWidth="1"/>
    <col min="8175" max="8175" width="8.81640625" style="141" customWidth="1"/>
    <col min="8176" max="8177" width="12.81640625" style="141" customWidth="1"/>
    <col min="8178" max="8178" width="8.81640625" style="141" customWidth="1"/>
    <col min="8179" max="8180" width="12.81640625" style="141" customWidth="1"/>
    <col min="8181" max="8181" width="8.81640625" style="141" customWidth="1"/>
    <col min="8182" max="8183" width="12.81640625" style="141" customWidth="1"/>
    <col min="8184" max="8184" width="8.81640625" style="141" customWidth="1"/>
    <col min="8185" max="8185" width="3.81640625" style="141" customWidth="1"/>
    <col min="8186" max="8186" width="3.1796875" style="141" customWidth="1"/>
    <col min="8187" max="8187" width="9.1796875" style="141"/>
    <col min="8188" max="8188" width="12.1796875" style="141" customWidth="1"/>
    <col min="8189" max="8189" width="1.1796875" style="141" customWidth="1"/>
    <col min="8190" max="8191" width="12.81640625" style="141" customWidth="1"/>
    <col min="8192" max="8192" width="8.81640625" style="141" customWidth="1"/>
    <col min="8193" max="8194" width="12.81640625" style="141" customWidth="1"/>
    <col min="8195" max="8195" width="8.81640625" style="141" customWidth="1"/>
    <col min="8196" max="8197" width="12.81640625" style="141" customWidth="1"/>
    <col min="8198" max="8198" width="8.81640625" style="141" customWidth="1"/>
    <col min="8199" max="8200" width="12.81640625" style="141" customWidth="1"/>
    <col min="8201" max="8201" width="8.81640625" style="141" customWidth="1"/>
    <col min="8202" max="8203" width="12.81640625" style="141" customWidth="1"/>
    <col min="8204" max="8204" width="8.81640625" style="141" customWidth="1"/>
    <col min="8205" max="8205" width="14" style="141" bestFit="1" customWidth="1"/>
    <col min="8206" max="8206" width="12.81640625" style="141" customWidth="1"/>
    <col min="8207" max="8207" width="8.81640625" style="141" customWidth="1"/>
    <col min="8208" max="8209" width="12.81640625" style="141" customWidth="1"/>
    <col min="8210" max="8210" width="8.81640625" style="141" customWidth="1"/>
    <col min="8211" max="8211" width="5.1796875" style="141" customWidth="1"/>
    <col min="8212" max="8212" width="4.54296875" style="141" customWidth="1"/>
    <col min="8213" max="8417" width="9.1796875" style="141"/>
    <col min="8418" max="8418" width="12.81640625" style="141" customWidth="1"/>
    <col min="8419" max="8419" width="1" style="141" customWidth="1"/>
    <col min="8420" max="8421" width="12.81640625" style="141" customWidth="1"/>
    <col min="8422" max="8422" width="8.81640625" style="141" customWidth="1"/>
    <col min="8423" max="8424" width="12.81640625" style="141" customWidth="1"/>
    <col min="8425" max="8425" width="8.81640625" style="141" customWidth="1"/>
    <col min="8426" max="8427" width="12.81640625" style="141" customWidth="1"/>
    <col min="8428" max="8428" width="8.81640625" style="141" customWidth="1"/>
    <col min="8429" max="8430" width="12.81640625" style="141" customWidth="1"/>
    <col min="8431" max="8431" width="8.81640625" style="141" customWidth="1"/>
    <col min="8432" max="8433" width="12.81640625" style="141" customWidth="1"/>
    <col min="8434" max="8434" width="8.81640625" style="141" customWidth="1"/>
    <col min="8435" max="8436" width="12.81640625" style="141" customWidth="1"/>
    <col min="8437" max="8437" width="8.81640625" style="141" customWidth="1"/>
    <col min="8438" max="8439" width="12.81640625" style="141" customWidth="1"/>
    <col min="8440" max="8440" width="8.81640625" style="141" customWidth="1"/>
    <col min="8441" max="8441" width="3.81640625" style="141" customWidth="1"/>
    <col min="8442" max="8442" width="3.1796875" style="141" customWidth="1"/>
    <col min="8443" max="8443" width="9.1796875" style="141"/>
    <col min="8444" max="8444" width="12.1796875" style="141" customWidth="1"/>
    <col min="8445" max="8445" width="1.1796875" style="141" customWidth="1"/>
    <col min="8446" max="8447" width="12.81640625" style="141" customWidth="1"/>
    <col min="8448" max="8448" width="8.81640625" style="141" customWidth="1"/>
    <col min="8449" max="8450" width="12.81640625" style="141" customWidth="1"/>
    <col min="8451" max="8451" width="8.81640625" style="141" customWidth="1"/>
    <col min="8452" max="8453" width="12.81640625" style="141" customWidth="1"/>
    <col min="8454" max="8454" width="8.81640625" style="141" customWidth="1"/>
    <col min="8455" max="8456" width="12.81640625" style="141" customWidth="1"/>
    <col min="8457" max="8457" width="8.81640625" style="141" customWidth="1"/>
    <col min="8458" max="8459" width="12.81640625" style="141" customWidth="1"/>
    <col min="8460" max="8460" width="8.81640625" style="141" customWidth="1"/>
    <col min="8461" max="8461" width="14" style="141" bestFit="1" customWidth="1"/>
    <col min="8462" max="8462" width="12.81640625" style="141" customWidth="1"/>
    <col min="8463" max="8463" width="8.81640625" style="141" customWidth="1"/>
    <col min="8464" max="8465" width="12.81640625" style="141" customWidth="1"/>
    <col min="8466" max="8466" width="8.81640625" style="141" customWidth="1"/>
    <col min="8467" max="8467" width="5.1796875" style="141" customWidth="1"/>
    <col min="8468" max="8468" width="4.54296875" style="141" customWidth="1"/>
    <col min="8469" max="8673" width="9.1796875" style="141"/>
    <col min="8674" max="8674" width="12.81640625" style="141" customWidth="1"/>
    <col min="8675" max="8675" width="1" style="141" customWidth="1"/>
    <col min="8676" max="8677" width="12.81640625" style="141" customWidth="1"/>
    <col min="8678" max="8678" width="8.81640625" style="141" customWidth="1"/>
    <col min="8679" max="8680" width="12.81640625" style="141" customWidth="1"/>
    <col min="8681" max="8681" width="8.81640625" style="141" customWidth="1"/>
    <col min="8682" max="8683" width="12.81640625" style="141" customWidth="1"/>
    <col min="8684" max="8684" width="8.81640625" style="141" customWidth="1"/>
    <col min="8685" max="8686" width="12.81640625" style="141" customWidth="1"/>
    <col min="8687" max="8687" width="8.81640625" style="141" customWidth="1"/>
    <col min="8688" max="8689" width="12.81640625" style="141" customWidth="1"/>
    <col min="8690" max="8690" width="8.81640625" style="141" customWidth="1"/>
    <col min="8691" max="8692" width="12.81640625" style="141" customWidth="1"/>
    <col min="8693" max="8693" width="8.81640625" style="141" customWidth="1"/>
    <col min="8694" max="8695" width="12.81640625" style="141" customWidth="1"/>
    <col min="8696" max="8696" width="8.81640625" style="141" customWidth="1"/>
    <col min="8697" max="8697" width="3.81640625" style="141" customWidth="1"/>
    <col min="8698" max="8698" width="3.1796875" style="141" customWidth="1"/>
    <col min="8699" max="8699" width="9.1796875" style="141"/>
    <col min="8700" max="8700" width="12.1796875" style="141" customWidth="1"/>
    <col min="8701" max="8701" width="1.1796875" style="141" customWidth="1"/>
    <col min="8702" max="8703" width="12.81640625" style="141" customWidth="1"/>
    <col min="8704" max="8704" width="8.81640625" style="141" customWidth="1"/>
    <col min="8705" max="8706" width="12.81640625" style="141" customWidth="1"/>
    <col min="8707" max="8707" width="8.81640625" style="141" customWidth="1"/>
    <col min="8708" max="8709" width="12.81640625" style="141" customWidth="1"/>
    <col min="8710" max="8710" width="8.81640625" style="141" customWidth="1"/>
    <col min="8711" max="8712" width="12.81640625" style="141" customWidth="1"/>
    <col min="8713" max="8713" width="8.81640625" style="141" customWidth="1"/>
    <col min="8714" max="8715" width="12.81640625" style="141" customWidth="1"/>
    <col min="8716" max="8716" width="8.81640625" style="141" customWidth="1"/>
    <col min="8717" max="8717" width="14" style="141" bestFit="1" customWidth="1"/>
    <col min="8718" max="8718" width="12.81640625" style="141" customWidth="1"/>
    <col min="8719" max="8719" width="8.81640625" style="141" customWidth="1"/>
    <col min="8720" max="8721" width="12.81640625" style="141" customWidth="1"/>
    <col min="8722" max="8722" width="8.81640625" style="141" customWidth="1"/>
    <col min="8723" max="8723" width="5.1796875" style="141" customWidth="1"/>
    <col min="8724" max="8724" width="4.54296875" style="141" customWidth="1"/>
    <col min="8725" max="8929" width="9.1796875" style="141"/>
    <col min="8930" max="8930" width="12.81640625" style="141" customWidth="1"/>
    <col min="8931" max="8931" width="1" style="141" customWidth="1"/>
    <col min="8932" max="8933" width="12.81640625" style="141" customWidth="1"/>
    <col min="8934" max="8934" width="8.81640625" style="141" customWidth="1"/>
    <col min="8935" max="8936" width="12.81640625" style="141" customWidth="1"/>
    <col min="8937" max="8937" width="8.81640625" style="141" customWidth="1"/>
    <col min="8938" max="8939" width="12.81640625" style="141" customWidth="1"/>
    <col min="8940" max="8940" width="8.81640625" style="141" customWidth="1"/>
    <col min="8941" max="8942" width="12.81640625" style="141" customWidth="1"/>
    <col min="8943" max="8943" width="8.81640625" style="141" customWidth="1"/>
    <col min="8944" max="8945" width="12.81640625" style="141" customWidth="1"/>
    <col min="8946" max="8946" width="8.81640625" style="141" customWidth="1"/>
    <col min="8947" max="8948" width="12.81640625" style="141" customWidth="1"/>
    <col min="8949" max="8949" width="8.81640625" style="141" customWidth="1"/>
    <col min="8950" max="8951" width="12.81640625" style="141" customWidth="1"/>
    <col min="8952" max="8952" width="8.81640625" style="141" customWidth="1"/>
    <col min="8953" max="8953" width="3.81640625" style="141" customWidth="1"/>
    <col min="8954" max="8954" width="3.1796875" style="141" customWidth="1"/>
    <col min="8955" max="8955" width="9.1796875" style="141"/>
    <col min="8956" max="8956" width="12.1796875" style="141" customWidth="1"/>
    <col min="8957" max="8957" width="1.1796875" style="141" customWidth="1"/>
    <col min="8958" max="8959" width="12.81640625" style="141" customWidth="1"/>
    <col min="8960" max="8960" width="8.81640625" style="141" customWidth="1"/>
    <col min="8961" max="8962" width="12.81640625" style="141" customWidth="1"/>
    <col min="8963" max="8963" width="8.81640625" style="141" customWidth="1"/>
    <col min="8964" max="8965" width="12.81640625" style="141" customWidth="1"/>
    <col min="8966" max="8966" width="8.81640625" style="141" customWidth="1"/>
    <col min="8967" max="8968" width="12.81640625" style="141" customWidth="1"/>
    <col min="8969" max="8969" width="8.81640625" style="141" customWidth="1"/>
    <col min="8970" max="8971" width="12.81640625" style="141" customWidth="1"/>
    <col min="8972" max="8972" width="8.81640625" style="141" customWidth="1"/>
    <col min="8973" max="8973" width="14" style="141" bestFit="1" customWidth="1"/>
    <col min="8974" max="8974" width="12.81640625" style="141" customWidth="1"/>
    <col min="8975" max="8975" width="8.81640625" style="141" customWidth="1"/>
    <col min="8976" max="8977" width="12.81640625" style="141" customWidth="1"/>
    <col min="8978" max="8978" width="8.81640625" style="141" customWidth="1"/>
    <col min="8979" max="8979" width="5.1796875" style="141" customWidth="1"/>
    <col min="8980" max="8980" width="4.54296875" style="141" customWidth="1"/>
    <col min="8981" max="9185" width="9.1796875" style="141"/>
    <col min="9186" max="9186" width="12.81640625" style="141" customWidth="1"/>
    <col min="9187" max="9187" width="1" style="141" customWidth="1"/>
    <col min="9188" max="9189" width="12.81640625" style="141" customWidth="1"/>
    <col min="9190" max="9190" width="8.81640625" style="141" customWidth="1"/>
    <col min="9191" max="9192" width="12.81640625" style="141" customWidth="1"/>
    <col min="9193" max="9193" width="8.81640625" style="141" customWidth="1"/>
    <col min="9194" max="9195" width="12.81640625" style="141" customWidth="1"/>
    <col min="9196" max="9196" width="8.81640625" style="141" customWidth="1"/>
    <col min="9197" max="9198" width="12.81640625" style="141" customWidth="1"/>
    <col min="9199" max="9199" width="8.81640625" style="141" customWidth="1"/>
    <col min="9200" max="9201" width="12.81640625" style="141" customWidth="1"/>
    <col min="9202" max="9202" width="8.81640625" style="141" customWidth="1"/>
    <col min="9203" max="9204" width="12.81640625" style="141" customWidth="1"/>
    <col min="9205" max="9205" width="8.81640625" style="141" customWidth="1"/>
    <col min="9206" max="9207" width="12.81640625" style="141" customWidth="1"/>
    <col min="9208" max="9208" width="8.81640625" style="141" customWidth="1"/>
    <col min="9209" max="9209" width="3.81640625" style="141" customWidth="1"/>
    <col min="9210" max="9210" width="3.1796875" style="141" customWidth="1"/>
    <col min="9211" max="9211" width="9.1796875" style="141"/>
    <col min="9212" max="9212" width="12.1796875" style="141" customWidth="1"/>
    <col min="9213" max="9213" width="1.1796875" style="141" customWidth="1"/>
    <col min="9214" max="9215" width="12.81640625" style="141" customWidth="1"/>
    <col min="9216" max="9216" width="8.81640625" style="141" customWidth="1"/>
    <col min="9217" max="9218" width="12.81640625" style="141" customWidth="1"/>
    <col min="9219" max="9219" width="8.81640625" style="141" customWidth="1"/>
    <col min="9220" max="9221" width="12.81640625" style="141" customWidth="1"/>
    <col min="9222" max="9222" width="8.81640625" style="141" customWidth="1"/>
    <col min="9223" max="9224" width="12.81640625" style="141" customWidth="1"/>
    <col min="9225" max="9225" width="8.81640625" style="141" customWidth="1"/>
    <col min="9226" max="9227" width="12.81640625" style="141" customWidth="1"/>
    <col min="9228" max="9228" width="8.81640625" style="141" customWidth="1"/>
    <col min="9229" max="9229" width="14" style="141" bestFit="1" customWidth="1"/>
    <col min="9230" max="9230" width="12.81640625" style="141" customWidth="1"/>
    <col min="9231" max="9231" width="8.81640625" style="141" customWidth="1"/>
    <col min="9232" max="9233" width="12.81640625" style="141" customWidth="1"/>
    <col min="9234" max="9234" width="8.81640625" style="141" customWidth="1"/>
    <col min="9235" max="9235" width="5.1796875" style="141" customWidth="1"/>
    <col min="9236" max="9236" width="4.54296875" style="141" customWidth="1"/>
    <col min="9237" max="9441" width="9.1796875" style="141"/>
    <col min="9442" max="9442" width="12.81640625" style="141" customWidth="1"/>
    <col min="9443" max="9443" width="1" style="141" customWidth="1"/>
    <col min="9444" max="9445" width="12.81640625" style="141" customWidth="1"/>
    <col min="9446" max="9446" width="8.81640625" style="141" customWidth="1"/>
    <col min="9447" max="9448" width="12.81640625" style="141" customWidth="1"/>
    <col min="9449" max="9449" width="8.81640625" style="141" customWidth="1"/>
    <col min="9450" max="9451" width="12.81640625" style="141" customWidth="1"/>
    <col min="9452" max="9452" width="8.81640625" style="141" customWidth="1"/>
    <col min="9453" max="9454" width="12.81640625" style="141" customWidth="1"/>
    <col min="9455" max="9455" width="8.81640625" style="141" customWidth="1"/>
    <col min="9456" max="9457" width="12.81640625" style="141" customWidth="1"/>
    <col min="9458" max="9458" width="8.81640625" style="141" customWidth="1"/>
    <col min="9459" max="9460" width="12.81640625" style="141" customWidth="1"/>
    <col min="9461" max="9461" width="8.81640625" style="141" customWidth="1"/>
    <col min="9462" max="9463" width="12.81640625" style="141" customWidth="1"/>
    <col min="9464" max="9464" width="8.81640625" style="141" customWidth="1"/>
    <col min="9465" max="9465" width="3.81640625" style="141" customWidth="1"/>
    <col min="9466" max="9466" width="3.1796875" style="141" customWidth="1"/>
    <col min="9467" max="9467" width="9.1796875" style="141"/>
    <col min="9468" max="9468" width="12.1796875" style="141" customWidth="1"/>
    <col min="9469" max="9469" width="1.1796875" style="141" customWidth="1"/>
    <col min="9470" max="9471" width="12.81640625" style="141" customWidth="1"/>
    <col min="9472" max="9472" width="8.81640625" style="141" customWidth="1"/>
    <col min="9473" max="9474" width="12.81640625" style="141" customWidth="1"/>
    <col min="9475" max="9475" width="8.81640625" style="141" customWidth="1"/>
    <col min="9476" max="9477" width="12.81640625" style="141" customWidth="1"/>
    <col min="9478" max="9478" width="8.81640625" style="141" customWidth="1"/>
    <col min="9479" max="9480" width="12.81640625" style="141" customWidth="1"/>
    <col min="9481" max="9481" width="8.81640625" style="141" customWidth="1"/>
    <col min="9482" max="9483" width="12.81640625" style="141" customWidth="1"/>
    <col min="9484" max="9484" width="8.81640625" style="141" customWidth="1"/>
    <col min="9485" max="9485" width="14" style="141" bestFit="1" customWidth="1"/>
    <col min="9486" max="9486" width="12.81640625" style="141" customWidth="1"/>
    <col min="9487" max="9487" width="8.81640625" style="141" customWidth="1"/>
    <col min="9488" max="9489" width="12.81640625" style="141" customWidth="1"/>
    <col min="9490" max="9490" width="8.81640625" style="141" customWidth="1"/>
    <col min="9491" max="9491" width="5.1796875" style="141" customWidth="1"/>
    <col min="9492" max="9492" width="4.54296875" style="141" customWidth="1"/>
    <col min="9493" max="9697" width="9.1796875" style="141"/>
    <col min="9698" max="9698" width="12.81640625" style="141" customWidth="1"/>
    <col min="9699" max="9699" width="1" style="141" customWidth="1"/>
    <col min="9700" max="9701" width="12.81640625" style="141" customWidth="1"/>
    <col min="9702" max="9702" width="8.81640625" style="141" customWidth="1"/>
    <col min="9703" max="9704" width="12.81640625" style="141" customWidth="1"/>
    <col min="9705" max="9705" width="8.81640625" style="141" customWidth="1"/>
    <col min="9706" max="9707" width="12.81640625" style="141" customWidth="1"/>
    <col min="9708" max="9708" width="8.81640625" style="141" customWidth="1"/>
    <col min="9709" max="9710" width="12.81640625" style="141" customWidth="1"/>
    <col min="9711" max="9711" width="8.81640625" style="141" customWidth="1"/>
    <col min="9712" max="9713" width="12.81640625" style="141" customWidth="1"/>
    <col min="9714" max="9714" width="8.81640625" style="141" customWidth="1"/>
    <col min="9715" max="9716" width="12.81640625" style="141" customWidth="1"/>
    <col min="9717" max="9717" width="8.81640625" style="141" customWidth="1"/>
    <col min="9718" max="9719" width="12.81640625" style="141" customWidth="1"/>
    <col min="9720" max="9720" width="8.81640625" style="141" customWidth="1"/>
    <col min="9721" max="9721" width="3.81640625" style="141" customWidth="1"/>
    <col min="9722" max="9722" width="3.1796875" style="141" customWidth="1"/>
    <col min="9723" max="9723" width="9.1796875" style="141"/>
    <col min="9724" max="9724" width="12.1796875" style="141" customWidth="1"/>
    <col min="9725" max="9725" width="1.1796875" style="141" customWidth="1"/>
    <col min="9726" max="9727" width="12.81640625" style="141" customWidth="1"/>
    <col min="9728" max="9728" width="8.81640625" style="141" customWidth="1"/>
    <col min="9729" max="9730" width="12.81640625" style="141" customWidth="1"/>
    <col min="9731" max="9731" width="8.81640625" style="141" customWidth="1"/>
    <col min="9732" max="9733" width="12.81640625" style="141" customWidth="1"/>
    <col min="9734" max="9734" width="8.81640625" style="141" customWidth="1"/>
    <col min="9735" max="9736" width="12.81640625" style="141" customWidth="1"/>
    <col min="9737" max="9737" width="8.81640625" style="141" customWidth="1"/>
    <col min="9738" max="9739" width="12.81640625" style="141" customWidth="1"/>
    <col min="9740" max="9740" width="8.81640625" style="141" customWidth="1"/>
    <col min="9741" max="9741" width="14" style="141" bestFit="1" customWidth="1"/>
    <col min="9742" max="9742" width="12.81640625" style="141" customWidth="1"/>
    <col min="9743" max="9743" width="8.81640625" style="141" customWidth="1"/>
    <col min="9744" max="9745" width="12.81640625" style="141" customWidth="1"/>
    <col min="9746" max="9746" width="8.81640625" style="141" customWidth="1"/>
    <col min="9747" max="9747" width="5.1796875" style="141" customWidth="1"/>
    <col min="9748" max="9748" width="4.54296875" style="141" customWidth="1"/>
    <col min="9749" max="9953" width="9.1796875" style="141"/>
    <col min="9954" max="9954" width="12.81640625" style="141" customWidth="1"/>
    <col min="9955" max="9955" width="1" style="141" customWidth="1"/>
    <col min="9956" max="9957" width="12.81640625" style="141" customWidth="1"/>
    <col min="9958" max="9958" width="8.81640625" style="141" customWidth="1"/>
    <col min="9959" max="9960" width="12.81640625" style="141" customWidth="1"/>
    <col min="9961" max="9961" width="8.81640625" style="141" customWidth="1"/>
    <col min="9962" max="9963" width="12.81640625" style="141" customWidth="1"/>
    <col min="9964" max="9964" width="8.81640625" style="141" customWidth="1"/>
    <col min="9965" max="9966" width="12.81640625" style="141" customWidth="1"/>
    <col min="9967" max="9967" width="8.81640625" style="141" customWidth="1"/>
    <col min="9968" max="9969" width="12.81640625" style="141" customWidth="1"/>
    <col min="9970" max="9970" width="8.81640625" style="141" customWidth="1"/>
    <col min="9971" max="9972" width="12.81640625" style="141" customWidth="1"/>
    <col min="9973" max="9973" width="8.81640625" style="141" customWidth="1"/>
    <col min="9974" max="9975" width="12.81640625" style="141" customWidth="1"/>
    <col min="9976" max="9976" width="8.81640625" style="141" customWidth="1"/>
    <col min="9977" max="9977" width="3.81640625" style="141" customWidth="1"/>
    <col min="9978" max="9978" width="3.1796875" style="141" customWidth="1"/>
    <col min="9979" max="9979" width="9.1796875" style="141"/>
    <col min="9980" max="9980" width="12.1796875" style="141" customWidth="1"/>
    <col min="9981" max="9981" width="1.1796875" style="141" customWidth="1"/>
    <col min="9982" max="9983" width="12.81640625" style="141" customWidth="1"/>
    <col min="9984" max="9984" width="8.81640625" style="141" customWidth="1"/>
    <col min="9985" max="9986" width="12.81640625" style="141" customWidth="1"/>
    <col min="9987" max="9987" width="8.81640625" style="141" customWidth="1"/>
    <col min="9988" max="9989" width="12.81640625" style="141" customWidth="1"/>
    <col min="9990" max="9990" width="8.81640625" style="141" customWidth="1"/>
    <col min="9991" max="9992" width="12.81640625" style="141" customWidth="1"/>
    <col min="9993" max="9993" width="8.81640625" style="141" customWidth="1"/>
    <col min="9994" max="9995" width="12.81640625" style="141" customWidth="1"/>
    <col min="9996" max="9996" width="8.81640625" style="141" customWidth="1"/>
    <col min="9997" max="9997" width="14" style="141" bestFit="1" customWidth="1"/>
    <col min="9998" max="9998" width="12.81640625" style="141" customWidth="1"/>
    <col min="9999" max="9999" width="8.81640625" style="141" customWidth="1"/>
    <col min="10000" max="10001" width="12.81640625" style="141" customWidth="1"/>
    <col min="10002" max="10002" width="8.81640625" style="141" customWidth="1"/>
    <col min="10003" max="10003" width="5.1796875" style="141" customWidth="1"/>
    <col min="10004" max="10004" width="4.54296875" style="141" customWidth="1"/>
    <col min="10005" max="10209" width="9.1796875" style="141"/>
    <col min="10210" max="10210" width="12.81640625" style="141" customWidth="1"/>
    <col min="10211" max="10211" width="1" style="141" customWidth="1"/>
    <col min="10212" max="10213" width="12.81640625" style="141" customWidth="1"/>
    <col min="10214" max="10214" width="8.81640625" style="141" customWidth="1"/>
    <col min="10215" max="10216" width="12.81640625" style="141" customWidth="1"/>
    <col min="10217" max="10217" width="8.81640625" style="141" customWidth="1"/>
    <col min="10218" max="10219" width="12.81640625" style="141" customWidth="1"/>
    <col min="10220" max="10220" width="8.81640625" style="141" customWidth="1"/>
    <col min="10221" max="10222" width="12.81640625" style="141" customWidth="1"/>
    <col min="10223" max="10223" width="8.81640625" style="141" customWidth="1"/>
    <col min="10224" max="10225" width="12.81640625" style="141" customWidth="1"/>
    <col min="10226" max="10226" width="8.81640625" style="141" customWidth="1"/>
    <col min="10227" max="10228" width="12.81640625" style="141" customWidth="1"/>
    <col min="10229" max="10229" width="8.81640625" style="141" customWidth="1"/>
    <col min="10230" max="10231" width="12.81640625" style="141" customWidth="1"/>
    <col min="10232" max="10232" width="8.81640625" style="141" customWidth="1"/>
    <col min="10233" max="10233" width="3.81640625" style="141" customWidth="1"/>
    <col min="10234" max="10234" width="3.1796875" style="141" customWidth="1"/>
    <col min="10235" max="10235" width="9.1796875" style="141"/>
    <col min="10236" max="10236" width="12.1796875" style="141" customWidth="1"/>
    <col min="10237" max="10237" width="1.1796875" style="141" customWidth="1"/>
    <col min="10238" max="10239" width="12.81640625" style="141" customWidth="1"/>
    <col min="10240" max="10240" width="8.81640625" style="141" customWidth="1"/>
    <col min="10241" max="10242" width="12.81640625" style="141" customWidth="1"/>
    <col min="10243" max="10243" width="8.81640625" style="141" customWidth="1"/>
    <col min="10244" max="10245" width="12.81640625" style="141" customWidth="1"/>
    <col min="10246" max="10246" width="8.81640625" style="141" customWidth="1"/>
    <col min="10247" max="10248" width="12.81640625" style="141" customWidth="1"/>
    <col min="10249" max="10249" width="8.81640625" style="141" customWidth="1"/>
    <col min="10250" max="10251" width="12.81640625" style="141" customWidth="1"/>
    <col min="10252" max="10252" width="8.81640625" style="141" customWidth="1"/>
    <col min="10253" max="10253" width="14" style="141" bestFit="1" customWidth="1"/>
    <col min="10254" max="10254" width="12.81640625" style="141" customWidth="1"/>
    <col min="10255" max="10255" width="8.81640625" style="141" customWidth="1"/>
    <col min="10256" max="10257" width="12.81640625" style="141" customWidth="1"/>
    <col min="10258" max="10258" width="8.81640625" style="141" customWidth="1"/>
    <col min="10259" max="10259" width="5.1796875" style="141" customWidth="1"/>
    <col min="10260" max="10260" width="4.54296875" style="141" customWidth="1"/>
    <col min="10261" max="10465" width="9.1796875" style="141"/>
    <col min="10466" max="10466" width="12.81640625" style="141" customWidth="1"/>
    <col min="10467" max="10467" width="1" style="141" customWidth="1"/>
    <col min="10468" max="10469" width="12.81640625" style="141" customWidth="1"/>
    <col min="10470" max="10470" width="8.81640625" style="141" customWidth="1"/>
    <col min="10471" max="10472" width="12.81640625" style="141" customWidth="1"/>
    <col min="10473" max="10473" width="8.81640625" style="141" customWidth="1"/>
    <col min="10474" max="10475" width="12.81640625" style="141" customWidth="1"/>
    <col min="10476" max="10476" width="8.81640625" style="141" customWidth="1"/>
    <col min="10477" max="10478" width="12.81640625" style="141" customWidth="1"/>
    <col min="10479" max="10479" width="8.81640625" style="141" customWidth="1"/>
    <col min="10480" max="10481" width="12.81640625" style="141" customWidth="1"/>
    <col min="10482" max="10482" width="8.81640625" style="141" customWidth="1"/>
    <col min="10483" max="10484" width="12.81640625" style="141" customWidth="1"/>
    <col min="10485" max="10485" width="8.81640625" style="141" customWidth="1"/>
    <col min="10486" max="10487" width="12.81640625" style="141" customWidth="1"/>
    <col min="10488" max="10488" width="8.81640625" style="141" customWidth="1"/>
    <col min="10489" max="10489" width="3.81640625" style="141" customWidth="1"/>
    <col min="10490" max="10490" width="3.1796875" style="141" customWidth="1"/>
    <col min="10491" max="10491" width="9.1796875" style="141"/>
    <col min="10492" max="10492" width="12.1796875" style="141" customWidth="1"/>
    <col min="10493" max="10493" width="1.1796875" style="141" customWidth="1"/>
    <col min="10494" max="10495" width="12.81640625" style="141" customWidth="1"/>
    <col min="10496" max="10496" width="8.81640625" style="141" customWidth="1"/>
    <col min="10497" max="10498" width="12.81640625" style="141" customWidth="1"/>
    <col min="10499" max="10499" width="8.81640625" style="141" customWidth="1"/>
    <col min="10500" max="10501" width="12.81640625" style="141" customWidth="1"/>
    <col min="10502" max="10502" width="8.81640625" style="141" customWidth="1"/>
    <col min="10503" max="10504" width="12.81640625" style="141" customWidth="1"/>
    <col min="10505" max="10505" width="8.81640625" style="141" customWidth="1"/>
    <col min="10506" max="10507" width="12.81640625" style="141" customWidth="1"/>
    <col min="10508" max="10508" width="8.81640625" style="141" customWidth="1"/>
    <col min="10509" max="10509" width="14" style="141" bestFit="1" customWidth="1"/>
    <col min="10510" max="10510" width="12.81640625" style="141" customWidth="1"/>
    <col min="10511" max="10511" width="8.81640625" style="141" customWidth="1"/>
    <col min="10512" max="10513" width="12.81640625" style="141" customWidth="1"/>
    <col min="10514" max="10514" width="8.81640625" style="141" customWidth="1"/>
    <col min="10515" max="10515" width="5.1796875" style="141" customWidth="1"/>
    <col min="10516" max="10516" width="4.54296875" style="141" customWidth="1"/>
    <col min="10517" max="10721" width="9.1796875" style="141"/>
    <col min="10722" max="10722" width="12.81640625" style="141" customWidth="1"/>
    <col min="10723" max="10723" width="1" style="141" customWidth="1"/>
    <col min="10724" max="10725" width="12.81640625" style="141" customWidth="1"/>
    <col min="10726" max="10726" width="8.81640625" style="141" customWidth="1"/>
    <col min="10727" max="10728" width="12.81640625" style="141" customWidth="1"/>
    <col min="10729" max="10729" width="8.81640625" style="141" customWidth="1"/>
    <col min="10730" max="10731" width="12.81640625" style="141" customWidth="1"/>
    <col min="10732" max="10732" width="8.81640625" style="141" customWidth="1"/>
    <col min="10733" max="10734" width="12.81640625" style="141" customWidth="1"/>
    <col min="10735" max="10735" width="8.81640625" style="141" customWidth="1"/>
    <col min="10736" max="10737" width="12.81640625" style="141" customWidth="1"/>
    <col min="10738" max="10738" width="8.81640625" style="141" customWidth="1"/>
    <col min="10739" max="10740" width="12.81640625" style="141" customWidth="1"/>
    <col min="10741" max="10741" width="8.81640625" style="141" customWidth="1"/>
    <col min="10742" max="10743" width="12.81640625" style="141" customWidth="1"/>
    <col min="10744" max="10744" width="8.81640625" style="141" customWidth="1"/>
    <col min="10745" max="10745" width="3.81640625" style="141" customWidth="1"/>
    <col min="10746" max="10746" width="3.1796875" style="141" customWidth="1"/>
    <col min="10747" max="10747" width="9.1796875" style="141"/>
    <col min="10748" max="10748" width="12.1796875" style="141" customWidth="1"/>
    <col min="10749" max="10749" width="1.1796875" style="141" customWidth="1"/>
    <col min="10750" max="10751" width="12.81640625" style="141" customWidth="1"/>
    <col min="10752" max="10752" width="8.81640625" style="141" customWidth="1"/>
    <col min="10753" max="10754" width="12.81640625" style="141" customWidth="1"/>
    <col min="10755" max="10755" width="8.81640625" style="141" customWidth="1"/>
    <col min="10756" max="10757" width="12.81640625" style="141" customWidth="1"/>
    <col min="10758" max="10758" width="8.81640625" style="141" customWidth="1"/>
    <col min="10759" max="10760" width="12.81640625" style="141" customWidth="1"/>
    <col min="10761" max="10761" width="8.81640625" style="141" customWidth="1"/>
    <col min="10762" max="10763" width="12.81640625" style="141" customWidth="1"/>
    <col min="10764" max="10764" width="8.81640625" style="141" customWidth="1"/>
    <col min="10765" max="10765" width="14" style="141" bestFit="1" customWidth="1"/>
    <col min="10766" max="10766" width="12.81640625" style="141" customWidth="1"/>
    <col min="10767" max="10767" width="8.81640625" style="141" customWidth="1"/>
    <col min="10768" max="10769" width="12.81640625" style="141" customWidth="1"/>
    <col min="10770" max="10770" width="8.81640625" style="141" customWidth="1"/>
    <col min="10771" max="10771" width="5.1796875" style="141" customWidth="1"/>
    <col min="10772" max="10772" width="4.54296875" style="141" customWidth="1"/>
    <col min="10773" max="10977" width="9.1796875" style="141"/>
    <col min="10978" max="10978" width="12.81640625" style="141" customWidth="1"/>
    <col min="10979" max="10979" width="1" style="141" customWidth="1"/>
    <col min="10980" max="10981" width="12.81640625" style="141" customWidth="1"/>
    <col min="10982" max="10982" width="8.81640625" style="141" customWidth="1"/>
    <col min="10983" max="10984" width="12.81640625" style="141" customWidth="1"/>
    <col min="10985" max="10985" width="8.81640625" style="141" customWidth="1"/>
    <col min="10986" max="10987" width="12.81640625" style="141" customWidth="1"/>
    <col min="10988" max="10988" width="8.81640625" style="141" customWidth="1"/>
    <col min="10989" max="10990" width="12.81640625" style="141" customWidth="1"/>
    <col min="10991" max="10991" width="8.81640625" style="141" customWidth="1"/>
    <col min="10992" max="10993" width="12.81640625" style="141" customWidth="1"/>
    <col min="10994" max="10994" width="8.81640625" style="141" customWidth="1"/>
    <col min="10995" max="10996" width="12.81640625" style="141" customWidth="1"/>
    <col min="10997" max="10997" width="8.81640625" style="141" customWidth="1"/>
    <col min="10998" max="10999" width="12.81640625" style="141" customWidth="1"/>
    <col min="11000" max="11000" width="8.81640625" style="141" customWidth="1"/>
    <col min="11001" max="11001" width="3.81640625" style="141" customWidth="1"/>
    <col min="11002" max="11002" width="3.1796875" style="141" customWidth="1"/>
    <col min="11003" max="11003" width="9.1796875" style="141"/>
    <col min="11004" max="11004" width="12.1796875" style="141" customWidth="1"/>
    <col min="11005" max="11005" width="1.1796875" style="141" customWidth="1"/>
    <col min="11006" max="11007" width="12.81640625" style="141" customWidth="1"/>
    <col min="11008" max="11008" width="8.81640625" style="141" customWidth="1"/>
    <col min="11009" max="11010" width="12.81640625" style="141" customWidth="1"/>
    <col min="11011" max="11011" width="8.81640625" style="141" customWidth="1"/>
    <col min="11012" max="11013" width="12.81640625" style="141" customWidth="1"/>
    <col min="11014" max="11014" width="8.81640625" style="141" customWidth="1"/>
    <col min="11015" max="11016" width="12.81640625" style="141" customWidth="1"/>
    <col min="11017" max="11017" width="8.81640625" style="141" customWidth="1"/>
    <col min="11018" max="11019" width="12.81640625" style="141" customWidth="1"/>
    <col min="11020" max="11020" width="8.81640625" style="141" customWidth="1"/>
    <col min="11021" max="11021" width="14" style="141" bestFit="1" customWidth="1"/>
    <col min="11022" max="11022" width="12.81640625" style="141" customWidth="1"/>
    <col min="11023" max="11023" width="8.81640625" style="141" customWidth="1"/>
    <col min="11024" max="11025" width="12.81640625" style="141" customWidth="1"/>
    <col min="11026" max="11026" width="8.81640625" style="141" customWidth="1"/>
    <col min="11027" max="11027" width="5.1796875" style="141" customWidth="1"/>
    <col min="11028" max="11028" width="4.54296875" style="141" customWidth="1"/>
    <col min="11029" max="11233" width="9.1796875" style="141"/>
    <col min="11234" max="11234" width="12.81640625" style="141" customWidth="1"/>
    <col min="11235" max="11235" width="1" style="141" customWidth="1"/>
    <col min="11236" max="11237" width="12.81640625" style="141" customWidth="1"/>
    <col min="11238" max="11238" width="8.81640625" style="141" customWidth="1"/>
    <col min="11239" max="11240" width="12.81640625" style="141" customWidth="1"/>
    <col min="11241" max="11241" width="8.81640625" style="141" customWidth="1"/>
    <col min="11242" max="11243" width="12.81640625" style="141" customWidth="1"/>
    <col min="11244" max="11244" width="8.81640625" style="141" customWidth="1"/>
    <col min="11245" max="11246" width="12.81640625" style="141" customWidth="1"/>
    <col min="11247" max="11247" width="8.81640625" style="141" customWidth="1"/>
    <col min="11248" max="11249" width="12.81640625" style="141" customWidth="1"/>
    <col min="11250" max="11250" width="8.81640625" style="141" customWidth="1"/>
    <col min="11251" max="11252" width="12.81640625" style="141" customWidth="1"/>
    <col min="11253" max="11253" width="8.81640625" style="141" customWidth="1"/>
    <col min="11254" max="11255" width="12.81640625" style="141" customWidth="1"/>
    <col min="11256" max="11256" width="8.81640625" style="141" customWidth="1"/>
    <col min="11257" max="11257" width="3.81640625" style="141" customWidth="1"/>
    <col min="11258" max="11258" width="3.1796875" style="141" customWidth="1"/>
    <col min="11259" max="11259" width="9.1796875" style="141"/>
    <col min="11260" max="11260" width="12.1796875" style="141" customWidth="1"/>
    <col min="11261" max="11261" width="1.1796875" style="141" customWidth="1"/>
    <col min="11262" max="11263" width="12.81640625" style="141" customWidth="1"/>
    <col min="11264" max="11264" width="8.81640625" style="141" customWidth="1"/>
    <col min="11265" max="11266" width="12.81640625" style="141" customWidth="1"/>
    <col min="11267" max="11267" width="8.81640625" style="141" customWidth="1"/>
    <col min="11268" max="11269" width="12.81640625" style="141" customWidth="1"/>
    <col min="11270" max="11270" width="8.81640625" style="141" customWidth="1"/>
    <col min="11271" max="11272" width="12.81640625" style="141" customWidth="1"/>
    <col min="11273" max="11273" width="8.81640625" style="141" customWidth="1"/>
    <col min="11274" max="11275" width="12.81640625" style="141" customWidth="1"/>
    <col min="11276" max="11276" width="8.81640625" style="141" customWidth="1"/>
    <col min="11277" max="11277" width="14" style="141" bestFit="1" customWidth="1"/>
    <col min="11278" max="11278" width="12.81640625" style="141" customWidth="1"/>
    <col min="11279" max="11279" width="8.81640625" style="141" customWidth="1"/>
    <col min="11280" max="11281" width="12.81640625" style="141" customWidth="1"/>
    <col min="11282" max="11282" width="8.81640625" style="141" customWidth="1"/>
    <col min="11283" max="11283" width="5.1796875" style="141" customWidth="1"/>
    <col min="11284" max="11284" width="4.54296875" style="141" customWidth="1"/>
    <col min="11285" max="11489" width="9.1796875" style="141"/>
    <col min="11490" max="11490" width="12.81640625" style="141" customWidth="1"/>
    <col min="11491" max="11491" width="1" style="141" customWidth="1"/>
    <col min="11492" max="11493" width="12.81640625" style="141" customWidth="1"/>
    <col min="11494" max="11494" width="8.81640625" style="141" customWidth="1"/>
    <col min="11495" max="11496" width="12.81640625" style="141" customWidth="1"/>
    <col min="11497" max="11497" width="8.81640625" style="141" customWidth="1"/>
    <col min="11498" max="11499" width="12.81640625" style="141" customWidth="1"/>
    <col min="11500" max="11500" width="8.81640625" style="141" customWidth="1"/>
    <col min="11501" max="11502" width="12.81640625" style="141" customWidth="1"/>
    <col min="11503" max="11503" width="8.81640625" style="141" customWidth="1"/>
    <col min="11504" max="11505" width="12.81640625" style="141" customWidth="1"/>
    <col min="11506" max="11506" width="8.81640625" style="141" customWidth="1"/>
    <col min="11507" max="11508" width="12.81640625" style="141" customWidth="1"/>
    <col min="11509" max="11509" width="8.81640625" style="141" customWidth="1"/>
    <col min="11510" max="11511" width="12.81640625" style="141" customWidth="1"/>
    <col min="11512" max="11512" width="8.81640625" style="141" customWidth="1"/>
    <col min="11513" max="11513" width="3.81640625" style="141" customWidth="1"/>
    <col min="11514" max="11514" width="3.1796875" style="141" customWidth="1"/>
    <col min="11515" max="11515" width="9.1796875" style="141"/>
    <col min="11516" max="11516" width="12.1796875" style="141" customWidth="1"/>
    <col min="11517" max="11517" width="1.1796875" style="141" customWidth="1"/>
    <col min="11518" max="11519" width="12.81640625" style="141" customWidth="1"/>
    <col min="11520" max="11520" width="8.81640625" style="141" customWidth="1"/>
    <col min="11521" max="11522" width="12.81640625" style="141" customWidth="1"/>
    <col min="11523" max="11523" width="8.81640625" style="141" customWidth="1"/>
    <col min="11524" max="11525" width="12.81640625" style="141" customWidth="1"/>
    <col min="11526" max="11526" width="8.81640625" style="141" customWidth="1"/>
    <col min="11527" max="11528" width="12.81640625" style="141" customWidth="1"/>
    <col min="11529" max="11529" width="8.81640625" style="141" customWidth="1"/>
    <col min="11530" max="11531" width="12.81640625" style="141" customWidth="1"/>
    <col min="11532" max="11532" width="8.81640625" style="141" customWidth="1"/>
    <col min="11533" max="11533" width="14" style="141" bestFit="1" customWidth="1"/>
    <col min="11534" max="11534" width="12.81640625" style="141" customWidth="1"/>
    <col min="11535" max="11535" width="8.81640625" style="141" customWidth="1"/>
    <col min="11536" max="11537" width="12.81640625" style="141" customWidth="1"/>
    <col min="11538" max="11538" width="8.81640625" style="141" customWidth="1"/>
    <col min="11539" max="11539" width="5.1796875" style="141" customWidth="1"/>
    <col min="11540" max="11540" width="4.54296875" style="141" customWidth="1"/>
    <col min="11541" max="11745" width="9.1796875" style="141"/>
    <col min="11746" max="11746" width="12.81640625" style="141" customWidth="1"/>
    <col min="11747" max="11747" width="1" style="141" customWidth="1"/>
    <col min="11748" max="11749" width="12.81640625" style="141" customWidth="1"/>
    <col min="11750" max="11750" width="8.81640625" style="141" customWidth="1"/>
    <col min="11751" max="11752" width="12.81640625" style="141" customWidth="1"/>
    <col min="11753" max="11753" width="8.81640625" style="141" customWidth="1"/>
    <col min="11754" max="11755" width="12.81640625" style="141" customWidth="1"/>
    <col min="11756" max="11756" width="8.81640625" style="141" customWidth="1"/>
    <col min="11757" max="11758" width="12.81640625" style="141" customWidth="1"/>
    <col min="11759" max="11759" width="8.81640625" style="141" customWidth="1"/>
    <col min="11760" max="11761" width="12.81640625" style="141" customWidth="1"/>
    <col min="11762" max="11762" width="8.81640625" style="141" customWidth="1"/>
    <col min="11763" max="11764" width="12.81640625" style="141" customWidth="1"/>
    <col min="11765" max="11765" width="8.81640625" style="141" customWidth="1"/>
    <col min="11766" max="11767" width="12.81640625" style="141" customWidth="1"/>
    <col min="11768" max="11768" width="8.81640625" style="141" customWidth="1"/>
    <col min="11769" max="11769" width="3.81640625" style="141" customWidth="1"/>
    <col min="11770" max="11770" width="3.1796875" style="141" customWidth="1"/>
    <col min="11771" max="11771" width="9.1796875" style="141"/>
    <col min="11772" max="11772" width="12.1796875" style="141" customWidth="1"/>
    <col min="11773" max="11773" width="1.1796875" style="141" customWidth="1"/>
    <col min="11774" max="11775" width="12.81640625" style="141" customWidth="1"/>
    <col min="11776" max="11776" width="8.81640625" style="141" customWidth="1"/>
    <col min="11777" max="11778" width="12.81640625" style="141" customWidth="1"/>
    <col min="11779" max="11779" width="8.81640625" style="141" customWidth="1"/>
    <col min="11780" max="11781" width="12.81640625" style="141" customWidth="1"/>
    <col min="11782" max="11782" width="8.81640625" style="141" customWidth="1"/>
    <col min="11783" max="11784" width="12.81640625" style="141" customWidth="1"/>
    <col min="11785" max="11785" width="8.81640625" style="141" customWidth="1"/>
    <col min="11786" max="11787" width="12.81640625" style="141" customWidth="1"/>
    <col min="11788" max="11788" width="8.81640625" style="141" customWidth="1"/>
    <col min="11789" max="11789" width="14" style="141" bestFit="1" customWidth="1"/>
    <col min="11790" max="11790" width="12.81640625" style="141" customWidth="1"/>
    <col min="11791" max="11791" width="8.81640625" style="141" customWidth="1"/>
    <col min="11792" max="11793" width="12.81640625" style="141" customWidth="1"/>
    <col min="11794" max="11794" width="8.81640625" style="141" customWidth="1"/>
    <col min="11795" max="11795" width="5.1796875" style="141" customWidth="1"/>
    <col min="11796" max="11796" width="4.54296875" style="141" customWidth="1"/>
    <col min="11797" max="12001" width="9.1796875" style="141"/>
    <col min="12002" max="12002" width="12.81640625" style="141" customWidth="1"/>
    <col min="12003" max="12003" width="1" style="141" customWidth="1"/>
    <col min="12004" max="12005" width="12.81640625" style="141" customWidth="1"/>
    <col min="12006" max="12006" width="8.81640625" style="141" customWidth="1"/>
    <col min="12007" max="12008" width="12.81640625" style="141" customWidth="1"/>
    <col min="12009" max="12009" width="8.81640625" style="141" customWidth="1"/>
    <col min="12010" max="12011" width="12.81640625" style="141" customWidth="1"/>
    <col min="12012" max="12012" width="8.81640625" style="141" customWidth="1"/>
    <col min="12013" max="12014" width="12.81640625" style="141" customWidth="1"/>
    <col min="12015" max="12015" width="8.81640625" style="141" customWidth="1"/>
    <col min="12016" max="12017" width="12.81640625" style="141" customWidth="1"/>
    <col min="12018" max="12018" width="8.81640625" style="141" customWidth="1"/>
    <col min="12019" max="12020" width="12.81640625" style="141" customWidth="1"/>
    <col min="12021" max="12021" width="8.81640625" style="141" customWidth="1"/>
    <col min="12022" max="12023" width="12.81640625" style="141" customWidth="1"/>
    <col min="12024" max="12024" width="8.81640625" style="141" customWidth="1"/>
    <col min="12025" max="12025" width="3.81640625" style="141" customWidth="1"/>
    <col min="12026" max="12026" width="3.1796875" style="141" customWidth="1"/>
    <col min="12027" max="12027" width="9.1796875" style="141"/>
    <col min="12028" max="12028" width="12.1796875" style="141" customWidth="1"/>
    <col min="12029" max="12029" width="1.1796875" style="141" customWidth="1"/>
    <col min="12030" max="12031" width="12.81640625" style="141" customWidth="1"/>
    <col min="12032" max="12032" width="8.81640625" style="141" customWidth="1"/>
    <col min="12033" max="12034" width="12.81640625" style="141" customWidth="1"/>
    <col min="12035" max="12035" width="8.81640625" style="141" customWidth="1"/>
    <col min="12036" max="12037" width="12.81640625" style="141" customWidth="1"/>
    <col min="12038" max="12038" width="8.81640625" style="141" customWidth="1"/>
    <col min="12039" max="12040" width="12.81640625" style="141" customWidth="1"/>
    <col min="12041" max="12041" width="8.81640625" style="141" customWidth="1"/>
    <col min="12042" max="12043" width="12.81640625" style="141" customWidth="1"/>
    <col min="12044" max="12044" width="8.81640625" style="141" customWidth="1"/>
    <col min="12045" max="12045" width="14" style="141" bestFit="1" customWidth="1"/>
    <col min="12046" max="12046" width="12.81640625" style="141" customWidth="1"/>
    <col min="12047" max="12047" width="8.81640625" style="141" customWidth="1"/>
    <col min="12048" max="12049" width="12.81640625" style="141" customWidth="1"/>
    <col min="12050" max="12050" width="8.81640625" style="141" customWidth="1"/>
    <col min="12051" max="12051" width="5.1796875" style="141" customWidth="1"/>
    <col min="12052" max="12052" width="4.54296875" style="141" customWidth="1"/>
    <col min="12053" max="12257" width="9.1796875" style="141"/>
    <col min="12258" max="12258" width="12.81640625" style="141" customWidth="1"/>
    <col min="12259" max="12259" width="1" style="141" customWidth="1"/>
    <col min="12260" max="12261" width="12.81640625" style="141" customWidth="1"/>
    <col min="12262" max="12262" width="8.81640625" style="141" customWidth="1"/>
    <col min="12263" max="12264" width="12.81640625" style="141" customWidth="1"/>
    <col min="12265" max="12265" width="8.81640625" style="141" customWidth="1"/>
    <col min="12266" max="12267" width="12.81640625" style="141" customWidth="1"/>
    <col min="12268" max="12268" width="8.81640625" style="141" customWidth="1"/>
    <col min="12269" max="12270" width="12.81640625" style="141" customWidth="1"/>
    <col min="12271" max="12271" width="8.81640625" style="141" customWidth="1"/>
    <col min="12272" max="12273" width="12.81640625" style="141" customWidth="1"/>
    <col min="12274" max="12274" width="8.81640625" style="141" customWidth="1"/>
    <col min="12275" max="12276" width="12.81640625" style="141" customWidth="1"/>
    <col min="12277" max="12277" width="8.81640625" style="141" customWidth="1"/>
    <col min="12278" max="12279" width="12.81640625" style="141" customWidth="1"/>
    <col min="12280" max="12280" width="8.81640625" style="141" customWidth="1"/>
    <col min="12281" max="12281" width="3.81640625" style="141" customWidth="1"/>
    <col min="12282" max="12282" width="3.1796875" style="141" customWidth="1"/>
    <col min="12283" max="12283" width="9.1796875" style="141"/>
    <col min="12284" max="12284" width="12.1796875" style="141" customWidth="1"/>
    <col min="12285" max="12285" width="1.1796875" style="141" customWidth="1"/>
    <col min="12286" max="12287" width="12.81640625" style="141" customWidth="1"/>
    <col min="12288" max="12288" width="8.81640625" style="141" customWidth="1"/>
    <col min="12289" max="12290" width="12.81640625" style="141" customWidth="1"/>
    <col min="12291" max="12291" width="8.81640625" style="141" customWidth="1"/>
    <col min="12292" max="12293" width="12.81640625" style="141" customWidth="1"/>
    <col min="12294" max="12294" width="8.81640625" style="141" customWidth="1"/>
    <col min="12295" max="12296" width="12.81640625" style="141" customWidth="1"/>
    <col min="12297" max="12297" width="8.81640625" style="141" customWidth="1"/>
    <col min="12298" max="12299" width="12.81640625" style="141" customWidth="1"/>
    <col min="12300" max="12300" width="8.81640625" style="141" customWidth="1"/>
    <col min="12301" max="12301" width="14" style="141" bestFit="1" customWidth="1"/>
    <col min="12302" max="12302" width="12.81640625" style="141" customWidth="1"/>
    <col min="12303" max="12303" width="8.81640625" style="141" customWidth="1"/>
    <col min="12304" max="12305" width="12.81640625" style="141" customWidth="1"/>
    <col min="12306" max="12306" width="8.81640625" style="141" customWidth="1"/>
    <col min="12307" max="12307" width="5.1796875" style="141" customWidth="1"/>
    <col min="12308" max="12308" width="4.54296875" style="141" customWidth="1"/>
    <col min="12309" max="12513" width="9.1796875" style="141"/>
    <col min="12514" max="12514" width="12.81640625" style="141" customWidth="1"/>
    <col min="12515" max="12515" width="1" style="141" customWidth="1"/>
    <col min="12516" max="12517" width="12.81640625" style="141" customWidth="1"/>
    <col min="12518" max="12518" width="8.81640625" style="141" customWidth="1"/>
    <col min="12519" max="12520" width="12.81640625" style="141" customWidth="1"/>
    <col min="12521" max="12521" width="8.81640625" style="141" customWidth="1"/>
    <col min="12522" max="12523" width="12.81640625" style="141" customWidth="1"/>
    <col min="12524" max="12524" width="8.81640625" style="141" customWidth="1"/>
    <col min="12525" max="12526" width="12.81640625" style="141" customWidth="1"/>
    <col min="12527" max="12527" width="8.81640625" style="141" customWidth="1"/>
    <col min="12528" max="12529" width="12.81640625" style="141" customWidth="1"/>
    <col min="12530" max="12530" width="8.81640625" style="141" customWidth="1"/>
    <col min="12531" max="12532" width="12.81640625" style="141" customWidth="1"/>
    <col min="12533" max="12533" width="8.81640625" style="141" customWidth="1"/>
    <col min="12534" max="12535" width="12.81640625" style="141" customWidth="1"/>
    <col min="12536" max="12536" width="8.81640625" style="141" customWidth="1"/>
    <col min="12537" max="12537" width="3.81640625" style="141" customWidth="1"/>
    <col min="12538" max="12538" width="3.1796875" style="141" customWidth="1"/>
    <col min="12539" max="12539" width="9.1796875" style="141"/>
    <col min="12540" max="12540" width="12.1796875" style="141" customWidth="1"/>
    <col min="12541" max="12541" width="1.1796875" style="141" customWidth="1"/>
    <col min="12542" max="12543" width="12.81640625" style="141" customWidth="1"/>
    <col min="12544" max="12544" width="8.81640625" style="141" customWidth="1"/>
    <col min="12545" max="12546" width="12.81640625" style="141" customWidth="1"/>
    <col min="12547" max="12547" width="8.81640625" style="141" customWidth="1"/>
    <col min="12548" max="12549" width="12.81640625" style="141" customWidth="1"/>
    <col min="12550" max="12550" width="8.81640625" style="141" customWidth="1"/>
    <col min="12551" max="12552" width="12.81640625" style="141" customWidth="1"/>
    <col min="12553" max="12553" width="8.81640625" style="141" customWidth="1"/>
    <col min="12554" max="12555" width="12.81640625" style="141" customWidth="1"/>
    <col min="12556" max="12556" width="8.81640625" style="141" customWidth="1"/>
    <col min="12557" max="12557" width="14" style="141" bestFit="1" customWidth="1"/>
    <col min="12558" max="12558" width="12.81640625" style="141" customWidth="1"/>
    <col min="12559" max="12559" width="8.81640625" style="141" customWidth="1"/>
    <col min="12560" max="12561" width="12.81640625" style="141" customWidth="1"/>
    <col min="12562" max="12562" width="8.81640625" style="141" customWidth="1"/>
    <col min="12563" max="12563" width="5.1796875" style="141" customWidth="1"/>
    <col min="12564" max="12564" width="4.54296875" style="141" customWidth="1"/>
    <col min="12565" max="12769" width="9.1796875" style="141"/>
    <col min="12770" max="12770" width="12.81640625" style="141" customWidth="1"/>
    <col min="12771" max="12771" width="1" style="141" customWidth="1"/>
    <col min="12772" max="12773" width="12.81640625" style="141" customWidth="1"/>
    <col min="12774" max="12774" width="8.81640625" style="141" customWidth="1"/>
    <col min="12775" max="12776" width="12.81640625" style="141" customWidth="1"/>
    <col min="12777" max="12777" width="8.81640625" style="141" customWidth="1"/>
    <col min="12778" max="12779" width="12.81640625" style="141" customWidth="1"/>
    <col min="12780" max="12780" width="8.81640625" style="141" customWidth="1"/>
    <col min="12781" max="12782" width="12.81640625" style="141" customWidth="1"/>
    <col min="12783" max="12783" width="8.81640625" style="141" customWidth="1"/>
    <col min="12784" max="12785" width="12.81640625" style="141" customWidth="1"/>
    <col min="12786" max="12786" width="8.81640625" style="141" customWidth="1"/>
    <col min="12787" max="12788" width="12.81640625" style="141" customWidth="1"/>
    <col min="12789" max="12789" width="8.81640625" style="141" customWidth="1"/>
    <col min="12790" max="12791" width="12.81640625" style="141" customWidth="1"/>
    <col min="12792" max="12792" width="8.81640625" style="141" customWidth="1"/>
    <col min="12793" max="12793" width="3.81640625" style="141" customWidth="1"/>
    <col min="12794" max="12794" width="3.1796875" style="141" customWidth="1"/>
    <col min="12795" max="12795" width="9.1796875" style="141"/>
    <col min="12796" max="12796" width="12.1796875" style="141" customWidth="1"/>
    <col min="12797" max="12797" width="1.1796875" style="141" customWidth="1"/>
    <col min="12798" max="12799" width="12.81640625" style="141" customWidth="1"/>
    <col min="12800" max="12800" width="8.81640625" style="141" customWidth="1"/>
    <col min="12801" max="12802" width="12.81640625" style="141" customWidth="1"/>
    <col min="12803" max="12803" width="8.81640625" style="141" customWidth="1"/>
    <col min="12804" max="12805" width="12.81640625" style="141" customWidth="1"/>
    <col min="12806" max="12806" width="8.81640625" style="141" customWidth="1"/>
    <col min="12807" max="12808" width="12.81640625" style="141" customWidth="1"/>
    <col min="12809" max="12809" width="8.81640625" style="141" customWidth="1"/>
    <col min="12810" max="12811" width="12.81640625" style="141" customWidth="1"/>
    <col min="12812" max="12812" width="8.81640625" style="141" customWidth="1"/>
    <col min="12813" max="12813" width="14" style="141" bestFit="1" customWidth="1"/>
    <col min="12814" max="12814" width="12.81640625" style="141" customWidth="1"/>
    <col min="12815" max="12815" width="8.81640625" style="141" customWidth="1"/>
    <col min="12816" max="12817" width="12.81640625" style="141" customWidth="1"/>
    <col min="12818" max="12818" width="8.81640625" style="141" customWidth="1"/>
    <col min="12819" max="12819" width="5.1796875" style="141" customWidth="1"/>
    <col min="12820" max="12820" width="4.54296875" style="141" customWidth="1"/>
    <col min="12821" max="13025" width="9.1796875" style="141"/>
    <col min="13026" max="13026" width="12.81640625" style="141" customWidth="1"/>
    <col min="13027" max="13027" width="1" style="141" customWidth="1"/>
    <col min="13028" max="13029" width="12.81640625" style="141" customWidth="1"/>
    <col min="13030" max="13030" width="8.81640625" style="141" customWidth="1"/>
    <col min="13031" max="13032" width="12.81640625" style="141" customWidth="1"/>
    <col min="13033" max="13033" width="8.81640625" style="141" customWidth="1"/>
    <col min="13034" max="13035" width="12.81640625" style="141" customWidth="1"/>
    <col min="13036" max="13036" width="8.81640625" style="141" customWidth="1"/>
    <col min="13037" max="13038" width="12.81640625" style="141" customWidth="1"/>
    <col min="13039" max="13039" width="8.81640625" style="141" customWidth="1"/>
    <col min="13040" max="13041" width="12.81640625" style="141" customWidth="1"/>
    <col min="13042" max="13042" width="8.81640625" style="141" customWidth="1"/>
    <col min="13043" max="13044" width="12.81640625" style="141" customWidth="1"/>
    <col min="13045" max="13045" width="8.81640625" style="141" customWidth="1"/>
    <col min="13046" max="13047" width="12.81640625" style="141" customWidth="1"/>
    <col min="13048" max="13048" width="8.81640625" style="141" customWidth="1"/>
    <col min="13049" max="13049" width="3.81640625" style="141" customWidth="1"/>
    <col min="13050" max="13050" width="3.1796875" style="141" customWidth="1"/>
    <col min="13051" max="13051" width="9.1796875" style="141"/>
    <col min="13052" max="13052" width="12.1796875" style="141" customWidth="1"/>
    <col min="13053" max="13053" width="1.1796875" style="141" customWidth="1"/>
    <col min="13054" max="13055" width="12.81640625" style="141" customWidth="1"/>
    <col min="13056" max="13056" width="8.81640625" style="141" customWidth="1"/>
    <col min="13057" max="13058" width="12.81640625" style="141" customWidth="1"/>
    <col min="13059" max="13059" width="8.81640625" style="141" customWidth="1"/>
    <col min="13060" max="13061" width="12.81640625" style="141" customWidth="1"/>
    <col min="13062" max="13062" width="8.81640625" style="141" customWidth="1"/>
    <col min="13063" max="13064" width="12.81640625" style="141" customWidth="1"/>
    <col min="13065" max="13065" width="8.81640625" style="141" customWidth="1"/>
    <col min="13066" max="13067" width="12.81640625" style="141" customWidth="1"/>
    <col min="13068" max="13068" width="8.81640625" style="141" customWidth="1"/>
    <col min="13069" max="13069" width="14" style="141" bestFit="1" customWidth="1"/>
    <col min="13070" max="13070" width="12.81640625" style="141" customWidth="1"/>
    <col min="13071" max="13071" width="8.81640625" style="141" customWidth="1"/>
    <col min="13072" max="13073" width="12.81640625" style="141" customWidth="1"/>
    <col min="13074" max="13074" width="8.81640625" style="141" customWidth="1"/>
    <col min="13075" max="13075" width="5.1796875" style="141" customWidth="1"/>
    <col min="13076" max="13076" width="4.54296875" style="141" customWidth="1"/>
    <col min="13077" max="13281" width="9.1796875" style="141"/>
    <col min="13282" max="13282" width="12.81640625" style="141" customWidth="1"/>
    <col min="13283" max="13283" width="1" style="141" customWidth="1"/>
    <col min="13284" max="13285" width="12.81640625" style="141" customWidth="1"/>
    <col min="13286" max="13286" width="8.81640625" style="141" customWidth="1"/>
    <col min="13287" max="13288" width="12.81640625" style="141" customWidth="1"/>
    <col min="13289" max="13289" width="8.81640625" style="141" customWidth="1"/>
    <col min="13290" max="13291" width="12.81640625" style="141" customWidth="1"/>
    <col min="13292" max="13292" width="8.81640625" style="141" customWidth="1"/>
    <col min="13293" max="13294" width="12.81640625" style="141" customWidth="1"/>
    <col min="13295" max="13295" width="8.81640625" style="141" customWidth="1"/>
    <col min="13296" max="13297" width="12.81640625" style="141" customWidth="1"/>
    <col min="13298" max="13298" width="8.81640625" style="141" customWidth="1"/>
    <col min="13299" max="13300" width="12.81640625" style="141" customWidth="1"/>
    <col min="13301" max="13301" width="8.81640625" style="141" customWidth="1"/>
    <col min="13302" max="13303" width="12.81640625" style="141" customWidth="1"/>
    <col min="13304" max="13304" width="8.81640625" style="141" customWidth="1"/>
    <col min="13305" max="13305" width="3.81640625" style="141" customWidth="1"/>
    <col min="13306" max="13306" width="3.1796875" style="141" customWidth="1"/>
    <col min="13307" max="13307" width="9.1796875" style="141"/>
    <col min="13308" max="13308" width="12.1796875" style="141" customWidth="1"/>
    <col min="13309" max="13309" width="1.1796875" style="141" customWidth="1"/>
    <col min="13310" max="13311" width="12.81640625" style="141" customWidth="1"/>
    <col min="13312" max="13312" width="8.81640625" style="141" customWidth="1"/>
    <col min="13313" max="13314" width="12.81640625" style="141" customWidth="1"/>
    <col min="13315" max="13315" width="8.81640625" style="141" customWidth="1"/>
    <col min="13316" max="13317" width="12.81640625" style="141" customWidth="1"/>
    <col min="13318" max="13318" width="8.81640625" style="141" customWidth="1"/>
    <col min="13319" max="13320" width="12.81640625" style="141" customWidth="1"/>
    <col min="13321" max="13321" width="8.81640625" style="141" customWidth="1"/>
    <col min="13322" max="13323" width="12.81640625" style="141" customWidth="1"/>
    <col min="13324" max="13324" width="8.81640625" style="141" customWidth="1"/>
    <col min="13325" max="13325" width="14" style="141" bestFit="1" customWidth="1"/>
    <col min="13326" max="13326" width="12.81640625" style="141" customWidth="1"/>
    <col min="13327" max="13327" width="8.81640625" style="141" customWidth="1"/>
    <col min="13328" max="13329" width="12.81640625" style="141" customWidth="1"/>
    <col min="13330" max="13330" width="8.81640625" style="141" customWidth="1"/>
    <col min="13331" max="13331" width="5.1796875" style="141" customWidth="1"/>
    <col min="13332" max="13332" width="4.54296875" style="141" customWidth="1"/>
    <col min="13333" max="13537" width="9.1796875" style="141"/>
    <col min="13538" max="13538" width="12.81640625" style="141" customWidth="1"/>
    <col min="13539" max="13539" width="1" style="141" customWidth="1"/>
    <col min="13540" max="13541" width="12.81640625" style="141" customWidth="1"/>
    <col min="13542" max="13542" width="8.81640625" style="141" customWidth="1"/>
    <col min="13543" max="13544" width="12.81640625" style="141" customWidth="1"/>
    <col min="13545" max="13545" width="8.81640625" style="141" customWidth="1"/>
    <col min="13546" max="13547" width="12.81640625" style="141" customWidth="1"/>
    <col min="13548" max="13548" width="8.81640625" style="141" customWidth="1"/>
    <col min="13549" max="13550" width="12.81640625" style="141" customWidth="1"/>
    <col min="13551" max="13551" width="8.81640625" style="141" customWidth="1"/>
    <col min="13552" max="13553" width="12.81640625" style="141" customWidth="1"/>
    <col min="13554" max="13554" width="8.81640625" style="141" customWidth="1"/>
    <col min="13555" max="13556" width="12.81640625" style="141" customWidth="1"/>
    <col min="13557" max="13557" width="8.81640625" style="141" customWidth="1"/>
    <col min="13558" max="13559" width="12.81640625" style="141" customWidth="1"/>
    <col min="13560" max="13560" width="8.81640625" style="141" customWidth="1"/>
    <col min="13561" max="13561" width="3.81640625" style="141" customWidth="1"/>
    <col min="13562" max="13562" width="3.1796875" style="141" customWidth="1"/>
    <col min="13563" max="13563" width="9.1796875" style="141"/>
    <col min="13564" max="13564" width="12.1796875" style="141" customWidth="1"/>
    <col min="13565" max="13565" width="1.1796875" style="141" customWidth="1"/>
    <col min="13566" max="13567" width="12.81640625" style="141" customWidth="1"/>
    <col min="13568" max="13568" width="8.81640625" style="141" customWidth="1"/>
    <col min="13569" max="13570" width="12.81640625" style="141" customWidth="1"/>
    <col min="13571" max="13571" width="8.81640625" style="141" customWidth="1"/>
    <col min="13572" max="13573" width="12.81640625" style="141" customWidth="1"/>
    <col min="13574" max="13574" width="8.81640625" style="141" customWidth="1"/>
    <col min="13575" max="13576" width="12.81640625" style="141" customWidth="1"/>
    <col min="13577" max="13577" width="8.81640625" style="141" customWidth="1"/>
    <col min="13578" max="13579" width="12.81640625" style="141" customWidth="1"/>
    <col min="13580" max="13580" width="8.81640625" style="141" customWidth="1"/>
    <col min="13581" max="13581" width="14" style="141" bestFit="1" customWidth="1"/>
    <col min="13582" max="13582" width="12.81640625" style="141" customWidth="1"/>
    <col min="13583" max="13583" width="8.81640625" style="141" customWidth="1"/>
    <col min="13584" max="13585" width="12.81640625" style="141" customWidth="1"/>
    <col min="13586" max="13586" width="8.81640625" style="141" customWidth="1"/>
    <col min="13587" max="13587" width="5.1796875" style="141" customWidth="1"/>
    <col min="13588" max="13588" width="4.54296875" style="141" customWidth="1"/>
    <col min="13589" max="13793" width="9.1796875" style="141"/>
    <col min="13794" max="13794" width="12.81640625" style="141" customWidth="1"/>
    <col min="13795" max="13795" width="1" style="141" customWidth="1"/>
    <col min="13796" max="13797" width="12.81640625" style="141" customWidth="1"/>
    <col min="13798" max="13798" width="8.81640625" style="141" customWidth="1"/>
    <col min="13799" max="13800" width="12.81640625" style="141" customWidth="1"/>
    <col min="13801" max="13801" width="8.81640625" style="141" customWidth="1"/>
    <col min="13802" max="13803" width="12.81640625" style="141" customWidth="1"/>
    <col min="13804" max="13804" width="8.81640625" style="141" customWidth="1"/>
    <col min="13805" max="13806" width="12.81640625" style="141" customWidth="1"/>
    <col min="13807" max="13807" width="8.81640625" style="141" customWidth="1"/>
    <col min="13808" max="13809" width="12.81640625" style="141" customWidth="1"/>
    <col min="13810" max="13810" width="8.81640625" style="141" customWidth="1"/>
    <col min="13811" max="13812" width="12.81640625" style="141" customWidth="1"/>
    <col min="13813" max="13813" width="8.81640625" style="141" customWidth="1"/>
    <col min="13814" max="13815" width="12.81640625" style="141" customWidth="1"/>
    <col min="13816" max="13816" width="8.81640625" style="141" customWidth="1"/>
    <col min="13817" max="13817" width="3.81640625" style="141" customWidth="1"/>
    <col min="13818" max="13818" width="3.1796875" style="141" customWidth="1"/>
    <col min="13819" max="13819" width="9.1796875" style="141"/>
    <col min="13820" max="13820" width="12.1796875" style="141" customWidth="1"/>
    <col min="13821" max="13821" width="1.1796875" style="141" customWidth="1"/>
    <col min="13822" max="13823" width="12.81640625" style="141" customWidth="1"/>
    <col min="13824" max="13824" width="8.81640625" style="141" customWidth="1"/>
    <col min="13825" max="13826" width="12.81640625" style="141" customWidth="1"/>
    <col min="13827" max="13827" width="8.81640625" style="141" customWidth="1"/>
    <col min="13828" max="13829" width="12.81640625" style="141" customWidth="1"/>
    <col min="13830" max="13830" width="8.81640625" style="141" customWidth="1"/>
    <col min="13831" max="13832" width="12.81640625" style="141" customWidth="1"/>
    <col min="13833" max="13833" width="8.81640625" style="141" customWidth="1"/>
    <col min="13834" max="13835" width="12.81640625" style="141" customWidth="1"/>
    <col min="13836" max="13836" width="8.81640625" style="141" customWidth="1"/>
    <col min="13837" max="13837" width="14" style="141" bestFit="1" customWidth="1"/>
    <col min="13838" max="13838" width="12.81640625" style="141" customWidth="1"/>
    <col min="13839" max="13839" width="8.81640625" style="141" customWidth="1"/>
    <col min="13840" max="13841" width="12.81640625" style="141" customWidth="1"/>
    <col min="13842" max="13842" width="8.81640625" style="141" customWidth="1"/>
    <col min="13843" max="13843" width="5.1796875" style="141" customWidth="1"/>
    <col min="13844" max="13844" width="4.54296875" style="141" customWidth="1"/>
    <col min="13845" max="14049" width="9.1796875" style="141"/>
    <col min="14050" max="14050" width="12.81640625" style="141" customWidth="1"/>
    <col min="14051" max="14051" width="1" style="141" customWidth="1"/>
    <col min="14052" max="14053" width="12.81640625" style="141" customWidth="1"/>
    <col min="14054" max="14054" width="8.81640625" style="141" customWidth="1"/>
    <col min="14055" max="14056" width="12.81640625" style="141" customWidth="1"/>
    <col min="14057" max="14057" width="8.81640625" style="141" customWidth="1"/>
    <col min="14058" max="14059" width="12.81640625" style="141" customWidth="1"/>
    <col min="14060" max="14060" width="8.81640625" style="141" customWidth="1"/>
    <col min="14061" max="14062" width="12.81640625" style="141" customWidth="1"/>
    <col min="14063" max="14063" width="8.81640625" style="141" customWidth="1"/>
    <col min="14064" max="14065" width="12.81640625" style="141" customWidth="1"/>
    <col min="14066" max="14066" width="8.81640625" style="141" customWidth="1"/>
    <col min="14067" max="14068" width="12.81640625" style="141" customWidth="1"/>
    <col min="14069" max="14069" width="8.81640625" style="141" customWidth="1"/>
    <col min="14070" max="14071" width="12.81640625" style="141" customWidth="1"/>
    <col min="14072" max="14072" width="8.81640625" style="141" customWidth="1"/>
    <col min="14073" max="14073" width="3.81640625" style="141" customWidth="1"/>
    <col min="14074" max="14074" width="3.1796875" style="141" customWidth="1"/>
    <col min="14075" max="14075" width="9.1796875" style="141"/>
    <col min="14076" max="14076" width="12.1796875" style="141" customWidth="1"/>
    <col min="14077" max="14077" width="1.1796875" style="141" customWidth="1"/>
    <col min="14078" max="14079" width="12.81640625" style="141" customWidth="1"/>
    <col min="14080" max="14080" width="8.81640625" style="141" customWidth="1"/>
    <col min="14081" max="14082" width="12.81640625" style="141" customWidth="1"/>
    <col min="14083" max="14083" width="8.81640625" style="141" customWidth="1"/>
    <col min="14084" max="14085" width="12.81640625" style="141" customWidth="1"/>
    <col min="14086" max="14086" width="8.81640625" style="141" customWidth="1"/>
    <col min="14087" max="14088" width="12.81640625" style="141" customWidth="1"/>
    <col min="14089" max="14089" width="8.81640625" style="141" customWidth="1"/>
    <col min="14090" max="14091" width="12.81640625" style="141" customWidth="1"/>
    <col min="14092" max="14092" width="8.81640625" style="141" customWidth="1"/>
    <col min="14093" max="14093" width="14" style="141" bestFit="1" customWidth="1"/>
    <col min="14094" max="14094" width="12.81640625" style="141" customWidth="1"/>
    <col min="14095" max="14095" width="8.81640625" style="141" customWidth="1"/>
    <col min="14096" max="14097" width="12.81640625" style="141" customWidth="1"/>
    <col min="14098" max="14098" width="8.81640625" style="141" customWidth="1"/>
    <col min="14099" max="14099" width="5.1796875" style="141" customWidth="1"/>
    <col min="14100" max="14100" width="4.54296875" style="141" customWidth="1"/>
    <col min="14101" max="14305" width="9.1796875" style="141"/>
    <col min="14306" max="14306" width="12.81640625" style="141" customWidth="1"/>
    <col min="14307" max="14307" width="1" style="141" customWidth="1"/>
    <col min="14308" max="14309" width="12.81640625" style="141" customWidth="1"/>
    <col min="14310" max="14310" width="8.81640625" style="141" customWidth="1"/>
    <col min="14311" max="14312" width="12.81640625" style="141" customWidth="1"/>
    <col min="14313" max="14313" width="8.81640625" style="141" customWidth="1"/>
    <col min="14314" max="14315" width="12.81640625" style="141" customWidth="1"/>
    <col min="14316" max="14316" width="8.81640625" style="141" customWidth="1"/>
    <col min="14317" max="14318" width="12.81640625" style="141" customWidth="1"/>
    <col min="14319" max="14319" width="8.81640625" style="141" customWidth="1"/>
    <col min="14320" max="14321" width="12.81640625" style="141" customWidth="1"/>
    <col min="14322" max="14322" width="8.81640625" style="141" customWidth="1"/>
    <col min="14323" max="14324" width="12.81640625" style="141" customWidth="1"/>
    <col min="14325" max="14325" width="8.81640625" style="141" customWidth="1"/>
    <col min="14326" max="14327" width="12.81640625" style="141" customWidth="1"/>
    <col min="14328" max="14328" width="8.81640625" style="141" customWidth="1"/>
    <col min="14329" max="14329" width="3.81640625" style="141" customWidth="1"/>
    <col min="14330" max="14330" width="3.1796875" style="141" customWidth="1"/>
    <col min="14331" max="14331" width="9.1796875" style="141"/>
    <col min="14332" max="14332" width="12.1796875" style="141" customWidth="1"/>
    <col min="14333" max="14333" width="1.1796875" style="141" customWidth="1"/>
    <col min="14334" max="14335" width="12.81640625" style="141" customWidth="1"/>
    <col min="14336" max="14336" width="8.81640625" style="141" customWidth="1"/>
    <col min="14337" max="14338" width="12.81640625" style="141" customWidth="1"/>
    <col min="14339" max="14339" width="8.81640625" style="141" customWidth="1"/>
    <col min="14340" max="14341" width="12.81640625" style="141" customWidth="1"/>
    <col min="14342" max="14342" width="8.81640625" style="141" customWidth="1"/>
    <col min="14343" max="14344" width="12.81640625" style="141" customWidth="1"/>
    <col min="14345" max="14345" width="8.81640625" style="141" customWidth="1"/>
    <col min="14346" max="14347" width="12.81640625" style="141" customWidth="1"/>
    <col min="14348" max="14348" width="8.81640625" style="141" customWidth="1"/>
    <col min="14349" max="14349" width="14" style="141" bestFit="1" customWidth="1"/>
    <col min="14350" max="14350" width="12.81640625" style="141" customWidth="1"/>
    <col min="14351" max="14351" width="8.81640625" style="141" customWidth="1"/>
    <col min="14352" max="14353" width="12.81640625" style="141" customWidth="1"/>
    <col min="14354" max="14354" width="8.81640625" style="141" customWidth="1"/>
    <col min="14355" max="14355" width="5.1796875" style="141" customWidth="1"/>
    <col min="14356" max="14356" width="4.54296875" style="141" customWidth="1"/>
    <col min="14357" max="14561" width="9.1796875" style="141"/>
    <col min="14562" max="14562" width="12.81640625" style="141" customWidth="1"/>
    <col min="14563" max="14563" width="1" style="141" customWidth="1"/>
    <col min="14564" max="14565" width="12.81640625" style="141" customWidth="1"/>
    <col min="14566" max="14566" width="8.81640625" style="141" customWidth="1"/>
    <col min="14567" max="14568" width="12.81640625" style="141" customWidth="1"/>
    <col min="14569" max="14569" width="8.81640625" style="141" customWidth="1"/>
    <col min="14570" max="14571" width="12.81640625" style="141" customWidth="1"/>
    <col min="14572" max="14572" width="8.81640625" style="141" customWidth="1"/>
    <col min="14573" max="14574" width="12.81640625" style="141" customWidth="1"/>
    <col min="14575" max="14575" width="8.81640625" style="141" customWidth="1"/>
    <col min="14576" max="14577" width="12.81640625" style="141" customWidth="1"/>
    <col min="14578" max="14578" width="8.81640625" style="141" customWidth="1"/>
    <col min="14579" max="14580" width="12.81640625" style="141" customWidth="1"/>
    <col min="14581" max="14581" width="8.81640625" style="141" customWidth="1"/>
    <col min="14582" max="14583" width="12.81640625" style="141" customWidth="1"/>
    <col min="14584" max="14584" width="8.81640625" style="141" customWidth="1"/>
    <col min="14585" max="14585" width="3.81640625" style="141" customWidth="1"/>
    <col min="14586" max="14586" width="3.1796875" style="141" customWidth="1"/>
    <col min="14587" max="14587" width="9.1796875" style="141"/>
    <col min="14588" max="14588" width="12.1796875" style="141" customWidth="1"/>
    <col min="14589" max="14589" width="1.1796875" style="141" customWidth="1"/>
    <col min="14590" max="14591" width="12.81640625" style="141" customWidth="1"/>
    <col min="14592" max="14592" width="8.81640625" style="141" customWidth="1"/>
    <col min="14593" max="14594" width="12.81640625" style="141" customWidth="1"/>
    <col min="14595" max="14595" width="8.81640625" style="141" customWidth="1"/>
    <col min="14596" max="14597" width="12.81640625" style="141" customWidth="1"/>
    <col min="14598" max="14598" width="8.81640625" style="141" customWidth="1"/>
    <col min="14599" max="14600" width="12.81640625" style="141" customWidth="1"/>
    <col min="14601" max="14601" width="8.81640625" style="141" customWidth="1"/>
    <col min="14602" max="14603" width="12.81640625" style="141" customWidth="1"/>
    <col min="14604" max="14604" width="8.81640625" style="141" customWidth="1"/>
    <col min="14605" max="14605" width="14" style="141" bestFit="1" customWidth="1"/>
    <col min="14606" max="14606" width="12.81640625" style="141" customWidth="1"/>
    <col min="14607" max="14607" width="8.81640625" style="141" customWidth="1"/>
    <col min="14608" max="14609" width="12.81640625" style="141" customWidth="1"/>
    <col min="14610" max="14610" width="8.81640625" style="141" customWidth="1"/>
    <col min="14611" max="14611" width="5.1796875" style="141" customWidth="1"/>
    <col min="14612" max="14612" width="4.54296875" style="141" customWidth="1"/>
    <col min="14613" max="14817" width="9.1796875" style="141"/>
    <col min="14818" max="14818" width="12.81640625" style="141" customWidth="1"/>
    <col min="14819" max="14819" width="1" style="141" customWidth="1"/>
    <col min="14820" max="14821" width="12.81640625" style="141" customWidth="1"/>
    <col min="14822" max="14822" width="8.81640625" style="141" customWidth="1"/>
    <col min="14823" max="14824" width="12.81640625" style="141" customWidth="1"/>
    <col min="14825" max="14825" width="8.81640625" style="141" customWidth="1"/>
    <col min="14826" max="14827" width="12.81640625" style="141" customWidth="1"/>
    <col min="14828" max="14828" width="8.81640625" style="141" customWidth="1"/>
    <col min="14829" max="14830" width="12.81640625" style="141" customWidth="1"/>
    <col min="14831" max="14831" width="8.81640625" style="141" customWidth="1"/>
    <col min="14832" max="14833" width="12.81640625" style="141" customWidth="1"/>
    <col min="14834" max="14834" width="8.81640625" style="141" customWidth="1"/>
    <col min="14835" max="14836" width="12.81640625" style="141" customWidth="1"/>
    <col min="14837" max="14837" width="8.81640625" style="141" customWidth="1"/>
    <col min="14838" max="14839" width="12.81640625" style="141" customWidth="1"/>
    <col min="14840" max="14840" width="8.81640625" style="141" customWidth="1"/>
    <col min="14841" max="14841" width="3.81640625" style="141" customWidth="1"/>
    <col min="14842" max="14842" width="3.1796875" style="141" customWidth="1"/>
    <col min="14843" max="14843" width="9.1796875" style="141"/>
    <col min="14844" max="14844" width="12.1796875" style="141" customWidth="1"/>
    <col min="14845" max="14845" width="1.1796875" style="141" customWidth="1"/>
    <col min="14846" max="14847" width="12.81640625" style="141" customWidth="1"/>
    <col min="14848" max="14848" width="8.81640625" style="141" customWidth="1"/>
    <col min="14849" max="14850" width="12.81640625" style="141" customWidth="1"/>
    <col min="14851" max="14851" width="8.81640625" style="141" customWidth="1"/>
    <col min="14852" max="14853" width="12.81640625" style="141" customWidth="1"/>
    <col min="14854" max="14854" width="8.81640625" style="141" customWidth="1"/>
    <col min="14855" max="14856" width="12.81640625" style="141" customWidth="1"/>
    <col min="14857" max="14857" width="8.81640625" style="141" customWidth="1"/>
    <col min="14858" max="14859" width="12.81640625" style="141" customWidth="1"/>
    <col min="14860" max="14860" width="8.81640625" style="141" customWidth="1"/>
    <col min="14861" max="14861" width="14" style="141" bestFit="1" customWidth="1"/>
    <col min="14862" max="14862" width="12.81640625" style="141" customWidth="1"/>
    <col min="14863" max="14863" width="8.81640625" style="141" customWidth="1"/>
    <col min="14864" max="14865" width="12.81640625" style="141" customWidth="1"/>
    <col min="14866" max="14866" width="8.81640625" style="141" customWidth="1"/>
    <col min="14867" max="14867" width="5.1796875" style="141" customWidth="1"/>
    <col min="14868" max="14868" width="4.54296875" style="141" customWidth="1"/>
    <col min="14869" max="15073" width="9.1796875" style="141"/>
    <col min="15074" max="15074" width="12.81640625" style="141" customWidth="1"/>
    <col min="15075" max="15075" width="1" style="141" customWidth="1"/>
    <col min="15076" max="15077" width="12.81640625" style="141" customWidth="1"/>
    <col min="15078" max="15078" width="8.81640625" style="141" customWidth="1"/>
    <col min="15079" max="15080" width="12.81640625" style="141" customWidth="1"/>
    <col min="15081" max="15081" width="8.81640625" style="141" customWidth="1"/>
    <col min="15082" max="15083" width="12.81640625" style="141" customWidth="1"/>
    <col min="15084" max="15084" width="8.81640625" style="141" customWidth="1"/>
    <col min="15085" max="15086" width="12.81640625" style="141" customWidth="1"/>
    <col min="15087" max="15087" width="8.81640625" style="141" customWidth="1"/>
    <col min="15088" max="15089" width="12.81640625" style="141" customWidth="1"/>
    <col min="15090" max="15090" width="8.81640625" style="141" customWidth="1"/>
    <col min="15091" max="15092" width="12.81640625" style="141" customWidth="1"/>
    <col min="15093" max="15093" width="8.81640625" style="141" customWidth="1"/>
    <col min="15094" max="15095" width="12.81640625" style="141" customWidth="1"/>
    <col min="15096" max="15096" width="8.81640625" style="141" customWidth="1"/>
    <col min="15097" max="15097" width="3.81640625" style="141" customWidth="1"/>
    <col min="15098" max="15098" width="3.1796875" style="141" customWidth="1"/>
    <col min="15099" max="15099" width="9.1796875" style="141"/>
    <col min="15100" max="15100" width="12.1796875" style="141" customWidth="1"/>
    <col min="15101" max="15101" width="1.1796875" style="141" customWidth="1"/>
    <col min="15102" max="15103" width="12.81640625" style="141" customWidth="1"/>
    <col min="15104" max="15104" width="8.81640625" style="141" customWidth="1"/>
    <col min="15105" max="15106" width="12.81640625" style="141" customWidth="1"/>
    <col min="15107" max="15107" width="8.81640625" style="141" customWidth="1"/>
    <col min="15108" max="15109" width="12.81640625" style="141" customWidth="1"/>
    <col min="15110" max="15110" width="8.81640625" style="141" customWidth="1"/>
    <col min="15111" max="15112" width="12.81640625" style="141" customWidth="1"/>
    <col min="15113" max="15113" width="8.81640625" style="141" customWidth="1"/>
    <col min="15114" max="15115" width="12.81640625" style="141" customWidth="1"/>
    <col min="15116" max="15116" width="8.81640625" style="141" customWidth="1"/>
    <col min="15117" max="15117" width="14" style="141" bestFit="1" customWidth="1"/>
    <col min="15118" max="15118" width="12.81640625" style="141" customWidth="1"/>
    <col min="15119" max="15119" width="8.81640625" style="141" customWidth="1"/>
    <col min="15120" max="15121" width="12.81640625" style="141" customWidth="1"/>
    <col min="15122" max="15122" width="8.81640625" style="141" customWidth="1"/>
    <col min="15123" max="15123" width="5.1796875" style="141" customWidth="1"/>
    <col min="15124" max="15124" width="4.54296875" style="141" customWidth="1"/>
    <col min="15125" max="15329" width="9.1796875" style="141"/>
    <col min="15330" max="15330" width="12.81640625" style="141" customWidth="1"/>
    <col min="15331" max="15331" width="1" style="141" customWidth="1"/>
    <col min="15332" max="15333" width="12.81640625" style="141" customWidth="1"/>
    <col min="15334" max="15334" width="8.81640625" style="141" customWidth="1"/>
    <col min="15335" max="15336" width="12.81640625" style="141" customWidth="1"/>
    <col min="15337" max="15337" width="8.81640625" style="141" customWidth="1"/>
    <col min="15338" max="15339" width="12.81640625" style="141" customWidth="1"/>
    <col min="15340" max="15340" width="8.81640625" style="141" customWidth="1"/>
    <col min="15341" max="15342" width="12.81640625" style="141" customWidth="1"/>
    <col min="15343" max="15343" width="8.81640625" style="141" customWidth="1"/>
    <col min="15344" max="15345" width="12.81640625" style="141" customWidth="1"/>
    <col min="15346" max="15346" width="8.81640625" style="141" customWidth="1"/>
    <col min="15347" max="15348" width="12.81640625" style="141" customWidth="1"/>
    <col min="15349" max="15349" width="8.81640625" style="141" customWidth="1"/>
    <col min="15350" max="15351" width="12.81640625" style="141" customWidth="1"/>
    <col min="15352" max="15352" width="8.81640625" style="141" customWidth="1"/>
    <col min="15353" max="15353" width="3.81640625" style="141" customWidth="1"/>
    <col min="15354" max="15354" width="3.1796875" style="141" customWidth="1"/>
    <col min="15355" max="15355" width="9.1796875" style="141"/>
    <col min="15356" max="15356" width="12.1796875" style="141" customWidth="1"/>
    <col min="15357" max="15357" width="1.1796875" style="141" customWidth="1"/>
    <col min="15358" max="15359" width="12.81640625" style="141" customWidth="1"/>
    <col min="15360" max="15360" width="8.81640625" style="141" customWidth="1"/>
    <col min="15361" max="15362" width="12.81640625" style="141" customWidth="1"/>
    <col min="15363" max="15363" width="8.81640625" style="141" customWidth="1"/>
    <col min="15364" max="15365" width="12.81640625" style="141" customWidth="1"/>
    <col min="15366" max="15366" width="8.81640625" style="141" customWidth="1"/>
    <col min="15367" max="15368" width="12.81640625" style="141" customWidth="1"/>
    <col min="15369" max="15369" width="8.81640625" style="141" customWidth="1"/>
    <col min="15370" max="15371" width="12.81640625" style="141" customWidth="1"/>
    <col min="15372" max="15372" width="8.81640625" style="141" customWidth="1"/>
    <col min="15373" max="15373" width="14" style="141" bestFit="1" customWidth="1"/>
    <col min="15374" max="15374" width="12.81640625" style="141" customWidth="1"/>
    <col min="15375" max="15375" width="8.81640625" style="141" customWidth="1"/>
    <col min="15376" max="15377" width="12.81640625" style="141" customWidth="1"/>
    <col min="15378" max="15378" width="8.81640625" style="141" customWidth="1"/>
    <col min="15379" max="15379" width="5.1796875" style="141" customWidth="1"/>
    <col min="15380" max="15380" width="4.54296875" style="141" customWidth="1"/>
    <col min="15381" max="15585" width="9.1796875" style="141"/>
    <col min="15586" max="15586" width="12.81640625" style="141" customWidth="1"/>
    <col min="15587" max="15587" width="1" style="141" customWidth="1"/>
    <col min="15588" max="15589" width="12.81640625" style="141" customWidth="1"/>
    <col min="15590" max="15590" width="8.81640625" style="141" customWidth="1"/>
    <col min="15591" max="15592" width="12.81640625" style="141" customWidth="1"/>
    <col min="15593" max="15593" width="8.81640625" style="141" customWidth="1"/>
    <col min="15594" max="15595" width="12.81640625" style="141" customWidth="1"/>
    <col min="15596" max="15596" width="8.81640625" style="141" customWidth="1"/>
    <col min="15597" max="15598" width="12.81640625" style="141" customWidth="1"/>
    <col min="15599" max="15599" width="8.81640625" style="141" customWidth="1"/>
    <col min="15600" max="15601" width="12.81640625" style="141" customWidth="1"/>
    <col min="15602" max="15602" width="8.81640625" style="141" customWidth="1"/>
    <col min="15603" max="15604" width="12.81640625" style="141" customWidth="1"/>
    <col min="15605" max="15605" width="8.81640625" style="141" customWidth="1"/>
    <col min="15606" max="15607" width="12.81640625" style="141" customWidth="1"/>
    <col min="15608" max="15608" width="8.81640625" style="141" customWidth="1"/>
    <col min="15609" max="15609" width="3.81640625" style="141" customWidth="1"/>
    <col min="15610" max="15610" width="3.1796875" style="141" customWidth="1"/>
    <col min="15611" max="15611" width="9.1796875" style="141"/>
    <col min="15612" max="15612" width="12.1796875" style="141" customWidth="1"/>
    <col min="15613" max="15613" width="1.1796875" style="141" customWidth="1"/>
    <col min="15614" max="15615" width="12.81640625" style="141" customWidth="1"/>
    <col min="15616" max="15616" width="8.81640625" style="141" customWidth="1"/>
    <col min="15617" max="15618" width="12.81640625" style="141" customWidth="1"/>
    <col min="15619" max="15619" width="8.81640625" style="141" customWidth="1"/>
    <col min="15620" max="15621" width="12.81640625" style="141" customWidth="1"/>
    <col min="15622" max="15622" width="8.81640625" style="141" customWidth="1"/>
    <col min="15623" max="15624" width="12.81640625" style="141" customWidth="1"/>
    <col min="15625" max="15625" width="8.81640625" style="141" customWidth="1"/>
    <col min="15626" max="15627" width="12.81640625" style="141" customWidth="1"/>
    <col min="15628" max="15628" width="8.81640625" style="141" customWidth="1"/>
    <col min="15629" max="15629" width="14" style="141" bestFit="1" customWidth="1"/>
    <col min="15630" max="15630" width="12.81640625" style="141" customWidth="1"/>
    <col min="15631" max="15631" width="8.81640625" style="141" customWidth="1"/>
    <col min="15632" max="15633" width="12.81640625" style="141" customWidth="1"/>
    <col min="15634" max="15634" width="8.81640625" style="141" customWidth="1"/>
    <col min="15635" max="15635" width="5.1796875" style="141" customWidth="1"/>
    <col min="15636" max="15636" width="4.54296875" style="141" customWidth="1"/>
    <col min="15637" max="15841" width="9.1796875" style="141"/>
    <col min="15842" max="15842" width="12.81640625" style="141" customWidth="1"/>
    <col min="15843" max="15843" width="1" style="141" customWidth="1"/>
    <col min="15844" max="15845" width="12.81640625" style="141" customWidth="1"/>
    <col min="15846" max="15846" width="8.81640625" style="141" customWidth="1"/>
    <col min="15847" max="15848" width="12.81640625" style="141" customWidth="1"/>
    <col min="15849" max="15849" width="8.81640625" style="141" customWidth="1"/>
    <col min="15850" max="15851" width="12.81640625" style="141" customWidth="1"/>
    <col min="15852" max="15852" width="8.81640625" style="141" customWidth="1"/>
    <col min="15853" max="15854" width="12.81640625" style="141" customWidth="1"/>
    <col min="15855" max="15855" width="8.81640625" style="141" customWidth="1"/>
    <col min="15856" max="15857" width="12.81640625" style="141" customWidth="1"/>
    <col min="15858" max="15858" width="8.81640625" style="141" customWidth="1"/>
    <col min="15859" max="15860" width="12.81640625" style="141" customWidth="1"/>
    <col min="15861" max="15861" width="8.81640625" style="141" customWidth="1"/>
    <col min="15862" max="15863" width="12.81640625" style="141" customWidth="1"/>
    <col min="15864" max="15864" width="8.81640625" style="141" customWidth="1"/>
    <col min="15865" max="15865" width="3.81640625" style="141" customWidth="1"/>
    <col min="15866" max="15866" width="3.1796875" style="141" customWidth="1"/>
    <col min="15867" max="15867" width="9.1796875" style="141"/>
    <col min="15868" max="15868" width="12.1796875" style="141" customWidth="1"/>
    <col min="15869" max="15869" width="1.1796875" style="141" customWidth="1"/>
    <col min="15870" max="15871" width="12.81640625" style="141" customWidth="1"/>
    <col min="15872" max="15872" width="8.81640625" style="141" customWidth="1"/>
    <col min="15873" max="15874" width="12.81640625" style="141" customWidth="1"/>
    <col min="15875" max="15875" width="8.81640625" style="141" customWidth="1"/>
    <col min="15876" max="15877" width="12.81640625" style="141" customWidth="1"/>
    <col min="15878" max="15878" width="8.81640625" style="141" customWidth="1"/>
    <col min="15879" max="15880" width="12.81640625" style="141" customWidth="1"/>
    <col min="15881" max="15881" width="8.81640625" style="141" customWidth="1"/>
    <col min="15882" max="15883" width="12.81640625" style="141" customWidth="1"/>
    <col min="15884" max="15884" width="8.81640625" style="141" customWidth="1"/>
    <col min="15885" max="15885" width="14" style="141" bestFit="1" customWidth="1"/>
    <col min="15886" max="15886" width="12.81640625" style="141" customWidth="1"/>
    <col min="15887" max="15887" width="8.81640625" style="141" customWidth="1"/>
    <col min="15888" max="15889" width="12.81640625" style="141" customWidth="1"/>
    <col min="15890" max="15890" width="8.81640625" style="141" customWidth="1"/>
    <col min="15891" max="15891" width="5.1796875" style="141" customWidth="1"/>
    <col min="15892" max="15892" width="4.54296875" style="141" customWidth="1"/>
    <col min="15893" max="16097" width="9.1796875" style="141"/>
    <col min="16098" max="16098" width="12.81640625" style="141" customWidth="1"/>
    <col min="16099" max="16099" width="1" style="141" customWidth="1"/>
    <col min="16100" max="16101" width="12.81640625" style="141" customWidth="1"/>
    <col min="16102" max="16102" width="8.81640625" style="141" customWidth="1"/>
    <col min="16103" max="16104" width="12.81640625" style="141" customWidth="1"/>
    <col min="16105" max="16105" width="8.81640625" style="141" customWidth="1"/>
    <col min="16106" max="16107" width="12.81640625" style="141" customWidth="1"/>
    <col min="16108" max="16108" width="8.81640625" style="141" customWidth="1"/>
    <col min="16109" max="16110" width="12.81640625" style="141" customWidth="1"/>
    <col min="16111" max="16111" width="8.81640625" style="141" customWidth="1"/>
    <col min="16112" max="16113" width="12.81640625" style="141" customWidth="1"/>
    <col min="16114" max="16114" width="8.81640625" style="141" customWidth="1"/>
    <col min="16115" max="16116" width="12.81640625" style="141" customWidth="1"/>
    <col min="16117" max="16117" width="8.81640625" style="141" customWidth="1"/>
    <col min="16118" max="16119" width="12.81640625" style="141" customWidth="1"/>
    <col min="16120" max="16120" width="8.81640625" style="141" customWidth="1"/>
    <col min="16121" max="16121" width="3.81640625" style="141" customWidth="1"/>
    <col min="16122" max="16122" width="3.1796875" style="141" customWidth="1"/>
    <col min="16123" max="16123" width="9.1796875" style="141"/>
    <col min="16124" max="16124" width="12.1796875" style="141" customWidth="1"/>
    <col min="16125" max="16125" width="1.1796875" style="141" customWidth="1"/>
    <col min="16126" max="16127" width="12.81640625" style="141" customWidth="1"/>
    <col min="16128" max="16128" width="8.81640625" style="141" customWidth="1"/>
    <col min="16129" max="16130" width="12.81640625" style="141" customWidth="1"/>
    <col min="16131" max="16131" width="8.81640625" style="141" customWidth="1"/>
    <col min="16132" max="16133" width="12.81640625" style="141" customWidth="1"/>
    <col min="16134" max="16134" width="8.81640625" style="141" customWidth="1"/>
    <col min="16135" max="16136" width="12.81640625" style="141" customWidth="1"/>
    <col min="16137" max="16137" width="8.81640625" style="141" customWidth="1"/>
    <col min="16138" max="16139" width="12.81640625" style="141" customWidth="1"/>
    <col min="16140" max="16140" width="8.81640625" style="141" customWidth="1"/>
    <col min="16141" max="16141" width="14" style="141" bestFit="1" customWidth="1"/>
    <col min="16142" max="16142" width="12.81640625" style="141" customWidth="1"/>
    <col min="16143" max="16143" width="8.81640625" style="141" customWidth="1"/>
    <col min="16144" max="16145" width="12.81640625" style="141" customWidth="1"/>
    <col min="16146" max="16146" width="8.81640625" style="141" customWidth="1"/>
    <col min="16147" max="16147" width="5.1796875" style="141" customWidth="1"/>
    <col min="16148" max="16148" width="4.54296875" style="141" customWidth="1"/>
    <col min="16149" max="16384" width="9.1796875" style="141"/>
  </cols>
  <sheetData>
    <row r="1" spans="1:66" s="85" customFormat="1" ht="24.9" customHeight="1" thickBot="1" x14ac:dyDescent="0.4"/>
    <row r="2" spans="1:66" s="90" customFormat="1" ht="54" customHeight="1" thickBot="1" x14ac:dyDescent="0.4">
      <c r="A2" s="86"/>
      <c r="B2" s="87"/>
      <c r="C2" s="190" t="s">
        <v>78</v>
      </c>
      <c r="D2" s="191"/>
      <c r="E2" s="191"/>
      <c r="F2" s="191"/>
      <c r="G2" s="191"/>
      <c r="H2" s="192"/>
      <c r="I2" s="88"/>
      <c r="J2" s="88"/>
      <c r="K2" s="86"/>
      <c r="L2" s="87"/>
      <c r="M2" s="190" t="s">
        <v>78</v>
      </c>
      <c r="N2" s="191"/>
      <c r="O2" s="191"/>
      <c r="P2" s="191"/>
      <c r="Q2" s="191"/>
      <c r="R2" s="192"/>
      <c r="S2" s="88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</row>
    <row r="3" spans="1:66" s="97" customFormat="1" ht="35.25" customHeight="1" thickBot="1" x14ac:dyDescent="0.4">
      <c r="A3" s="91" t="s">
        <v>51</v>
      </c>
      <c r="B3" s="92"/>
      <c r="C3" s="93" t="s">
        <v>52</v>
      </c>
      <c r="D3" s="93" t="s">
        <v>53</v>
      </c>
      <c r="E3" s="93" t="s">
        <v>3</v>
      </c>
      <c r="F3" s="93" t="s">
        <v>4</v>
      </c>
      <c r="G3" s="94" t="s">
        <v>1</v>
      </c>
      <c r="H3" s="94" t="s">
        <v>2</v>
      </c>
      <c r="I3" s="95"/>
      <c r="J3" s="95"/>
      <c r="K3" s="91" t="s">
        <v>51</v>
      </c>
      <c r="L3" s="92"/>
      <c r="M3" s="93" t="s">
        <v>52</v>
      </c>
      <c r="N3" s="93" t="s">
        <v>53</v>
      </c>
      <c r="O3" s="93" t="s">
        <v>54</v>
      </c>
      <c r="P3" s="93" t="s">
        <v>56</v>
      </c>
      <c r="Q3" s="94" t="s">
        <v>55</v>
      </c>
      <c r="R3" s="94" t="s">
        <v>57</v>
      </c>
      <c r="S3" s="95"/>
      <c r="T3" s="95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</row>
    <row r="4" spans="1:66" s="107" customFormat="1" ht="14.25" customHeight="1" x14ac:dyDescent="0.35">
      <c r="A4" s="98">
        <v>44920</v>
      </c>
      <c r="B4" s="99"/>
      <c r="C4" s="100"/>
      <c r="D4" s="100"/>
      <c r="E4" s="101"/>
      <c r="F4" s="101"/>
      <c r="G4" s="102"/>
      <c r="H4" s="102"/>
      <c r="I4" s="103"/>
      <c r="J4" s="103"/>
      <c r="K4" s="98">
        <f t="shared" ref="K4:K34" si="0">A4</f>
        <v>44920</v>
      </c>
      <c r="L4" s="99"/>
      <c r="M4" s="100"/>
      <c r="N4" s="100"/>
      <c r="O4" s="105"/>
      <c r="P4" s="105"/>
      <c r="Q4" s="106"/>
      <c r="R4" s="106"/>
      <c r="S4" s="103"/>
      <c r="T4" s="10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</row>
    <row r="5" spans="1:66" s="107" customFormat="1" ht="14.25" customHeight="1" x14ac:dyDescent="0.35">
      <c r="A5" s="108">
        <v>44921</v>
      </c>
      <c r="B5" s="99"/>
      <c r="C5" s="100"/>
      <c r="D5" s="100"/>
      <c r="E5" s="101"/>
      <c r="F5" s="101"/>
      <c r="G5" s="102"/>
      <c r="H5" s="102"/>
      <c r="I5" s="103"/>
      <c r="J5" s="103"/>
      <c r="K5" s="108">
        <f t="shared" si="0"/>
        <v>44921</v>
      </c>
      <c r="L5" s="99"/>
      <c r="M5" s="100"/>
      <c r="N5" s="100"/>
      <c r="O5" s="105"/>
      <c r="P5" s="105"/>
      <c r="Q5" s="106"/>
      <c r="R5" s="106"/>
      <c r="S5" s="103"/>
      <c r="T5" s="103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</row>
    <row r="6" spans="1:66" s="107" customFormat="1" ht="14.25" customHeight="1" x14ac:dyDescent="0.35">
      <c r="A6" s="108">
        <v>44922</v>
      </c>
      <c r="B6" s="99"/>
      <c r="C6" s="100"/>
      <c r="D6" s="100"/>
      <c r="E6" s="101"/>
      <c r="F6" s="101"/>
      <c r="G6" s="102"/>
      <c r="H6" s="102"/>
      <c r="I6" s="103"/>
      <c r="J6" s="103"/>
      <c r="K6" s="108">
        <f t="shared" si="0"/>
        <v>44922</v>
      </c>
      <c r="L6" s="99"/>
      <c r="M6" s="100"/>
      <c r="N6" s="100"/>
      <c r="O6" s="105"/>
      <c r="P6" s="105"/>
      <c r="Q6" s="106"/>
      <c r="R6" s="106"/>
      <c r="S6" s="103"/>
      <c r="T6" s="10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</row>
    <row r="7" spans="1:66" s="107" customFormat="1" ht="14.25" customHeight="1" x14ac:dyDescent="0.35">
      <c r="A7" s="108">
        <v>44923</v>
      </c>
      <c r="B7" s="99"/>
      <c r="C7" s="100"/>
      <c r="D7" s="100"/>
      <c r="E7" s="101"/>
      <c r="F7" s="101"/>
      <c r="G7" s="102"/>
      <c r="H7" s="102"/>
      <c r="I7" s="103"/>
      <c r="J7" s="103"/>
      <c r="K7" s="108">
        <f t="shared" si="0"/>
        <v>44923</v>
      </c>
      <c r="L7" s="99"/>
      <c r="M7" s="100"/>
      <c r="N7" s="100"/>
      <c r="O7" s="105"/>
      <c r="P7" s="105"/>
      <c r="Q7" s="106"/>
      <c r="R7" s="106"/>
      <c r="S7" s="103"/>
      <c r="T7" s="103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</row>
    <row r="8" spans="1:66" s="107" customFormat="1" ht="14.25" customHeight="1" x14ac:dyDescent="0.35">
      <c r="A8" s="108">
        <v>44924</v>
      </c>
      <c r="B8" s="99"/>
      <c r="C8" s="100"/>
      <c r="D8" s="100"/>
      <c r="E8" s="101"/>
      <c r="F8" s="101"/>
      <c r="G8" s="102"/>
      <c r="H8" s="102"/>
      <c r="I8" s="103"/>
      <c r="J8" s="103"/>
      <c r="K8" s="108">
        <f t="shared" si="0"/>
        <v>44924</v>
      </c>
      <c r="L8" s="99"/>
      <c r="M8" s="100"/>
      <c r="N8" s="100"/>
      <c r="O8" s="105"/>
      <c r="P8" s="105"/>
      <c r="Q8" s="106"/>
      <c r="R8" s="106"/>
      <c r="S8" s="103"/>
      <c r="T8" s="10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</row>
    <row r="9" spans="1:66" s="107" customFormat="1" ht="14.25" customHeight="1" x14ac:dyDescent="0.35">
      <c r="A9" s="108">
        <v>44925</v>
      </c>
      <c r="B9" s="99"/>
      <c r="C9" s="100"/>
      <c r="D9" s="100"/>
      <c r="E9" s="101"/>
      <c r="F9" s="101"/>
      <c r="G9" s="102"/>
      <c r="H9" s="102"/>
      <c r="I9" s="103"/>
      <c r="J9" s="103"/>
      <c r="K9" s="108">
        <f t="shared" si="0"/>
        <v>44925</v>
      </c>
      <c r="L9" s="99"/>
      <c r="M9" s="100"/>
      <c r="N9" s="100"/>
      <c r="O9" s="105"/>
      <c r="P9" s="105"/>
      <c r="Q9" s="106"/>
      <c r="R9" s="106"/>
      <c r="S9" s="103"/>
      <c r="T9" s="103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</row>
    <row r="10" spans="1:66" s="107" customFormat="1" ht="14.25" customHeight="1" x14ac:dyDescent="0.35">
      <c r="A10" s="108">
        <v>44926</v>
      </c>
      <c r="B10" s="99"/>
      <c r="C10" s="100"/>
      <c r="D10" s="100"/>
      <c r="E10" s="101"/>
      <c r="F10" s="101"/>
      <c r="G10" s="102"/>
      <c r="H10" s="102"/>
      <c r="I10" s="103"/>
      <c r="J10" s="103"/>
      <c r="K10" s="108">
        <f t="shared" si="0"/>
        <v>44926</v>
      </c>
      <c r="L10" s="99"/>
      <c r="M10" s="100"/>
      <c r="N10" s="100"/>
      <c r="O10" s="105"/>
      <c r="P10" s="105"/>
      <c r="Q10" s="106"/>
      <c r="R10" s="106"/>
      <c r="S10" s="103"/>
      <c r="T10" s="10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</row>
    <row r="11" spans="1:66" s="107" customFormat="1" ht="14.25" customHeight="1" x14ac:dyDescent="0.35">
      <c r="A11" s="108">
        <v>44927</v>
      </c>
      <c r="B11" s="99"/>
      <c r="C11" s="100"/>
      <c r="D11" s="100"/>
      <c r="E11" s="101"/>
      <c r="F11" s="101"/>
      <c r="G11" s="102"/>
      <c r="H11" s="102"/>
      <c r="I11" s="103"/>
      <c r="J11" s="103"/>
      <c r="K11" s="108">
        <f t="shared" si="0"/>
        <v>44927</v>
      </c>
      <c r="L11" s="99"/>
      <c r="M11" s="100"/>
      <c r="N11" s="100"/>
      <c r="O11" s="105"/>
      <c r="P11" s="105"/>
      <c r="Q11" s="106"/>
      <c r="R11" s="106"/>
      <c r="S11" s="103"/>
      <c r="T11" s="103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</row>
    <row r="12" spans="1:66" s="107" customFormat="1" ht="14.25" customHeight="1" x14ac:dyDescent="0.35">
      <c r="A12" s="108">
        <v>44928</v>
      </c>
      <c r="B12" s="99"/>
      <c r="C12" s="100"/>
      <c r="D12" s="100"/>
      <c r="E12" s="101"/>
      <c r="F12" s="101"/>
      <c r="G12" s="102"/>
      <c r="H12" s="102"/>
      <c r="I12" s="103"/>
      <c r="J12" s="103"/>
      <c r="K12" s="108">
        <f t="shared" si="0"/>
        <v>44928</v>
      </c>
      <c r="L12" s="99"/>
      <c r="M12" s="100"/>
      <c r="N12" s="100"/>
      <c r="O12" s="105"/>
      <c r="P12" s="105"/>
      <c r="Q12" s="106"/>
      <c r="R12" s="106"/>
      <c r="S12" s="103"/>
      <c r="T12" s="10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</row>
    <row r="13" spans="1:66" s="107" customFormat="1" ht="14.25" customHeight="1" x14ac:dyDescent="0.35">
      <c r="A13" s="108">
        <v>44929</v>
      </c>
      <c r="B13" s="99"/>
      <c r="C13" s="100"/>
      <c r="D13" s="100"/>
      <c r="E13" s="101"/>
      <c r="F13" s="101"/>
      <c r="G13" s="102"/>
      <c r="H13" s="102"/>
      <c r="I13" s="103"/>
      <c r="J13" s="103"/>
      <c r="K13" s="108">
        <f t="shared" si="0"/>
        <v>44929</v>
      </c>
      <c r="L13" s="99"/>
      <c r="M13" s="100"/>
      <c r="N13" s="100"/>
      <c r="O13" s="105"/>
      <c r="P13" s="105"/>
      <c r="Q13" s="106"/>
      <c r="R13" s="106"/>
      <c r="S13" s="103"/>
      <c r="T13" s="103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</row>
    <row r="14" spans="1:66" s="107" customFormat="1" ht="14.25" customHeight="1" x14ac:dyDescent="0.35">
      <c r="A14" s="108">
        <v>44930</v>
      </c>
      <c r="B14" s="99"/>
      <c r="C14" s="100"/>
      <c r="D14" s="100"/>
      <c r="E14" s="101"/>
      <c r="F14" s="101"/>
      <c r="G14" s="102"/>
      <c r="H14" s="102"/>
      <c r="I14" s="103"/>
      <c r="J14" s="103"/>
      <c r="K14" s="108">
        <f t="shared" si="0"/>
        <v>44930</v>
      </c>
      <c r="L14" s="99"/>
      <c r="M14" s="100"/>
      <c r="N14" s="100"/>
      <c r="O14" s="105"/>
      <c r="P14" s="105"/>
      <c r="Q14" s="106"/>
      <c r="R14" s="106"/>
      <c r="S14" s="103"/>
      <c r="T14" s="10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</row>
    <row r="15" spans="1:66" s="107" customFormat="1" ht="14.25" customHeight="1" x14ac:dyDescent="0.35">
      <c r="A15" s="108">
        <v>44931</v>
      </c>
      <c r="B15" s="99"/>
      <c r="C15" s="100"/>
      <c r="D15" s="100"/>
      <c r="E15" s="101"/>
      <c r="F15" s="101"/>
      <c r="G15" s="102"/>
      <c r="H15" s="102"/>
      <c r="I15" s="103"/>
      <c r="J15" s="103"/>
      <c r="K15" s="108">
        <f t="shared" si="0"/>
        <v>44931</v>
      </c>
      <c r="L15" s="99"/>
      <c r="M15" s="100"/>
      <c r="N15" s="100"/>
      <c r="O15" s="105"/>
      <c r="P15" s="105"/>
      <c r="Q15" s="106"/>
      <c r="R15" s="106"/>
      <c r="S15" s="103"/>
      <c r="T15" s="103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</row>
    <row r="16" spans="1:66" s="107" customFormat="1" ht="14.25" customHeight="1" x14ac:dyDescent="0.35">
      <c r="A16" s="108">
        <v>44932</v>
      </c>
      <c r="B16" s="99"/>
      <c r="C16" s="100"/>
      <c r="D16" s="100"/>
      <c r="E16" s="101"/>
      <c r="F16" s="101"/>
      <c r="G16" s="102"/>
      <c r="H16" s="102"/>
      <c r="I16" s="103"/>
      <c r="J16" s="103"/>
      <c r="K16" s="108">
        <f t="shared" si="0"/>
        <v>44932</v>
      </c>
      <c r="L16" s="99"/>
      <c r="M16" s="100"/>
      <c r="N16" s="100"/>
      <c r="O16" s="105"/>
      <c r="P16" s="105"/>
      <c r="Q16" s="106"/>
      <c r="R16" s="106"/>
      <c r="S16" s="103"/>
      <c r="T16" s="10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</row>
    <row r="17" spans="1:66" s="107" customFormat="1" ht="14.25" customHeight="1" x14ac:dyDescent="0.35">
      <c r="A17" s="108">
        <v>44933</v>
      </c>
      <c r="B17" s="99"/>
      <c r="C17" s="100"/>
      <c r="D17" s="100"/>
      <c r="E17" s="101"/>
      <c r="F17" s="101"/>
      <c r="G17" s="102"/>
      <c r="H17" s="102"/>
      <c r="I17" s="103"/>
      <c r="J17" s="103"/>
      <c r="K17" s="108">
        <f t="shared" si="0"/>
        <v>44933</v>
      </c>
      <c r="L17" s="99"/>
      <c r="M17" s="100"/>
      <c r="N17" s="100"/>
      <c r="O17" s="105"/>
      <c r="P17" s="105"/>
      <c r="Q17" s="106"/>
      <c r="R17" s="106"/>
      <c r="S17" s="103"/>
      <c r="T17" s="103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</row>
    <row r="18" spans="1:66" s="107" customFormat="1" ht="14.25" customHeight="1" x14ac:dyDescent="0.35">
      <c r="A18" s="108">
        <v>44934</v>
      </c>
      <c r="B18" s="99"/>
      <c r="C18" s="100"/>
      <c r="D18" s="100"/>
      <c r="E18" s="101"/>
      <c r="F18" s="101"/>
      <c r="G18" s="102"/>
      <c r="H18" s="102"/>
      <c r="I18" s="103"/>
      <c r="J18" s="103"/>
      <c r="K18" s="108">
        <f t="shared" si="0"/>
        <v>44934</v>
      </c>
      <c r="L18" s="99"/>
      <c r="M18" s="100"/>
      <c r="N18" s="100"/>
      <c r="O18" s="105"/>
      <c r="P18" s="105"/>
      <c r="Q18" s="106"/>
      <c r="R18" s="106"/>
      <c r="S18" s="103"/>
      <c r="T18" s="10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</row>
    <row r="19" spans="1:66" s="107" customFormat="1" ht="14.25" customHeight="1" x14ac:dyDescent="0.35">
      <c r="A19" s="108">
        <v>44935</v>
      </c>
      <c r="B19" s="99"/>
      <c r="C19" s="100"/>
      <c r="D19" s="100"/>
      <c r="E19" s="101"/>
      <c r="F19" s="101"/>
      <c r="G19" s="102"/>
      <c r="H19" s="102"/>
      <c r="I19" s="103"/>
      <c r="J19" s="103"/>
      <c r="K19" s="108">
        <f t="shared" si="0"/>
        <v>44935</v>
      </c>
      <c r="L19" s="99"/>
      <c r="M19" s="100"/>
      <c r="N19" s="100"/>
      <c r="O19" s="105"/>
      <c r="P19" s="105"/>
      <c r="Q19" s="106"/>
      <c r="R19" s="106"/>
      <c r="S19" s="103"/>
      <c r="T19" s="103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</row>
    <row r="20" spans="1:66" s="107" customFormat="1" ht="14.25" customHeight="1" x14ac:dyDescent="0.35">
      <c r="A20" s="108">
        <v>44936</v>
      </c>
      <c r="B20" s="99"/>
      <c r="C20" s="100"/>
      <c r="D20" s="100"/>
      <c r="E20" s="101"/>
      <c r="F20" s="101"/>
      <c r="G20" s="102"/>
      <c r="H20" s="102"/>
      <c r="I20" s="103"/>
      <c r="J20" s="103"/>
      <c r="K20" s="108">
        <f t="shared" si="0"/>
        <v>44936</v>
      </c>
      <c r="L20" s="99"/>
      <c r="M20" s="100"/>
      <c r="N20" s="100"/>
      <c r="O20" s="105"/>
      <c r="P20" s="105"/>
      <c r="Q20" s="106"/>
      <c r="R20" s="106"/>
      <c r="S20" s="103"/>
      <c r="T20" s="10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</row>
    <row r="21" spans="1:66" s="107" customFormat="1" ht="14.25" customHeight="1" x14ac:dyDescent="0.35">
      <c r="A21" s="108">
        <v>44937</v>
      </c>
      <c r="B21" s="99"/>
      <c r="C21" s="100"/>
      <c r="D21" s="100"/>
      <c r="E21" s="101"/>
      <c r="F21" s="101"/>
      <c r="G21" s="102"/>
      <c r="H21" s="102"/>
      <c r="I21" s="103"/>
      <c r="J21" s="103"/>
      <c r="K21" s="108">
        <f t="shared" si="0"/>
        <v>44937</v>
      </c>
      <c r="L21" s="99"/>
      <c r="M21" s="100"/>
      <c r="N21" s="100"/>
      <c r="O21" s="105"/>
      <c r="P21" s="105"/>
      <c r="Q21" s="106"/>
      <c r="R21" s="106"/>
      <c r="S21" s="103"/>
      <c r="T21" s="103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</row>
    <row r="22" spans="1:66" s="107" customFormat="1" ht="14.25" customHeight="1" x14ac:dyDescent="0.35">
      <c r="A22" s="108">
        <v>44938</v>
      </c>
      <c r="B22" s="99"/>
      <c r="C22" s="100"/>
      <c r="D22" s="100"/>
      <c r="E22" s="101"/>
      <c r="F22" s="101"/>
      <c r="G22" s="102"/>
      <c r="H22" s="102"/>
      <c r="I22" s="103"/>
      <c r="J22" s="103"/>
      <c r="K22" s="108">
        <f t="shared" si="0"/>
        <v>44938</v>
      </c>
      <c r="L22" s="99"/>
      <c r="M22" s="100"/>
      <c r="N22" s="100"/>
      <c r="O22" s="105"/>
      <c r="P22" s="105"/>
      <c r="Q22" s="106"/>
      <c r="R22" s="106"/>
      <c r="S22" s="103"/>
      <c r="T22" s="10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</row>
    <row r="23" spans="1:66" s="107" customFormat="1" ht="14.25" customHeight="1" x14ac:dyDescent="0.35">
      <c r="A23" s="108">
        <v>44939</v>
      </c>
      <c r="B23" s="99"/>
      <c r="C23" s="100"/>
      <c r="D23" s="100"/>
      <c r="E23" s="101"/>
      <c r="F23" s="101"/>
      <c r="G23" s="102"/>
      <c r="H23" s="102"/>
      <c r="I23" s="103"/>
      <c r="J23" s="103"/>
      <c r="K23" s="108">
        <f t="shared" si="0"/>
        <v>44939</v>
      </c>
      <c r="L23" s="99"/>
      <c r="M23" s="100"/>
      <c r="N23" s="100"/>
      <c r="O23" s="105"/>
      <c r="P23" s="105"/>
      <c r="Q23" s="106"/>
      <c r="R23" s="106"/>
      <c r="S23" s="103"/>
      <c r="T23" s="103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</row>
    <row r="24" spans="1:66" s="107" customFormat="1" ht="14.25" customHeight="1" x14ac:dyDescent="0.35">
      <c r="A24" s="108">
        <v>44940</v>
      </c>
      <c r="B24" s="99"/>
      <c r="C24" s="100"/>
      <c r="D24" s="100"/>
      <c r="E24" s="101"/>
      <c r="F24" s="101"/>
      <c r="G24" s="102"/>
      <c r="H24" s="102"/>
      <c r="I24" s="103"/>
      <c r="J24" s="103"/>
      <c r="K24" s="108">
        <f t="shared" si="0"/>
        <v>44940</v>
      </c>
      <c r="L24" s="99"/>
      <c r="M24" s="100"/>
      <c r="N24" s="100"/>
      <c r="O24" s="105"/>
      <c r="P24" s="105"/>
      <c r="Q24" s="106"/>
      <c r="R24" s="106"/>
      <c r="S24" s="103"/>
      <c r="T24" s="10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</row>
    <row r="25" spans="1:66" s="107" customFormat="1" ht="14.25" customHeight="1" x14ac:dyDescent="0.35">
      <c r="A25" s="108">
        <v>44941</v>
      </c>
      <c r="B25" s="99"/>
      <c r="C25" s="100"/>
      <c r="D25" s="100"/>
      <c r="E25" s="101"/>
      <c r="F25" s="101"/>
      <c r="G25" s="102"/>
      <c r="H25" s="102"/>
      <c r="I25" s="103"/>
      <c r="J25" s="103"/>
      <c r="K25" s="108">
        <f t="shared" si="0"/>
        <v>44941</v>
      </c>
      <c r="L25" s="99"/>
      <c r="M25" s="100"/>
      <c r="N25" s="100"/>
      <c r="O25" s="105"/>
      <c r="P25" s="105"/>
      <c r="Q25" s="106"/>
      <c r="R25" s="106"/>
      <c r="S25" s="103"/>
      <c r="T25" s="103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</row>
    <row r="26" spans="1:66" s="107" customFormat="1" ht="14.25" customHeight="1" x14ac:dyDescent="0.35">
      <c r="A26" s="108">
        <v>44942</v>
      </c>
      <c r="B26" s="99"/>
      <c r="C26" s="100"/>
      <c r="D26" s="100"/>
      <c r="E26" s="101"/>
      <c r="F26" s="101"/>
      <c r="G26" s="102"/>
      <c r="H26" s="102"/>
      <c r="I26" s="103"/>
      <c r="J26" s="103"/>
      <c r="K26" s="108">
        <f t="shared" si="0"/>
        <v>44942</v>
      </c>
      <c r="L26" s="99"/>
      <c r="M26" s="100"/>
      <c r="N26" s="100"/>
      <c r="O26" s="105"/>
      <c r="P26" s="105"/>
      <c r="Q26" s="106"/>
      <c r="R26" s="106"/>
      <c r="S26" s="103"/>
      <c r="T26" s="10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</row>
    <row r="27" spans="1:66" s="107" customFormat="1" ht="14.25" customHeight="1" x14ac:dyDescent="0.35">
      <c r="A27" s="108">
        <v>44943</v>
      </c>
      <c r="B27" s="99"/>
      <c r="C27" s="100"/>
      <c r="D27" s="100"/>
      <c r="E27" s="101"/>
      <c r="F27" s="101"/>
      <c r="G27" s="102"/>
      <c r="H27" s="102"/>
      <c r="I27" s="103"/>
      <c r="J27" s="103"/>
      <c r="K27" s="108">
        <f t="shared" si="0"/>
        <v>44943</v>
      </c>
      <c r="L27" s="99"/>
      <c r="M27" s="100"/>
      <c r="N27" s="100"/>
      <c r="O27" s="105"/>
      <c r="P27" s="105"/>
      <c r="Q27" s="106"/>
      <c r="R27" s="106"/>
      <c r="S27" s="103"/>
      <c r="T27" s="103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</row>
    <row r="28" spans="1:66" s="107" customFormat="1" ht="14.25" customHeight="1" x14ac:dyDescent="0.35">
      <c r="A28" s="108">
        <v>44944</v>
      </c>
      <c r="B28" s="99"/>
      <c r="C28" s="100"/>
      <c r="D28" s="100"/>
      <c r="E28" s="101"/>
      <c r="F28" s="101"/>
      <c r="G28" s="102"/>
      <c r="H28" s="102"/>
      <c r="I28" s="103"/>
      <c r="J28" s="103"/>
      <c r="K28" s="108">
        <f t="shared" si="0"/>
        <v>44944</v>
      </c>
      <c r="L28" s="99"/>
      <c r="M28" s="100"/>
      <c r="N28" s="100"/>
      <c r="O28" s="105"/>
      <c r="P28" s="105"/>
      <c r="Q28" s="106"/>
      <c r="R28" s="106"/>
      <c r="S28" s="103"/>
      <c r="T28" s="10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</row>
    <row r="29" spans="1:66" s="107" customFormat="1" ht="14.25" customHeight="1" x14ac:dyDescent="0.35">
      <c r="A29" s="108">
        <v>44945</v>
      </c>
      <c r="B29" s="99"/>
      <c r="C29" s="100"/>
      <c r="D29" s="100"/>
      <c r="E29" s="101"/>
      <c r="F29" s="101"/>
      <c r="G29" s="102"/>
      <c r="H29" s="102"/>
      <c r="I29" s="103"/>
      <c r="J29" s="103"/>
      <c r="K29" s="108">
        <f t="shared" si="0"/>
        <v>44945</v>
      </c>
      <c r="L29" s="99"/>
      <c r="M29" s="100"/>
      <c r="N29" s="100"/>
      <c r="O29" s="105"/>
      <c r="P29" s="105"/>
      <c r="Q29" s="106"/>
      <c r="R29" s="106"/>
      <c r="S29" s="103"/>
      <c r="T29" s="103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</row>
    <row r="30" spans="1:66" s="107" customFormat="1" ht="14.25" customHeight="1" x14ac:dyDescent="0.35">
      <c r="A30" s="108">
        <v>44946</v>
      </c>
      <c r="B30" s="99"/>
      <c r="C30" s="100"/>
      <c r="D30" s="100"/>
      <c r="E30" s="101"/>
      <c r="F30" s="101"/>
      <c r="G30" s="102"/>
      <c r="H30" s="102"/>
      <c r="I30" s="103"/>
      <c r="J30" s="103"/>
      <c r="K30" s="108">
        <f t="shared" si="0"/>
        <v>44946</v>
      </c>
      <c r="L30" s="99"/>
      <c r="M30" s="100"/>
      <c r="N30" s="100"/>
      <c r="O30" s="105"/>
      <c r="P30" s="105"/>
      <c r="Q30" s="106"/>
      <c r="R30" s="106"/>
      <c r="S30" s="103"/>
      <c r="T30" s="10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</row>
    <row r="31" spans="1:66" s="107" customFormat="1" ht="14.25" customHeight="1" x14ac:dyDescent="0.35">
      <c r="A31" s="108">
        <v>44947</v>
      </c>
      <c r="B31" s="99"/>
      <c r="C31" s="100"/>
      <c r="D31" s="100"/>
      <c r="E31" s="101"/>
      <c r="F31" s="101"/>
      <c r="G31" s="102"/>
      <c r="H31" s="102"/>
      <c r="I31" s="103"/>
      <c r="J31" s="103"/>
      <c r="K31" s="108">
        <f t="shared" si="0"/>
        <v>44947</v>
      </c>
      <c r="L31" s="99"/>
      <c r="M31" s="100"/>
      <c r="N31" s="100"/>
      <c r="O31" s="105"/>
      <c r="P31" s="105"/>
      <c r="Q31" s="106"/>
      <c r="R31" s="106"/>
      <c r="S31" s="103"/>
      <c r="T31" s="103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</row>
    <row r="32" spans="1:66" s="107" customFormat="1" ht="14.25" customHeight="1" x14ac:dyDescent="0.35">
      <c r="A32" s="108">
        <v>44948</v>
      </c>
      <c r="B32" s="99"/>
      <c r="C32" s="100"/>
      <c r="D32" s="100"/>
      <c r="E32" s="101"/>
      <c r="F32" s="101"/>
      <c r="G32" s="102"/>
      <c r="H32" s="102"/>
      <c r="I32" s="103"/>
      <c r="J32" s="103"/>
      <c r="K32" s="108">
        <f t="shared" si="0"/>
        <v>44948</v>
      </c>
      <c r="L32" s="99"/>
      <c r="M32" s="100"/>
      <c r="N32" s="100"/>
      <c r="O32" s="105"/>
      <c r="P32" s="105"/>
      <c r="Q32" s="106"/>
      <c r="R32" s="106"/>
      <c r="S32" s="103"/>
      <c r="T32" s="10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</row>
    <row r="33" spans="1:66" s="107" customFormat="1" ht="14.25" customHeight="1" x14ac:dyDescent="0.35">
      <c r="A33" s="108">
        <v>44949</v>
      </c>
      <c r="B33" s="99"/>
      <c r="C33" s="100"/>
      <c r="D33" s="100"/>
      <c r="E33" s="101"/>
      <c r="F33" s="101"/>
      <c r="G33" s="102"/>
      <c r="H33" s="102"/>
      <c r="I33" s="103"/>
      <c r="J33" s="103"/>
      <c r="K33" s="108">
        <f t="shared" si="0"/>
        <v>44949</v>
      </c>
      <c r="L33" s="99"/>
      <c r="M33" s="100"/>
      <c r="N33" s="100"/>
      <c r="O33" s="105"/>
      <c r="P33" s="105"/>
      <c r="Q33" s="106"/>
      <c r="R33" s="106"/>
      <c r="S33" s="103"/>
      <c r="T33" s="103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</row>
    <row r="34" spans="1:66" s="107" customFormat="1" ht="14.25" customHeight="1" thickBot="1" x14ac:dyDescent="0.4">
      <c r="A34" s="108">
        <v>44950</v>
      </c>
      <c r="B34" s="99"/>
      <c r="C34" s="100"/>
      <c r="D34" s="100"/>
      <c r="E34" s="101"/>
      <c r="F34" s="101"/>
      <c r="G34" s="102"/>
      <c r="H34" s="102"/>
      <c r="I34" s="103"/>
      <c r="J34" s="103"/>
      <c r="K34" s="108">
        <f t="shared" si="0"/>
        <v>44950</v>
      </c>
      <c r="L34" s="99"/>
      <c r="M34" s="100"/>
      <c r="N34" s="100"/>
      <c r="O34" s="105"/>
      <c r="P34" s="105"/>
      <c r="Q34" s="106"/>
      <c r="R34" s="106"/>
      <c r="S34" s="103"/>
      <c r="T34" s="10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</row>
    <row r="35" spans="1:66" s="116" customFormat="1" ht="27.75" customHeight="1" thickBot="1" x14ac:dyDescent="0.4">
      <c r="A35" s="109" t="s">
        <v>58</v>
      </c>
      <c r="B35" s="110"/>
      <c r="C35" s="111">
        <f t="shared" ref="C35:H35" si="1">SUM(C4:C34)</f>
        <v>0</v>
      </c>
      <c r="D35" s="111">
        <f t="shared" si="1"/>
        <v>0</v>
      </c>
      <c r="E35" s="112">
        <f t="shared" si="1"/>
        <v>0</v>
      </c>
      <c r="F35" s="112">
        <f t="shared" si="1"/>
        <v>0</v>
      </c>
      <c r="G35" s="112">
        <f t="shared" si="1"/>
        <v>0</v>
      </c>
      <c r="H35" s="112">
        <f t="shared" si="1"/>
        <v>0</v>
      </c>
      <c r="I35" s="113"/>
      <c r="J35" s="113"/>
      <c r="K35" s="109" t="s">
        <v>59</v>
      </c>
      <c r="L35" s="110"/>
      <c r="M35" s="111">
        <f t="shared" ref="M35:R35" si="2">SUM(M4:M34)</f>
        <v>0</v>
      </c>
      <c r="N35" s="111">
        <f t="shared" si="2"/>
        <v>0</v>
      </c>
      <c r="O35" s="115">
        <f t="shared" si="2"/>
        <v>0</v>
      </c>
      <c r="P35" s="115">
        <f t="shared" si="2"/>
        <v>0</v>
      </c>
      <c r="Q35" s="115">
        <f t="shared" si="2"/>
        <v>0</v>
      </c>
      <c r="R35" s="115">
        <f t="shared" si="2"/>
        <v>0</v>
      </c>
      <c r="S35" s="113"/>
      <c r="T35" s="113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</row>
    <row r="36" spans="1:66" s="116" customFormat="1" ht="27.75" customHeight="1" thickBot="1" x14ac:dyDescent="0.4">
      <c r="A36" s="117" t="s">
        <v>60</v>
      </c>
      <c r="B36" s="110"/>
      <c r="C36" s="118" t="e">
        <f t="shared" ref="C36:H36" si="3">AVERAGE(C4:C34)</f>
        <v>#DIV/0!</v>
      </c>
      <c r="D36" s="118" t="e">
        <f t="shared" si="3"/>
        <v>#DIV/0!</v>
      </c>
      <c r="E36" s="119" t="e">
        <f t="shared" si="3"/>
        <v>#DIV/0!</v>
      </c>
      <c r="F36" s="119" t="e">
        <f t="shared" si="3"/>
        <v>#DIV/0!</v>
      </c>
      <c r="G36" s="119" t="e">
        <f t="shared" si="3"/>
        <v>#DIV/0!</v>
      </c>
      <c r="H36" s="119" t="e">
        <f t="shared" si="3"/>
        <v>#DIV/0!</v>
      </c>
      <c r="I36" s="113"/>
      <c r="J36" s="113"/>
      <c r="K36" s="117" t="s">
        <v>61</v>
      </c>
      <c r="L36" s="110"/>
      <c r="M36" s="118" t="e">
        <f t="shared" ref="M36:R36" si="4">AVERAGE(M4:M34)</f>
        <v>#DIV/0!</v>
      </c>
      <c r="N36" s="118" t="e">
        <f t="shared" si="4"/>
        <v>#DIV/0!</v>
      </c>
      <c r="O36" s="120" t="e">
        <f t="shared" si="4"/>
        <v>#DIV/0!</v>
      </c>
      <c r="P36" s="120" t="e">
        <f t="shared" si="4"/>
        <v>#DIV/0!</v>
      </c>
      <c r="Q36" s="120" t="e">
        <f t="shared" si="4"/>
        <v>#DIV/0!</v>
      </c>
      <c r="R36" s="120" t="e">
        <f t="shared" si="4"/>
        <v>#DIV/0!</v>
      </c>
      <c r="S36" s="113"/>
      <c r="T36" s="113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</row>
    <row r="37" spans="1:66" s="116" customFormat="1" ht="34" customHeight="1" thickBot="1" x14ac:dyDescent="0.4">
      <c r="A37" s="121"/>
      <c r="B37" s="157"/>
      <c r="C37" s="193" t="s">
        <v>62</v>
      </c>
      <c r="D37" s="189"/>
      <c r="E37" s="188" t="s">
        <v>76</v>
      </c>
      <c r="F37" s="189"/>
      <c r="G37" s="188" t="s">
        <v>77</v>
      </c>
      <c r="H37" s="189"/>
      <c r="I37" s="113"/>
      <c r="J37" s="113"/>
      <c r="K37" s="121"/>
      <c r="L37" s="157"/>
      <c r="M37" s="188" t="s">
        <v>73</v>
      </c>
      <c r="N37" s="189"/>
      <c r="O37" s="188" t="s">
        <v>74</v>
      </c>
      <c r="P37" s="189"/>
      <c r="Q37" s="188" t="s">
        <v>75</v>
      </c>
      <c r="R37" s="189"/>
      <c r="S37" s="113"/>
      <c r="T37" s="113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</row>
    <row r="38" spans="1:66" s="162" customFormat="1" ht="27.75" customHeight="1" thickBot="1" x14ac:dyDescent="0.4">
      <c r="A38" s="158" t="s">
        <v>67</v>
      </c>
      <c r="B38" s="159"/>
      <c r="C38" s="194">
        <f>D35-C35</f>
        <v>0</v>
      </c>
      <c r="D38" s="195"/>
      <c r="E38" s="196">
        <f>F35-E35</f>
        <v>0</v>
      </c>
      <c r="F38" s="197"/>
      <c r="G38" s="196">
        <f>H35-G35</f>
        <v>0</v>
      </c>
      <c r="H38" s="197"/>
      <c r="I38" s="160"/>
      <c r="J38" s="160"/>
      <c r="K38" s="158" t="s">
        <v>0</v>
      </c>
      <c r="L38" s="159"/>
      <c r="M38" s="194">
        <f>N35-M35</f>
        <v>0</v>
      </c>
      <c r="N38" s="195"/>
      <c r="O38" s="186">
        <f>P35-O35</f>
        <v>0</v>
      </c>
      <c r="P38" s="187"/>
      <c r="Q38" s="186">
        <f>R35-Q35</f>
        <v>0</v>
      </c>
      <c r="R38" s="187"/>
      <c r="S38" s="160"/>
      <c r="T38" s="160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61"/>
      <c r="BM38" s="161"/>
      <c r="BN38" s="161"/>
    </row>
    <row r="39" spans="1:66" s="126" customFormat="1" ht="17.25" customHeight="1" x14ac:dyDescent="0.35">
      <c r="A39" s="122"/>
      <c r="B39" s="123"/>
      <c r="C39" s="123"/>
      <c r="D39" s="123"/>
      <c r="E39" s="123"/>
      <c r="F39" s="123"/>
      <c r="G39" s="123"/>
      <c r="H39" s="123"/>
      <c r="I39" s="124"/>
      <c r="J39" s="124"/>
      <c r="K39" s="122"/>
      <c r="L39" s="123"/>
      <c r="M39" s="123"/>
      <c r="N39" s="123"/>
      <c r="O39" s="123"/>
      <c r="P39" s="123"/>
      <c r="Q39" s="123"/>
      <c r="R39" s="123"/>
      <c r="S39" s="124"/>
      <c r="T39" s="124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</row>
    <row r="40" spans="1:66" s="126" customFormat="1" ht="17.25" customHeight="1" x14ac:dyDescent="0.35">
      <c r="A40" s="121"/>
      <c r="B40" s="123"/>
      <c r="C40" s="156"/>
      <c r="D40" s="127"/>
      <c r="E40" s="156"/>
      <c r="F40" s="127"/>
      <c r="G40" s="127"/>
      <c r="H40" s="127"/>
      <c r="I40" s="124"/>
      <c r="J40" s="124"/>
      <c r="K40" s="121"/>
      <c r="L40" s="123"/>
      <c r="M40" s="123"/>
      <c r="N40" s="123"/>
      <c r="O40" s="123"/>
      <c r="P40" s="123"/>
      <c r="Q40" s="123"/>
      <c r="R40" s="123"/>
      <c r="S40" s="124"/>
      <c r="T40" s="124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</row>
    <row r="41" spans="1:66" s="126" customFormat="1" ht="17.25" customHeight="1" x14ac:dyDescent="0.35">
      <c r="A41" s="128"/>
      <c r="B41" s="129"/>
      <c r="C41" s="130"/>
      <c r="D41" s="130"/>
      <c r="E41" s="130"/>
      <c r="F41" s="130"/>
      <c r="G41" s="130"/>
      <c r="H41" s="130"/>
      <c r="I41" s="124"/>
      <c r="J41" s="124"/>
      <c r="K41" s="128"/>
      <c r="L41" s="129"/>
      <c r="M41" s="130"/>
      <c r="N41" s="130"/>
      <c r="O41" s="130"/>
      <c r="P41" s="130"/>
      <c r="Q41" s="130"/>
      <c r="R41" s="130"/>
      <c r="S41" s="124"/>
      <c r="T41" s="124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</row>
    <row r="42" spans="1:66" s="126" customFormat="1" ht="17.25" customHeight="1" thickBot="1" x14ac:dyDescent="0.4">
      <c r="A42" s="131"/>
      <c r="B42" s="132"/>
      <c r="C42" s="132"/>
      <c r="D42" s="132"/>
      <c r="E42" s="132"/>
      <c r="F42" s="132"/>
      <c r="G42" s="132"/>
      <c r="H42" s="132"/>
      <c r="I42" s="124"/>
      <c r="J42" s="124"/>
      <c r="K42" s="131"/>
      <c r="L42" s="132"/>
      <c r="M42" s="132"/>
      <c r="N42" s="132"/>
      <c r="O42" s="132"/>
      <c r="P42" s="132"/>
      <c r="Q42" s="132"/>
      <c r="R42" s="132"/>
      <c r="S42" s="124"/>
      <c r="T42" s="124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</row>
    <row r="43" spans="1:66" s="133" customFormat="1" ht="17.25" customHeight="1" x14ac:dyDescent="0.35">
      <c r="I43" s="134"/>
      <c r="J43" s="134"/>
    </row>
    <row r="44" spans="1:66" s="136" customFormat="1" ht="17.25" customHeight="1" x14ac:dyDescent="0.35">
      <c r="A44" s="135"/>
      <c r="B44" s="134"/>
      <c r="C44" s="134"/>
      <c r="D44" s="134"/>
      <c r="E44" s="134"/>
      <c r="F44" s="134"/>
      <c r="G44" s="134"/>
      <c r="H44" s="134"/>
      <c r="I44" s="134"/>
      <c r="J44" s="134"/>
      <c r="K44" s="133"/>
      <c r="L44" s="133"/>
      <c r="M44" s="134"/>
      <c r="N44" s="134"/>
      <c r="O44" s="134"/>
      <c r="P44" s="134"/>
      <c r="Q44" s="134"/>
      <c r="R44" s="134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</row>
    <row r="45" spans="1:66" s="136" customFormat="1" ht="17.25" customHeight="1" x14ac:dyDescent="0.35">
      <c r="A45" s="135"/>
      <c r="B45" s="134"/>
      <c r="C45" s="134"/>
      <c r="D45" s="134"/>
      <c r="E45" s="134"/>
      <c r="F45" s="134"/>
      <c r="G45" s="134"/>
      <c r="H45" s="134"/>
      <c r="I45" s="134"/>
      <c r="J45" s="134"/>
      <c r="K45" s="133"/>
      <c r="L45" s="133"/>
      <c r="M45" s="134"/>
      <c r="N45" s="134"/>
      <c r="O45" s="134"/>
      <c r="P45" s="134"/>
      <c r="Q45" s="134"/>
      <c r="R45" s="134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</row>
    <row r="46" spans="1:66" s="136" customFormat="1" ht="17.25" customHeight="1" x14ac:dyDescent="0.35">
      <c r="A46" s="135"/>
      <c r="B46" s="134"/>
      <c r="C46" s="134"/>
      <c r="D46" s="134"/>
      <c r="E46" s="134"/>
      <c r="F46" s="134"/>
      <c r="G46" s="134"/>
      <c r="H46" s="134"/>
      <c r="I46" s="134"/>
      <c r="J46" s="134"/>
      <c r="K46" s="133"/>
      <c r="L46" s="133"/>
      <c r="M46" s="134"/>
      <c r="N46" s="134"/>
      <c r="O46" s="134"/>
      <c r="P46" s="134"/>
      <c r="Q46" s="134"/>
      <c r="R46" s="134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</row>
    <row r="47" spans="1:66" s="136" customFormat="1" ht="17.25" customHeight="1" x14ac:dyDescent="0.35">
      <c r="A47" s="135"/>
      <c r="B47" s="134"/>
      <c r="C47" s="134"/>
      <c r="D47" s="134"/>
      <c r="E47" s="134"/>
      <c r="F47" s="134"/>
      <c r="G47" s="134"/>
      <c r="H47" s="134"/>
      <c r="I47" s="134"/>
      <c r="J47" s="134"/>
      <c r="K47" s="133"/>
      <c r="L47" s="133"/>
      <c r="M47" s="134"/>
      <c r="N47" s="134"/>
      <c r="O47" s="134"/>
      <c r="P47" s="134"/>
      <c r="Q47" s="134"/>
      <c r="R47" s="134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</row>
    <row r="48" spans="1:66" s="136" customFormat="1" ht="17.25" customHeight="1" x14ac:dyDescent="0.35">
      <c r="A48" s="135"/>
      <c r="B48" s="134"/>
      <c r="C48" s="134"/>
      <c r="D48" s="134"/>
      <c r="E48" s="134"/>
      <c r="F48" s="134"/>
      <c r="G48" s="134"/>
      <c r="H48" s="134"/>
      <c r="I48" s="134"/>
      <c r="J48" s="134"/>
      <c r="K48" s="133"/>
      <c r="L48" s="133"/>
      <c r="M48" s="134"/>
      <c r="N48" s="134"/>
      <c r="O48" s="134"/>
      <c r="P48" s="134"/>
      <c r="Q48" s="134"/>
      <c r="R48" s="134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</row>
    <row r="49" spans="1:66" s="136" customFormat="1" ht="17.25" customHeight="1" x14ac:dyDescent="0.35">
      <c r="A49" s="135"/>
      <c r="B49" s="134"/>
      <c r="C49" s="134"/>
      <c r="D49" s="134"/>
      <c r="E49" s="134"/>
      <c r="F49" s="134"/>
      <c r="G49" s="134"/>
      <c r="H49" s="134"/>
      <c r="I49" s="134"/>
      <c r="J49" s="134"/>
      <c r="K49" s="133"/>
      <c r="L49" s="133"/>
      <c r="M49" s="134"/>
      <c r="N49" s="134"/>
      <c r="O49" s="134"/>
      <c r="P49" s="134"/>
      <c r="Q49" s="134"/>
      <c r="R49" s="134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</row>
    <row r="50" spans="1:66" s="136" customFormat="1" ht="17.25" customHeight="1" x14ac:dyDescent="0.35">
      <c r="A50" s="135"/>
      <c r="B50" s="134"/>
      <c r="C50" s="134"/>
      <c r="D50" s="134"/>
      <c r="E50" s="134"/>
      <c r="F50" s="134"/>
      <c r="G50" s="134"/>
      <c r="H50" s="134"/>
      <c r="I50" s="134"/>
      <c r="J50" s="134"/>
      <c r="K50" s="133"/>
      <c r="L50" s="133"/>
      <c r="M50" s="134"/>
      <c r="N50" s="134"/>
      <c r="O50" s="134"/>
      <c r="P50" s="134"/>
      <c r="Q50" s="134"/>
      <c r="R50" s="134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</row>
    <row r="51" spans="1:66" s="136" customFormat="1" ht="17.25" customHeight="1" x14ac:dyDescent="0.35">
      <c r="A51" s="135"/>
      <c r="B51" s="134"/>
      <c r="C51" s="134"/>
      <c r="D51" s="134"/>
      <c r="E51" s="134"/>
      <c r="F51" s="134"/>
      <c r="G51" s="134"/>
      <c r="H51" s="134"/>
      <c r="I51" s="134"/>
      <c r="J51" s="134"/>
      <c r="K51" s="133"/>
      <c r="L51" s="133"/>
      <c r="M51" s="134"/>
      <c r="N51" s="134"/>
      <c r="O51" s="134"/>
      <c r="P51" s="134"/>
      <c r="Q51" s="134"/>
      <c r="R51" s="134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</row>
    <row r="52" spans="1:66" s="136" customFormat="1" ht="17.25" customHeight="1" x14ac:dyDescent="0.35">
      <c r="A52" s="135"/>
      <c r="B52" s="134"/>
      <c r="C52" s="134"/>
      <c r="D52" s="134"/>
      <c r="E52" s="134"/>
      <c r="F52" s="134"/>
      <c r="G52" s="134"/>
      <c r="H52" s="134"/>
      <c r="I52" s="134"/>
      <c r="J52" s="134"/>
      <c r="K52" s="133"/>
      <c r="L52" s="133"/>
      <c r="M52" s="134"/>
      <c r="N52" s="134"/>
      <c r="O52" s="134"/>
      <c r="P52" s="134"/>
      <c r="Q52" s="134"/>
      <c r="R52" s="134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</row>
    <row r="53" spans="1:66" s="136" customFormat="1" ht="17.25" customHeight="1" x14ac:dyDescent="0.35">
      <c r="A53" s="135"/>
      <c r="B53" s="134"/>
      <c r="C53" s="134"/>
      <c r="D53" s="134"/>
      <c r="E53" s="134"/>
      <c r="F53" s="134"/>
      <c r="G53" s="134"/>
      <c r="H53" s="134"/>
      <c r="I53" s="134"/>
      <c r="J53" s="134"/>
      <c r="K53" s="133"/>
      <c r="L53" s="133"/>
      <c r="M53" s="134"/>
      <c r="N53" s="134"/>
      <c r="O53" s="134"/>
      <c r="P53" s="134"/>
      <c r="Q53" s="134"/>
      <c r="R53" s="134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</row>
    <row r="54" spans="1:66" s="136" customFormat="1" ht="17.25" customHeight="1" x14ac:dyDescent="0.35">
      <c r="A54" s="135"/>
      <c r="B54" s="134"/>
      <c r="C54" s="134"/>
      <c r="D54" s="134"/>
      <c r="E54" s="134"/>
      <c r="F54" s="134"/>
      <c r="G54" s="134"/>
      <c r="H54" s="134"/>
      <c r="I54" s="134"/>
      <c r="J54" s="134"/>
      <c r="K54" s="133"/>
      <c r="L54" s="133"/>
      <c r="M54" s="134"/>
      <c r="N54" s="134"/>
      <c r="O54" s="134"/>
      <c r="P54" s="134"/>
      <c r="Q54" s="134"/>
      <c r="R54" s="134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</row>
    <row r="55" spans="1:66" s="136" customFormat="1" ht="17.25" customHeight="1" x14ac:dyDescent="0.3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3"/>
      <c r="L55" s="133"/>
      <c r="M55" s="134"/>
      <c r="N55" s="134"/>
      <c r="O55" s="134"/>
      <c r="P55" s="134"/>
      <c r="Q55" s="134"/>
      <c r="R55" s="134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</row>
    <row r="56" spans="1:66" s="136" customFormat="1" ht="17.25" customHeight="1" x14ac:dyDescent="0.35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3"/>
      <c r="L56" s="133"/>
      <c r="M56" s="134"/>
      <c r="N56" s="134"/>
      <c r="O56" s="134"/>
      <c r="P56" s="134"/>
      <c r="Q56" s="134"/>
      <c r="R56" s="134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</row>
    <row r="57" spans="1:66" s="136" customFormat="1" ht="17.25" customHeight="1" x14ac:dyDescent="0.35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3"/>
      <c r="L57" s="133"/>
      <c r="M57" s="134"/>
      <c r="N57" s="134"/>
      <c r="O57" s="134"/>
      <c r="P57" s="134"/>
      <c r="Q57" s="134"/>
      <c r="R57" s="134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</row>
    <row r="58" spans="1:66" s="136" customFormat="1" ht="17.25" customHeight="1" x14ac:dyDescent="0.35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3"/>
      <c r="L58" s="133"/>
      <c r="M58" s="134"/>
      <c r="N58" s="134"/>
      <c r="O58" s="134"/>
      <c r="P58" s="134"/>
      <c r="Q58" s="134"/>
      <c r="R58" s="134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</row>
    <row r="59" spans="1:66" s="136" customFormat="1" ht="17.25" customHeight="1" x14ac:dyDescent="0.35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3"/>
      <c r="L59" s="133"/>
      <c r="M59" s="134"/>
      <c r="N59" s="134"/>
      <c r="O59" s="134"/>
      <c r="P59" s="134"/>
      <c r="Q59" s="134"/>
      <c r="R59" s="134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</row>
    <row r="60" spans="1:66" s="139" customFormat="1" ht="12.5" x14ac:dyDescent="0.25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8"/>
      <c r="L60" s="138"/>
      <c r="M60" s="137"/>
      <c r="N60" s="137"/>
      <c r="O60" s="137"/>
      <c r="P60" s="137"/>
      <c r="Q60" s="137"/>
      <c r="R60" s="137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</row>
    <row r="61" spans="1:66" s="139" customFormat="1" ht="12.5" x14ac:dyDescent="0.25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8"/>
      <c r="L61" s="138"/>
      <c r="M61" s="137"/>
      <c r="N61" s="137"/>
      <c r="O61" s="137"/>
      <c r="P61" s="137"/>
      <c r="Q61" s="137"/>
      <c r="R61" s="137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</row>
    <row r="62" spans="1:66" s="139" customFormat="1" ht="12.5" x14ac:dyDescent="0.25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8"/>
      <c r="L62" s="138"/>
      <c r="M62" s="137"/>
      <c r="N62" s="137"/>
      <c r="O62" s="137"/>
      <c r="P62" s="137"/>
      <c r="Q62" s="137"/>
      <c r="R62" s="137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</row>
    <row r="63" spans="1:66" x14ac:dyDescent="0.35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M63" s="140"/>
      <c r="N63" s="140"/>
      <c r="O63" s="140"/>
      <c r="P63" s="140"/>
      <c r="Q63" s="140"/>
      <c r="R63" s="140"/>
    </row>
    <row r="64" spans="1:66" x14ac:dyDescent="0.35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M64" s="140"/>
      <c r="N64" s="140"/>
      <c r="O64" s="140"/>
      <c r="P64" s="140"/>
      <c r="Q64" s="140"/>
      <c r="R64" s="140"/>
    </row>
    <row r="65" spans="1:18" x14ac:dyDescent="0.35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M65" s="140"/>
      <c r="N65" s="140"/>
      <c r="O65" s="140"/>
      <c r="P65" s="140"/>
      <c r="Q65" s="140"/>
      <c r="R65" s="140"/>
    </row>
    <row r="66" spans="1:18" x14ac:dyDescent="0.35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M66" s="140"/>
      <c r="N66" s="140"/>
      <c r="O66" s="140"/>
      <c r="P66" s="140"/>
      <c r="Q66" s="140"/>
      <c r="R66" s="140"/>
    </row>
  </sheetData>
  <mergeCells count="14">
    <mergeCell ref="Q38:R38"/>
    <mergeCell ref="M37:N37"/>
    <mergeCell ref="O37:P37"/>
    <mergeCell ref="Q37:R37"/>
    <mergeCell ref="C2:H2"/>
    <mergeCell ref="M2:R2"/>
    <mergeCell ref="C37:D37"/>
    <mergeCell ref="E37:F37"/>
    <mergeCell ref="G37:H37"/>
    <mergeCell ref="C38:D38"/>
    <mergeCell ref="E38:F38"/>
    <mergeCell ref="G38:H38"/>
    <mergeCell ref="M38:N38"/>
    <mergeCell ref="O38:P38"/>
  </mergeCells>
  <conditionalFormatting sqref="C4:C34 G4:G34">
    <cfRule type="cellIs" dxfId="162" priority="239" stopIfTrue="1" operator="lessThanOrEqual">
      <formula>0</formula>
    </cfRule>
  </conditionalFormatting>
  <conditionalFormatting sqref="C36:H36 P36:R36 G38 E38">
    <cfRule type="cellIs" dxfId="161" priority="238" stopIfTrue="1" operator="equal">
      <formula>#DIV/0!</formula>
    </cfRule>
  </conditionalFormatting>
  <conditionalFormatting sqref="D4:D34 H4:H34">
    <cfRule type="cellIs" dxfId="160" priority="237" stopIfTrue="1" operator="lessThanOrEqual">
      <formula>0</formula>
    </cfRule>
  </conditionalFormatting>
  <conditionalFormatting sqref="M4:M34 Q4:Q34">
    <cfRule type="cellIs" dxfId="159" priority="236" stopIfTrue="1" operator="lessThanOrEqual">
      <formula>0</formula>
    </cfRule>
  </conditionalFormatting>
  <conditionalFormatting sqref="M36">
    <cfRule type="cellIs" dxfId="158" priority="235" stopIfTrue="1" operator="equal">
      <formula>#DIV/0!</formula>
    </cfRule>
  </conditionalFormatting>
  <conditionalFormatting sqref="R4:R34 N4:N34">
    <cfRule type="cellIs" dxfId="157" priority="234" stopIfTrue="1" operator="lessThanOrEqual">
      <formula>0</formula>
    </cfRule>
  </conditionalFormatting>
  <conditionalFormatting sqref="F4:F34">
    <cfRule type="cellIs" dxfId="156" priority="232" stopIfTrue="1" operator="lessThanOrEqual">
      <formula>0</formula>
    </cfRule>
  </conditionalFormatting>
  <conditionalFormatting sqref="O36">
    <cfRule type="cellIs" dxfId="155" priority="230" stopIfTrue="1" operator="equal">
      <formula>#DIV/0!</formula>
    </cfRule>
  </conditionalFormatting>
  <conditionalFormatting sqref="P4:P34">
    <cfRule type="cellIs" dxfId="154" priority="229" stopIfTrue="1" operator="lessThanOrEqual">
      <formula>0</formula>
    </cfRule>
  </conditionalFormatting>
  <conditionalFormatting sqref="D4:D34">
    <cfRule type="cellIs" dxfId="153" priority="228" operator="greaterThan">
      <formula>23022.81</formula>
    </cfRule>
  </conditionalFormatting>
  <conditionalFormatting sqref="G4:G34">
    <cfRule type="cellIs" dxfId="152" priority="225" operator="greaterThan">
      <formula>$H$20</formula>
    </cfRule>
  </conditionalFormatting>
  <conditionalFormatting sqref="Q4:Q34">
    <cfRule type="cellIs" dxfId="151" priority="222" operator="greaterThan">
      <formula>$R$24</formula>
    </cfRule>
  </conditionalFormatting>
  <conditionalFormatting sqref="C38">
    <cfRule type="cellIs" dxfId="150" priority="221" stopIfTrue="1" operator="equal">
      <formula>#DIV/0!</formula>
    </cfRule>
  </conditionalFormatting>
  <conditionalFormatting sqref="M38">
    <cfRule type="cellIs" dxfId="149" priority="220" stopIfTrue="1" operator="equal">
      <formula>#DIV/0!</formula>
    </cfRule>
  </conditionalFormatting>
  <conditionalFormatting sqref="O38">
    <cfRule type="cellIs" dxfId="148" priority="219" stopIfTrue="1" operator="equal">
      <formula>#DIV/0!</formula>
    </cfRule>
  </conditionalFormatting>
  <conditionalFormatting sqref="Q38">
    <cfRule type="cellIs" dxfId="147" priority="218" stopIfTrue="1" operator="equal">
      <formula>#DIV/0!</formula>
    </cfRule>
  </conditionalFormatting>
  <conditionalFormatting sqref="N36">
    <cfRule type="cellIs" dxfId="146" priority="217" stopIfTrue="1" operator="equal">
      <formula>#DIV/0!</formula>
    </cfRule>
  </conditionalFormatting>
  <conditionalFormatting sqref="C4:C34">
    <cfRule type="cellIs" dxfId="145" priority="242" operator="greaterThan">
      <formula>$D$28</formula>
    </cfRule>
  </conditionalFormatting>
  <conditionalFormatting sqref="E4:E34">
    <cfRule type="cellIs" dxfId="144" priority="245" operator="greaterThan">
      <formula>$F$21</formula>
    </cfRule>
    <cfRule type="cellIs" dxfId="143" priority="246" stopIfTrue="1" operator="lessThanOrEqual">
      <formula>0</formula>
    </cfRule>
  </conditionalFormatting>
  <conditionalFormatting sqref="M4:M34">
    <cfRule type="cellIs" dxfId="142" priority="247" operator="greaterThan">
      <formula>$N$24</formula>
    </cfRule>
  </conditionalFormatting>
  <conditionalFormatting sqref="O4:O34">
    <cfRule type="cellIs" dxfId="141" priority="248" operator="greaterThan">
      <formula>$P$22</formula>
    </cfRule>
    <cfRule type="cellIs" dxfId="140" priority="249" stopIfTrue="1" operator="lessThanOr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O44"/>
  <sheetViews>
    <sheetView zoomScale="85" zoomScaleNormal="85" workbookViewId="0">
      <pane xSplit="2" ySplit="3" topLeftCell="C22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9.1796875" defaultRowHeight="14.5" x14ac:dyDescent="0.35"/>
  <cols>
    <col min="1" max="1" width="12.81640625" style="141" customWidth="1"/>
    <col min="2" max="2" width="1" style="141" customWidth="1"/>
    <col min="3" max="3" width="12.81640625" style="141" customWidth="1"/>
    <col min="4" max="4" width="14.81640625" style="141" customWidth="1"/>
    <col min="5" max="5" width="12.81640625" style="141" customWidth="1"/>
    <col min="6" max="6" width="14.81640625" style="141" customWidth="1"/>
    <col min="7" max="8" width="15" style="141" customWidth="1"/>
    <col min="9" max="9" width="3.81640625" style="141" customWidth="1"/>
    <col min="10" max="10" width="3.1796875" style="141" customWidth="1"/>
    <col min="11" max="11" width="9.1796875" style="85"/>
    <col min="12" max="12" width="12.1796875" style="85" customWidth="1"/>
    <col min="13" max="13" width="1.1796875" style="85" customWidth="1"/>
    <col min="14" max="14" width="12.81640625" style="141" customWidth="1"/>
    <col min="15" max="15" width="15.453125" style="141" customWidth="1"/>
    <col min="16" max="16" width="12.81640625" style="141" customWidth="1"/>
    <col min="17" max="17" width="15.453125" style="141" customWidth="1"/>
    <col min="18" max="19" width="15" style="141" customWidth="1"/>
    <col min="20" max="20" width="5.1796875" style="85" customWidth="1"/>
    <col min="21" max="21" width="4.54296875" style="85" customWidth="1"/>
    <col min="22" max="67" width="9.1796875" style="85"/>
    <col min="68" max="226" width="9.1796875" style="141"/>
    <col min="227" max="227" width="12.81640625" style="141" customWidth="1"/>
    <col min="228" max="228" width="1" style="141" customWidth="1"/>
    <col min="229" max="230" width="12.81640625" style="141" customWidth="1"/>
    <col min="231" max="231" width="8.81640625" style="141" customWidth="1"/>
    <col min="232" max="233" width="12.81640625" style="141" customWidth="1"/>
    <col min="234" max="234" width="8.81640625" style="141" customWidth="1"/>
    <col min="235" max="236" width="12.81640625" style="141" customWidth="1"/>
    <col min="237" max="237" width="8.81640625" style="141" customWidth="1"/>
    <col min="238" max="239" width="12.81640625" style="141" customWidth="1"/>
    <col min="240" max="240" width="8.81640625" style="141" customWidth="1"/>
    <col min="241" max="242" width="12.81640625" style="141" customWidth="1"/>
    <col min="243" max="243" width="8.81640625" style="141" customWidth="1"/>
    <col min="244" max="245" width="12.81640625" style="141" customWidth="1"/>
    <col min="246" max="246" width="8.81640625" style="141" customWidth="1"/>
    <col min="247" max="248" width="12.81640625" style="141" customWidth="1"/>
    <col min="249" max="249" width="8.81640625" style="141" customWidth="1"/>
    <col min="250" max="250" width="3.81640625" style="141" customWidth="1"/>
    <col min="251" max="251" width="3.1796875" style="141" customWidth="1"/>
    <col min="252" max="252" width="9.1796875" style="141"/>
    <col min="253" max="253" width="12.1796875" style="141" customWidth="1"/>
    <col min="254" max="254" width="1.1796875" style="141" customWidth="1"/>
    <col min="255" max="256" width="12.81640625" style="141" customWidth="1"/>
    <col min="257" max="257" width="8.81640625" style="141" customWidth="1"/>
    <col min="258" max="259" width="12.81640625" style="141" customWidth="1"/>
    <col min="260" max="260" width="8.81640625" style="141" customWidth="1"/>
    <col min="261" max="262" width="12.81640625" style="141" customWidth="1"/>
    <col min="263" max="263" width="8.81640625" style="141" customWidth="1"/>
    <col min="264" max="265" width="12.81640625" style="141" customWidth="1"/>
    <col min="266" max="266" width="8.81640625" style="141" customWidth="1"/>
    <col min="267" max="268" width="12.81640625" style="141" customWidth="1"/>
    <col min="269" max="269" width="8.81640625" style="141" customWidth="1"/>
    <col min="270" max="270" width="14" style="141" bestFit="1" customWidth="1"/>
    <col min="271" max="271" width="12.81640625" style="141" customWidth="1"/>
    <col min="272" max="272" width="8.81640625" style="141" customWidth="1"/>
    <col min="273" max="274" width="12.81640625" style="141" customWidth="1"/>
    <col min="275" max="275" width="8.81640625" style="141" customWidth="1"/>
    <col min="276" max="276" width="5.1796875" style="141" customWidth="1"/>
    <col min="277" max="277" width="4.54296875" style="141" customWidth="1"/>
    <col min="278" max="482" width="9.1796875" style="141"/>
    <col min="483" max="483" width="12.81640625" style="141" customWidth="1"/>
    <col min="484" max="484" width="1" style="141" customWidth="1"/>
    <col min="485" max="486" width="12.81640625" style="141" customWidth="1"/>
    <col min="487" max="487" width="8.81640625" style="141" customWidth="1"/>
    <col min="488" max="489" width="12.81640625" style="141" customWidth="1"/>
    <col min="490" max="490" width="8.81640625" style="141" customWidth="1"/>
    <col min="491" max="492" width="12.81640625" style="141" customWidth="1"/>
    <col min="493" max="493" width="8.81640625" style="141" customWidth="1"/>
    <col min="494" max="495" width="12.81640625" style="141" customWidth="1"/>
    <col min="496" max="496" width="8.81640625" style="141" customWidth="1"/>
    <col min="497" max="498" width="12.81640625" style="141" customWidth="1"/>
    <col min="499" max="499" width="8.81640625" style="141" customWidth="1"/>
    <col min="500" max="501" width="12.81640625" style="141" customWidth="1"/>
    <col min="502" max="502" width="8.81640625" style="141" customWidth="1"/>
    <col min="503" max="504" width="12.81640625" style="141" customWidth="1"/>
    <col min="505" max="505" width="8.81640625" style="141" customWidth="1"/>
    <col min="506" max="506" width="3.81640625" style="141" customWidth="1"/>
    <col min="507" max="507" width="3.1796875" style="141" customWidth="1"/>
    <col min="508" max="508" width="9.1796875" style="141"/>
    <col min="509" max="509" width="12.1796875" style="141" customWidth="1"/>
    <col min="510" max="510" width="1.1796875" style="141" customWidth="1"/>
    <col min="511" max="512" width="12.81640625" style="141" customWidth="1"/>
    <col min="513" max="513" width="8.81640625" style="141" customWidth="1"/>
    <col min="514" max="515" width="12.81640625" style="141" customWidth="1"/>
    <col min="516" max="516" width="8.81640625" style="141" customWidth="1"/>
    <col min="517" max="518" width="12.81640625" style="141" customWidth="1"/>
    <col min="519" max="519" width="8.81640625" style="141" customWidth="1"/>
    <col min="520" max="521" width="12.81640625" style="141" customWidth="1"/>
    <col min="522" max="522" width="8.81640625" style="141" customWidth="1"/>
    <col min="523" max="524" width="12.81640625" style="141" customWidth="1"/>
    <col min="525" max="525" width="8.81640625" style="141" customWidth="1"/>
    <col min="526" max="526" width="14" style="141" bestFit="1" customWidth="1"/>
    <col min="527" max="527" width="12.81640625" style="141" customWidth="1"/>
    <col min="528" max="528" width="8.81640625" style="141" customWidth="1"/>
    <col min="529" max="530" width="12.81640625" style="141" customWidth="1"/>
    <col min="531" max="531" width="8.81640625" style="141" customWidth="1"/>
    <col min="532" max="532" width="5.1796875" style="141" customWidth="1"/>
    <col min="533" max="533" width="4.54296875" style="141" customWidth="1"/>
    <col min="534" max="738" width="9.1796875" style="141"/>
    <col min="739" max="739" width="12.81640625" style="141" customWidth="1"/>
    <col min="740" max="740" width="1" style="141" customWidth="1"/>
    <col min="741" max="742" width="12.81640625" style="141" customWidth="1"/>
    <col min="743" max="743" width="8.81640625" style="141" customWidth="1"/>
    <col min="744" max="745" width="12.81640625" style="141" customWidth="1"/>
    <col min="746" max="746" width="8.81640625" style="141" customWidth="1"/>
    <col min="747" max="748" width="12.81640625" style="141" customWidth="1"/>
    <col min="749" max="749" width="8.81640625" style="141" customWidth="1"/>
    <col min="750" max="751" width="12.81640625" style="141" customWidth="1"/>
    <col min="752" max="752" width="8.81640625" style="141" customWidth="1"/>
    <col min="753" max="754" width="12.81640625" style="141" customWidth="1"/>
    <col min="755" max="755" width="8.81640625" style="141" customWidth="1"/>
    <col min="756" max="757" width="12.81640625" style="141" customWidth="1"/>
    <col min="758" max="758" width="8.81640625" style="141" customWidth="1"/>
    <col min="759" max="760" width="12.81640625" style="141" customWidth="1"/>
    <col min="761" max="761" width="8.81640625" style="141" customWidth="1"/>
    <col min="762" max="762" width="3.81640625" style="141" customWidth="1"/>
    <col min="763" max="763" width="3.1796875" style="141" customWidth="1"/>
    <col min="764" max="764" width="9.1796875" style="141"/>
    <col min="765" max="765" width="12.1796875" style="141" customWidth="1"/>
    <col min="766" max="766" width="1.1796875" style="141" customWidth="1"/>
    <col min="767" max="768" width="12.81640625" style="141" customWidth="1"/>
    <col min="769" max="769" width="8.81640625" style="141" customWidth="1"/>
    <col min="770" max="771" width="12.81640625" style="141" customWidth="1"/>
    <col min="772" max="772" width="8.81640625" style="141" customWidth="1"/>
    <col min="773" max="774" width="12.81640625" style="141" customWidth="1"/>
    <col min="775" max="775" width="8.81640625" style="141" customWidth="1"/>
    <col min="776" max="777" width="12.81640625" style="141" customWidth="1"/>
    <col min="778" max="778" width="8.81640625" style="141" customWidth="1"/>
    <col min="779" max="780" width="12.81640625" style="141" customWidth="1"/>
    <col min="781" max="781" width="8.81640625" style="141" customWidth="1"/>
    <col min="782" max="782" width="14" style="141" bestFit="1" customWidth="1"/>
    <col min="783" max="783" width="12.81640625" style="141" customWidth="1"/>
    <col min="784" max="784" width="8.81640625" style="141" customWidth="1"/>
    <col min="785" max="786" width="12.81640625" style="141" customWidth="1"/>
    <col min="787" max="787" width="8.81640625" style="141" customWidth="1"/>
    <col min="788" max="788" width="5.1796875" style="141" customWidth="1"/>
    <col min="789" max="789" width="4.54296875" style="141" customWidth="1"/>
    <col min="790" max="994" width="9.1796875" style="141"/>
    <col min="995" max="995" width="12.81640625" style="141" customWidth="1"/>
    <col min="996" max="996" width="1" style="141" customWidth="1"/>
    <col min="997" max="998" width="12.81640625" style="141" customWidth="1"/>
    <col min="999" max="999" width="8.81640625" style="141" customWidth="1"/>
    <col min="1000" max="1001" width="12.81640625" style="141" customWidth="1"/>
    <col min="1002" max="1002" width="8.81640625" style="141" customWidth="1"/>
    <col min="1003" max="1004" width="12.81640625" style="141" customWidth="1"/>
    <col min="1005" max="1005" width="8.81640625" style="141" customWidth="1"/>
    <col min="1006" max="1007" width="12.81640625" style="141" customWidth="1"/>
    <col min="1008" max="1008" width="8.81640625" style="141" customWidth="1"/>
    <col min="1009" max="1010" width="12.81640625" style="141" customWidth="1"/>
    <col min="1011" max="1011" width="8.81640625" style="141" customWidth="1"/>
    <col min="1012" max="1013" width="12.81640625" style="141" customWidth="1"/>
    <col min="1014" max="1014" width="8.81640625" style="141" customWidth="1"/>
    <col min="1015" max="1016" width="12.81640625" style="141" customWidth="1"/>
    <col min="1017" max="1017" width="8.81640625" style="141" customWidth="1"/>
    <col min="1018" max="1018" width="3.81640625" style="141" customWidth="1"/>
    <col min="1019" max="1019" width="3.1796875" style="141" customWidth="1"/>
    <col min="1020" max="1020" width="9.1796875" style="141"/>
    <col min="1021" max="1021" width="12.1796875" style="141" customWidth="1"/>
    <col min="1022" max="1022" width="1.1796875" style="141" customWidth="1"/>
    <col min="1023" max="1024" width="12.81640625" style="141" customWidth="1"/>
    <col min="1025" max="1025" width="8.81640625" style="141" customWidth="1"/>
    <col min="1026" max="1027" width="12.81640625" style="141" customWidth="1"/>
    <col min="1028" max="1028" width="8.81640625" style="141" customWidth="1"/>
    <col min="1029" max="1030" width="12.81640625" style="141" customWidth="1"/>
    <col min="1031" max="1031" width="8.81640625" style="141" customWidth="1"/>
    <col min="1032" max="1033" width="12.81640625" style="141" customWidth="1"/>
    <col min="1034" max="1034" width="8.81640625" style="141" customWidth="1"/>
    <col min="1035" max="1036" width="12.81640625" style="141" customWidth="1"/>
    <col min="1037" max="1037" width="8.81640625" style="141" customWidth="1"/>
    <col min="1038" max="1038" width="14" style="141" bestFit="1" customWidth="1"/>
    <col min="1039" max="1039" width="12.81640625" style="141" customWidth="1"/>
    <col min="1040" max="1040" width="8.81640625" style="141" customWidth="1"/>
    <col min="1041" max="1042" width="12.81640625" style="141" customWidth="1"/>
    <col min="1043" max="1043" width="8.81640625" style="141" customWidth="1"/>
    <col min="1044" max="1044" width="5.1796875" style="141" customWidth="1"/>
    <col min="1045" max="1045" width="4.54296875" style="141" customWidth="1"/>
    <col min="1046" max="1250" width="9.1796875" style="141"/>
    <col min="1251" max="1251" width="12.81640625" style="141" customWidth="1"/>
    <col min="1252" max="1252" width="1" style="141" customWidth="1"/>
    <col min="1253" max="1254" width="12.81640625" style="141" customWidth="1"/>
    <col min="1255" max="1255" width="8.81640625" style="141" customWidth="1"/>
    <col min="1256" max="1257" width="12.81640625" style="141" customWidth="1"/>
    <col min="1258" max="1258" width="8.81640625" style="141" customWidth="1"/>
    <col min="1259" max="1260" width="12.81640625" style="141" customWidth="1"/>
    <col min="1261" max="1261" width="8.81640625" style="141" customWidth="1"/>
    <col min="1262" max="1263" width="12.81640625" style="141" customWidth="1"/>
    <col min="1264" max="1264" width="8.81640625" style="141" customWidth="1"/>
    <col min="1265" max="1266" width="12.81640625" style="141" customWidth="1"/>
    <col min="1267" max="1267" width="8.81640625" style="141" customWidth="1"/>
    <col min="1268" max="1269" width="12.81640625" style="141" customWidth="1"/>
    <col min="1270" max="1270" width="8.81640625" style="141" customWidth="1"/>
    <col min="1271" max="1272" width="12.81640625" style="141" customWidth="1"/>
    <col min="1273" max="1273" width="8.81640625" style="141" customWidth="1"/>
    <col min="1274" max="1274" width="3.81640625" style="141" customWidth="1"/>
    <col min="1275" max="1275" width="3.1796875" style="141" customWidth="1"/>
    <col min="1276" max="1276" width="9.1796875" style="141"/>
    <col min="1277" max="1277" width="12.1796875" style="141" customWidth="1"/>
    <col min="1278" max="1278" width="1.1796875" style="141" customWidth="1"/>
    <col min="1279" max="1280" width="12.81640625" style="141" customWidth="1"/>
    <col min="1281" max="1281" width="8.81640625" style="141" customWidth="1"/>
    <col min="1282" max="1283" width="12.81640625" style="141" customWidth="1"/>
    <col min="1284" max="1284" width="8.81640625" style="141" customWidth="1"/>
    <col min="1285" max="1286" width="12.81640625" style="141" customWidth="1"/>
    <col min="1287" max="1287" width="8.81640625" style="141" customWidth="1"/>
    <col min="1288" max="1289" width="12.81640625" style="141" customWidth="1"/>
    <col min="1290" max="1290" width="8.81640625" style="141" customWidth="1"/>
    <col min="1291" max="1292" width="12.81640625" style="141" customWidth="1"/>
    <col min="1293" max="1293" width="8.81640625" style="141" customWidth="1"/>
    <col min="1294" max="1294" width="14" style="141" bestFit="1" customWidth="1"/>
    <col min="1295" max="1295" width="12.81640625" style="141" customWidth="1"/>
    <col min="1296" max="1296" width="8.81640625" style="141" customWidth="1"/>
    <col min="1297" max="1298" width="12.81640625" style="141" customWidth="1"/>
    <col min="1299" max="1299" width="8.81640625" style="141" customWidth="1"/>
    <col min="1300" max="1300" width="5.1796875" style="141" customWidth="1"/>
    <col min="1301" max="1301" width="4.54296875" style="141" customWidth="1"/>
    <col min="1302" max="1506" width="9.1796875" style="141"/>
    <col min="1507" max="1507" width="12.81640625" style="141" customWidth="1"/>
    <col min="1508" max="1508" width="1" style="141" customWidth="1"/>
    <col min="1509" max="1510" width="12.81640625" style="141" customWidth="1"/>
    <col min="1511" max="1511" width="8.81640625" style="141" customWidth="1"/>
    <col min="1512" max="1513" width="12.81640625" style="141" customWidth="1"/>
    <col min="1514" max="1514" width="8.81640625" style="141" customWidth="1"/>
    <col min="1515" max="1516" width="12.81640625" style="141" customWidth="1"/>
    <col min="1517" max="1517" width="8.81640625" style="141" customWidth="1"/>
    <col min="1518" max="1519" width="12.81640625" style="141" customWidth="1"/>
    <col min="1520" max="1520" width="8.81640625" style="141" customWidth="1"/>
    <col min="1521" max="1522" width="12.81640625" style="141" customWidth="1"/>
    <col min="1523" max="1523" width="8.81640625" style="141" customWidth="1"/>
    <col min="1524" max="1525" width="12.81640625" style="141" customWidth="1"/>
    <col min="1526" max="1526" width="8.81640625" style="141" customWidth="1"/>
    <col min="1527" max="1528" width="12.81640625" style="141" customWidth="1"/>
    <col min="1529" max="1529" width="8.81640625" style="141" customWidth="1"/>
    <col min="1530" max="1530" width="3.81640625" style="141" customWidth="1"/>
    <col min="1531" max="1531" width="3.1796875" style="141" customWidth="1"/>
    <col min="1532" max="1532" width="9.1796875" style="141"/>
    <col min="1533" max="1533" width="12.1796875" style="141" customWidth="1"/>
    <col min="1534" max="1534" width="1.1796875" style="141" customWidth="1"/>
    <col min="1535" max="1536" width="12.81640625" style="141" customWidth="1"/>
    <col min="1537" max="1537" width="8.81640625" style="141" customWidth="1"/>
    <col min="1538" max="1539" width="12.81640625" style="141" customWidth="1"/>
    <col min="1540" max="1540" width="8.81640625" style="141" customWidth="1"/>
    <col min="1541" max="1542" width="12.81640625" style="141" customWidth="1"/>
    <col min="1543" max="1543" width="8.81640625" style="141" customWidth="1"/>
    <col min="1544" max="1545" width="12.81640625" style="141" customWidth="1"/>
    <col min="1546" max="1546" width="8.81640625" style="141" customWidth="1"/>
    <col min="1547" max="1548" width="12.81640625" style="141" customWidth="1"/>
    <col min="1549" max="1549" width="8.81640625" style="141" customWidth="1"/>
    <col min="1550" max="1550" width="14" style="141" bestFit="1" customWidth="1"/>
    <col min="1551" max="1551" width="12.81640625" style="141" customWidth="1"/>
    <col min="1552" max="1552" width="8.81640625" style="141" customWidth="1"/>
    <col min="1553" max="1554" width="12.81640625" style="141" customWidth="1"/>
    <col min="1555" max="1555" width="8.81640625" style="141" customWidth="1"/>
    <col min="1556" max="1556" width="5.1796875" style="141" customWidth="1"/>
    <col min="1557" max="1557" width="4.54296875" style="141" customWidth="1"/>
    <col min="1558" max="1762" width="9.1796875" style="141"/>
    <col min="1763" max="1763" width="12.81640625" style="141" customWidth="1"/>
    <col min="1764" max="1764" width="1" style="141" customWidth="1"/>
    <col min="1765" max="1766" width="12.81640625" style="141" customWidth="1"/>
    <col min="1767" max="1767" width="8.81640625" style="141" customWidth="1"/>
    <col min="1768" max="1769" width="12.81640625" style="141" customWidth="1"/>
    <col min="1770" max="1770" width="8.81640625" style="141" customWidth="1"/>
    <col min="1771" max="1772" width="12.81640625" style="141" customWidth="1"/>
    <col min="1773" max="1773" width="8.81640625" style="141" customWidth="1"/>
    <col min="1774" max="1775" width="12.81640625" style="141" customWidth="1"/>
    <col min="1776" max="1776" width="8.81640625" style="141" customWidth="1"/>
    <col min="1777" max="1778" width="12.81640625" style="141" customWidth="1"/>
    <col min="1779" max="1779" width="8.81640625" style="141" customWidth="1"/>
    <col min="1780" max="1781" width="12.81640625" style="141" customWidth="1"/>
    <col min="1782" max="1782" width="8.81640625" style="141" customWidth="1"/>
    <col min="1783" max="1784" width="12.81640625" style="141" customWidth="1"/>
    <col min="1785" max="1785" width="8.81640625" style="141" customWidth="1"/>
    <col min="1786" max="1786" width="3.81640625" style="141" customWidth="1"/>
    <col min="1787" max="1787" width="3.1796875" style="141" customWidth="1"/>
    <col min="1788" max="1788" width="9.1796875" style="141"/>
    <col min="1789" max="1789" width="12.1796875" style="141" customWidth="1"/>
    <col min="1790" max="1790" width="1.1796875" style="141" customWidth="1"/>
    <col min="1791" max="1792" width="12.81640625" style="141" customWidth="1"/>
    <col min="1793" max="1793" width="8.81640625" style="141" customWidth="1"/>
    <col min="1794" max="1795" width="12.81640625" style="141" customWidth="1"/>
    <col min="1796" max="1796" width="8.81640625" style="141" customWidth="1"/>
    <col min="1797" max="1798" width="12.81640625" style="141" customWidth="1"/>
    <col min="1799" max="1799" width="8.81640625" style="141" customWidth="1"/>
    <col min="1800" max="1801" width="12.81640625" style="141" customWidth="1"/>
    <col min="1802" max="1802" width="8.81640625" style="141" customWidth="1"/>
    <col min="1803" max="1804" width="12.81640625" style="141" customWidth="1"/>
    <col min="1805" max="1805" width="8.81640625" style="141" customWidth="1"/>
    <col min="1806" max="1806" width="14" style="141" bestFit="1" customWidth="1"/>
    <col min="1807" max="1807" width="12.81640625" style="141" customWidth="1"/>
    <col min="1808" max="1808" width="8.81640625" style="141" customWidth="1"/>
    <col min="1809" max="1810" width="12.81640625" style="141" customWidth="1"/>
    <col min="1811" max="1811" width="8.81640625" style="141" customWidth="1"/>
    <col min="1812" max="1812" width="5.1796875" style="141" customWidth="1"/>
    <col min="1813" max="1813" width="4.54296875" style="141" customWidth="1"/>
    <col min="1814" max="2018" width="9.1796875" style="141"/>
    <col min="2019" max="2019" width="12.81640625" style="141" customWidth="1"/>
    <col min="2020" max="2020" width="1" style="141" customWidth="1"/>
    <col min="2021" max="2022" width="12.81640625" style="141" customWidth="1"/>
    <col min="2023" max="2023" width="8.81640625" style="141" customWidth="1"/>
    <col min="2024" max="2025" width="12.81640625" style="141" customWidth="1"/>
    <col min="2026" max="2026" width="8.81640625" style="141" customWidth="1"/>
    <col min="2027" max="2028" width="12.81640625" style="141" customWidth="1"/>
    <col min="2029" max="2029" width="8.81640625" style="141" customWidth="1"/>
    <col min="2030" max="2031" width="12.81640625" style="141" customWidth="1"/>
    <col min="2032" max="2032" width="8.81640625" style="141" customWidth="1"/>
    <col min="2033" max="2034" width="12.81640625" style="141" customWidth="1"/>
    <col min="2035" max="2035" width="8.81640625" style="141" customWidth="1"/>
    <col min="2036" max="2037" width="12.81640625" style="141" customWidth="1"/>
    <col min="2038" max="2038" width="8.81640625" style="141" customWidth="1"/>
    <col min="2039" max="2040" width="12.81640625" style="141" customWidth="1"/>
    <col min="2041" max="2041" width="8.81640625" style="141" customWidth="1"/>
    <col min="2042" max="2042" width="3.81640625" style="141" customWidth="1"/>
    <col min="2043" max="2043" width="3.1796875" style="141" customWidth="1"/>
    <col min="2044" max="2044" width="9.1796875" style="141"/>
    <col min="2045" max="2045" width="12.1796875" style="141" customWidth="1"/>
    <col min="2046" max="2046" width="1.1796875" style="141" customWidth="1"/>
    <col min="2047" max="2048" width="12.81640625" style="141" customWidth="1"/>
    <col min="2049" max="2049" width="8.81640625" style="141" customWidth="1"/>
    <col min="2050" max="2051" width="12.81640625" style="141" customWidth="1"/>
    <col min="2052" max="2052" width="8.81640625" style="141" customWidth="1"/>
    <col min="2053" max="2054" width="12.81640625" style="141" customWidth="1"/>
    <col min="2055" max="2055" width="8.81640625" style="141" customWidth="1"/>
    <col min="2056" max="2057" width="12.81640625" style="141" customWidth="1"/>
    <col min="2058" max="2058" width="8.81640625" style="141" customWidth="1"/>
    <col min="2059" max="2060" width="12.81640625" style="141" customWidth="1"/>
    <col min="2061" max="2061" width="8.81640625" style="141" customWidth="1"/>
    <col min="2062" max="2062" width="14" style="141" bestFit="1" customWidth="1"/>
    <col min="2063" max="2063" width="12.81640625" style="141" customWidth="1"/>
    <col min="2064" max="2064" width="8.81640625" style="141" customWidth="1"/>
    <col min="2065" max="2066" width="12.81640625" style="141" customWidth="1"/>
    <col min="2067" max="2067" width="8.81640625" style="141" customWidth="1"/>
    <col min="2068" max="2068" width="5.1796875" style="141" customWidth="1"/>
    <col min="2069" max="2069" width="4.54296875" style="141" customWidth="1"/>
    <col min="2070" max="2274" width="9.1796875" style="141"/>
    <col min="2275" max="2275" width="12.81640625" style="141" customWidth="1"/>
    <col min="2276" max="2276" width="1" style="141" customWidth="1"/>
    <col min="2277" max="2278" width="12.81640625" style="141" customWidth="1"/>
    <col min="2279" max="2279" width="8.81640625" style="141" customWidth="1"/>
    <col min="2280" max="2281" width="12.81640625" style="141" customWidth="1"/>
    <col min="2282" max="2282" width="8.81640625" style="141" customWidth="1"/>
    <col min="2283" max="2284" width="12.81640625" style="141" customWidth="1"/>
    <col min="2285" max="2285" width="8.81640625" style="141" customWidth="1"/>
    <col min="2286" max="2287" width="12.81640625" style="141" customWidth="1"/>
    <col min="2288" max="2288" width="8.81640625" style="141" customWidth="1"/>
    <col min="2289" max="2290" width="12.81640625" style="141" customWidth="1"/>
    <col min="2291" max="2291" width="8.81640625" style="141" customWidth="1"/>
    <col min="2292" max="2293" width="12.81640625" style="141" customWidth="1"/>
    <col min="2294" max="2294" width="8.81640625" style="141" customWidth="1"/>
    <col min="2295" max="2296" width="12.81640625" style="141" customWidth="1"/>
    <col min="2297" max="2297" width="8.81640625" style="141" customWidth="1"/>
    <col min="2298" max="2298" width="3.81640625" style="141" customWidth="1"/>
    <col min="2299" max="2299" width="3.1796875" style="141" customWidth="1"/>
    <col min="2300" max="2300" width="9.1796875" style="141"/>
    <col min="2301" max="2301" width="12.1796875" style="141" customWidth="1"/>
    <col min="2302" max="2302" width="1.1796875" style="141" customWidth="1"/>
    <col min="2303" max="2304" width="12.81640625" style="141" customWidth="1"/>
    <col min="2305" max="2305" width="8.81640625" style="141" customWidth="1"/>
    <col min="2306" max="2307" width="12.81640625" style="141" customWidth="1"/>
    <col min="2308" max="2308" width="8.81640625" style="141" customWidth="1"/>
    <col min="2309" max="2310" width="12.81640625" style="141" customWidth="1"/>
    <col min="2311" max="2311" width="8.81640625" style="141" customWidth="1"/>
    <col min="2312" max="2313" width="12.81640625" style="141" customWidth="1"/>
    <col min="2314" max="2314" width="8.81640625" style="141" customWidth="1"/>
    <col min="2315" max="2316" width="12.81640625" style="141" customWidth="1"/>
    <col min="2317" max="2317" width="8.81640625" style="141" customWidth="1"/>
    <col min="2318" max="2318" width="14" style="141" bestFit="1" customWidth="1"/>
    <col min="2319" max="2319" width="12.81640625" style="141" customWidth="1"/>
    <col min="2320" max="2320" width="8.81640625" style="141" customWidth="1"/>
    <col min="2321" max="2322" width="12.81640625" style="141" customWidth="1"/>
    <col min="2323" max="2323" width="8.81640625" style="141" customWidth="1"/>
    <col min="2324" max="2324" width="5.1796875" style="141" customWidth="1"/>
    <col min="2325" max="2325" width="4.54296875" style="141" customWidth="1"/>
    <col min="2326" max="2530" width="9.1796875" style="141"/>
    <col min="2531" max="2531" width="12.81640625" style="141" customWidth="1"/>
    <col min="2532" max="2532" width="1" style="141" customWidth="1"/>
    <col min="2533" max="2534" width="12.81640625" style="141" customWidth="1"/>
    <col min="2535" max="2535" width="8.81640625" style="141" customWidth="1"/>
    <col min="2536" max="2537" width="12.81640625" style="141" customWidth="1"/>
    <col min="2538" max="2538" width="8.81640625" style="141" customWidth="1"/>
    <col min="2539" max="2540" width="12.81640625" style="141" customWidth="1"/>
    <col min="2541" max="2541" width="8.81640625" style="141" customWidth="1"/>
    <col min="2542" max="2543" width="12.81640625" style="141" customWidth="1"/>
    <col min="2544" max="2544" width="8.81640625" style="141" customWidth="1"/>
    <col min="2545" max="2546" width="12.81640625" style="141" customWidth="1"/>
    <col min="2547" max="2547" width="8.81640625" style="141" customWidth="1"/>
    <col min="2548" max="2549" width="12.81640625" style="141" customWidth="1"/>
    <col min="2550" max="2550" width="8.81640625" style="141" customWidth="1"/>
    <col min="2551" max="2552" width="12.81640625" style="141" customWidth="1"/>
    <col min="2553" max="2553" width="8.81640625" style="141" customWidth="1"/>
    <col min="2554" max="2554" width="3.81640625" style="141" customWidth="1"/>
    <col min="2555" max="2555" width="3.1796875" style="141" customWidth="1"/>
    <col min="2556" max="2556" width="9.1796875" style="141"/>
    <col min="2557" max="2557" width="12.1796875" style="141" customWidth="1"/>
    <col min="2558" max="2558" width="1.1796875" style="141" customWidth="1"/>
    <col min="2559" max="2560" width="12.81640625" style="141" customWidth="1"/>
    <col min="2561" max="2561" width="8.81640625" style="141" customWidth="1"/>
    <col min="2562" max="2563" width="12.81640625" style="141" customWidth="1"/>
    <col min="2564" max="2564" width="8.81640625" style="141" customWidth="1"/>
    <col min="2565" max="2566" width="12.81640625" style="141" customWidth="1"/>
    <col min="2567" max="2567" width="8.81640625" style="141" customWidth="1"/>
    <col min="2568" max="2569" width="12.81640625" style="141" customWidth="1"/>
    <col min="2570" max="2570" width="8.81640625" style="141" customWidth="1"/>
    <col min="2571" max="2572" width="12.81640625" style="141" customWidth="1"/>
    <col min="2573" max="2573" width="8.81640625" style="141" customWidth="1"/>
    <col min="2574" max="2574" width="14" style="141" bestFit="1" customWidth="1"/>
    <col min="2575" max="2575" width="12.81640625" style="141" customWidth="1"/>
    <col min="2576" max="2576" width="8.81640625" style="141" customWidth="1"/>
    <col min="2577" max="2578" width="12.81640625" style="141" customWidth="1"/>
    <col min="2579" max="2579" width="8.81640625" style="141" customWidth="1"/>
    <col min="2580" max="2580" width="5.1796875" style="141" customWidth="1"/>
    <col min="2581" max="2581" width="4.54296875" style="141" customWidth="1"/>
    <col min="2582" max="2786" width="9.1796875" style="141"/>
    <col min="2787" max="2787" width="12.81640625" style="141" customWidth="1"/>
    <col min="2788" max="2788" width="1" style="141" customWidth="1"/>
    <col min="2789" max="2790" width="12.81640625" style="141" customWidth="1"/>
    <col min="2791" max="2791" width="8.81640625" style="141" customWidth="1"/>
    <col min="2792" max="2793" width="12.81640625" style="141" customWidth="1"/>
    <col min="2794" max="2794" width="8.81640625" style="141" customWidth="1"/>
    <col min="2795" max="2796" width="12.81640625" style="141" customWidth="1"/>
    <col min="2797" max="2797" width="8.81640625" style="141" customWidth="1"/>
    <col min="2798" max="2799" width="12.81640625" style="141" customWidth="1"/>
    <col min="2800" max="2800" width="8.81640625" style="141" customWidth="1"/>
    <col min="2801" max="2802" width="12.81640625" style="141" customWidth="1"/>
    <col min="2803" max="2803" width="8.81640625" style="141" customWidth="1"/>
    <col min="2804" max="2805" width="12.81640625" style="141" customWidth="1"/>
    <col min="2806" max="2806" width="8.81640625" style="141" customWidth="1"/>
    <col min="2807" max="2808" width="12.81640625" style="141" customWidth="1"/>
    <col min="2809" max="2809" width="8.81640625" style="141" customWidth="1"/>
    <col min="2810" max="2810" width="3.81640625" style="141" customWidth="1"/>
    <col min="2811" max="2811" width="3.1796875" style="141" customWidth="1"/>
    <col min="2812" max="2812" width="9.1796875" style="141"/>
    <col min="2813" max="2813" width="12.1796875" style="141" customWidth="1"/>
    <col min="2814" max="2814" width="1.1796875" style="141" customWidth="1"/>
    <col min="2815" max="2816" width="12.81640625" style="141" customWidth="1"/>
    <col min="2817" max="2817" width="8.81640625" style="141" customWidth="1"/>
    <col min="2818" max="2819" width="12.81640625" style="141" customWidth="1"/>
    <col min="2820" max="2820" width="8.81640625" style="141" customWidth="1"/>
    <col min="2821" max="2822" width="12.81640625" style="141" customWidth="1"/>
    <col min="2823" max="2823" width="8.81640625" style="141" customWidth="1"/>
    <col min="2824" max="2825" width="12.81640625" style="141" customWidth="1"/>
    <col min="2826" max="2826" width="8.81640625" style="141" customWidth="1"/>
    <col min="2827" max="2828" width="12.81640625" style="141" customWidth="1"/>
    <col min="2829" max="2829" width="8.81640625" style="141" customWidth="1"/>
    <col min="2830" max="2830" width="14" style="141" bestFit="1" customWidth="1"/>
    <col min="2831" max="2831" width="12.81640625" style="141" customWidth="1"/>
    <col min="2832" max="2832" width="8.81640625" style="141" customWidth="1"/>
    <col min="2833" max="2834" width="12.81640625" style="141" customWidth="1"/>
    <col min="2835" max="2835" width="8.81640625" style="141" customWidth="1"/>
    <col min="2836" max="2836" width="5.1796875" style="141" customWidth="1"/>
    <col min="2837" max="2837" width="4.54296875" style="141" customWidth="1"/>
    <col min="2838" max="3042" width="9.1796875" style="141"/>
    <col min="3043" max="3043" width="12.81640625" style="141" customWidth="1"/>
    <col min="3044" max="3044" width="1" style="141" customWidth="1"/>
    <col min="3045" max="3046" width="12.81640625" style="141" customWidth="1"/>
    <col min="3047" max="3047" width="8.81640625" style="141" customWidth="1"/>
    <col min="3048" max="3049" width="12.81640625" style="141" customWidth="1"/>
    <col min="3050" max="3050" width="8.81640625" style="141" customWidth="1"/>
    <col min="3051" max="3052" width="12.81640625" style="141" customWidth="1"/>
    <col min="3053" max="3053" width="8.81640625" style="141" customWidth="1"/>
    <col min="3054" max="3055" width="12.81640625" style="141" customWidth="1"/>
    <col min="3056" max="3056" width="8.81640625" style="141" customWidth="1"/>
    <col min="3057" max="3058" width="12.81640625" style="141" customWidth="1"/>
    <col min="3059" max="3059" width="8.81640625" style="141" customWidth="1"/>
    <col min="3060" max="3061" width="12.81640625" style="141" customWidth="1"/>
    <col min="3062" max="3062" width="8.81640625" style="141" customWidth="1"/>
    <col min="3063" max="3064" width="12.81640625" style="141" customWidth="1"/>
    <col min="3065" max="3065" width="8.81640625" style="141" customWidth="1"/>
    <col min="3066" max="3066" width="3.81640625" style="141" customWidth="1"/>
    <col min="3067" max="3067" width="3.1796875" style="141" customWidth="1"/>
    <col min="3068" max="3068" width="9.1796875" style="141"/>
    <col min="3069" max="3069" width="12.1796875" style="141" customWidth="1"/>
    <col min="3070" max="3070" width="1.1796875" style="141" customWidth="1"/>
    <col min="3071" max="3072" width="12.81640625" style="141" customWidth="1"/>
    <col min="3073" max="3073" width="8.81640625" style="141" customWidth="1"/>
    <col min="3074" max="3075" width="12.81640625" style="141" customWidth="1"/>
    <col min="3076" max="3076" width="8.81640625" style="141" customWidth="1"/>
    <col min="3077" max="3078" width="12.81640625" style="141" customWidth="1"/>
    <col min="3079" max="3079" width="8.81640625" style="141" customWidth="1"/>
    <col min="3080" max="3081" width="12.81640625" style="141" customWidth="1"/>
    <col min="3082" max="3082" width="8.81640625" style="141" customWidth="1"/>
    <col min="3083" max="3084" width="12.81640625" style="141" customWidth="1"/>
    <col min="3085" max="3085" width="8.81640625" style="141" customWidth="1"/>
    <col min="3086" max="3086" width="14" style="141" bestFit="1" customWidth="1"/>
    <col min="3087" max="3087" width="12.81640625" style="141" customWidth="1"/>
    <col min="3088" max="3088" width="8.81640625" style="141" customWidth="1"/>
    <col min="3089" max="3090" width="12.81640625" style="141" customWidth="1"/>
    <col min="3091" max="3091" width="8.81640625" style="141" customWidth="1"/>
    <col min="3092" max="3092" width="5.1796875" style="141" customWidth="1"/>
    <col min="3093" max="3093" width="4.54296875" style="141" customWidth="1"/>
    <col min="3094" max="3298" width="9.1796875" style="141"/>
    <col min="3299" max="3299" width="12.81640625" style="141" customWidth="1"/>
    <col min="3300" max="3300" width="1" style="141" customWidth="1"/>
    <col min="3301" max="3302" width="12.81640625" style="141" customWidth="1"/>
    <col min="3303" max="3303" width="8.81640625" style="141" customWidth="1"/>
    <col min="3304" max="3305" width="12.81640625" style="141" customWidth="1"/>
    <col min="3306" max="3306" width="8.81640625" style="141" customWidth="1"/>
    <col min="3307" max="3308" width="12.81640625" style="141" customWidth="1"/>
    <col min="3309" max="3309" width="8.81640625" style="141" customWidth="1"/>
    <col min="3310" max="3311" width="12.81640625" style="141" customWidth="1"/>
    <col min="3312" max="3312" width="8.81640625" style="141" customWidth="1"/>
    <col min="3313" max="3314" width="12.81640625" style="141" customWidth="1"/>
    <col min="3315" max="3315" width="8.81640625" style="141" customWidth="1"/>
    <col min="3316" max="3317" width="12.81640625" style="141" customWidth="1"/>
    <col min="3318" max="3318" width="8.81640625" style="141" customWidth="1"/>
    <col min="3319" max="3320" width="12.81640625" style="141" customWidth="1"/>
    <col min="3321" max="3321" width="8.81640625" style="141" customWidth="1"/>
    <col min="3322" max="3322" width="3.81640625" style="141" customWidth="1"/>
    <col min="3323" max="3323" width="3.1796875" style="141" customWidth="1"/>
    <col min="3324" max="3324" width="9.1796875" style="141"/>
    <col min="3325" max="3325" width="12.1796875" style="141" customWidth="1"/>
    <col min="3326" max="3326" width="1.1796875" style="141" customWidth="1"/>
    <col min="3327" max="3328" width="12.81640625" style="141" customWidth="1"/>
    <col min="3329" max="3329" width="8.81640625" style="141" customWidth="1"/>
    <col min="3330" max="3331" width="12.81640625" style="141" customWidth="1"/>
    <col min="3332" max="3332" width="8.81640625" style="141" customWidth="1"/>
    <col min="3333" max="3334" width="12.81640625" style="141" customWidth="1"/>
    <col min="3335" max="3335" width="8.81640625" style="141" customWidth="1"/>
    <col min="3336" max="3337" width="12.81640625" style="141" customWidth="1"/>
    <col min="3338" max="3338" width="8.81640625" style="141" customWidth="1"/>
    <col min="3339" max="3340" width="12.81640625" style="141" customWidth="1"/>
    <col min="3341" max="3341" width="8.81640625" style="141" customWidth="1"/>
    <col min="3342" max="3342" width="14" style="141" bestFit="1" customWidth="1"/>
    <col min="3343" max="3343" width="12.81640625" style="141" customWidth="1"/>
    <col min="3344" max="3344" width="8.81640625" style="141" customWidth="1"/>
    <col min="3345" max="3346" width="12.81640625" style="141" customWidth="1"/>
    <col min="3347" max="3347" width="8.81640625" style="141" customWidth="1"/>
    <col min="3348" max="3348" width="5.1796875" style="141" customWidth="1"/>
    <col min="3349" max="3349" width="4.54296875" style="141" customWidth="1"/>
    <col min="3350" max="3554" width="9.1796875" style="141"/>
    <col min="3555" max="3555" width="12.81640625" style="141" customWidth="1"/>
    <col min="3556" max="3556" width="1" style="141" customWidth="1"/>
    <col min="3557" max="3558" width="12.81640625" style="141" customWidth="1"/>
    <col min="3559" max="3559" width="8.81640625" style="141" customWidth="1"/>
    <col min="3560" max="3561" width="12.81640625" style="141" customWidth="1"/>
    <col min="3562" max="3562" width="8.81640625" style="141" customWidth="1"/>
    <col min="3563" max="3564" width="12.81640625" style="141" customWidth="1"/>
    <col min="3565" max="3565" width="8.81640625" style="141" customWidth="1"/>
    <col min="3566" max="3567" width="12.81640625" style="141" customWidth="1"/>
    <col min="3568" max="3568" width="8.81640625" style="141" customWidth="1"/>
    <col min="3569" max="3570" width="12.81640625" style="141" customWidth="1"/>
    <col min="3571" max="3571" width="8.81640625" style="141" customWidth="1"/>
    <col min="3572" max="3573" width="12.81640625" style="141" customWidth="1"/>
    <col min="3574" max="3574" width="8.81640625" style="141" customWidth="1"/>
    <col min="3575" max="3576" width="12.81640625" style="141" customWidth="1"/>
    <col min="3577" max="3577" width="8.81640625" style="141" customWidth="1"/>
    <col min="3578" max="3578" width="3.81640625" style="141" customWidth="1"/>
    <col min="3579" max="3579" width="3.1796875" style="141" customWidth="1"/>
    <col min="3580" max="3580" width="9.1796875" style="141"/>
    <col min="3581" max="3581" width="12.1796875" style="141" customWidth="1"/>
    <col min="3582" max="3582" width="1.1796875" style="141" customWidth="1"/>
    <col min="3583" max="3584" width="12.81640625" style="141" customWidth="1"/>
    <col min="3585" max="3585" width="8.81640625" style="141" customWidth="1"/>
    <col min="3586" max="3587" width="12.81640625" style="141" customWidth="1"/>
    <col min="3588" max="3588" width="8.81640625" style="141" customWidth="1"/>
    <col min="3589" max="3590" width="12.81640625" style="141" customWidth="1"/>
    <col min="3591" max="3591" width="8.81640625" style="141" customWidth="1"/>
    <col min="3592" max="3593" width="12.81640625" style="141" customWidth="1"/>
    <col min="3594" max="3594" width="8.81640625" style="141" customWidth="1"/>
    <col min="3595" max="3596" width="12.81640625" style="141" customWidth="1"/>
    <col min="3597" max="3597" width="8.81640625" style="141" customWidth="1"/>
    <col min="3598" max="3598" width="14" style="141" bestFit="1" customWidth="1"/>
    <col min="3599" max="3599" width="12.81640625" style="141" customWidth="1"/>
    <col min="3600" max="3600" width="8.81640625" style="141" customWidth="1"/>
    <col min="3601" max="3602" width="12.81640625" style="141" customWidth="1"/>
    <col min="3603" max="3603" width="8.81640625" style="141" customWidth="1"/>
    <col min="3604" max="3604" width="5.1796875" style="141" customWidth="1"/>
    <col min="3605" max="3605" width="4.54296875" style="141" customWidth="1"/>
    <col min="3606" max="3810" width="9.1796875" style="141"/>
    <col min="3811" max="3811" width="12.81640625" style="141" customWidth="1"/>
    <col min="3812" max="3812" width="1" style="141" customWidth="1"/>
    <col min="3813" max="3814" width="12.81640625" style="141" customWidth="1"/>
    <col min="3815" max="3815" width="8.81640625" style="141" customWidth="1"/>
    <col min="3816" max="3817" width="12.81640625" style="141" customWidth="1"/>
    <col min="3818" max="3818" width="8.81640625" style="141" customWidth="1"/>
    <col min="3819" max="3820" width="12.81640625" style="141" customWidth="1"/>
    <col min="3821" max="3821" width="8.81640625" style="141" customWidth="1"/>
    <col min="3822" max="3823" width="12.81640625" style="141" customWidth="1"/>
    <col min="3824" max="3824" width="8.81640625" style="141" customWidth="1"/>
    <col min="3825" max="3826" width="12.81640625" style="141" customWidth="1"/>
    <col min="3827" max="3827" width="8.81640625" style="141" customWidth="1"/>
    <col min="3828" max="3829" width="12.81640625" style="141" customWidth="1"/>
    <col min="3830" max="3830" width="8.81640625" style="141" customWidth="1"/>
    <col min="3831" max="3832" width="12.81640625" style="141" customWidth="1"/>
    <col min="3833" max="3833" width="8.81640625" style="141" customWidth="1"/>
    <col min="3834" max="3834" width="3.81640625" style="141" customWidth="1"/>
    <col min="3835" max="3835" width="3.1796875" style="141" customWidth="1"/>
    <col min="3836" max="3836" width="9.1796875" style="141"/>
    <col min="3837" max="3837" width="12.1796875" style="141" customWidth="1"/>
    <col min="3838" max="3838" width="1.1796875" style="141" customWidth="1"/>
    <col min="3839" max="3840" width="12.81640625" style="141" customWidth="1"/>
    <col min="3841" max="3841" width="8.81640625" style="141" customWidth="1"/>
    <col min="3842" max="3843" width="12.81640625" style="141" customWidth="1"/>
    <col min="3844" max="3844" width="8.81640625" style="141" customWidth="1"/>
    <col min="3845" max="3846" width="12.81640625" style="141" customWidth="1"/>
    <col min="3847" max="3847" width="8.81640625" style="141" customWidth="1"/>
    <col min="3848" max="3849" width="12.81640625" style="141" customWidth="1"/>
    <col min="3850" max="3850" width="8.81640625" style="141" customWidth="1"/>
    <col min="3851" max="3852" width="12.81640625" style="141" customWidth="1"/>
    <col min="3853" max="3853" width="8.81640625" style="141" customWidth="1"/>
    <col min="3854" max="3854" width="14" style="141" bestFit="1" customWidth="1"/>
    <col min="3855" max="3855" width="12.81640625" style="141" customWidth="1"/>
    <col min="3856" max="3856" width="8.81640625" style="141" customWidth="1"/>
    <col min="3857" max="3858" width="12.81640625" style="141" customWidth="1"/>
    <col min="3859" max="3859" width="8.81640625" style="141" customWidth="1"/>
    <col min="3860" max="3860" width="5.1796875" style="141" customWidth="1"/>
    <col min="3861" max="3861" width="4.54296875" style="141" customWidth="1"/>
    <col min="3862" max="4066" width="9.1796875" style="141"/>
    <col min="4067" max="4067" width="12.81640625" style="141" customWidth="1"/>
    <col min="4068" max="4068" width="1" style="141" customWidth="1"/>
    <col min="4069" max="4070" width="12.81640625" style="141" customWidth="1"/>
    <col min="4071" max="4071" width="8.81640625" style="141" customWidth="1"/>
    <col min="4072" max="4073" width="12.81640625" style="141" customWidth="1"/>
    <col min="4074" max="4074" width="8.81640625" style="141" customWidth="1"/>
    <col min="4075" max="4076" width="12.81640625" style="141" customWidth="1"/>
    <col min="4077" max="4077" width="8.81640625" style="141" customWidth="1"/>
    <col min="4078" max="4079" width="12.81640625" style="141" customWidth="1"/>
    <col min="4080" max="4080" width="8.81640625" style="141" customWidth="1"/>
    <col min="4081" max="4082" width="12.81640625" style="141" customWidth="1"/>
    <col min="4083" max="4083" width="8.81640625" style="141" customWidth="1"/>
    <col min="4084" max="4085" width="12.81640625" style="141" customWidth="1"/>
    <col min="4086" max="4086" width="8.81640625" style="141" customWidth="1"/>
    <col min="4087" max="4088" width="12.81640625" style="141" customWidth="1"/>
    <col min="4089" max="4089" width="8.81640625" style="141" customWidth="1"/>
    <col min="4090" max="4090" width="3.81640625" style="141" customWidth="1"/>
    <col min="4091" max="4091" width="3.1796875" style="141" customWidth="1"/>
    <col min="4092" max="4092" width="9.1796875" style="141"/>
    <col min="4093" max="4093" width="12.1796875" style="141" customWidth="1"/>
    <col min="4094" max="4094" width="1.1796875" style="141" customWidth="1"/>
    <col min="4095" max="4096" width="12.81640625" style="141" customWidth="1"/>
    <col min="4097" max="4097" width="8.81640625" style="141" customWidth="1"/>
    <col min="4098" max="4099" width="12.81640625" style="141" customWidth="1"/>
    <col min="4100" max="4100" width="8.81640625" style="141" customWidth="1"/>
    <col min="4101" max="4102" width="12.81640625" style="141" customWidth="1"/>
    <col min="4103" max="4103" width="8.81640625" style="141" customWidth="1"/>
    <col min="4104" max="4105" width="12.81640625" style="141" customWidth="1"/>
    <col min="4106" max="4106" width="8.81640625" style="141" customWidth="1"/>
    <col min="4107" max="4108" width="12.81640625" style="141" customWidth="1"/>
    <col min="4109" max="4109" width="8.81640625" style="141" customWidth="1"/>
    <col min="4110" max="4110" width="14" style="141" bestFit="1" customWidth="1"/>
    <col min="4111" max="4111" width="12.81640625" style="141" customWidth="1"/>
    <col min="4112" max="4112" width="8.81640625" style="141" customWidth="1"/>
    <col min="4113" max="4114" width="12.81640625" style="141" customWidth="1"/>
    <col min="4115" max="4115" width="8.81640625" style="141" customWidth="1"/>
    <col min="4116" max="4116" width="5.1796875" style="141" customWidth="1"/>
    <col min="4117" max="4117" width="4.54296875" style="141" customWidth="1"/>
    <col min="4118" max="4322" width="9.1796875" style="141"/>
    <col min="4323" max="4323" width="12.81640625" style="141" customWidth="1"/>
    <col min="4324" max="4324" width="1" style="141" customWidth="1"/>
    <col min="4325" max="4326" width="12.81640625" style="141" customWidth="1"/>
    <col min="4327" max="4327" width="8.81640625" style="141" customWidth="1"/>
    <col min="4328" max="4329" width="12.81640625" style="141" customWidth="1"/>
    <col min="4330" max="4330" width="8.81640625" style="141" customWidth="1"/>
    <col min="4331" max="4332" width="12.81640625" style="141" customWidth="1"/>
    <col min="4333" max="4333" width="8.81640625" style="141" customWidth="1"/>
    <col min="4334" max="4335" width="12.81640625" style="141" customWidth="1"/>
    <col min="4336" max="4336" width="8.81640625" style="141" customWidth="1"/>
    <col min="4337" max="4338" width="12.81640625" style="141" customWidth="1"/>
    <col min="4339" max="4339" width="8.81640625" style="141" customWidth="1"/>
    <col min="4340" max="4341" width="12.81640625" style="141" customWidth="1"/>
    <col min="4342" max="4342" width="8.81640625" style="141" customWidth="1"/>
    <col min="4343" max="4344" width="12.81640625" style="141" customWidth="1"/>
    <col min="4345" max="4345" width="8.81640625" style="141" customWidth="1"/>
    <col min="4346" max="4346" width="3.81640625" style="141" customWidth="1"/>
    <col min="4347" max="4347" width="3.1796875" style="141" customWidth="1"/>
    <col min="4348" max="4348" width="9.1796875" style="141"/>
    <col min="4349" max="4349" width="12.1796875" style="141" customWidth="1"/>
    <col min="4350" max="4350" width="1.1796875" style="141" customWidth="1"/>
    <col min="4351" max="4352" width="12.81640625" style="141" customWidth="1"/>
    <col min="4353" max="4353" width="8.81640625" style="141" customWidth="1"/>
    <col min="4354" max="4355" width="12.81640625" style="141" customWidth="1"/>
    <col min="4356" max="4356" width="8.81640625" style="141" customWidth="1"/>
    <col min="4357" max="4358" width="12.81640625" style="141" customWidth="1"/>
    <col min="4359" max="4359" width="8.81640625" style="141" customWidth="1"/>
    <col min="4360" max="4361" width="12.81640625" style="141" customWidth="1"/>
    <col min="4362" max="4362" width="8.81640625" style="141" customWidth="1"/>
    <col min="4363" max="4364" width="12.81640625" style="141" customWidth="1"/>
    <col min="4365" max="4365" width="8.81640625" style="141" customWidth="1"/>
    <col min="4366" max="4366" width="14" style="141" bestFit="1" customWidth="1"/>
    <col min="4367" max="4367" width="12.81640625" style="141" customWidth="1"/>
    <col min="4368" max="4368" width="8.81640625" style="141" customWidth="1"/>
    <col min="4369" max="4370" width="12.81640625" style="141" customWidth="1"/>
    <col min="4371" max="4371" width="8.81640625" style="141" customWidth="1"/>
    <col min="4372" max="4372" width="5.1796875" style="141" customWidth="1"/>
    <col min="4373" max="4373" width="4.54296875" style="141" customWidth="1"/>
    <col min="4374" max="4578" width="9.1796875" style="141"/>
    <col min="4579" max="4579" width="12.81640625" style="141" customWidth="1"/>
    <col min="4580" max="4580" width="1" style="141" customWidth="1"/>
    <col min="4581" max="4582" width="12.81640625" style="141" customWidth="1"/>
    <col min="4583" max="4583" width="8.81640625" style="141" customWidth="1"/>
    <col min="4584" max="4585" width="12.81640625" style="141" customWidth="1"/>
    <col min="4586" max="4586" width="8.81640625" style="141" customWidth="1"/>
    <col min="4587" max="4588" width="12.81640625" style="141" customWidth="1"/>
    <col min="4589" max="4589" width="8.81640625" style="141" customWidth="1"/>
    <col min="4590" max="4591" width="12.81640625" style="141" customWidth="1"/>
    <col min="4592" max="4592" width="8.81640625" style="141" customWidth="1"/>
    <col min="4593" max="4594" width="12.81640625" style="141" customWidth="1"/>
    <col min="4595" max="4595" width="8.81640625" style="141" customWidth="1"/>
    <col min="4596" max="4597" width="12.81640625" style="141" customWidth="1"/>
    <col min="4598" max="4598" width="8.81640625" style="141" customWidth="1"/>
    <col min="4599" max="4600" width="12.81640625" style="141" customWidth="1"/>
    <col min="4601" max="4601" width="8.81640625" style="141" customWidth="1"/>
    <col min="4602" max="4602" width="3.81640625" style="141" customWidth="1"/>
    <col min="4603" max="4603" width="3.1796875" style="141" customWidth="1"/>
    <col min="4604" max="4604" width="9.1796875" style="141"/>
    <col min="4605" max="4605" width="12.1796875" style="141" customWidth="1"/>
    <col min="4606" max="4606" width="1.1796875" style="141" customWidth="1"/>
    <col min="4607" max="4608" width="12.81640625" style="141" customWidth="1"/>
    <col min="4609" max="4609" width="8.81640625" style="141" customWidth="1"/>
    <col min="4610" max="4611" width="12.81640625" style="141" customWidth="1"/>
    <col min="4612" max="4612" width="8.81640625" style="141" customWidth="1"/>
    <col min="4613" max="4614" width="12.81640625" style="141" customWidth="1"/>
    <col min="4615" max="4615" width="8.81640625" style="141" customWidth="1"/>
    <col min="4616" max="4617" width="12.81640625" style="141" customWidth="1"/>
    <col min="4618" max="4618" width="8.81640625" style="141" customWidth="1"/>
    <col min="4619" max="4620" width="12.81640625" style="141" customWidth="1"/>
    <col min="4621" max="4621" width="8.81640625" style="141" customWidth="1"/>
    <col min="4622" max="4622" width="14" style="141" bestFit="1" customWidth="1"/>
    <col min="4623" max="4623" width="12.81640625" style="141" customWidth="1"/>
    <col min="4624" max="4624" width="8.81640625" style="141" customWidth="1"/>
    <col min="4625" max="4626" width="12.81640625" style="141" customWidth="1"/>
    <col min="4627" max="4627" width="8.81640625" style="141" customWidth="1"/>
    <col min="4628" max="4628" width="5.1796875" style="141" customWidth="1"/>
    <col min="4629" max="4629" width="4.54296875" style="141" customWidth="1"/>
    <col min="4630" max="4834" width="9.1796875" style="141"/>
    <col min="4835" max="4835" width="12.81640625" style="141" customWidth="1"/>
    <col min="4836" max="4836" width="1" style="141" customWidth="1"/>
    <col min="4837" max="4838" width="12.81640625" style="141" customWidth="1"/>
    <col min="4839" max="4839" width="8.81640625" style="141" customWidth="1"/>
    <col min="4840" max="4841" width="12.81640625" style="141" customWidth="1"/>
    <col min="4842" max="4842" width="8.81640625" style="141" customWidth="1"/>
    <col min="4843" max="4844" width="12.81640625" style="141" customWidth="1"/>
    <col min="4845" max="4845" width="8.81640625" style="141" customWidth="1"/>
    <col min="4846" max="4847" width="12.81640625" style="141" customWidth="1"/>
    <col min="4848" max="4848" width="8.81640625" style="141" customWidth="1"/>
    <col min="4849" max="4850" width="12.81640625" style="141" customWidth="1"/>
    <col min="4851" max="4851" width="8.81640625" style="141" customWidth="1"/>
    <col min="4852" max="4853" width="12.81640625" style="141" customWidth="1"/>
    <col min="4854" max="4854" width="8.81640625" style="141" customWidth="1"/>
    <col min="4855" max="4856" width="12.81640625" style="141" customWidth="1"/>
    <col min="4857" max="4857" width="8.81640625" style="141" customWidth="1"/>
    <col min="4858" max="4858" width="3.81640625" style="141" customWidth="1"/>
    <col min="4859" max="4859" width="3.1796875" style="141" customWidth="1"/>
    <col min="4860" max="4860" width="9.1796875" style="141"/>
    <col min="4861" max="4861" width="12.1796875" style="141" customWidth="1"/>
    <col min="4862" max="4862" width="1.1796875" style="141" customWidth="1"/>
    <col min="4863" max="4864" width="12.81640625" style="141" customWidth="1"/>
    <col min="4865" max="4865" width="8.81640625" style="141" customWidth="1"/>
    <col min="4866" max="4867" width="12.81640625" style="141" customWidth="1"/>
    <col min="4868" max="4868" width="8.81640625" style="141" customWidth="1"/>
    <col min="4869" max="4870" width="12.81640625" style="141" customWidth="1"/>
    <col min="4871" max="4871" width="8.81640625" style="141" customWidth="1"/>
    <col min="4872" max="4873" width="12.81640625" style="141" customWidth="1"/>
    <col min="4874" max="4874" width="8.81640625" style="141" customWidth="1"/>
    <col min="4875" max="4876" width="12.81640625" style="141" customWidth="1"/>
    <col min="4877" max="4877" width="8.81640625" style="141" customWidth="1"/>
    <col min="4878" max="4878" width="14" style="141" bestFit="1" customWidth="1"/>
    <col min="4879" max="4879" width="12.81640625" style="141" customWidth="1"/>
    <col min="4880" max="4880" width="8.81640625" style="141" customWidth="1"/>
    <col min="4881" max="4882" width="12.81640625" style="141" customWidth="1"/>
    <col min="4883" max="4883" width="8.81640625" style="141" customWidth="1"/>
    <col min="4884" max="4884" width="5.1796875" style="141" customWidth="1"/>
    <col min="4885" max="4885" width="4.54296875" style="141" customWidth="1"/>
    <col min="4886" max="5090" width="9.1796875" style="141"/>
    <col min="5091" max="5091" width="12.81640625" style="141" customWidth="1"/>
    <col min="5092" max="5092" width="1" style="141" customWidth="1"/>
    <col min="5093" max="5094" width="12.81640625" style="141" customWidth="1"/>
    <col min="5095" max="5095" width="8.81640625" style="141" customWidth="1"/>
    <col min="5096" max="5097" width="12.81640625" style="141" customWidth="1"/>
    <col min="5098" max="5098" width="8.81640625" style="141" customWidth="1"/>
    <col min="5099" max="5100" width="12.81640625" style="141" customWidth="1"/>
    <col min="5101" max="5101" width="8.81640625" style="141" customWidth="1"/>
    <col min="5102" max="5103" width="12.81640625" style="141" customWidth="1"/>
    <col min="5104" max="5104" width="8.81640625" style="141" customWidth="1"/>
    <col min="5105" max="5106" width="12.81640625" style="141" customWidth="1"/>
    <col min="5107" max="5107" width="8.81640625" style="141" customWidth="1"/>
    <col min="5108" max="5109" width="12.81640625" style="141" customWidth="1"/>
    <col min="5110" max="5110" width="8.81640625" style="141" customWidth="1"/>
    <col min="5111" max="5112" width="12.81640625" style="141" customWidth="1"/>
    <col min="5113" max="5113" width="8.81640625" style="141" customWidth="1"/>
    <col min="5114" max="5114" width="3.81640625" style="141" customWidth="1"/>
    <col min="5115" max="5115" width="3.1796875" style="141" customWidth="1"/>
    <col min="5116" max="5116" width="9.1796875" style="141"/>
    <col min="5117" max="5117" width="12.1796875" style="141" customWidth="1"/>
    <col min="5118" max="5118" width="1.1796875" style="141" customWidth="1"/>
    <col min="5119" max="5120" width="12.81640625" style="141" customWidth="1"/>
    <col min="5121" max="5121" width="8.81640625" style="141" customWidth="1"/>
    <col min="5122" max="5123" width="12.81640625" style="141" customWidth="1"/>
    <col min="5124" max="5124" width="8.81640625" style="141" customWidth="1"/>
    <col min="5125" max="5126" width="12.81640625" style="141" customWidth="1"/>
    <col min="5127" max="5127" width="8.81640625" style="141" customWidth="1"/>
    <col min="5128" max="5129" width="12.81640625" style="141" customWidth="1"/>
    <col min="5130" max="5130" width="8.81640625" style="141" customWidth="1"/>
    <col min="5131" max="5132" width="12.81640625" style="141" customWidth="1"/>
    <col min="5133" max="5133" width="8.81640625" style="141" customWidth="1"/>
    <col min="5134" max="5134" width="14" style="141" bestFit="1" customWidth="1"/>
    <col min="5135" max="5135" width="12.81640625" style="141" customWidth="1"/>
    <col min="5136" max="5136" width="8.81640625" style="141" customWidth="1"/>
    <col min="5137" max="5138" width="12.81640625" style="141" customWidth="1"/>
    <col min="5139" max="5139" width="8.81640625" style="141" customWidth="1"/>
    <col min="5140" max="5140" width="5.1796875" style="141" customWidth="1"/>
    <col min="5141" max="5141" width="4.54296875" style="141" customWidth="1"/>
    <col min="5142" max="5346" width="9.1796875" style="141"/>
    <col min="5347" max="5347" width="12.81640625" style="141" customWidth="1"/>
    <col min="5348" max="5348" width="1" style="141" customWidth="1"/>
    <col min="5349" max="5350" width="12.81640625" style="141" customWidth="1"/>
    <col min="5351" max="5351" width="8.81640625" style="141" customWidth="1"/>
    <col min="5352" max="5353" width="12.81640625" style="141" customWidth="1"/>
    <col min="5354" max="5354" width="8.81640625" style="141" customWidth="1"/>
    <col min="5355" max="5356" width="12.81640625" style="141" customWidth="1"/>
    <col min="5357" max="5357" width="8.81640625" style="141" customWidth="1"/>
    <col min="5358" max="5359" width="12.81640625" style="141" customWidth="1"/>
    <col min="5360" max="5360" width="8.81640625" style="141" customWidth="1"/>
    <col min="5361" max="5362" width="12.81640625" style="141" customWidth="1"/>
    <col min="5363" max="5363" width="8.81640625" style="141" customWidth="1"/>
    <col min="5364" max="5365" width="12.81640625" style="141" customWidth="1"/>
    <col min="5366" max="5366" width="8.81640625" style="141" customWidth="1"/>
    <col min="5367" max="5368" width="12.81640625" style="141" customWidth="1"/>
    <col min="5369" max="5369" width="8.81640625" style="141" customWidth="1"/>
    <col min="5370" max="5370" width="3.81640625" style="141" customWidth="1"/>
    <col min="5371" max="5371" width="3.1796875" style="141" customWidth="1"/>
    <col min="5372" max="5372" width="9.1796875" style="141"/>
    <col min="5373" max="5373" width="12.1796875" style="141" customWidth="1"/>
    <col min="5374" max="5374" width="1.1796875" style="141" customWidth="1"/>
    <col min="5375" max="5376" width="12.81640625" style="141" customWidth="1"/>
    <col min="5377" max="5377" width="8.81640625" style="141" customWidth="1"/>
    <col min="5378" max="5379" width="12.81640625" style="141" customWidth="1"/>
    <col min="5380" max="5380" width="8.81640625" style="141" customWidth="1"/>
    <col min="5381" max="5382" width="12.81640625" style="141" customWidth="1"/>
    <col min="5383" max="5383" width="8.81640625" style="141" customWidth="1"/>
    <col min="5384" max="5385" width="12.81640625" style="141" customWidth="1"/>
    <col min="5386" max="5386" width="8.81640625" style="141" customWidth="1"/>
    <col min="5387" max="5388" width="12.81640625" style="141" customWidth="1"/>
    <col min="5389" max="5389" width="8.81640625" style="141" customWidth="1"/>
    <col min="5390" max="5390" width="14" style="141" bestFit="1" customWidth="1"/>
    <col min="5391" max="5391" width="12.81640625" style="141" customWidth="1"/>
    <col min="5392" max="5392" width="8.81640625" style="141" customWidth="1"/>
    <col min="5393" max="5394" width="12.81640625" style="141" customWidth="1"/>
    <col min="5395" max="5395" width="8.81640625" style="141" customWidth="1"/>
    <col min="5396" max="5396" width="5.1796875" style="141" customWidth="1"/>
    <col min="5397" max="5397" width="4.54296875" style="141" customWidth="1"/>
    <col min="5398" max="5602" width="9.1796875" style="141"/>
    <col min="5603" max="5603" width="12.81640625" style="141" customWidth="1"/>
    <col min="5604" max="5604" width="1" style="141" customWidth="1"/>
    <col min="5605" max="5606" width="12.81640625" style="141" customWidth="1"/>
    <col min="5607" max="5607" width="8.81640625" style="141" customWidth="1"/>
    <col min="5608" max="5609" width="12.81640625" style="141" customWidth="1"/>
    <col min="5610" max="5610" width="8.81640625" style="141" customWidth="1"/>
    <col min="5611" max="5612" width="12.81640625" style="141" customWidth="1"/>
    <col min="5613" max="5613" width="8.81640625" style="141" customWidth="1"/>
    <col min="5614" max="5615" width="12.81640625" style="141" customWidth="1"/>
    <col min="5616" max="5616" width="8.81640625" style="141" customWidth="1"/>
    <col min="5617" max="5618" width="12.81640625" style="141" customWidth="1"/>
    <col min="5619" max="5619" width="8.81640625" style="141" customWidth="1"/>
    <col min="5620" max="5621" width="12.81640625" style="141" customWidth="1"/>
    <col min="5622" max="5622" width="8.81640625" style="141" customWidth="1"/>
    <col min="5623" max="5624" width="12.81640625" style="141" customWidth="1"/>
    <col min="5625" max="5625" width="8.81640625" style="141" customWidth="1"/>
    <col min="5626" max="5626" width="3.81640625" style="141" customWidth="1"/>
    <col min="5627" max="5627" width="3.1796875" style="141" customWidth="1"/>
    <col min="5628" max="5628" width="9.1796875" style="141"/>
    <col min="5629" max="5629" width="12.1796875" style="141" customWidth="1"/>
    <col min="5630" max="5630" width="1.1796875" style="141" customWidth="1"/>
    <col min="5631" max="5632" width="12.81640625" style="141" customWidth="1"/>
    <col min="5633" max="5633" width="8.81640625" style="141" customWidth="1"/>
    <col min="5634" max="5635" width="12.81640625" style="141" customWidth="1"/>
    <col min="5636" max="5636" width="8.81640625" style="141" customWidth="1"/>
    <col min="5637" max="5638" width="12.81640625" style="141" customWidth="1"/>
    <col min="5639" max="5639" width="8.81640625" style="141" customWidth="1"/>
    <col min="5640" max="5641" width="12.81640625" style="141" customWidth="1"/>
    <col min="5642" max="5642" width="8.81640625" style="141" customWidth="1"/>
    <col min="5643" max="5644" width="12.81640625" style="141" customWidth="1"/>
    <col min="5645" max="5645" width="8.81640625" style="141" customWidth="1"/>
    <col min="5646" max="5646" width="14" style="141" bestFit="1" customWidth="1"/>
    <col min="5647" max="5647" width="12.81640625" style="141" customWidth="1"/>
    <col min="5648" max="5648" width="8.81640625" style="141" customWidth="1"/>
    <col min="5649" max="5650" width="12.81640625" style="141" customWidth="1"/>
    <col min="5651" max="5651" width="8.81640625" style="141" customWidth="1"/>
    <col min="5652" max="5652" width="5.1796875" style="141" customWidth="1"/>
    <col min="5653" max="5653" width="4.54296875" style="141" customWidth="1"/>
    <col min="5654" max="5858" width="9.1796875" style="141"/>
    <col min="5859" max="5859" width="12.81640625" style="141" customWidth="1"/>
    <col min="5860" max="5860" width="1" style="141" customWidth="1"/>
    <col min="5861" max="5862" width="12.81640625" style="141" customWidth="1"/>
    <col min="5863" max="5863" width="8.81640625" style="141" customWidth="1"/>
    <col min="5864" max="5865" width="12.81640625" style="141" customWidth="1"/>
    <col min="5866" max="5866" width="8.81640625" style="141" customWidth="1"/>
    <col min="5867" max="5868" width="12.81640625" style="141" customWidth="1"/>
    <col min="5869" max="5869" width="8.81640625" style="141" customWidth="1"/>
    <col min="5870" max="5871" width="12.81640625" style="141" customWidth="1"/>
    <col min="5872" max="5872" width="8.81640625" style="141" customWidth="1"/>
    <col min="5873" max="5874" width="12.81640625" style="141" customWidth="1"/>
    <col min="5875" max="5875" width="8.81640625" style="141" customWidth="1"/>
    <col min="5876" max="5877" width="12.81640625" style="141" customWidth="1"/>
    <col min="5878" max="5878" width="8.81640625" style="141" customWidth="1"/>
    <col min="5879" max="5880" width="12.81640625" style="141" customWidth="1"/>
    <col min="5881" max="5881" width="8.81640625" style="141" customWidth="1"/>
    <col min="5882" max="5882" width="3.81640625" style="141" customWidth="1"/>
    <col min="5883" max="5883" width="3.1796875" style="141" customWidth="1"/>
    <col min="5884" max="5884" width="9.1796875" style="141"/>
    <col min="5885" max="5885" width="12.1796875" style="141" customWidth="1"/>
    <col min="5886" max="5886" width="1.1796875" style="141" customWidth="1"/>
    <col min="5887" max="5888" width="12.81640625" style="141" customWidth="1"/>
    <col min="5889" max="5889" width="8.81640625" style="141" customWidth="1"/>
    <col min="5890" max="5891" width="12.81640625" style="141" customWidth="1"/>
    <col min="5892" max="5892" width="8.81640625" style="141" customWidth="1"/>
    <col min="5893" max="5894" width="12.81640625" style="141" customWidth="1"/>
    <col min="5895" max="5895" width="8.81640625" style="141" customWidth="1"/>
    <col min="5896" max="5897" width="12.81640625" style="141" customWidth="1"/>
    <col min="5898" max="5898" width="8.81640625" style="141" customWidth="1"/>
    <col min="5899" max="5900" width="12.81640625" style="141" customWidth="1"/>
    <col min="5901" max="5901" width="8.81640625" style="141" customWidth="1"/>
    <col min="5902" max="5902" width="14" style="141" bestFit="1" customWidth="1"/>
    <col min="5903" max="5903" width="12.81640625" style="141" customWidth="1"/>
    <col min="5904" max="5904" width="8.81640625" style="141" customWidth="1"/>
    <col min="5905" max="5906" width="12.81640625" style="141" customWidth="1"/>
    <col min="5907" max="5907" width="8.81640625" style="141" customWidth="1"/>
    <col min="5908" max="5908" width="5.1796875" style="141" customWidth="1"/>
    <col min="5909" max="5909" width="4.54296875" style="141" customWidth="1"/>
    <col min="5910" max="6114" width="9.1796875" style="141"/>
    <col min="6115" max="6115" width="12.81640625" style="141" customWidth="1"/>
    <col min="6116" max="6116" width="1" style="141" customWidth="1"/>
    <col min="6117" max="6118" width="12.81640625" style="141" customWidth="1"/>
    <col min="6119" max="6119" width="8.81640625" style="141" customWidth="1"/>
    <col min="6120" max="6121" width="12.81640625" style="141" customWidth="1"/>
    <col min="6122" max="6122" width="8.81640625" style="141" customWidth="1"/>
    <col min="6123" max="6124" width="12.81640625" style="141" customWidth="1"/>
    <col min="6125" max="6125" width="8.81640625" style="141" customWidth="1"/>
    <col min="6126" max="6127" width="12.81640625" style="141" customWidth="1"/>
    <col min="6128" max="6128" width="8.81640625" style="141" customWidth="1"/>
    <col min="6129" max="6130" width="12.81640625" style="141" customWidth="1"/>
    <col min="6131" max="6131" width="8.81640625" style="141" customWidth="1"/>
    <col min="6132" max="6133" width="12.81640625" style="141" customWidth="1"/>
    <col min="6134" max="6134" width="8.81640625" style="141" customWidth="1"/>
    <col min="6135" max="6136" width="12.81640625" style="141" customWidth="1"/>
    <col min="6137" max="6137" width="8.81640625" style="141" customWidth="1"/>
    <col min="6138" max="6138" width="3.81640625" style="141" customWidth="1"/>
    <col min="6139" max="6139" width="3.1796875" style="141" customWidth="1"/>
    <col min="6140" max="6140" width="9.1796875" style="141"/>
    <col min="6141" max="6141" width="12.1796875" style="141" customWidth="1"/>
    <col min="6142" max="6142" width="1.1796875" style="141" customWidth="1"/>
    <col min="6143" max="6144" width="12.81640625" style="141" customWidth="1"/>
    <col min="6145" max="6145" width="8.81640625" style="141" customWidth="1"/>
    <col min="6146" max="6147" width="12.81640625" style="141" customWidth="1"/>
    <col min="6148" max="6148" width="8.81640625" style="141" customWidth="1"/>
    <col min="6149" max="6150" width="12.81640625" style="141" customWidth="1"/>
    <col min="6151" max="6151" width="8.81640625" style="141" customWidth="1"/>
    <col min="6152" max="6153" width="12.81640625" style="141" customWidth="1"/>
    <col min="6154" max="6154" width="8.81640625" style="141" customWidth="1"/>
    <col min="6155" max="6156" width="12.81640625" style="141" customWidth="1"/>
    <col min="6157" max="6157" width="8.81640625" style="141" customWidth="1"/>
    <col min="6158" max="6158" width="14" style="141" bestFit="1" customWidth="1"/>
    <col min="6159" max="6159" width="12.81640625" style="141" customWidth="1"/>
    <col min="6160" max="6160" width="8.81640625" style="141" customWidth="1"/>
    <col min="6161" max="6162" width="12.81640625" style="141" customWidth="1"/>
    <col min="6163" max="6163" width="8.81640625" style="141" customWidth="1"/>
    <col min="6164" max="6164" width="5.1796875" style="141" customWidth="1"/>
    <col min="6165" max="6165" width="4.54296875" style="141" customWidth="1"/>
    <col min="6166" max="6370" width="9.1796875" style="141"/>
    <col min="6371" max="6371" width="12.81640625" style="141" customWidth="1"/>
    <col min="6372" max="6372" width="1" style="141" customWidth="1"/>
    <col min="6373" max="6374" width="12.81640625" style="141" customWidth="1"/>
    <col min="6375" max="6375" width="8.81640625" style="141" customWidth="1"/>
    <col min="6376" max="6377" width="12.81640625" style="141" customWidth="1"/>
    <col min="6378" max="6378" width="8.81640625" style="141" customWidth="1"/>
    <col min="6379" max="6380" width="12.81640625" style="141" customWidth="1"/>
    <col min="6381" max="6381" width="8.81640625" style="141" customWidth="1"/>
    <col min="6382" max="6383" width="12.81640625" style="141" customWidth="1"/>
    <col min="6384" max="6384" width="8.81640625" style="141" customWidth="1"/>
    <col min="6385" max="6386" width="12.81640625" style="141" customWidth="1"/>
    <col min="6387" max="6387" width="8.81640625" style="141" customWidth="1"/>
    <col min="6388" max="6389" width="12.81640625" style="141" customWidth="1"/>
    <col min="6390" max="6390" width="8.81640625" style="141" customWidth="1"/>
    <col min="6391" max="6392" width="12.81640625" style="141" customWidth="1"/>
    <col min="6393" max="6393" width="8.81640625" style="141" customWidth="1"/>
    <col min="6394" max="6394" width="3.81640625" style="141" customWidth="1"/>
    <col min="6395" max="6395" width="3.1796875" style="141" customWidth="1"/>
    <col min="6396" max="6396" width="9.1796875" style="141"/>
    <col min="6397" max="6397" width="12.1796875" style="141" customWidth="1"/>
    <col min="6398" max="6398" width="1.1796875" style="141" customWidth="1"/>
    <col min="6399" max="6400" width="12.81640625" style="141" customWidth="1"/>
    <col min="6401" max="6401" width="8.81640625" style="141" customWidth="1"/>
    <col min="6402" max="6403" width="12.81640625" style="141" customWidth="1"/>
    <col min="6404" max="6404" width="8.81640625" style="141" customWidth="1"/>
    <col min="6405" max="6406" width="12.81640625" style="141" customWidth="1"/>
    <col min="6407" max="6407" width="8.81640625" style="141" customWidth="1"/>
    <col min="6408" max="6409" width="12.81640625" style="141" customWidth="1"/>
    <col min="6410" max="6410" width="8.81640625" style="141" customWidth="1"/>
    <col min="6411" max="6412" width="12.81640625" style="141" customWidth="1"/>
    <col min="6413" max="6413" width="8.81640625" style="141" customWidth="1"/>
    <col min="6414" max="6414" width="14" style="141" bestFit="1" customWidth="1"/>
    <col min="6415" max="6415" width="12.81640625" style="141" customWidth="1"/>
    <col min="6416" max="6416" width="8.81640625" style="141" customWidth="1"/>
    <col min="6417" max="6418" width="12.81640625" style="141" customWidth="1"/>
    <col min="6419" max="6419" width="8.81640625" style="141" customWidth="1"/>
    <col min="6420" max="6420" width="5.1796875" style="141" customWidth="1"/>
    <col min="6421" max="6421" width="4.54296875" style="141" customWidth="1"/>
    <col min="6422" max="6626" width="9.1796875" style="141"/>
    <col min="6627" max="6627" width="12.81640625" style="141" customWidth="1"/>
    <col min="6628" max="6628" width="1" style="141" customWidth="1"/>
    <col min="6629" max="6630" width="12.81640625" style="141" customWidth="1"/>
    <col min="6631" max="6631" width="8.81640625" style="141" customWidth="1"/>
    <col min="6632" max="6633" width="12.81640625" style="141" customWidth="1"/>
    <col min="6634" max="6634" width="8.81640625" style="141" customWidth="1"/>
    <col min="6635" max="6636" width="12.81640625" style="141" customWidth="1"/>
    <col min="6637" max="6637" width="8.81640625" style="141" customWidth="1"/>
    <col min="6638" max="6639" width="12.81640625" style="141" customWidth="1"/>
    <col min="6640" max="6640" width="8.81640625" style="141" customWidth="1"/>
    <col min="6641" max="6642" width="12.81640625" style="141" customWidth="1"/>
    <col min="6643" max="6643" width="8.81640625" style="141" customWidth="1"/>
    <col min="6644" max="6645" width="12.81640625" style="141" customWidth="1"/>
    <col min="6646" max="6646" width="8.81640625" style="141" customWidth="1"/>
    <col min="6647" max="6648" width="12.81640625" style="141" customWidth="1"/>
    <col min="6649" max="6649" width="8.81640625" style="141" customWidth="1"/>
    <col min="6650" max="6650" width="3.81640625" style="141" customWidth="1"/>
    <col min="6651" max="6651" width="3.1796875" style="141" customWidth="1"/>
    <col min="6652" max="6652" width="9.1796875" style="141"/>
    <col min="6653" max="6653" width="12.1796875" style="141" customWidth="1"/>
    <col min="6654" max="6654" width="1.1796875" style="141" customWidth="1"/>
    <col min="6655" max="6656" width="12.81640625" style="141" customWidth="1"/>
    <col min="6657" max="6657" width="8.81640625" style="141" customWidth="1"/>
    <col min="6658" max="6659" width="12.81640625" style="141" customWidth="1"/>
    <col min="6660" max="6660" width="8.81640625" style="141" customWidth="1"/>
    <col min="6661" max="6662" width="12.81640625" style="141" customWidth="1"/>
    <col min="6663" max="6663" width="8.81640625" style="141" customWidth="1"/>
    <col min="6664" max="6665" width="12.81640625" style="141" customWidth="1"/>
    <col min="6666" max="6666" width="8.81640625" style="141" customWidth="1"/>
    <col min="6667" max="6668" width="12.81640625" style="141" customWidth="1"/>
    <col min="6669" max="6669" width="8.81640625" style="141" customWidth="1"/>
    <col min="6670" max="6670" width="14" style="141" bestFit="1" customWidth="1"/>
    <col min="6671" max="6671" width="12.81640625" style="141" customWidth="1"/>
    <col min="6672" max="6672" width="8.81640625" style="141" customWidth="1"/>
    <col min="6673" max="6674" width="12.81640625" style="141" customWidth="1"/>
    <col min="6675" max="6675" width="8.81640625" style="141" customWidth="1"/>
    <col min="6676" max="6676" width="5.1796875" style="141" customWidth="1"/>
    <col min="6677" max="6677" width="4.54296875" style="141" customWidth="1"/>
    <col min="6678" max="6882" width="9.1796875" style="141"/>
    <col min="6883" max="6883" width="12.81640625" style="141" customWidth="1"/>
    <col min="6884" max="6884" width="1" style="141" customWidth="1"/>
    <col min="6885" max="6886" width="12.81640625" style="141" customWidth="1"/>
    <col min="6887" max="6887" width="8.81640625" style="141" customWidth="1"/>
    <col min="6888" max="6889" width="12.81640625" style="141" customWidth="1"/>
    <col min="6890" max="6890" width="8.81640625" style="141" customWidth="1"/>
    <col min="6891" max="6892" width="12.81640625" style="141" customWidth="1"/>
    <col min="6893" max="6893" width="8.81640625" style="141" customWidth="1"/>
    <col min="6894" max="6895" width="12.81640625" style="141" customWidth="1"/>
    <col min="6896" max="6896" width="8.81640625" style="141" customWidth="1"/>
    <col min="6897" max="6898" width="12.81640625" style="141" customWidth="1"/>
    <col min="6899" max="6899" width="8.81640625" style="141" customWidth="1"/>
    <col min="6900" max="6901" width="12.81640625" style="141" customWidth="1"/>
    <col min="6902" max="6902" width="8.81640625" style="141" customWidth="1"/>
    <col min="6903" max="6904" width="12.81640625" style="141" customWidth="1"/>
    <col min="6905" max="6905" width="8.81640625" style="141" customWidth="1"/>
    <col min="6906" max="6906" width="3.81640625" style="141" customWidth="1"/>
    <col min="6907" max="6907" width="3.1796875" style="141" customWidth="1"/>
    <col min="6908" max="6908" width="9.1796875" style="141"/>
    <col min="6909" max="6909" width="12.1796875" style="141" customWidth="1"/>
    <col min="6910" max="6910" width="1.1796875" style="141" customWidth="1"/>
    <col min="6911" max="6912" width="12.81640625" style="141" customWidth="1"/>
    <col min="6913" max="6913" width="8.81640625" style="141" customWidth="1"/>
    <col min="6914" max="6915" width="12.81640625" style="141" customWidth="1"/>
    <col min="6916" max="6916" width="8.81640625" style="141" customWidth="1"/>
    <col min="6917" max="6918" width="12.81640625" style="141" customWidth="1"/>
    <col min="6919" max="6919" width="8.81640625" style="141" customWidth="1"/>
    <col min="6920" max="6921" width="12.81640625" style="141" customWidth="1"/>
    <col min="6922" max="6922" width="8.81640625" style="141" customWidth="1"/>
    <col min="6923" max="6924" width="12.81640625" style="141" customWidth="1"/>
    <col min="6925" max="6925" width="8.81640625" style="141" customWidth="1"/>
    <col min="6926" max="6926" width="14" style="141" bestFit="1" customWidth="1"/>
    <col min="6927" max="6927" width="12.81640625" style="141" customWidth="1"/>
    <col min="6928" max="6928" width="8.81640625" style="141" customWidth="1"/>
    <col min="6929" max="6930" width="12.81640625" style="141" customWidth="1"/>
    <col min="6931" max="6931" width="8.81640625" style="141" customWidth="1"/>
    <col min="6932" max="6932" width="5.1796875" style="141" customWidth="1"/>
    <col min="6933" max="6933" width="4.54296875" style="141" customWidth="1"/>
    <col min="6934" max="7138" width="9.1796875" style="141"/>
    <col min="7139" max="7139" width="12.81640625" style="141" customWidth="1"/>
    <col min="7140" max="7140" width="1" style="141" customWidth="1"/>
    <col min="7141" max="7142" width="12.81640625" style="141" customWidth="1"/>
    <col min="7143" max="7143" width="8.81640625" style="141" customWidth="1"/>
    <col min="7144" max="7145" width="12.81640625" style="141" customWidth="1"/>
    <col min="7146" max="7146" width="8.81640625" style="141" customWidth="1"/>
    <col min="7147" max="7148" width="12.81640625" style="141" customWidth="1"/>
    <col min="7149" max="7149" width="8.81640625" style="141" customWidth="1"/>
    <col min="7150" max="7151" width="12.81640625" style="141" customWidth="1"/>
    <col min="7152" max="7152" width="8.81640625" style="141" customWidth="1"/>
    <col min="7153" max="7154" width="12.81640625" style="141" customWidth="1"/>
    <col min="7155" max="7155" width="8.81640625" style="141" customWidth="1"/>
    <col min="7156" max="7157" width="12.81640625" style="141" customWidth="1"/>
    <col min="7158" max="7158" width="8.81640625" style="141" customWidth="1"/>
    <col min="7159" max="7160" width="12.81640625" style="141" customWidth="1"/>
    <col min="7161" max="7161" width="8.81640625" style="141" customWidth="1"/>
    <col min="7162" max="7162" width="3.81640625" style="141" customWidth="1"/>
    <col min="7163" max="7163" width="3.1796875" style="141" customWidth="1"/>
    <col min="7164" max="7164" width="9.1796875" style="141"/>
    <col min="7165" max="7165" width="12.1796875" style="141" customWidth="1"/>
    <col min="7166" max="7166" width="1.1796875" style="141" customWidth="1"/>
    <col min="7167" max="7168" width="12.81640625" style="141" customWidth="1"/>
    <col min="7169" max="7169" width="8.81640625" style="141" customWidth="1"/>
    <col min="7170" max="7171" width="12.81640625" style="141" customWidth="1"/>
    <col min="7172" max="7172" width="8.81640625" style="141" customWidth="1"/>
    <col min="7173" max="7174" width="12.81640625" style="141" customWidth="1"/>
    <col min="7175" max="7175" width="8.81640625" style="141" customWidth="1"/>
    <col min="7176" max="7177" width="12.81640625" style="141" customWidth="1"/>
    <col min="7178" max="7178" width="8.81640625" style="141" customWidth="1"/>
    <col min="7179" max="7180" width="12.81640625" style="141" customWidth="1"/>
    <col min="7181" max="7181" width="8.81640625" style="141" customWidth="1"/>
    <col min="7182" max="7182" width="14" style="141" bestFit="1" customWidth="1"/>
    <col min="7183" max="7183" width="12.81640625" style="141" customWidth="1"/>
    <col min="7184" max="7184" width="8.81640625" style="141" customWidth="1"/>
    <col min="7185" max="7186" width="12.81640625" style="141" customWidth="1"/>
    <col min="7187" max="7187" width="8.81640625" style="141" customWidth="1"/>
    <col min="7188" max="7188" width="5.1796875" style="141" customWidth="1"/>
    <col min="7189" max="7189" width="4.54296875" style="141" customWidth="1"/>
    <col min="7190" max="7394" width="9.1796875" style="141"/>
    <col min="7395" max="7395" width="12.81640625" style="141" customWidth="1"/>
    <col min="7396" max="7396" width="1" style="141" customWidth="1"/>
    <col min="7397" max="7398" width="12.81640625" style="141" customWidth="1"/>
    <col min="7399" max="7399" width="8.81640625" style="141" customWidth="1"/>
    <col min="7400" max="7401" width="12.81640625" style="141" customWidth="1"/>
    <col min="7402" max="7402" width="8.81640625" style="141" customWidth="1"/>
    <col min="7403" max="7404" width="12.81640625" style="141" customWidth="1"/>
    <col min="7405" max="7405" width="8.81640625" style="141" customWidth="1"/>
    <col min="7406" max="7407" width="12.81640625" style="141" customWidth="1"/>
    <col min="7408" max="7408" width="8.81640625" style="141" customWidth="1"/>
    <col min="7409" max="7410" width="12.81640625" style="141" customWidth="1"/>
    <col min="7411" max="7411" width="8.81640625" style="141" customWidth="1"/>
    <col min="7412" max="7413" width="12.81640625" style="141" customWidth="1"/>
    <col min="7414" max="7414" width="8.81640625" style="141" customWidth="1"/>
    <col min="7415" max="7416" width="12.81640625" style="141" customWidth="1"/>
    <col min="7417" max="7417" width="8.81640625" style="141" customWidth="1"/>
    <col min="7418" max="7418" width="3.81640625" style="141" customWidth="1"/>
    <col min="7419" max="7419" width="3.1796875" style="141" customWidth="1"/>
    <col min="7420" max="7420" width="9.1796875" style="141"/>
    <col min="7421" max="7421" width="12.1796875" style="141" customWidth="1"/>
    <col min="7422" max="7422" width="1.1796875" style="141" customWidth="1"/>
    <col min="7423" max="7424" width="12.81640625" style="141" customWidth="1"/>
    <col min="7425" max="7425" width="8.81640625" style="141" customWidth="1"/>
    <col min="7426" max="7427" width="12.81640625" style="141" customWidth="1"/>
    <col min="7428" max="7428" width="8.81640625" style="141" customWidth="1"/>
    <col min="7429" max="7430" width="12.81640625" style="141" customWidth="1"/>
    <col min="7431" max="7431" width="8.81640625" style="141" customWidth="1"/>
    <col min="7432" max="7433" width="12.81640625" style="141" customWidth="1"/>
    <col min="7434" max="7434" width="8.81640625" style="141" customWidth="1"/>
    <col min="7435" max="7436" width="12.81640625" style="141" customWidth="1"/>
    <col min="7437" max="7437" width="8.81640625" style="141" customWidth="1"/>
    <col min="7438" max="7438" width="14" style="141" bestFit="1" customWidth="1"/>
    <col min="7439" max="7439" width="12.81640625" style="141" customWidth="1"/>
    <col min="7440" max="7440" width="8.81640625" style="141" customWidth="1"/>
    <col min="7441" max="7442" width="12.81640625" style="141" customWidth="1"/>
    <col min="7443" max="7443" width="8.81640625" style="141" customWidth="1"/>
    <col min="7444" max="7444" width="5.1796875" style="141" customWidth="1"/>
    <col min="7445" max="7445" width="4.54296875" style="141" customWidth="1"/>
    <col min="7446" max="7650" width="9.1796875" style="141"/>
    <col min="7651" max="7651" width="12.81640625" style="141" customWidth="1"/>
    <col min="7652" max="7652" width="1" style="141" customWidth="1"/>
    <col min="7653" max="7654" width="12.81640625" style="141" customWidth="1"/>
    <col min="7655" max="7655" width="8.81640625" style="141" customWidth="1"/>
    <col min="7656" max="7657" width="12.81640625" style="141" customWidth="1"/>
    <col min="7658" max="7658" width="8.81640625" style="141" customWidth="1"/>
    <col min="7659" max="7660" width="12.81640625" style="141" customWidth="1"/>
    <col min="7661" max="7661" width="8.81640625" style="141" customWidth="1"/>
    <col min="7662" max="7663" width="12.81640625" style="141" customWidth="1"/>
    <col min="7664" max="7664" width="8.81640625" style="141" customWidth="1"/>
    <col min="7665" max="7666" width="12.81640625" style="141" customWidth="1"/>
    <col min="7667" max="7667" width="8.81640625" style="141" customWidth="1"/>
    <col min="7668" max="7669" width="12.81640625" style="141" customWidth="1"/>
    <col min="7670" max="7670" width="8.81640625" style="141" customWidth="1"/>
    <col min="7671" max="7672" width="12.81640625" style="141" customWidth="1"/>
    <col min="7673" max="7673" width="8.81640625" style="141" customWidth="1"/>
    <col min="7674" max="7674" width="3.81640625" style="141" customWidth="1"/>
    <col min="7675" max="7675" width="3.1796875" style="141" customWidth="1"/>
    <col min="7676" max="7676" width="9.1796875" style="141"/>
    <col min="7677" max="7677" width="12.1796875" style="141" customWidth="1"/>
    <col min="7678" max="7678" width="1.1796875" style="141" customWidth="1"/>
    <col min="7679" max="7680" width="12.81640625" style="141" customWidth="1"/>
    <col min="7681" max="7681" width="8.81640625" style="141" customWidth="1"/>
    <col min="7682" max="7683" width="12.81640625" style="141" customWidth="1"/>
    <col min="7684" max="7684" width="8.81640625" style="141" customWidth="1"/>
    <col min="7685" max="7686" width="12.81640625" style="141" customWidth="1"/>
    <col min="7687" max="7687" width="8.81640625" style="141" customWidth="1"/>
    <col min="7688" max="7689" width="12.81640625" style="141" customWidth="1"/>
    <col min="7690" max="7690" width="8.81640625" style="141" customWidth="1"/>
    <col min="7691" max="7692" width="12.81640625" style="141" customWidth="1"/>
    <col min="7693" max="7693" width="8.81640625" style="141" customWidth="1"/>
    <col min="7694" max="7694" width="14" style="141" bestFit="1" customWidth="1"/>
    <col min="7695" max="7695" width="12.81640625" style="141" customWidth="1"/>
    <col min="7696" max="7696" width="8.81640625" style="141" customWidth="1"/>
    <col min="7697" max="7698" width="12.81640625" style="141" customWidth="1"/>
    <col min="7699" max="7699" width="8.81640625" style="141" customWidth="1"/>
    <col min="7700" max="7700" width="5.1796875" style="141" customWidth="1"/>
    <col min="7701" max="7701" width="4.54296875" style="141" customWidth="1"/>
    <col min="7702" max="7906" width="9.1796875" style="141"/>
    <col min="7907" max="7907" width="12.81640625" style="141" customWidth="1"/>
    <col min="7908" max="7908" width="1" style="141" customWidth="1"/>
    <col min="7909" max="7910" width="12.81640625" style="141" customWidth="1"/>
    <col min="7911" max="7911" width="8.81640625" style="141" customWidth="1"/>
    <col min="7912" max="7913" width="12.81640625" style="141" customWidth="1"/>
    <col min="7914" max="7914" width="8.81640625" style="141" customWidth="1"/>
    <col min="7915" max="7916" width="12.81640625" style="141" customWidth="1"/>
    <col min="7917" max="7917" width="8.81640625" style="141" customWidth="1"/>
    <col min="7918" max="7919" width="12.81640625" style="141" customWidth="1"/>
    <col min="7920" max="7920" width="8.81640625" style="141" customWidth="1"/>
    <col min="7921" max="7922" width="12.81640625" style="141" customWidth="1"/>
    <col min="7923" max="7923" width="8.81640625" style="141" customWidth="1"/>
    <col min="7924" max="7925" width="12.81640625" style="141" customWidth="1"/>
    <col min="7926" max="7926" width="8.81640625" style="141" customWidth="1"/>
    <col min="7927" max="7928" width="12.81640625" style="141" customWidth="1"/>
    <col min="7929" max="7929" width="8.81640625" style="141" customWidth="1"/>
    <col min="7930" max="7930" width="3.81640625" style="141" customWidth="1"/>
    <col min="7931" max="7931" width="3.1796875" style="141" customWidth="1"/>
    <col min="7932" max="7932" width="9.1796875" style="141"/>
    <col min="7933" max="7933" width="12.1796875" style="141" customWidth="1"/>
    <col min="7934" max="7934" width="1.1796875" style="141" customWidth="1"/>
    <col min="7935" max="7936" width="12.81640625" style="141" customWidth="1"/>
    <col min="7937" max="7937" width="8.81640625" style="141" customWidth="1"/>
    <col min="7938" max="7939" width="12.81640625" style="141" customWidth="1"/>
    <col min="7940" max="7940" width="8.81640625" style="141" customWidth="1"/>
    <col min="7941" max="7942" width="12.81640625" style="141" customWidth="1"/>
    <col min="7943" max="7943" width="8.81640625" style="141" customWidth="1"/>
    <col min="7944" max="7945" width="12.81640625" style="141" customWidth="1"/>
    <col min="7946" max="7946" width="8.81640625" style="141" customWidth="1"/>
    <col min="7947" max="7948" width="12.81640625" style="141" customWidth="1"/>
    <col min="7949" max="7949" width="8.81640625" style="141" customWidth="1"/>
    <col min="7950" max="7950" width="14" style="141" bestFit="1" customWidth="1"/>
    <col min="7951" max="7951" width="12.81640625" style="141" customWidth="1"/>
    <col min="7952" max="7952" width="8.81640625" style="141" customWidth="1"/>
    <col min="7953" max="7954" width="12.81640625" style="141" customWidth="1"/>
    <col min="7955" max="7955" width="8.81640625" style="141" customWidth="1"/>
    <col min="7956" max="7956" width="5.1796875" style="141" customWidth="1"/>
    <col min="7957" max="7957" width="4.54296875" style="141" customWidth="1"/>
    <col min="7958" max="8162" width="9.1796875" style="141"/>
    <col min="8163" max="8163" width="12.81640625" style="141" customWidth="1"/>
    <col min="8164" max="8164" width="1" style="141" customWidth="1"/>
    <col min="8165" max="8166" width="12.81640625" style="141" customWidth="1"/>
    <col min="8167" max="8167" width="8.81640625" style="141" customWidth="1"/>
    <col min="8168" max="8169" width="12.81640625" style="141" customWidth="1"/>
    <col min="8170" max="8170" width="8.81640625" style="141" customWidth="1"/>
    <col min="8171" max="8172" width="12.81640625" style="141" customWidth="1"/>
    <col min="8173" max="8173" width="8.81640625" style="141" customWidth="1"/>
    <col min="8174" max="8175" width="12.81640625" style="141" customWidth="1"/>
    <col min="8176" max="8176" width="8.81640625" style="141" customWidth="1"/>
    <col min="8177" max="8178" width="12.81640625" style="141" customWidth="1"/>
    <col min="8179" max="8179" width="8.81640625" style="141" customWidth="1"/>
    <col min="8180" max="8181" width="12.81640625" style="141" customWidth="1"/>
    <col min="8182" max="8182" width="8.81640625" style="141" customWidth="1"/>
    <col min="8183" max="8184" width="12.81640625" style="141" customWidth="1"/>
    <col min="8185" max="8185" width="8.81640625" style="141" customWidth="1"/>
    <col min="8186" max="8186" width="3.81640625" style="141" customWidth="1"/>
    <col min="8187" max="8187" width="3.1796875" style="141" customWidth="1"/>
    <col min="8188" max="8188" width="9.1796875" style="141"/>
    <col min="8189" max="8189" width="12.1796875" style="141" customWidth="1"/>
    <col min="8190" max="8190" width="1.1796875" style="141" customWidth="1"/>
    <col min="8191" max="8192" width="12.81640625" style="141" customWidth="1"/>
    <col min="8193" max="8193" width="8.81640625" style="141" customWidth="1"/>
    <col min="8194" max="8195" width="12.81640625" style="141" customWidth="1"/>
    <col min="8196" max="8196" width="8.81640625" style="141" customWidth="1"/>
    <col min="8197" max="8198" width="12.81640625" style="141" customWidth="1"/>
    <col min="8199" max="8199" width="8.81640625" style="141" customWidth="1"/>
    <col min="8200" max="8201" width="12.81640625" style="141" customWidth="1"/>
    <col min="8202" max="8202" width="8.81640625" style="141" customWidth="1"/>
    <col min="8203" max="8204" width="12.81640625" style="141" customWidth="1"/>
    <col min="8205" max="8205" width="8.81640625" style="141" customWidth="1"/>
    <col min="8206" max="8206" width="14" style="141" bestFit="1" customWidth="1"/>
    <col min="8207" max="8207" width="12.81640625" style="141" customWidth="1"/>
    <col min="8208" max="8208" width="8.81640625" style="141" customWidth="1"/>
    <col min="8209" max="8210" width="12.81640625" style="141" customWidth="1"/>
    <col min="8211" max="8211" width="8.81640625" style="141" customWidth="1"/>
    <col min="8212" max="8212" width="5.1796875" style="141" customWidth="1"/>
    <col min="8213" max="8213" width="4.54296875" style="141" customWidth="1"/>
    <col min="8214" max="8418" width="9.1796875" style="141"/>
    <col min="8419" max="8419" width="12.81640625" style="141" customWidth="1"/>
    <col min="8420" max="8420" width="1" style="141" customWidth="1"/>
    <col min="8421" max="8422" width="12.81640625" style="141" customWidth="1"/>
    <col min="8423" max="8423" width="8.81640625" style="141" customWidth="1"/>
    <col min="8424" max="8425" width="12.81640625" style="141" customWidth="1"/>
    <col min="8426" max="8426" width="8.81640625" style="141" customWidth="1"/>
    <col min="8427" max="8428" width="12.81640625" style="141" customWidth="1"/>
    <col min="8429" max="8429" width="8.81640625" style="141" customWidth="1"/>
    <col min="8430" max="8431" width="12.81640625" style="141" customWidth="1"/>
    <col min="8432" max="8432" width="8.81640625" style="141" customWidth="1"/>
    <col min="8433" max="8434" width="12.81640625" style="141" customWidth="1"/>
    <col min="8435" max="8435" width="8.81640625" style="141" customWidth="1"/>
    <col min="8436" max="8437" width="12.81640625" style="141" customWidth="1"/>
    <col min="8438" max="8438" width="8.81640625" style="141" customWidth="1"/>
    <col min="8439" max="8440" width="12.81640625" style="141" customWidth="1"/>
    <col min="8441" max="8441" width="8.81640625" style="141" customWidth="1"/>
    <col min="8442" max="8442" width="3.81640625" style="141" customWidth="1"/>
    <col min="8443" max="8443" width="3.1796875" style="141" customWidth="1"/>
    <col min="8444" max="8444" width="9.1796875" style="141"/>
    <col min="8445" max="8445" width="12.1796875" style="141" customWidth="1"/>
    <col min="8446" max="8446" width="1.1796875" style="141" customWidth="1"/>
    <col min="8447" max="8448" width="12.81640625" style="141" customWidth="1"/>
    <col min="8449" max="8449" width="8.81640625" style="141" customWidth="1"/>
    <col min="8450" max="8451" width="12.81640625" style="141" customWidth="1"/>
    <col min="8452" max="8452" width="8.81640625" style="141" customWidth="1"/>
    <col min="8453" max="8454" width="12.81640625" style="141" customWidth="1"/>
    <col min="8455" max="8455" width="8.81640625" style="141" customWidth="1"/>
    <col min="8456" max="8457" width="12.81640625" style="141" customWidth="1"/>
    <col min="8458" max="8458" width="8.81640625" style="141" customWidth="1"/>
    <col min="8459" max="8460" width="12.81640625" style="141" customWidth="1"/>
    <col min="8461" max="8461" width="8.81640625" style="141" customWidth="1"/>
    <col min="8462" max="8462" width="14" style="141" bestFit="1" customWidth="1"/>
    <col min="8463" max="8463" width="12.81640625" style="141" customWidth="1"/>
    <col min="8464" max="8464" width="8.81640625" style="141" customWidth="1"/>
    <col min="8465" max="8466" width="12.81640625" style="141" customWidth="1"/>
    <col min="8467" max="8467" width="8.81640625" style="141" customWidth="1"/>
    <col min="8468" max="8468" width="5.1796875" style="141" customWidth="1"/>
    <col min="8469" max="8469" width="4.54296875" style="141" customWidth="1"/>
    <col min="8470" max="8674" width="9.1796875" style="141"/>
    <col min="8675" max="8675" width="12.81640625" style="141" customWidth="1"/>
    <col min="8676" max="8676" width="1" style="141" customWidth="1"/>
    <col min="8677" max="8678" width="12.81640625" style="141" customWidth="1"/>
    <col min="8679" max="8679" width="8.81640625" style="141" customWidth="1"/>
    <col min="8680" max="8681" width="12.81640625" style="141" customWidth="1"/>
    <col min="8682" max="8682" width="8.81640625" style="141" customWidth="1"/>
    <col min="8683" max="8684" width="12.81640625" style="141" customWidth="1"/>
    <col min="8685" max="8685" width="8.81640625" style="141" customWidth="1"/>
    <col min="8686" max="8687" width="12.81640625" style="141" customWidth="1"/>
    <col min="8688" max="8688" width="8.81640625" style="141" customWidth="1"/>
    <col min="8689" max="8690" width="12.81640625" style="141" customWidth="1"/>
    <col min="8691" max="8691" width="8.81640625" style="141" customWidth="1"/>
    <col min="8692" max="8693" width="12.81640625" style="141" customWidth="1"/>
    <col min="8694" max="8694" width="8.81640625" style="141" customWidth="1"/>
    <col min="8695" max="8696" width="12.81640625" style="141" customWidth="1"/>
    <col min="8697" max="8697" width="8.81640625" style="141" customWidth="1"/>
    <col min="8698" max="8698" width="3.81640625" style="141" customWidth="1"/>
    <col min="8699" max="8699" width="3.1796875" style="141" customWidth="1"/>
    <col min="8700" max="8700" width="9.1796875" style="141"/>
    <col min="8701" max="8701" width="12.1796875" style="141" customWidth="1"/>
    <col min="8702" max="8702" width="1.1796875" style="141" customWidth="1"/>
    <col min="8703" max="8704" width="12.81640625" style="141" customWidth="1"/>
    <col min="8705" max="8705" width="8.81640625" style="141" customWidth="1"/>
    <col min="8706" max="8707" width="12.81640625" style="141" customWidth="1"/>
    <col min="8708" max="8708" width="8.81640625" style="141" customWidth="1"/>
    <col min="8709" max="8710" width="12.81640625" style="141" customWidth="1"/>
    <col min="8711" max="8711" width="8.81640625" style="141" customWidth="1"/>
    <col min="8712" max="8713" width="12.81640625" style="141" customWidth="1"/>
    <col min="8714" max="8714" width="8.81640625" style="141" customWidth="1"/>
    <col min="8715" max="8716" width="12.81640625" style="141" customWidth="1"/>
    <col min="8717" max="8717" width="8.81640625" style="141" customWidth="1"/>
    <col min="8718" max="8718" width="14" style="141" bestFit="1" customWidth="1"/>
    <col min="8719" max="8719" width="12.81640625" style="141" customWidth="1"/>
    <col min="8720" max="8720" width="8.81640625" style="141" customWidth="1"/>
    <col min="8721" max="8722" width="12.81640625" style="141" customWidth="1"/>
    <col min="8723" max="8723" width="8.81640625" style="141" customWidth="1"/>
    <col min="8724" max="8724" width="5.1796875" style="141" customWidth="1"/>
    <col min="8725" max="8725" width="4.54296875" style="141" customWidth="1"/>
    <col min="8726" max="8930" width="9.1796875" style="141"/>
    <col min="8931" max="8931" width="12.81640625" style="141" customWidth="1"/>
    <col min="8932" max="8932" width="1" style="141" customWidth="1"/>
    <col min="8933" max="8934" width="12.81640625" style="141" customWidth="1"/>
    <col min="8935" max="8935" width="8.81640625" style="141" customWidth="1"/>
    <col min="8936" max="8937" width="12.81640625" style="141" customWidth="1"/>
    <col min="8938" max="8938" width="8.81640625" style="141" customWidth="1"/>
    <col min="8939" max="8940" width="12.81640625" style="141" customWidth="1"/>
    <col min="8941" max="8941" width="8.81640625" style="141" customWidth="1"/>
    <col min="8942" max="8943" width="12.81640625" style="141" customWidth="1"/>
    <col min="8944" max="8944" width="8.81640625" style="141" customWidth="1"/>
    <col min="8945" max="8946" width="12.81640625" style="141" customWidth="1"/>
    <col min="8947" max="8947" width="8.81640625" style="141" customWidth="1"/>
    <col min="8948" max="8949" width="12.81640625" style="141" customWidth="1"/>
    <col min="8950" max="8950" width="8.81640625" style="141" customWidth="1"/>
    <col min="8951" max="8952" width="12.81640625" style="141" customWidth="1"/>
    <col min="8953" max="8953" width="8.81640625" style="141" customWidth="1"/>
    <col min="8954" max="8954" width="3.81640625" style="141" customWidth="1"/>
    <col min="8955" max="8955" width="3.1796875" style="141" customWidth="1"/>
    <col min="8956" max="8956" width="9.1796875" style="141"/>
    <col min="8957" max="8957" width="12.1796875" style="141" customWidth="1"/>
    <col min="8958" max="8958" width="1.1796875" style="141" customWidth="1"/>
    <col min="8959" max="8960" width="12.81640625" style="141" customWidth="1"/>
    <col min="8961" max="8961" width="8.81640625" style="141" customWidth="1"/>
    <col min="8962" max="8963" width="12.81640625" style="141" customWidth="1"/>
    <col min="8964" max="8964" width="8.81640625" style="141" customWidth="1"/>
    <col min="8965" max="8966" width="12.81640625" style="141" customWidth="1"/>
    <col min="8967" max="8967" width="8.81640625" style="141" customWidth="1"/>
    <col min="8968" max="8969" width="12.81640625" style="141" customWidth="1"/>
    <col min="8970" max="8970" width="8.81640625" style="141" customWidth="1"/>
    <col min="8971" max="8972" width="12.81640625" style="141" customWidth="1"/>
    <col min="8973" max="8973" width="8.81640625" style="141" customWidth="1"/>
    <col min="8974" max="8974" width="14" style="141" bestFit="1" customWidth="1"/>
    <col min="8975" max="8975" width="12.81640625" style="141" customWidth="1"/>
    <col min="8976" max="8976" width="8.81640625" style="141" customWidth="1"/>
    <col min="8977" max="8978" width="12.81640625" style="141" customWidth="1"/>
    <col min="8979" max="8979" width="8.81640625" style="141" customWidth="1"/>
    <col min="8980" max="8980" width="5.1796875" style="141" customWidth="1"/>
    <col min="8981" max="8981" width="4.54296875" style="141" customWidth="1"/>
    <col min="8982" max="9186" width="9.1796875" style="141"/>
    <col min="9187" max="9187" width="12.81640625" style="141" customWidth="1"/>
    <col min="9188" max="9188" width="1" style="141" customWidth="1"/>
    <col min="9189" max="9190" width="12.81640625" style="141" customWidth="1"/>
    <col min="9191" max="9191" width="8.81640625" style="141" customWidth="1"/>
    <col min="9192" max="9193" width="12.81640625" style="141" customWidth="1"/>
    <col min="9194" max="9194" width="8.81640625" style="141" customWidth="1"/>
    <col min="9195" max="9196" width="12.81640625" style="141" customWidth="1"/>
    <col min="9197" max="9197" width="8.81640625" style="141" customWidth="1"/>
    <col min="9198" max="9199" width="12.81640625" style="141" customWidth="1"/>
    <col min="9200" max="9200" width="8.81640625" style="141" customWidth="1"/>
    <col min="9201" max="9202" width="12.81640625" style="141" customWidth="1"/>
    <col min="9203" max="9203" width="8.81640625" style="141" customWidth="1"/>
    <col min="9204" max="9205" width="12.81640625" style="141" customWidth="1"/>
    <col min="9206" max="9206" width="8.81640625" style="141" customWidth="1"/>
    <col min="9207" max="9208" width="12.81640625" style="141" customWidth="1"/>
    <col min="9209" max="9209" width="8.81640625" style="141" customWidth="1"/>
    <col min="9210" max="9210" width="3.81640625" style="141" customWidth="1"/>
    <col min="9211" max="9211" width="3.1796875" style="141" customWidth="1"/>
    <col min="9212" max="9212" width="9.1796875" style="141"/>
    <col min="9213" max="9213" width="12.1796875" style="141" customWidth="1"/>
    <col min="9214" max="9214" width="1.1796875" style="141" customWidth="1"/>
    <col min="9215" max="9216" width="12.81640625" style="141" customWidth="1"/>
    <col min="9217" max="9217" width="8.81640625" style="141" customWidth="1"/>
    <col min="9218" max="9219" width="12.81640625" style="141" customWidth="1"/>
    <col min="9220" max="9220" width="8.81640625" style="141" customWidth="1"/>
    <col min="9221" max="9222" width="12.81640625" style="141" customWidth="1"/>
    <col min="9223" max="9223" width="8.81640625" style="141" customWidth="1"/>
    <col min="9224" max="9225" width="12.81640625" style="141" customWidth="1"/>
    <col min="9226" max="9226" width="8.81640625" style="141" customWidth="1"/>
    <col min="9227" max="9228" width="12.81640625" style="141" customWidth="1"/>
    <col min="9229" max="9229" width="8.81640625" style="141" customWidth="1"/>
    <col min="9230" max="9230" width="14" style="141" bestFit="1" customWidth="1"/>
    <col min="9231" max="9231" width="12.81640625" style="141" customWidth="1"/>
    <col min="9232" max="9232" width="8.81640625" style="141" customWidth="1"/>
    <col min="9233" max="9234" width="12.81640625" style="141" customWidth="1"/>
    <col min="9235" max="9235" width="8.81640625" style="141" customWidth="1"/>
    <col min="9236" max="9236" width="5.1796875" style="141" customWidth="1"/>
    <col min="9237" max="9237" width="4.54296875" style="141" customWidth="1"/>
    <col min="9238" max="9442" width="9.1796875" style="141"/>
    <col min="9443" max="9443" width="12.81640625" style="141" customWidth="1"/>
    <col min="9444" max="9444" width="1" style="141" customWidth="1"/>
    <col min="9445" max="9446" width="12.81640625" style="141" customWidth="1"/>
    <col min="9447" max="9447" width="8.81640625" style="141" customWidth="1"/>
    <col min="9448" max="9449" width="12.81640625" style="141" customWidth="1"/>
    <col min="9450" max="9450" width="8.81640625" style="141" customWidth="1"/>
    <col min="9451" max="9452" width="12.81640625" style="141" customWidth="1"/>
    <col min="9453" max="9453" width="8.81640625" style="141" customWidth="1"/>
    <col min="9454" max="9455" width="12.81640625" style="141" customWidth="1"/>
    <col min="9456" max="9456" width="8.81640625" style="141" customWidth="1"/>
    <col min="9457" max="9458" width="12.81640625" style="141" customWidth="1"/>
    <col min="9459" max="9459" width="8.81640625" style="141" customWidth="1"/>
    <col min="9460" max="9461" width="12.81640625" style="141" customWidth="1"/>
    <col min="9462" max="9462" width="8.81640625" style="141" customWidth="1"/>
    <col min="9463" max="9464" width="12.81640625" style="141" customWidth="1"/>
    <col min="9465" max="9465" width="8.81640625" style="141" customWidth="1"/>
    <col min="9466" max="9466" width="3.81640625" style="141" customWidth="1"/>
    <col min="9467" max="9467" width="3.1796875" style="141" customWidth="1"/>
    <col min="9468" max="9468" width="9.1796875" style="141"/>
    <col min="9469" max="9469" width="12.1796875" style="141" customWidth="1"/>
    <col min="9470" max="9470" width="1.1796875" style="141" customWidth="1"/>
    <col min="9471" max="9472" width="12.81640625" style="141" customWidth="1"/>
    <col min="9473" max="9473" width="8.81640625" style="141" customWidth="1"/>
    <col min="9474" max="9475" width="12.81640625" style="141" customWidth="1"/>
    <col min="9476" max="9476" width="8.81640625" style="141" customWidth="1"/>
    <col min="9477" max="9478" width="12.81640625" style="141" customWidth="1"/>
    <col min="9479" max="9479" width="8.81640625" style="141" customWidth="1"/>
    <col min="9480" max="9481" width="12.81640625" style="141" customWidth="1"/>
    <col min="9482" max="9482" width="8.81640625" style="141" customWidth="1"/>
    <col min="9483" max="9484" width="12.81640625" style="141" customWidth="1"/>
    <col min="9485" max="9485" width="8.81640625" style="141" customWidth="1"/>
    <col min="9486" max="9486" width="14" style="141" bestFit="1" customWidth="1"/>
    <col min="9487" max="9487" width="12.81640625" style="141" customWidth="1"/>
    <col min="9488" max="9488" width="8.81640625" style="141" customWidth="1"/>
    <col min="9489" max="9490" width="12.81640625" style="141" customWidth="1"/>
    <col min="9491" max="9491" width="8.81640625" style="141" customWidth="1"/>
    <col min="9492" max="9492" width="5.1796875" style="141" customWidth="1"/>
    <col min="9493" max="9493" width="4.54296875" style="141" customWidth="1"/>
    <col min="9494" max="9698" width="9.1796875" style="141"/>
    <col min="9699" max="9699" width="12.81640625" style="141" customWidth="1"/>
    <col min="9700" max="9700" width="1" style="141" customWidth="1"/>
    <col min="9701" max="9702" width="12.81640625" style="141" customWidth="1"/>
    <col min="9703" max="9703" width="8.81640625" style="141" customWidth="1"/>
    <col min="9704" max="9705" width="12.81640625" style="141" customWidth="1"/>
    <col min="9706" max="9706" width="8.81640625" style="141" customWidth="1"/>
    <col min="9707" max="9708" width="12.81640625" style="141" customWidth="1"/>
    <col min="9709" max="9709" width="8.81640625" style="141" customWidth="1"/>
    <col min="9710" max="9711" width="12.81640625" style="141" customWidth="1"/>
    <col min="9712" max="9712" width="8.81640625" style="141" customWidth="1"/>
    <col min="9713" max="9714" width="12.81640625" style="141" customWidth="1"/>
    <col min="9715" max="9715" width="8.81640625" style="141" customWidth="1"/>
    <col min="9716" max="9717" width="12.81640625" style="141" customWidth="1"/>
    <col min="9718" max="9718" width="8.81640625" style="141" customWidth="1"/>
    <col min="9719" max="9720" width="12.81640625" style="141" customWidth="1"/>
    <col min="9721" max="9721" width="8.81640625" style="141" customWidth="1"/>
    <col min="9722" max="9722" width="3.81640625" style="141" customWidth="1"/>
    <col min="9723" max="9723" width="3.1796875" style="141" customWidth="1"/>
    <col min="9724" max="9724" width="9.1796875" style="141"/>
    <col min="9725" max="9725" width="12.1796875" style="141" customWidth="1"/>
    <col min="9726" max="9726" width="1.1796875" style="141" customWidth="1"/>
    <col min="9727" max="9728" width="12.81640625" style="141" customWidth="1"/>
    <col min="9729" max="9729" width="8.81640625" style="141" customWidth="1"/>
    <col min="9730" max="9731" width="12.81640625" style="141" customWidth="1"/>
    <col min="9732" max="9732" width="8.81640625" style="141" customWidth="1"/>
    <col min="9733" max="9734" width="12.81640625" style="141" customWidth="1"/>
    <col min="9735" max="9735" width="8.81640625" style="141" customWidth="1"/>
    <col min="9736" max="9737" width="12.81640625" style="141" customWidth="1"/>
    <col min="9738" max="9738" width="8.81640625" style="141" customWidth="1"/>
    <col min="9739" max="9740" width="12.81640625" style="141" customWidth="1"/>
    <col min="9741" max="9741" width="8.81640625" style="141" customWidth="1"/>
    <col min="9742" max="9742" width="14" style="141" bestFit="1" customWidth="1"/>
    <col min="9743" max="9743" width="12.81640625" style="141" customWidth="1"/>
    <col min="9744" max="9744" width="8.81640625" style="141" customWidth="1"/>
    <col min="9745" max="9746" width="12.81640625" style="141" customWidth="1"/>
    <col min="9747" max="9747" width="8.81640625" style="141" customWidth="1"/>
    <col min="9748" max="9748" width="5.1796875" style="141" customWidth="1"/>
    <col min="9749" max="9749" width="4.54296875" style="141" customWidth="1"/>
    <col min="9750" max="9954" width="9.1796875" style="141"/>
    <col min="9955" max="9955" width="12.81640625" style="141" customWidth="1"/>
    <col min="9956" max="9956" width="1" style="141" customWidth="1"/>
    <col min="9957" max="9958" width="12.81640625" style="141" customWidth="1"/>
    <col min="9959" max="9959" width="8.81640625" style="141" customWidth="1"/>
    <col min="9960" max="9961" width="12.81640625" style="141" customWidth="1"/>
    <col min="9962" max="9962" width="8.81640625" style="141" customWidth="1"/>
    <col min="9963" max="9964" width="12.81640625" style="141" customWidth="1"/>
    <col min="9965" max="9965" width="8.81640625" style="141" customWidth="1"/>
    <col min="9966" max="9967" width="12.81640625" style="141" customWidth="1"/>
    <col min="9968" max="9968" width="8.81640625" style="141" customWidth="1"/>
    <col min="9969" max="9970" width="12.81640625" style="141" customWidth="1"/>
    <col min="9971" max="9971" width="8.81640625" style="141" customWidth="1"/>
    <col min="9972" max="9973" width="12.81640625" style="141" customWidth="1"/>
    <col min="9974" max="9974" width="8.81640625" style="141" customWidth="1"/>
    <col min="9975" max="9976" width="12.81640625" style="141" customWidth="1"/>
    <col min="9977" max="9977" width="8.81640625" style="141" customWidth="1"/>
    <col min="9978" max="9978" width="3.81640625" style="141" customWidth="1"/>
    <col min="9979" max="9979" width="3.1796875" style="141" customWidth="1"/>
    <col min="9980" max="9980" width="9.1796875" style="141"/>
    <col min="9981" max="9981" width="12.1796875" style="141" customWidth="1"/>
    <col min="9982" max="9982" width="1.1796875" style="141" customWidth="1"/>
    <col min="9983" max="9984" width="12.81640625" style="141" customWidth="1"/>
    <col min="9985" max="9985" width="8.81640625" style="141" customWidth="1"/>
    <col min="9986" max="9987" width="12.81640625" style="141" customWidth="1"/>
    <col min="9988" max="9988" width="8.81640625" style="141" customWidth="1"/>
    <col min="9989" max="9990" width="12.81640625" style="141" customWidth="1"/>
    <col min="9991" max="9991" width="8.81640625" style="141" customWidth="1"/>
    <col min="9992" max="9993" width="12.81640625" style="141" customWidth="1"/>
    <col min="9994" max="9994" width="8.81640625" style="141" customWidth="1"/>
    <col min="9995" max="9996" width="12.81640625" style="141" customWidth="1"/>
    <col min="9997" max="9997" width="8.81640625" style="141" customWidth="1"/>
    <col min="9998" max="9998" width="14" style="141" bestFit="1" customWidth="1"/>
    <col min="9999" max="9999" width="12.81640625" style="141" customWidth="1"/>
    <col min="10000" max="10000" width="8.81640625" style="141" customWidth="1"/>
    <col min="10001" max="10002" width="12.81640625" style="141" customWidth="1"/>
    <col min="10003" max="10003" width="8.81640625" style="141" customWidth="1"/>
    <col min="10004" max="10004" width="5.1796875" style="141" customWidth="1"/>
    <col min="10005" max="10005" width="4.54296875" style="141" customWidth="1"/>
    <col min="10006" max="10210" width="9.1796875" style="141"/>
    <col min="10211" max="10211" width="12.81640625" style="141" customWidth="1"/>
    <col min="10212" max="10212" width="1" style="141" customWidth="1"/>
    <col min="10213" max="10214" width="12.81640625" style="141" customWidth="1"/>
    <col min="10215" max="10215" width="8.81640625" style="141" customWidth="1"/>
    <col min="10216" max="10217" width="12.81640625" style="141" customWidth="1"/>
    <col min="10218" max="10218" width="8.81640625" style="141" customWidth="1"/>
    <col min="10219" max="10220" width="12.81640625" style="141" customWidth="1"/>
    <col min="10221" max="10221" width="8.81640625" style="141" customWidth="1"/>
    <col min="10222" max="10223" width="12.81640625" style="141" customWidth="1"/>
    <col min="10224" max="10224" width="8.81640625" style="141" customWidth="1"/>
    <col min="10225" max="10226" width="12.81640625" style="141" customWidth="1"/>
    <col min="10227" max="10227" width="8.81640625" style="141" customWidth="1"/>
    <col min="10228" max="10229" width="12.81640625" style="141" customWidth="1"/>
    <col min="10230" max="10230" width="8.81640625" style="141" customWidth="1"/>
    <col min="10231" max="10232" width="12.81640625" style="141" customWidth="1"/>
    <col min="10233" max="10233" width="8.81640625" style="141" customWidth="1"/>
    <col min="10234" max="10234" width="3.81640625" style="141" customWidth="1"/>
    <col min="10235" max="10235" width="3.1796875" style="141" customWidth="1"/>
    <col min="10236" max="10236" width="9.1796875" style="141"/>
    <col min="10237" max="10237" width="12.1796875" style="141" customWidth="1"/>
    <col min="10238" max="10238" width="1.1796875" style="141" customWidth="1"/>
    <col min="10239" max="10240" width="12.81640625" style="141" customWidth="1"/>
    <col min="10241" max="10241" width="8.81640625" style="141" customWidth="1"/>
    <col min="10242" max="10243" width="12.81640625" style="141" customWidth="1"/>
    <col min="10244" max="10244" width="8.81640625" style="141" customWidth="1"/>
    <col min="10245" max="10246" width="12.81640625" style="141" customWidth="1"/>
    <col min="10247" max="10247" width="8.81640625" style="141" customWidth="1"/>
    <col min="10248" max="10249" width="12.81640625" style="141" customWidth="1"/>
    <col min="10250" max="10250" width="8.81640625" style="141" customWidth="1"/>
    <col min="10251" max="10252" width="12.81640625" style="141" customWidth="1"/>
    <col min="10253" max="10253" width="8.81640625" style="141" customWidth="1"/>
    <col min="10254" max="10254" width="14" style="141" bestFit="1" customWidth="1"/>
    <col min="10255" max="10255" width="12.81640625" style="141" customWidth="1"/>
    <col min="10256" max="10256" width="8.81640625" style="141" customWidth="1"/>
    <col min="10257" max="10258" width="12.81640625" style="141" customWidth="1"/>
    <col min="10259" max="10259" width="8.81640625" style="141" customWidth="1"/>
    <col min="10260" max="10260" width="5.1796875" style="141" customWidth="1"/>
    <col min="10261" max="10261" width="4.54296875" style="141" customWidth="1"/>
    <col min="10262" max="10466" width="9.1796875" style="141"/>
    <col min="10467" max="10467" width="12.81640625" style="141" customWidth="1"/>
    <col min="10468" max="10468" width="1" style="141" customWidth="1"/>
    <col min="10469" max="10470" width="12.81640625" style="141" customWidth="1"/>
    <col min="10471" max="10471" width="8.81640625" style="141" customWidth="1"/>
    <col min="10472" max="10473" width="12.81640625" style="141" customWidth="1"/>
    <col min="10474" max="10474" width="8.81640625" style="141" customWidth="1"/>
    <col min="10475" max="10476" width="12.81640625" style="141" customWidth="1"/>
    <col min="10477" max="10477" width="8.81640625" style="141" customWidth="1"/>
    <col min="10478" max="10479" width="12.81640625" style="141" customWidth="1"/>
    <col min="10480" max="10480" width="8.81640625" style="141" customWidth="1"/>
    <col min="10481" max="10482" width="12.81640625" style="141" customWidth="1"/>
    <col min="10483" max="10483" width="8.81640625" style="141" customWidth="1"/>
    <col min="10484" max="10485" width="12.81640625" style="141" customWidth="1"/>
    <col min="10486" max="10486" width="8.81640625" style="141" customWidth="1"/>
    <col min="10487" max="10488" width="12.81640625" style="141" customWidth="1"/>
    <col min="10489" max="10489" width="8.81640625" style="141" customWidth="1"/>
    <col min="10490" max="10490" width="3.81640625" style="141" customWidth="1"/>
    <col min="10491" max="10491" width="3.1796875" style="141" customWidth="1"/>
    <col min="10492" max="10492" width="9.1796875" style="141"/>
    <col min="10493" max="10493" width="12.1796875" style="141" customWidth="1"/>
    <col min="10494" max="10494" width="1.1796875" style="141" customWidth="1"/>
    <col min="10495" max="10496" width="12.81640625" style="141" customWidth="1"/>
    <col min="10497" max="10497" width="8.81640625" style="141" customWidth="1"/>
    <col min="10498" max="10499" width="12.81640625" style="141" customWidth="1"/>
    <col min="10500" max="10500" width="8.81640625" style="141" customWidth="1"/>
    <col min="10501" max="10502" width="12.81640625" style="141" customWidth="1"/>
    <col min="10503" max="10503" width="8.81640625" style="141" customWidth="1"/>
    <col min="10504" max="10505" width="12.81640625" style="141" customWidth="1"/>
    <col min="10506" max="10506" width="8.81640625" style="141" customWidth="1"/>
    <col min="10507" max="10508" width="12.81640625" style="141" customWidth="1"/>
    <col min="10509" max="10509" width="8.81640625" style="141" customWidth="1"/>
    <col min="10510" max="10510" width="14" style="141" bestFit="1" customWidth="1"/>
    <col min="10511" max="10511" width="12.81640625" style="141" customWidth="1"/>
    <col min="10512" max="10512" width="8.81640625" style="141" customWidth="1"/>
    <col min="10513" max="10514" width="12.81640625" style="141" customWidth="1"/>
    <col min="10515" max="10515" width="8.81640625" style="141" customWidth="1"/>
    <col min="10516" max="10516" width="5.1796875" style="141" customWidth="1"/>
    <col min="10517" max="10517" width="4.54296875" style="141" customWidth="1"/>
    <col min="10518" max="10722" width="9.1796875" style="141"/>
    <col min="10723" max="10723" width="12.81640625" style="141" customWidth="1"/>
    <col min="10724" max="10724" width="1" style="141" customWidth="1"/>
    <col min="10725" max="10726" width="12.81640625" style="141" customWidth="1"/>
    <col min="10727" max="10727" width="8.81640625" style="141" customWidth="1"/>
    <col min="10728" max="10729" width="12.81640625" style="141" customWidth="1"/>
    <col min="10730" max="10730" width="8.81640625" style="141" customWidth="1"/>
    <col min="10731" max="10732" width="12.81640625" style="141" customWidth="1"/>
    <col min="10733" max="10733" width="8.81640625" style="141" customWidth="1"/>
    <col min="10734" max="10735" width="12.81640625" style="141" customWidth="1"/>
    <col min="10736" max="10736" width="8.81640625" style="141" customWidth="1"/>
    <col min="10737" max="10738" width="12.81640625" style="141" customWidth="1"/>
    <col min="10739" max="10739" width="8.81640625" style="141" customWidth="1"/>
    <col min="10740" max="10741" width="12.81640625" style="141" customWidth="1"/>
    <col min="10742" max="10742" width="8.81640625" style="141" customWidth="1"/>
    <col min="10743" max="10744" width="12.81640625" style="141" customWidth="1"/>
    <col min="10745" max="10745" width="8.81640625" style="141" customWidth="1"/>
    <col min="10746" max="10746" width="3.81640625" style="141" customWidth="1"/>
    <col min="10747" max="10747" width="3.1796875" style="141" customWidth="1"/>
    <col min="10748" max="10748" width="9.1796875" style="141"/>
    <col min="10749" max="10749" width="12.1796875" style="141" customWidth="1"/>
    <col min="10750" max="10750" width="1.1796875" style="141" customWidth="1"/>
    <col min="10751" max="10752" width="12.81640625" style="141" customWidth="1"/>
    <col min="10753" max="10753" width="8.81640625" style="141" customWidth="1"/>
    <col min="10754" max="10755" width="12.81640625" style="141" customWidth="1"/>
    <col min="10756" max="10756" width="8.81640625" style="141" customWidth="1"/>
    <col min="10757" max="10758" width="12.81640625" style="141" customWidth="1"/>
    <col min="10759" max="10759" width="8.81640625" style="141" customWidth="1"/>
    <col min="10760" max="10761" width="12.81640625" style="141" customWidth="1"/>
    <col min="10762" max="10762" width="8.81640625" style="141" customWidth="1"/>
    <col min="10763" max="10764" width="12.81640625" style="141" customWidth="1"/>
    <col min="10765" max="10765" width="8.81640625" style="141" customWidth="1"/>
    <col min="10766" max="10766" width="14" style="141" bestFit="1" customWidth="1"/>
    <col min="10767" max="10767" width="12.81640625" style="141" customWidth="1"/>
    <col min="10768" max="10768" width="8.81640625" style="141" customWidth="1"/>
    <col min="10769" max="10770" width="12.81640625" style="141" customWidth="1"/>
    <col min="10771" max="10771" width="8.81640625" style="141" customWidth="1"/>
    <col min="10772" max="10772" width="5.1796875" style="141" customWidth="1"/>
    <col min="10773" max="10773" width="4.54296875" style="141" customWidth="1"/>
    <col min="10774" max="10978" width="9.1796875" style="141"/>
    <col min="10979" max="10979" width="12.81640625" style="141" customWidth="1"/>
    <col min="10980" max="10980" width="1" style="141" customWidth="1"/>
    <col min="10981" max="10982" width="12.81640625" style="141" customWidth="1"/>
    <col min="10983" max="10983" width="8.81640625" style="141" customWidth="1"/>
    <col min="10984" max="10985" width="12.81640625" style="141" customWidth="1"/>
    <col min="10986" max="10986" width="8.81640625" style="141" customWidth="1"/>
    <col min="10987" max="10988" width="12.81640625" style="141" customWidth="1"/>
    <col min="10989" max="10989" width="8.81640625" style="141" customWidth="1"/>
    <col min="10990" max="10991" width="12.81640625" style="141" customWidth="1"/>
    <col min="10992" max="10992" width="8.81640625" style="141" customWidth="1"/>
    <col min="10993" max="10994" width="12.81640625" style="141" customWidth="1"/>
    <col min="10995" max="10995" width="8.81640625" style="141" customWidth="1"/>
    <col min="10996" max="10997" width="12.81640625" style="141" customWidth="1"/>
    <col min="10998" max="10998" width="8.81640625" style="141" customWidth="1"/>
    <col min="10999" max="11000" width="12.81640625" style="141" customWidth="1"/>
    <col min="11001" max="11001" width="8.81640625" style="141" customWidth="1"/>
    <col min="11002" max="11002" width="3.81640625" style="141" customWidth="1"/>
    <col min="11003" max="11003" width="3.1796875" style="141" customWidth="1"/>
    <col min="11004" max="11004" width="9.1796875" style="141"/>
    <col min="11005" max="11005" width="12.1796875" style="141" customWidth="1"/>
    <col min="11006" max="11006" width="1.1796875" style="141" customWidth="1"/>
    <col min="11007" max="11008" width="12.81640625" style="141" customWidth="1"/>
    <col min="11009" max="11009" width="8.81640625" style="141" customWidth="1"/>
    <col min="11010" max="11011" width="12.81640625" style="141" customWidth="1"/>
    <col min="11012" max="11012" width="8.81640625" style="141" customWidth="1"/>
    <col min="11013" max="11014" width="12.81640625" style="141" customWidth="1"/>
    <col min="11015" max="11015" width="8.81640625" style="141" customWidth="1"/>
    <col min="11016" max="11017" width="12.81640625" style="141" customWidth="1"/>
    <col min="11018" max="11018" width="8.81640625" style="141" customWidth="1"/>
    <col min="11019" max="11020" width="12.81640625" style="141" customWidth="1"/>
    <col min="11021" max="11021" width="8.81640625" style="141" customWidth="1"/>
    <col min="11022" max="11022" width="14" style="141" bestFit="1" customWidth="1"/>
    <col min="11023" max="11023" width="12.81640625" style="141" customWidth="1"/>
    <col min="11024" max="11024" width="8.81640625" style="141" customWidth="1"/>
    <col min="11025" max="11026" width="12.81640625" style="141" customWidth="1"/>
    <col min="11027" max="11027" width="8.81640625" style="141" customWidth="1"/>
    <col min="11028" max="11028" width="5.1796875" style="141" customWidth="1"/>
    <col min="11029" max="11029" width="4.54296875" style="141" customWidth="1"/>
    <col min="11030" max="11234" width="9.1796875" style="141"/>
    <col min="11235" max="11235" width="12.81640625" style="141" customWidth="1"/>
    <col min="11236" max="11236" width="1" style="141" customWidth="1"/>
    <col min="11237" max="11238" width="12.81640625" style="141" customWidth="1"/>
    <col min="11239" max="11239" width="8.81640625" style="141" customWidth="1"/>
    <col min="11240" max="11241" width="12.81640625" style="141" customWidth="1"/>
    <col min="11242" max="11242" width="8.81640625" style="141" customWidth="1"/>
    <col min="11243" max="11244" width="12.81640625" style="141" customWidth="1"/>
    <col min="11245" max="11245" width="8.81640625" style="141" customWidth="1"/>
    <col min="11246" max="11247" width="12.81640625" style="141" customWidth="1"/>
    <col min="11248" max="11248" width="8.81640625" style="141" customWidth="1"/>
    <col min="11249" max="11250" width="12.81640625" style="141" customWidth="1"/>
    <col min="11251" max="11251" width="8.81640625" style="141" customWidth="1"/>
    <col min="11252" max="11253" width="12.81640625" style="141" customWidth="1"/>
    <col min="11254" max="11254" width="8.81640625" style="141" customWidth="1"/>
    <col min="11255" max="11256" width="12.81640625" style="141" customWidth="1"/>
    <col min="11257" max="11257" width="8.81640625" style="141" customWidth="1"/>
    <col min="11258" max="11258" width="3.81640625" style="141" customWidth="1"/>
    <col min="11259" max="11259" width="3.1796875" style="141" customWidth="1"/>
    <col min="11260" max="11260" width="9.1796875" style="141"/>
    <col min="11261" max="11261" width="12.1796875" style="141" customWidth="1"/>
    <col min="11262" max="11262" width="1.1796875" style="141" customWidth="1"/>
    <col min="11263" max="11264" width="12.81640625" style="141" customWidth="1"/>
    <col min="11265" max="11265" width="8.81640625" style="141" customWidth="1"/>
    <col min="11266" max="11267" width="12.81640625" style="141" customWidth="1"/>
    <col min="11268" max="11268" width="8.81640625" style="141" customWidth="1"/>
    <col min="11269" max="11270" width="12.81640625" style="141" customWidth="1"/>
    <col min="11271" max="11271" width="8.81640625" style="141" customWidth="1"/>
    <col min="11272" max="11273" width="12.81640625" style="141" customWidth="1"/>
    <col min="11274" max="11274" width="8.81640625" style="141" customWidth="1"/>
    <col min="11275" max="11276" width="12.81640625" style="141" customWidth="1"/>
    <col min="11277" max="11277" width="8.81640625" style="141" customWidth="1"/>
    <col min="11278" max="11278" width="14" style="141" bestFit="1" customWidth="1"/>
    <col min="11279" max="11279" width="12.81640625" style="141" customWidth="1"/>
    <col min="11280" max="11280" width="8.81640625" style="141" customWidth="1"/>
    <col min="11281" max="11282" width="12.81640625" style="141" customWidth="1"/>
    <col min="11283" max="11283" width="8.81640625" style="141" customWidth="1"/>
    <col min="11284" max="11284" width="5.1796875" style="141" customWidth="1"/>
    <col min="11285" max="11285" width="4.54296875" style="141" customWidth="1"/>
    <col min="11286" max="11490" width="9.1796875" style="141"/>
    <col min="11491" max="11491" width="12.81640625" style="141" customWidth="1"/>
    <col min="11492" max="11492" width="1" style="141" customWidth="1"/>
    <col min="11493" max="11494" width="12.81640625" style="141" customWidth="1"/>
    <col min="11495" max="11495" width="8.81640625" style="141" customWidth="1"/>
    <col min="11496" max="11497" width="12.81640625" style="141" customWidth="1"/>
    <col min="11498" max="11498" width="8.81640625" style="141" customWidth="1"/>
    <col min="11499" max="11500" width="12.81640625" style="141" customWidth="1"/>
    <col min="11501" max="11501" width="8.81640625" style="141" customWidth="1"/>
    <col min="11502" max="11503" width="12.81640625" style="141" customWidth="1"/>
    <col min="11504" max="11504" width="8.81640625" style="141" customWidth="1"/>
    <col min="11505" max="11506" width="12.81640625" style="141" customWidth="1"/>
    <col min="11507" max="11507" width="8.81640625" style="141" customWidth="1"/>
    <col min="11508" max="11509" width="12.81640625" style="141" customWidth="1"/>
    <col min="11510" max="11510" width="8.81640625" style="141" customWidth="1"/>
    <col min="11511" max="11512" width="12.81640625" style="141" customWidth="1"/>
    <col min="11513" max="11513" width="8.81640625" style="141" customWidth="1"/>
    <col min="11514" max="11514" width="3.81640625" style="141" customWidth="1"/>
    <col min="11515" max="11515" width="3.1796875" style="141" customWidth="1"/>
    <col min="11516" max="11516" width="9.1796875" style="141"/>
    <col min="11517" max="11517" width="12.1796875" style="141" customWidth="1"/>
    <col min="11518" max="11518" width="1.1796875" style="141" customWidth="1"/>
    <col min="11519" max="11520" width="12.81640625" style="141" customWidth="1"/>
    <col min="11521" max="11521" width="8.81640625" style="141" customWidth="1"/>
    <col min="11522" max="11523" width="12.81640625" style="141" customWidth="1"/>
    <col min="11524" max="11524" width="8.81640625" style="141" customWidth="1"/>
    <col min="11525" max="11526" width="12.81640625" style="141" customWidth="1"/>
    <col min="11527" max="11527" width="8.81640625" style="141" customWidth="1"/>
    <col min="11528" max="11529" width="12.81640625" style="141" customWidth="1"/>
    <col min="11530" max="11530" width="8.81640625" style="141" customWidth="1"/>
    <col min="11531" max="11532" width="12.81640625" style="141" customWidth="1"/>
    <col min="11533" max="11533" width="8.81640625" style="141" customWidth="1"/>
    <col min="11534" max="11534" width="14" style="141" bestFit="1" customWidth="1"/>
    <col min="11535" max="11535" width="12.81640625" style="141" customWidth="1"/>
    <col min="11536" max="11536" width="8.81640625" style="141" customWidth="1"/>
    <col min="11537" max="11538" width="12.81640625" style="141" customWidth="1"/>
    <col min="11539" max="11539" width="8.81640625" style="141" customWidth="1"/>
    <col min="11540" max="11540" width="5.1796875" style="141" customWidth="1"/>
    <col min="11541" max="11541" width="4.54296875" style="141" customWidth="1"/>
    <col min="11542" max="11746" width="9.1796875" style="141"/>
    <col min="11747" max="11747" width="12.81640625" style="141" customWidth="1"/>
    <col min="11748" max="11748" width="1" style="141" customWidth="1"/>
    <col min="11749" max="11750" width="12.81640625" style="141" customWidth="1"/>
    <col min="11751" max="11751" width="8.81640625" style="141" customWidth="1"/>
    <col min="11752" max="11753" width="12.81640625" style="141" customWidth="1"/>
    <col min="11754" max="11754" width="8.81640625" style="141" customWidth="1"/>
    <col min="11755" max="11756" width="12.81640625" style="141" customWidth="1"/>
    <col min="11757" max="11757" width="8.81640625" style="141" customWidth="1"/>
    <col min="11758" max="11759" width="12.81640625" style="141" customWidth="1"/>
    <col min="11760" max="11760" width="8.81640625" style="141" customWidth="1"/>
    <col min="11761" max="11762" width="12.81640625" style="141" customWidth="1"/>
    <col min="11763" max="11763" width="8.81640625" style="141" customWidth="1"/>
    <col min="11764" max="11765" width="12.81640625" style="141" customWidth="1"/>
    <col min="11766" max="11766" width="8.81640625" style="141" customWidth="1"/>
    <col min="11767" max="11768" width="12.81640625" style="141" customWidth="1"/>
    <col min="11769" max="11769" width="8.81640625" style="141" customWidth="1"/>
    <col min="11770" max="11770" width="3.81640625" style="141" customWidth="1"/>
    <col min="11771" max="11771" width="3.1796875" style="141" customWidth="1"/>
    <col min="11772" max="11772" width="9.1796875" style="141"/>
    <col min="11773" max="11773" width="12.1796875" style="141" customWidth="1"/>
    <col min="11774" max="11774" width="1.1796875" style="141" customWidth="1"/>
    <col min="11775" max="11776" width="12.81640625" style="141" customWidth="1"/>
    <col min="11777" max="11777" width="8.81640625" style="141" customWidth="1"/>
    <col min="11778" max="11779" width="12.81640625" style="141" customWidth="1"/>
    <col min="11780" max="11780" width="8.81640625" style="141" customWidth="1"/>
    <col min="11781" max="11782" width="12.81640625" style="141" customWidth="1"/>
    <col min="11783" max="11783" width="8.81640625" style="141" customWidth="1"/>
    <col min="11784" max="11785" width="12.81640625" style="141" customWidth="1"/>
    <col min="11786" max="11786" width="8.81640625" style="141" customWidth="1"/>
    <col min="11787" max="11788" width="12.81640625" style="141" customWidth="1"/>
    <col min="11789" max="11789" width="8.81640625" style="141" customWidth="1"/>
    <col min="11790" max="11790" width="14" style="141" bestFit="1" customWidth="1"/>
    <col min="11791" max="11791" width="12.81640625" style="141" customWidth="1"/>
    <col min="11792" max="11792" width="8.81640625" style="141" customWidth="1"/>
    <col min="11793" max="11794" width="12.81640625" style="141" customWidth="1"/>
    <col min="11795" max="11795" width="8.81640625" style="141" customWidth="1"/>
    <col min="11796" max="11796" width="5.1796875" style="141" customWidth="1"/>
    <col min="11797" max="11797" width="4.54296875" style="141" customWidth="1"/>
    <col min="11798" max="12002" width="9.1796875" style="141"/>
    <col min="12003" max="12003" width="12.81640625" style="141" customWidth="1"/>
    <col min="12004" max="12004" width="1" style="141" customWidth="1"/>
    <col min="12005" max="12006" width="12.81640625" style="141" customWidth="1"/>
    <col min="12007" max="12007" width="8.81640625" style="141" customWidth="1"/>
    <col min="12008" max="12009" width="12.81640625" style="141" customWidth="1"/>
    <col min="12010" max="12010" width="8.81640625" style="141" customWidth="1"/>
    <col min="12011" max="12012" width="12.81640625" style="141" customWidth="1"/>
    <col min="12013" max="12013" width="8.81640625" style="141" customWidth="1"/>
    <col min="12014" max="12015" width="12.81640625" style="141" customWidth="1"/>
    <col min="12016" max="12016" width="8.81640625" style="141" customWidth="1"/>
    <col min="12017" max="12018" width="12.81640625" style="141" customWidth="1"/>
    <col min="12019" max="12019" width="8.81640625" style="141" customWidth="1"/>
    <col min="12020" max="12021" width="12.81640625" style="141" customWidth="1"/>
    <col min="12022" max="12022" width="8.81640625" style="141" customWidth="1"/>
    <col min="12023" max="12024" width="12.81640625" style="141" customWidth="1"/>
    <col min="12025" max="12025" width="8.81640625" style="141" customWidth="1"/>
    <col min="12026" max="12026" width="3.81640625" style="141" customWidth="1"/>
    <col min="12027" max="12027" width="3.1796875" style="141" customWidth="1"/>
    <col min="12028" max="12028" width="9.1796875" style="141"/>
    <col min="12029" max="12029" width="12.1796875" style="141" customWidth="1"/>
    <col min="12030" max="12030" width="1.1796875" style="141" customWidth="1"/>
    <col min="12031" max="12032" width="12.81640625" style="141" customWidth="1"/>
    <col min="12033" max="12033" width="8.81640625" style="141" customWidth="1"/>
    <col min="12034" max="12035" width="12.81640625" style="141" customWidth="1"/>
    <col min="12036" max="12036" width="8.81640625" style="141" customWidth="1"/>
    <col min="12037" max="12038" width="12.81640625" style="141" customWidth="1"/>
    <col min="12039" max="12039" width="8.81640625" style="141" customWidth="1"/>
    <col min="12040" max="12041" width="12.81640625" style="141" customWidth="1"/>
    <col min="12042" max="12042" width="8.81640625" style="141" customWidth="1"/>
    <col min="12043" max="12044" width="12.81640625" style="141" customWidth="1"/>
    <col min="12045" max="12045" width="8.81640625" style="141" customWidth="1"/>
    <col min="12046" max="12046" width="14" style="141" bestFit="1" customWidth="1"/>
    <col min="12047" max="12047" width="12.81640625" style="141" customWidth="1"/>
    <col min="12048" max="12048" width="8.81640625" style="141" customWidth="1"/>
    <col min="12049" max="12050" width="12.81640625" style="141" customWidth="1"/>
    <col min="12051" max="12051" width="8.81640625" style="141" customWidth="1"/>
    <col min="12052" max="12052" width="5.1796875" style="141" customWidth="1"/>
    <col min="12053" max="12053" width="4.54296875" style="141" customWidth="1"/>
    <col min="12054" max="12258" width="9.1796875" style="141"/>
    <col min="12259" max="12259" width="12.81640625" style="141" customWidth="1"/>
    <col min="12260" max="12260" width="1" style="141" customWidth="1"/>
    <col min="12261" max="12262" width="12.81640625" style="141" customWidth="1"/>
    <col min="12263" max="12263" width="8.81640625" style="141" customWidth="1"/>
    <col min="12264" max="12265" width="12.81640625" style="141" customWidth="1"/>
    <col min="12266" max="12266" width="8.81640625" style="141" customWidth="1"/>
    <col min="12267" max="12268" width="12.81640625" style="141" customWidth="1"/>
    <col min="12269" max="12269" width="8.81640625" style="141" customWidth="1"/>
    <col min="12270" max="12271" width="12.81640625" style="141" customWidth="1"/>
    <col min="12272" max="12272" width="8.81640625" style="141" customWidth="1"/>
    <col min="12273" max="12274" width="12.81640625" style="141" customWidth="1"/>
    <col min="12275" max="12275" width="8.81640625" style="141" customWidth="1"/>
    <col min="12276" max="12277" width="12.81640625" style="141" customWidth="1"/>
    <col min="12278" max="12278" width="8.81640625" style="141" customWidth="1"/>
    <col min="12279" max="12280" width="12.81640625" style="141" customWidth="1"/>
    <col min="12281" max="12281" width="8.81640625" style="141" customWidth="1"/>
    <col min="12282" max="12282" width="3.81640625" style="141" customWidth="1"/>
    <col min="12283" max="12283" width="3.1796875" style="141" customWidth="1"/>
    <col min="12284" max="12284" width="9.1796875" style="141"/>
    <col min="12285" max="12285" width="12.1796875" style="141" customWidth="1"/>
    <col min="12286" max="12286" width="1.1796875" style="141" customWidth="1"/>
    <col min="12287" max="12288" width="12.81640625" style="141" customWidth="1"/>
    <col min="12289" max="12289" width="8.81640625" style="141" customWidth="1"/>
    <col min="12290" max="12291" width="12.81640625" style="141" customWidth="1"/>
    <col min="12292" max="12292" width="8.81640625" style="141" customWidth="1"/>
    <col min="12293" max="12294" width="12.81640625" style="141" customWidth="1"/>
    <col min="12295" max="12295" width="8.81640625" style="141" customWidth="1"/>
    <col min="12296" max="12297" width="12.81640625" style="141" customWidth="1"/>
    <col min="12298" max="12298" width="8.81640625" style="141" customWidth="1"/>
    <col min="12299" max="12300" width="12.81640625" style="141" customWidth="1"/>
    <col min="12301" max="12301" width="8.81640625" style="141" customWidth="1"/>
    <col min="12302" max="12302" width="14" style="141" bestFit="1" customWidth="1"/>
    <col min="12303" max="12303" width="12.81640625" style="141" customWidth="1"/>
    <col min="12304" max="12304" width="8.81640625" style="141" customWidth="1"/>
    <col min="12305" max="12306" width="12.81640625" style="141" customWidth="1"/>
    <col min="12307" max="12307" width="8.81640625" style="141" customWidth="1"/>
    <col min="12308" max="12308" width="5.1796875" style="141" customWidth="1"/>
    <col min="12309" max="12309" width="4.54296875" style="141" customWidth="1"/>
    <col min="12310" max="12514" width="9.1796875" style="141"/>
    <col min="12515" max="12515" width="12.81640625" style="141" customWidth="1"/>
    <col min="12516" max="12516" width="1" style="141" customWidth="1"/>
    <col min="12517" max="12518" width="12.81640625" style="141" customWidth="1"/>
    <col min="12519" max="12519" width="8.81640625" style="141" customWidth="1"/>
    <col min="12520" max="12521" width="12.81640625" style="141" customWidth="1"/>
    <col min="12522" max="12522" width="8.81640625" style="141" customWidth="1"/>
    <col min="12523" max="12524" width="12.81640625" style="141" customWidth="1"/>
    <col min="12525" max="12525" width="8.81640625" style="141" customWidth="1"/>
    <col min="12526" max="12527" width="12.81640625" style="141" customWidth="1"/>
    <col min="12528" max="12528" width="8.81640625" style="141" customWidth="1"/>
    <col min="12529" max="12530" width="12.81640625" style="141" customWidth="1"/>
    <col min="12531" max="12531" width="8.81640625" style="141" customWidth="1"/>
    <col min="12532" max="12533" width="12.81640625" style="141" customWidth="1"/>
    <col min="12534" max="12534" width="8.81640625" style="141" customWidth="1"/>
    <col min="12535" max="12536" width="12.81640625" style="141" customWidth="1"/>
    <col min="12537" max="12537" width="8.81640625" style="141" customWidth="1"/>
    <col min="12538" max="12538" width="3.81640625" style="141" customWidth="1"/>
    <col min="12539" max="12539" width="3.1796875" style="141" customWidth="1"/>
    <col min="12540" max="12540" width="9.1796875" style="141"/>
    <col min="12541" max="12541" width="12.1796875" style="141" customWidth="1"/>
    <col min="12542" max="12542" width="1.1796875" style="141" customWidth="1"/>
    <col min="12543" max="12544" width="12.81640625" style="141" customWidth="1"/>
    <col min="12545" max="12545" width="8.81640625" style="141" customWidth="1"/>
    <col min="12546" max="12547" width="12.81640625" style="141" customWidth="1"/>
    <col min="12548" max="12548" width="8.81640625" style="141" customWidth="1"/>
    <col min="12549" max="12550" width="12.81640625" style="141" customWidth="1"/>
    <col min="12551" max="12551" width="8.81640625" style="141" customWidth="1"/>
    <col min="12552" max="12553" width="12.81640625" style="141" customWidth="1"/>
    <col min="12554" max="12554" width="8.81640625" style="141" customWidth="1"/>
    <col min="12555" max="12556" width="12.81640625" style="141" customWidth="1"/>
    <col min="12557" max="12557" width="8.81640625" style="141" customWidth="1"/>
    <col min="12558" max="12558" width="14" style="141" bestFit="1" customWidth="1"/>
    <col min="12559" max="12559" width="12.81640625" style="141" customWidth="1"/>
    <col min="12560" max="12560" width="8.81640625" style="141" customWidth="1"/>
    <col min="12561" max="12562" width="12.81640625" style="141" customWidth="1"/>
    <col min="12563" max="12563" width="8.81640625" style="141" customWidth="1"/>
    <col min="12564" max="12564" width="5.1796875" style="141" customWidth="1"/>
    <col min="12565" max="12565" width="4.54296875" style="141" customWidth="1"/>
    <col min="12566" max="12770" width="9.1796875" style="141"/>
    <col min="12771" max="12771" width="12.81640625" style="141" customWidth="1"/>
    <col min="12772" max="12772" width="1" style="141" customWidth="1"/>
    <col min="12773" max="12774" width="12.81640625" style="141" customWidth="1"/>
    <col min="12775" max="12775" width="8.81640625" style="141" customWidth="1"/>
    <col min="12776" max="12777" width="12.81640625" style="141" customWidth="1"/>
    <col min="12778" max="12778" width="8.81640625" style="141" customWidth="1"/>
    <col min="12779" max="12780" width="12.81640625" style="141" customWidth="1"/>
    <col min="12781" max="12781" width="8.81640625" style="141" customWidth="1"/>
    <col min="12782" max="12783" width="12.81640625" style="141" customWidth="1"/>
    <col min="12784" max="12784" width="8.81640625" style="141" customWidth="1"/>
    <col min="12785" max="12786" width="12.81640625" style="141" customWidth="1"/>
    <col min="12787" max="12787" width="8.81640625" style="141" customWidth="1"/>
    <col min="12788" max="12789" width="12.81640625" style="141" customWidth="1"/>
    <col min="12790" max="12790" width="8.81640625" style="141" customWidth="1"/>
    <col min="12791" max="12792" width="12.81640625" style="141" customWidth="1"/>
    <col min="12793" max="12793" width="8.81640625" style="141" customWidth="1"/>
    <col min="12794" max="12794" width="3.81640625" style="141" customWidth="1"/>
    <col min="12795" max="12795" width="3.1796875" style="141" customWidth="1"/>
    <col min="12796" max="12796" width="9.1796875" style="141"/>
    <col min="12797" max="12797" width="12.1796875" style="141" customWidth="1"/>
    <col min="12798" max="12798" width="1.1796875" style="141" customWidth="1"/>
    <col min="12799" max="12800" width="12.81640625" style="141" customWidth="1"/>
    <col min="12801" max="12801" width="8.81640625" style="141" customWidth="1"/>
    <col min="12802" max="12803" width="12.81640625" style="141" customWidth="1"/>
    <col min="12804" max="12804" width="8.81640625" style="141" customWidth="1"/>
    <col min="12805" max="12806" width="12.81640625" style="141" customWidth="1"/>
    <col min="12807" max="12807" width="8.81640625" style="141" customWidth="1"/>
    <col min="12808" max="12809" width="12.81640625" style="141" customWidth="1"/>
    <col min="12810" max="12810" width="8.81640625" style="141" customWidth="1"/>
    <col min="12811" max="12812" width="12.81640625" style="141" customWidth="1"/>
    <col min="12813" max="12813" width="8.81640625" style="141" customWidth="1"/>
    <col min="12814" max="12814" width="14" style="141" bestFit="1" customWidth="1"/>
    <col min="12815" max="12815" width="12.81640625" style="141" customWidth="1"/>
    <col min="12816" max="12816" width="8.81640625" style="141" customWidth="1"/>
    <col min="12817" max="12818" width="12.81640625" style="141" customWidth="1"/>
    <col min="12819" max="12819" width="8.81640625" style="141" customWidth="1"/>
    <col min="12820" max="12820" width="5.1796875" style="141" customWidth="1"/>
    <col min="12821" max="12821" width="4.54296875" style="141" customWidth="1"/>
    <col min="12822" max="13026" width="9.1796875" style="141"/>
    <col min="13027" max="13027" width="12.81640625" style="141" customWidth="1"/>
    <col min="13028" max="13028" width="1" style="141" customWidth="1"/>
    <col min="13029" max="13030" width="12.81640625" style="141" customWidth="1"/>
    <col min="13031" max="13031" width="8.81640625" style="141" customWidth="1"/>
    <col min="13032" max="13033" width="12.81640625" style="141" customWidth="1"/>
    <col min="13034" max="13034" width="8.81640625" style="141" customWidth="1"/>
    <col min="13035" max="13036" width="12.81640625" style="141" customWidth="1"/>
    <col min="13037" max="13037" width="8.81640625" style="141" customWidth="1"/>
    <col min="13038" max="13039" width="12.81640625" style="141" customWidth="1"/>
    <col min="13040" max="13040" width="8.81640625" style="141" customWidth="1"/>
    <col min="13041" max="13042" width="12.81640625" style="141" customWidth="1"/>
    <col min="13043" max="13043" width="8.81640625" style="141" customWidth="1"/>
    <col min="13044" max="13045" width="12.81640625" style="141" customWidth="1"/>
    <col min="13046" max="13046" width="8.81640625" style="141" customWidth="1"/>
    <col min="13047" max="13048" width="12.81640625" style="141" customWidth="1"/>
    <col min="13049" max="13049" width="8.81640625" style="141" customWidth="1"/>
    <col min="13050" max="13050" width="3.81640625" style="141" customWidth="1"/>
    <col min="13051" max="13051" width="3.1796875" style="141" customWidth="1"/>
    <col min="13052" max="13052" width="9.1796875" style="141"/>
    <col min="13053" max="13053" width="12.1796875" style="141" customWidth="1"/>
    <col min="13054" max="13054" width="1.1796875" style="141" customWidth="1"/>
    <col min="13055" max="13056" width="12.81640625" style="141" customWidth="1"/>
    <col min="13057" max="13057" width="8.81640625" style="141" customWidth="1"/>
    <col min="13058" max="13059" width="12.81640625" style="141" customWidth="1"/>
    <col min="13060" max="13060" width="8.81640625" style="141" customWidth="1"/>
    <col min="13061" max="13062" width="12.81640625" style="141" customWidth="1"/>
    <col min="13063" max="13063" width="8.81640625" style="141" customWidth="1"/>
    <col min="13064" max="13065" width="12.81640625" style="141" customWidth="1"/>
    <col min="13066" max="13066" width="8.81640625" style="141" customWidth="1"/>
    <col min="13067" max="13068" width="12.81640625" style="141" customWidth="1"/>
    <col min="13069" max="13069" width="8.81640625" style="141" customWidth="1"/>
    <col min="13070" max="13070" width="14" style="141" bestFit="1" customWidth="1"/>
    <col min="13071" max="13071" width="12.81640625" style="141" customWidth="1"/>
    <col min="13072" max="13072" width="8.81640625" style="141" customWidth="1"/>
    <col min="13073" max="13074" width="12.81640625" style="141" customWidth="1"/>
    <col min="13075" max="13075" width="8.81640625" style="141" customWidth="1"/>
    <col min="13076" max="13076" width="5.1796875" style="141" customWidth="1"/>
    <col min="13077" max="13077" width="4.54296875" style="141" customWidth="1"/>
    <col min="13078" max="13282" width="9.1796875" style="141"/>
    <col min="13283" max="13283" width="12.81640625" style="141" customWidth="1"/>
    <col min="13284" max="13284" width="1" style="141" customWidth="1"/>
    <col min="13285" max="13286" width="12.81640625" style="141" customWidth="1"/>
    <col min="13287" max="13287" width="8.81640625" style="141" customWidth="1"/>
    <col min="13288" max="13289" width="12.81640625" style="141" customWidth="1"/>
    <col min="13290" max="13290" width="8.81640625" style="141" customWidth="1"/>
    <col min="13291" max="13292" width="12.81640625" style="141" customWidth="1"/>
    <col min="13293" max="13293" width="8.81640625" style="141" customWidth="1"/>
    <col min="13294" max="13295" width="12.81640625" style="141" customWidth="1"/>
    <col min="13296" max="13296" width="8.81640625" style="141" customWidth="1"/>
    <col min="13297" max="13298" width="12.81640625" style="141" customWidth="1"/>
    <col min="13299" max="13299" width="8.81640625" style="141" customWidth="1"/>
    <col min="13300" max="13301" width="12.81640625" style="141" customWidth="1"/>
    <col min="13302" max="13302" width="8.81640625" style="141" customWidth="1"/>
    <col min="13303" max="13304" width="12.81640625" style="141" customWidth="1"/>
    <col min="13305" max="13305" width="8.81640625" style="141" customWidth="1"/>
    <col min="13306" max="13306" width="3.81640625" style="141" customWidth="1"/>
    <col min="13307" max="13307" width="3.1796875" style="141" customWidth="1"/>
    <col min="13308" max="13308" width="9.1796875" style="141"/>
    <col min="13309" max="13309" width="12.1796875" style="141" customWidth="1"/>
    <col min="13310" max="13310" width="1.1796875" style="141" customWidth="1"/>
    <col min="13311" max="13312" width="12.81640625" style="141" customWidth="1"/>
    <col min="13313" max="13313" width="8.81640625" style="141" customWidth="1"/>
    <col min="13314" max="13315" width="12.81640625" style="141" customWidth="1"/>
    <col min="13316" max="13316" width="8.81640625" style="141" customWidth="1"/>
    <col min="13317" max="13318" width="12.81640625" style="141" customWidth="1"/>
    <col min="13319" max="13319" width="8.81640625" style="141" customWidth="1"/>
    <col min="13320" max="13321" width="12.81640625" style="141" customWidth="1"/>
    <col min="13322" max="13322" width="8.81640625" style="141" customWidth="1"/>
    <col min="13323" max="13324" width="12.81640625" style="141" customWidth="1"/>
    <col min="13325" max="13325" width="8.81640625" style="141" customWidth="1"/>
    <col min="13326" max="13326" width="14" style="141" bestFit="1" customWidth="1"/>
    <col min="13327" max="13327" width="12.81640625" style="141" customWidth="1"/>
    <col min="13328" max="13328" width="8.81640625" style="141" customWidth="1"/>
    <col min="13329" max="13330" width="12.81640625" style="141" customWidth="1"/>
    <col min="13331" max="13331" width="8.81640625" style="141" customWidth="1"/>
    <col min="13332" max="13332" width="5.1796875" style="141" customWidth="1"/>
    <col min="13333" max="13333" width="4.54296875" style="141" customWidth="1"/>
    <col min="13334" max="13538" width="9.1796875" style="141"/>
    <col min="13539" max="13539" width="12.81640625" style="141" customWidth="1"/>
    <col min="13540" max="13540" width="1" style="141" customWidth="1"/>
    <col min="13541" max="13542" width="12.81640625" style="141" customWidth="1"/>
    <col min="13543" max="13543" width="8.81640625" style="141" customWidth="1"/>
    <col min="13544" max="13545" width="12.81640625" style="141" customWidth="1"/>
    <col min="13546" max="13546" width="8.81640625" style="141" customWidth="1"/>
    <col min="13547" max="13548" width="12.81640625" style="141" customWidth="1"/>
    <col min="13549" max="13549" width="8.81640625" style="141" customWidth="1"/>
    <col min="13550" max="13551" width="12.81640625" style="141" customWidth="1"/>
    <col min="13552" max="13552" width="8.81640625" style="141" customWidth="1"/>
    <col min="13553" max="13554" width="12.81640625" style="141" customWidth="1"/>
    <col min="13555" max="13555" width="8.81640625" style="141" customWidth="1"/>
    <col min="13556" max="13557" width="12.81640625" style="141" customWidth="1"/>
    <col min="13558" max="13558" width="8.81640625" style="141" customWidth="1"/>
    <col min="13559" max="13560" width="12.81640625" style="141" customWidth="1"/>
    <col min="13561" max="13561" width="8.81640625" style="141" customWidth="1"/>
    <col min="13562" max="13562" width="3.81640625" style="141" customWidth="1"/>
    <col min="13563" max="13563" width="3.1796875" style="141" customWidth="1"/>
    <col min="13564" max="13564" width="9.1796875" style="141"/>
    <col min="13565" max="13565" width="12.1796875" style="141" customWidth="1"/>
    <col min="13566" max="13566" width="1.1796875" style="141" customWidth="1"/>
    <col min="13567" max="13568" width="12.81640625" style="141" customWidth="1"/>
    <col min="13569" max="13569" width="8.81640625" style="141" customWidth="1"/>
    <col min="13570" max="13571" width="12.81640625" style="141" customWidth="1"/>
    <col min="13572" max="13572" width="8.81640625" style="141" customWidth="1"/>
    <col min="13573" max="13574" width="12.81640625" style="141" customWidth="1"/>
    <col min="13575" max="13575" width="8.81640625" style="141" customWidth="1"/>
    <col min="13576" max="13577" width="12.81640625" style="141" customWidth="1"/>
    <col min="13578" max="13578" width="8.81640625" style="141" customWidth="1"/>
    <col min="13579" max="13580" width="12.81640625" style="141" customWidth="1"/>
    <col min="13581" max="13581" width="8.81640625" style="141" customWidth="1"/>
    <col min="13582" max="13582" width="14" style="141" bestFit="1" customWidth="1"/>
    <col min="13583" max="13583" width="12.81640625" style="141" customWidth="1"/>
    <col min="13584" max="13584" width="8.81640625" style="141" customWidth="1"/>
    <col min="13585" max="13586" width="12.81640625" style="141" customWidth="1"/>
    <col min="13587" max="13587" width="8.81640625" style="141" customWidth="1"/>
    <col min="13588" max="13588" width="5.1796875" style="141" customWidth="1"/>
    <col min="13589" max="13589" width="4.54296875" style="141" customWidth="1"/>
    <col min="13590" max="13794" width="9.1796875" style="141"/>
    <col min="13795" max="13795" width="12.81640625" style="141" customWidth="1"/>
    <col min="13796" max="13796" width="1" style="141" customWidth="1"/>
    <col min="13797" max="13798" width="12.81640625" style="141" customWidth="1"/>
    <col min="13799" max="13799" width="8.81640625" style="141" customWidth="1"/>
    <col min="13800" max="13801" width="12.81640625" style="141" customWidth="1"/>
    <col min="13802" max="13802" width="8.81640625" style="141" customWidth="1"/>
    <col min="13803" max="13804" width="12.81640625" style="141" customWidth="1"/>
    <col min="13805" max="13805" width="8.81640625" style="141" customWidth="1"/>
    <col min="13806" max="13807" width="12.81640625" style="141" customWidth="1"/>
    <col min="13808" max="13808" width="8.81640625" style="141" customWidth="1"/>
    <col min="13809" max="13810" width="12.81640625" style="141" customWidth="1"/>
    <col min="13811" max="13811" width="8.81640625" style="141" customWidth="1"/>
    <col min="13812" max="13813" width="12.81640625" style="141" customWidth="1"/>
    <col min="13814" max="13814" width="8.81640625" style="141" customWidth="1"/>
    <col min="13815" max="13816" width="12.81640625" style="141" customWidth="1"/>
    <col min="13817" max="13817" width="8.81640625" style="141" customWidth="1"/>
    <col min="13818" max="13818" width="3.81640625" style="141" customWidth="1"/>
    <col min="13819" max="13819" width="3.1796875" style="141" customWidth="1"/>
    <col min="13820" max="13820" width="9.1796875" style="141"/>
    <col min="13821" max="13821" width="12.1796875" style="141" customWidth="1"/>
    <col min="13822" max="13822" width="1.1796875" style="141" customWidth="1"/>
    <col min="13823" max="13824" width="12.81640625" style="141" customWidth="1"/>
    <col min="13825" max="13825" width="8.81640625" style="141" customWidth="1"/>
    <col min="13826" max="13827" width="12.81640625" style="141" customWidth="1"/>
    <col min="13828" max="13828" width="8.81640625" style="141" customWidth="1"/>
    <col min="13829" max="13830" width="12.81640625" style="141" customWidth="1"/>
    <col min="13831" max="13831" width="8.81640625" style="141" customWidth="1"/>
    <col min="13832" max="13833" width="12.81640625" style="141" customWidth="1"/>
    <col min="13834" max="13834" width="8.81640625" style="141" customWidth="1"/>
    <col min="13835" max="13836" width="12.81640625" style="141" customWidth="1"/>
    <col min="13837" max="13837" width="8.81640625" style="141" customWidth="1"/>
    <col min="13838" max="13838" width="14" style="141" bestFit="1" customWidth="1"/>
    <col min="13839" max="13839" width="12.81640625" style="141" customWidth="1"/>
    <col min="13840" max="13840" width="8.81640625" style="141" customWidth="1"/>
    <col min="13841" max="13842" width="12.81640625" style="141" customWidth="1"/>
    <col min="13843" max="13843" width="8.81640625" style="141" customWidth="1"/>
    <col min="13844" max="13844" width="5.1796875" style="141" customWidth="1"/>
    <col min="13845" max="13845" width="4.54296875" style="141" customWidth="1"/>
    <col min="13846" max="14050" width="9.1796875" style="141"/>
    <col min="14051" max="14051" width="12.81640625" style="141" customWidth="1"/>
    <col min="14052" max="14052" width="1" style="141" customWidth="1"/>
    <col min="14053" max="14054" width="12.81640625" style="141" customWidth="1"/>
    <col min="14055" max="14055" width="8.81640625" style="141" customWidth="1"/>
    <col min="14056" max="14057" width="12.81640625" style="141" customWidth="1"/>
    <col min="14058" max="14058" width="8.81640625" style="141" customWidth="1"/>
    <col min="14059" max="14060" width="12.81640625" style="141" customWidth="1"/>
    <col min="14061" max="14061" width="8.81640625" style="141" customWidth="1"/>
    <col min="14062" max="14063" width="12.81640625" style="141" customWidth="1"/>
    <col min="14064" max="14064" width="8.81640625" style="141" customWidth="1"/>
    <col min="14065" max="14066" width="12.81640625" style="141" customWidth="1"/>
    <col min="14067" max="14067" width="8.81640625" style="141" customWidth="1"/>
    <col min="14068" max="14069" width="12.81640625" style="141" customWidth="1"/>
    <col min="14070" max="14070" width="8.81640625" style="141" customWidth="1"/>
    <col min="14071" max="14072" width="12.81640625" style="141" customWidth="1"/>
    <col min="14073" max="14073" width="8.81640625" style="141" customWidth="1"/>
    <col min="14074" max="14074" width="3.81640625" style="141" customWidth="1"/>
    <col min="14075" max="14075" width="3.1796875" style="141" customWidth="1"/>
    <col min="14076" max="14076" width="9.1796875" style="141"/>
    <col min="14077" max="14077" width="12.1796875" style="141" customWidth="1"/>
    <col min="14078" max="14078" width="1.1796875" style="141" customWidth="1"/>
    <col min="14079" max="14080" width="12.81640625" style="141" customWidth="1"/>
    <col min="14081" max="14081" width="8.81640625" style="141" customWidth="1"/>
    <col min="14082" max="14083" width="12.81640625" style="141" customWidth="1"/>
    <col min="14084" max="14084" width="8.81640625" style="141" customWidth="1"/>
    <col min="14085" max="14086" width="12.81640625" style="141" customWidth="1"/>
    <col min="14087" max="14087" width="8.81640625" style="141" customWidth="1"/>
    <col min="14088" max="14089" width="12.81640625" style="141" customWidth="1"/>
    <col min="14090" max="14090" width="8.81640625" style="141" customWidth="1"/>
    <col min="14091" max="14092" width="12.81640625" style="141" customWidth="1"/>
    <col min="14093" max="14093" width="8.81640625" style="141" customWidth="1"/>
    <col min="14094" max="14094" width="14" style="141" bestFit="1" customWidth="1"/>
    <col min="14095" max="14095" width="12.81640625" style="141" customWidth="1"/>
    <col min="14096" max="14096" width="8.81640625" style="141" customWidth="1"/>
    <col min="14097" max="14098" width="12.81640625" style="141" customWidth="1"/>
    <col min="14099" max="14099" width="8.81640625" style="141" customWidth="1"/>
    <col min="14100" max="14100" width="5.1796875" style="141" customWidth="1"/>
    <col min="14101" max="14101" width="4.54296875" style="141" customWidth="1"/>
    <col min="14102" max="14306" width="9.1796875" style="141"/>
    <col min="14307" max="14307" width="12.81640625" style="141" customWidth="1"/>
    <col min="14308" max="14308" width="1" style="141" customWidth="1"/>
    <col min="14309" max="14310" width="12.81640625" style="141" customWidth="1"/>
    <col min="14311" max="14311" width="8.81640625" style="141" customWidth="1"/>
    <col min="14312" max="14313" width="12.81640625" style="141" customWidth="1"/>
    <col min="14314" max="14314" width="8.81640625" style="141" customWidth="1"/>
    <col min="14315" max="14316" width="12.81640625" style="141" customWidth="1"/>
    <col min="14317" max="14317" width="8.81640625" style="141" customWidth="1"/>
    <col min="14318" max="14319" width="12.81640625" style="141" customWidth="1"/>
    <col min="14320" max="14320" width="8.81640625" style="141" customWidth="1"/>
    <col min="14321" max="14322" width="12.81640625" style="141" customWidth="1"/>
    <col min="14323" max="14323" width="8.81640625" style="141" customWidth="1"/>
    <col min="14324" max="14325" width="12.81640625" style="141" customWidth="1"/>
    <col min="14326" max="14326" width="8.81640625" style="141" customWidth="1"/>
    <col min="14327" max="14328" width="12.81640625" style="141" customWidth="1"/>
    <col min="14329" max="14329" width="8.81640625" style="141" customWidth="1"/>
    <col min="14330" max="14330" width="3.81640625" style="141" customWidth="1"/>
    <col min="14331" max="14331" width="3.1796875" style="141" customWidth="1"/>
    <col min="14332" max="14332" width="9.1796875" style="141"/>
    <col min="14333" max="14333" width="12.1796875" style="141" customWidth="1"/>
    <col min="14334" max="14334" width="1.1796875" style="141" customWidth="1"/>
    <col min="14335" max="14336" width="12.81640625" style="141" customWidth="1"/>
    <col min="14337" max="14337" width="8.81640625" style="141" customWidth="1"/>
    <col min="14338" max="14339" width="12.81640625" style="141" customWidth="1"/>
    <col min="14340" max="14340" width="8.81640625" style="141" customWidth="1"/>
    <col min="14341" max="14342" width="12.81640625" style="141" customWidth="1"/>
    <col min="14343" max="14343" width="8.81640625" style="141" customWidth="1"/>
    <col min="14344" max="14345" width="12.81640625" style="141" customWidth="1"/>
    <col min="14346" max="14346" width="8.81640625" style="141" customWidth="1"/>
    <col min="14347" max="14348" width="12.81640625" style="141" customWidth="1"/>
    <col min="14349" max="14349" width="8.81640625" style="141" customWidth="1"/>
    <col min="14350" max="14350" width="14" style="141" bestFit="1" customWidth="1"/>
    <col min="14351" max="14351" width="12.81640625" style="141" customWidth="1"/>
    <col min="14352" max="14352" width="8.81640625" style="141" customWidth="1"/>
    <col min="14353" max="14354" width="12.81640625" style="141" customWidth="1"/>
    <col min="14355" max="14355" width="8.81640625" style="141" customWidth="1"/>
    <col min="14356" max="14356" width="5.1796875" style="141" customWidth="1"/>
    <col min="14357" max="14357" width="4.54296875" style="141" customWidth="1"/>
    <col min="14358" max="14562" width="9.1796875" style="141"/>
    <col min="14563" max="14563" width="12.81640625" style="141" customWidth="1"/>
    <col min="14564" max="14564" width="1" style="141" customWidth="1"/>
    <col min="14565" max="14566" width="12.81640625" style="141" customWidth="1"/>
    <col min="14567" max="14567" width="8.81640625" style="141" customWidth="1"/>
    <col min="14568" max="14569" width="12.81640625" style="141" customWidth="1"/>
    <col min="14570" max="14570" width="8.81640625" style="141" customWidth="1"/>
    <col min="14571" max="14572" width="12.81640625" style="141" customWidth="1"/>
    <col min="14573" max="14573" width="8.81640625" style="141" customWidth="1"/>
    <col min="14574" max="14575" width="12.81640625" style="141" customWidth="1"/>
    <col min="14576" max="14576" width="8.81640625" style="141" customWidth="1"/>
    <col min="14577" max="14578" width="12.81640625" style="141" customWidth="1"/>
    <col min="14579" max="14579" width="8.81640625" style="141" customWidth="1"/>
    <col min="14580" max="14581" width="12.81640625" style="141" customWidth="1"/>
    <col min="14582" max="14582" width="8.81640625" style="141" customWidth="1"/>
    <col min="14583" max="14584" width="12.81640625" style="141" customWidth="1"/>
    <col min="14585" max="14585" width="8.81640625" style="141" customWidth="1"/>
    <col min="14586" max="14586" width="3.81640625" style="141" customWidth="1"/>
    <col min="14587" max="14587" width="3.1796875" style="141" customWidth="1"/>
    <col min="14588" max="14588" width="9.1796875" style="141"/>
    <col min="14589" max="14589" width="12.1796875" style="141" customWidth="1"/>
    <col min="14590" max="14590" width="1.1796875" style="141" customWidth="1"/>
    <col min="14591" max="14592" width="12.81640625" style="141" customWidth="1"/>
    <col min="14593" max="14593" width="8.81640625" style="141" customWidth="1"/>
    <col min="14594" max="14595" width="12.81640625" style="141" customWidth="1"/>
    <col min="14596" max="14596" width="8.81640625" style="141" customWidth="1"/>
    <col min="14597" max="14598" width="12.81640625" style="141" customWidth="1"/>
    <col min="14599" max="14599" width="8.81640625" style="141" customWidth="1"/>
    <col min="14600" max="14601" width="12.81640625" style="141" customWidth="1"/>
    <col min="14602" max="14602" width="8.81640625" style="141" customWidth="1"/>
    <col min="14603" max="14604" width="12.81640625" style="141" customWidth="1"/>
    <col min="14605" max="14605" width="8.81640625" style="141" customWidth="1"/>
    <col min="14606" max="14606" width="14" style="141" bestFit="1" customWidth="1"/>
    <col min="14607" max="14607" width="12.81640625" style="141" customWidth="1"/>
    <col min="14608" max="14608" width="8.81640625" style="141" customWidth="1"/>
    <col min="14609" max="14610" width="12.81640625" style="141" customWidth="1"/>
    <col min="14611" max="14611" width="8.81640625" style="141" customWidth="1"/>
    <col min="14612" max="14612" width="5.1796875" style="141" customWidth="1"/>
    <col min="14613" max="14613" width="4.54296875" style="141" customWidth="1"/>
    <col min="14614" max="14818" width="9.1796875" style="141"/>
    <col min="14819" max="14819" width="12.81640625" style="141" customWidth="1"/>
    <col min="14820" max="14820" width="1" style="141" customWidth="1"/>
    <col min="14821" max="14822" width="12.81640625" style="141" customWidth="1"/>
    <col min="14823" max="14823" width="8.81640625" style="141" customWidth="1"/>
    <col min="14824" max="14825" width="12.81640625" style="141" customWidth="1"/>
    <col min="14826" max="14826" width="8.81640625" style="141" customWidth="1"/>
    <col min="14827" max="14828" width="12.81640625" style="141" customWidth="1"/>
    <col min="14829" max="14829" width="8.81640625" style="141" customWidth="1"/>
    <col min="14830" max="14831" width="12.81640625" style="141" customWidth="1"/>
    <col min="14832" max="14832" width="8.81640625" style="141" customWidth="1"/>
    <col min="14833" max="14834" width="12.81640625" style="141" customWidth="1"/>
    <col min="14835" max="14835" width="8.81640625" style="141" customWidth="1"/>
    <col min="14836" max="14837" width="12.81640625" style="141" customWidth="1"/>
    <col min="14838" max="14838" width="8.81640625" style="141" customWidth="1"/>
    <col min="14839" max="14840" width="12.81640625" style="141" customWidth="1"/>
    <col min="14841" max="14841" width="8.81640625" style="141" customWidth="1"/>
    <col min="14842" max="14842" width="3.81640625" style="141" customWidth="1"/>
    <col min="14843" max="14843" width="3.1796875" style="141" customWidth="1"/>
    <col min="14844" max="14844" width="9.1796875" style="141"/>
    <col min="14845" max="14845" width="12.1796875" style="141" customWidth="1"/>
    <col min="14846" max="14846" width="1.1796875" style="141" customWidth="1"/>
    <col min="14847" max="14848" width="12.81640625" style="141" customWidth="1"/>
    <col min="14849" max="14849" width="8.81640625" style="141" customWidth="1"/>
    <col min="14850" max="14851" width="12.81640625" style="141" customWidth="1"/>
    <col min="14852" max="14852" width="8.81640625" style="141" customWidth="1"/>
    <col min="14853" max="14854" width="12.81640625" style="141" customWidth="1"/>
    <col min="14855" max="14855" width="8.81640625" style="141" customWidth="1"/>
    <col min="14856" max="14857" width="12.81640625" style="141" customWidth="1"/>
    <col min="14858" max="14858" width="8.81640625" style="141" customWidth="1"/>
    <col min="14859" max="14860" width="12.81640625" style="141" customWidth="1"/>
    <col min="14861" max="14861" width="8.81640625" style="141" customWidth="1"/>
    <col min="14862" max="14862" width="14" style="141" bestFit="1" customWidth="1"/>
    <col min="14863" max="14863" width="12.81640625" style="141" customWidth="1"/>
    <col min="14864" max="14864" width="8.81640625" style="141" customWidth="1"/>
    <col min="14865" max="14866" width="12.81640625" style="141" customWidth="1"/>
    <col min="14867" max="14867" width="8.81640625" style="141" customWidth="1"/>
    <col min="14868" max="14868" width="5.1796875" style="141" customWidth="1"/>
    <col min="14869" max="14869" width="4.54296875" style="141" customWidth="1"/>
    <col min="14870" max="15074" width="9.1796875" style="141"/>
    <col min="15075" max="15075" width="12.81640625" style="141" customWidth="1"/>
    <col min="15076" max="15076" width="1" style="141" customWidth="1"/>
    <col min="15077" max="15078" width="12.81640625" style="141" customWidth="1"/>
    <col min="15079" max="15079" width="8.81640625" style="141" customWidth="1"/>
    <col min="15080" max="15081" width="12.81640625" style="141" customWidth="1"/>
    <col min="15082" max="15082" width="8.81640625" style="141" customWidth="1"/>
    <col min="15083" max="15084" width="12.81640625" style="141" customWidth="1"/>
    <col min="15085" max="15085" width="8.81640625" style="141" customWidth="1"/>
    <col min="15086" max="15087" width="12.81640625" style="141" customWidth="1"/>
    <col min="15088" max="15088" width="8.81640625" style="141" customWidth="1"/>
    <col min="15089" max="15090" width="12.81640625" style="141" customWidth="1"/>
    <col min="15091" max="15091" width="8.81640625" style="141" customWidth="1"/>
    <col min="15092" max="15093" width="12.81640625" style="141" customWidth="1"/>
    <col min="15094" max="15094" width="8.81640625" style="141" customWidth="1"/>
    <col min="15095" max="15096" width="12.81640625" style="141" customWidth="1"/>
    <col min="15097" max="15097" width="8.81640625" style="141" customWidth="1"/>
    <col min="15098" max="15098" width="3.81640625" style="141" customWidth="1"/>
    <col min="15099" max="15099" width="3.1796875" style="141" customWidth="1"/>
    <col min="15100" max="15100" width="9.1796875" style="141"/>
    <col min="15101" max="15101" width="12.1796875" style="141" customWidth="1"/>
    <col min="15102" max="15102" width="1.1796875" style="141" customWidth="1"/>
    <col min="15103" max="15104" width="12.81640625" style="141" customWidth="1"/>
    <col min="15105" max="15105" width="8.81640625" style="141" customWidth="1"/>
    <col min="15106" max="15107" width="12.81640625" style="141" customWidth="1"/>
    <col min="15108" max="15108" width="8.81640625" style="141" customWidth="1"/>
    <col min="15109" max="15110" width="12.81640625" style="141" customWidth="1"/>
    <col min="15111" max="15111" width="8.81640625" style="141" customWidth="1"/>
    <col min="15112" max="15113" width="12.81640625" style="141" customWidth="1"/>
    <col min="15114" max="15114" width="8.81640625" style="141" customWidth="1"/>
    <col min="15115" max="15116" width="12.81640625" style="141" customWidth="1"/>
    <col min="15117" max="15117" width="8.81640625" style="141" customWidth="1"/>
    <col min="15118" max="15118" width="14" style="141" bestFit="1" customWidth="1"/>
    <col min="15119" max="15119" width="12.81640625" style="141" customWidth="1"/>
    <col min="15120" max="15120" width="8.81640625" style="141" customWidth="1"/>
    <col min="15121" max="15122" width="12.81640625" style="141" customWidth="1"/>
    <col min="15123" max="15123" width="8.81640625" style="141" customWidth="1"/>
    <col min="15124" max="15124" width="5.1796875" style="141" customWidth="1"/>
    <col min="15125" max="15125" width="4.54296875" style="141" customWidth="1"/>
    <col min="15126" max="15330" width="9.1796875" style="141"/>
    <col min="15331" max="15331" width="12.81640625" style="141" customWidth="1"/>
    <col min="15332" max="15332" width="1" style="141" customWidth="1"/>
    <col min="15333" max="15334" width="12.81640625" style="141" customWidth="1"/>
    <col min="15335" max="15335" width="8.81640625" style="141" customWidth="1"/>
    <col min="15336" max="15337" width="12.81640625" style="141" customWidth="1"/>
    <col min="15338" max="15338" width="8.81640625" style="141" customWidth="1"/>
    <col min="15339" max="15340" width="12.81640625" style="141" customWidth="1"/>
    <col min="15341" max="15341" width="8.81640625" style="141" customWidth="1"/>
    <col min="15342" max="15343" width="12.81640625" style="141" customWidth="1"/>
    <col min="15344" max="15344" width="8.81640625" style="141" customWidth="1"/>
    <col min="15345" max="15346" width="12.81640625" style="141" customWidth="1"/>
    <col min="15347" max="15347" width="8.81640625" style="141" customWidth="1"/>
    <col min="15348" max="15349" width="12.81640625" style="141" customWidth="1"/>
    <col min="15350" max="15350" width="8.81640625" style="141" customWidth="1"/>
    <col min="15351" max="15352" width="12.81640625" style="141" customWidth="1"/>
    <col min="15353" max="15353" width="8.81640625" style="141" customWidth="1"/>
    <col min="15354" max="15354" width="3.81640625" style="141" customWidth="1"/>
    <col min="15355" max="15355" width="3.1796875" style="141" customWidth="1"/>
    <col min="15356" max="15356" width="9.1796875" style="141"/>
    <col min="15357" max="15357" width="12.1796875" style="141" customWidth="1"/>
    <col min="15358" max="15358" width="1.1796875" style="141" customWidth="1"/>
    <col min="15359" max="15360" width="12.81640625" style="141" customWidth="1"/>
    <col min="15361" max="15361" width="8.81640625" style="141" customWidth="1"/>
    <col min="15362" max="15363" width="12.81640625" style="141" customWidth="1"/>
    <col min="15364" max="15364" width="8.81640625" style="141" customWidth="1"/>
    <col min="15365" max="15366" width="12.81640625" style="141" customWidth="1"/>
    <col min="15367" max="15367" width="8.81640625" style="141" customWidth="1"/>
    <col min="15368" max="15369" width="12.81640625" style="141" customWidth="1"/>
    <col min="15370" max="15370" width="8.81640625" style="141" customWidth="1"/>
    <col min="15371" max="15372" width="12.81640625" style="141" customWidth="1"/>
    <col min="15373" max="15373" width="8.81640625" style="141" customWidth="1"/>
    <col min="15374" max="15374" width="14" style="141" bestFit="1" customWidth="1"/>
    <col min="15375" max="15375" width="12.81640625" style="141" customWidth="1"/>
    <col min="15376" max="15376" width="8.81640625" style="141" customWidth="1"/>
    <col min="15377" max="15378" width="12.81640625" style="141" customWidth="1"/>
    <col min="15379" max="15379" width="8.81640625" style="141" customWidth="1"/>
    <col min="15380" max="15380" width="5.1796875" style="141" customWidth="1"/>
    <col min="15381" max="15381" width="4.54296875" style="141" customWidth="1"/>
    <col min="15382" max="15586" width="9.1796875" style="141"/>
    <col min="15587" max="15587" width="12.81640625" style="141" customWidth="1"/>
    <col min="15588" max="15588" width="1" style="141" customWidth="1"/>
    <col min="15589" max="15590" width="12.81640625" style="141" customWidth="1"/>
    <col min="15591" max="15591" width="8.81640625" style="141" customWidth="1"/>
    <col min="15592" max="15593" width="12.81640625" style="141" customWidth="1"/>
    <col min="15594" max="15594" width="8.81640625" style="141" customWidth="1"/>
    <col min="15595" max="15596" width="12.81640625" style="141" customWidth="1"/>
    <col min="15597" max="15597" width="8.81640625" style="141" customWidth="1"/>
    <col min="15598" max="15599" width="12.81640625" style="141" customWidth="1"/>
    <col min="15600" max="15600" width="8.81640625" style="141" customWidth="1"/>
    <col min="15601" max="15602" width="12.81640625" style="141" customWidth="1"/>
    <col min="15603" max="15603" width="8.81640625" style="141" customWidth="1"/>
    <col min="15604" max="15605" width="12.81640625" style="141" customWidth="1"/>
    <col min="15606" max="15606" width="8.81640625" style="141" customWidth="1"/>
    <col min="15607" max="15608" width="12.81640625" style="141" customWidth="1"/>
    <col min="15609" max="15609" width="8.81640625" style="141" customWidth="1"/>
    <col min="15610" max="15610" width="3.81640625" style="141" customWidth="1"/>
    <col min="15611" max="15611" width="3.1796875" style="141" customWidth="1"/>
    <col min="15612" max="15612" width="9.1796875" style="141"/>
    <col min="15613" max="15613" width="12.1796875" style="141" customWidth="1"/>
    <col min="15614" max="15614" width="1.1796875" style="141" customWidth="1"/>
    <col min="15615" max="15616" width="12.81640625" style="141" customWidth="1"/>
    <col min="15617" max="15617" width="8.81640625" style="141" customWidth="1"/>
    <col min="15618" max="15619" width="12.81640625" style="141" customWidth="1"/>
    <col min="15620" max="15620" width="8.81640625" style="141" customWidth="1"/>
    <col min="15621" max="15622" width="12.81640625" style="141" customWidth="1"/>
    <col min="15623" max="15623" width="8.81640625" style="141" customWidth="1"/>
    <col min="15624" max="15625" width="12.81640625" style="141" customWidth="1"/>
    <col min="15626" max="15626" width="8.81640625" style="141" customWidth="1"/>
    <col min="15627" max="15628" width="12.81640625" style="141" customWidth="1"/>
    <col min="15629" max="15629" width="8.81640625" style="141" customWidth="1"/>
    <col min="15630" max="15630" width="14" style="141" bestFit="1" customWidth="1"/>
    <col min="15631" max="15631" width="12.81640625" style="141" customWidth="1"/>
    <col min="15632" max="15632" width="8.81640625" style="141" customWidth="1"/>
    <col min="15633" max="15634" width="12.81640625" style="141" customWidth="1"/>
    <col min="15635" max="15635" width="8.81640625" style="141" customWidth="1"/>
    <col min="15636" max="15636" width="5.1796875" style="141" customWidth="1"/>
    <col min="15637" max="15637" width="4.54296875" style="141" customWidth="1"/>
    <col min="15638" max="15842" width="9.1796875" style="141"/>
    <col min="15843" max="15843" width="12.81640625" style="141" customWidth="1"/>
    <col min="15844" max="15844" width="1" style="141" customWidth="1"/>
    <col min="15845" max="15846" width="12.81640625" style="141" customWidth="1"/>
    <col min="15847" max="15847" width="8.81640625" style="141" customWidth="1"/>
    <col min="15848" max="15849" width="12.81640625" style="141" customWidth="1"/>
    <col min="15850" max="15850" width="8.81640625" style="141" customWidth="1"/>
    <col min="15851" max="15852" width="12.81640625" style="141" customWidth="1"/>
    <col min="15853" max="15853" width="8.81640625" style="141" customWidth="1"/>
    <col min="15854" max="15855" width="12.81640625" style="141" customWidth="1"/>
    <col min="15856" max="15856" width="8.81640625" style="141" customWidth="1"/>
    <col min="15857" max="15858" width="12.81640625" style="141" customWidth="1"/>
    <col min="15859" max="15859" width="8.81640625" style="141" customWidth="1"/>
    <col min="15860" max="15861" width="12.81640625" style="141" customWidth="1"/>
    <col min="15862" max="15862" width="8.81640625" style="141" customWidth="1"/>
    <col min="15863" max="15864" width="12.81640625" style="141" customWidth="1"/>
    <col min="15865" max="15865" width="8.81640625" style="141" customWidth="1"/>
    <col min="15866" max="15866" width="3.81640625" style="141" customWidth="1"/>
    <col min="15867" max="15867" width="3.1796875" style="141" customWidth="1"/>
    <col min="15868" max="15868" width="9.1796875" style="141"/>
    <col min="15869" max="15869" width="12.1796875" style="141" customWidth="1"/>
    <col min="15870" max="15870" width="1.1796875" style="141" customWidth="1"/>
    <col min="15871" max="15872" width="12.81640625" style="141" customWidth="1"/>
    <col min="15873" max="15873" width="8.81640625" style="141" customWidth="1"/>
    <col min="15874" max="15875" width="12.81640625" style="141" customWidth="1"/>
    <col min="15876" max="15876" width="8.81640625" style="141" customWidth="1"/>
    <col min="15877" max="15878" width="12.81640625" style="141" customWidth="1"/>
    <col min="15879" max="15879" width="8.81640625" style="141" customWidth="1"/>
    <col min="15880" max="15881" width="12.81640625" style="141" customWidth="1"/>
    <col min="15882" max="15882" width="8.81640625" style="141" customWidth="1"/>
    <col min="15883" max="15884" width="12.81640625" style="141" customWidth="1"/>
    <col min="15885" max="15885" width="8.81640625" style="141" customWidth="1"/>
    <col min="15886" max="15886" width="14" style="141" bestFit="1" customWidth="1"/>
    <col min="15887" max="15887" width="12.81640625" style="141" customWidth="1"/>
    <col min="15888" max="15888" width="8.81640625" style="141" customWidth="1"/>
    <col min="15889" max="15890" width="12.81640625" style="141" customWidth="1"/>
    <col min="15891" max="15891" width="8.81640625" style="141" customWidth="1"/>
    <col min="15892" max="15892" width="5.1796875" style="141" customWidth="1"/>
    <col min="15893" max="15893" width="4.54296875" style="141" customWidth="1"/>
    <col min="15894" max="16098" width="9.1796875" style="141"/>
    <col min="16099" max="16099" width="12.81640625" style="141" customWidth="1"/>
    <col min="16100" max="16100" width="1" style="141" customWidth="1"/>
    <col min="16101" max="16102" width="12.81640625" style="141" customWidth="1"/>
    <col min="16103" max="16103" width="8.81640625" style="141" customWidth="1"/>
    <col min="16104" max="16105" width="12.81640625" style="141" customWidth="1"/>
    <col min="16106" max="16106" width="8.81640625" style="141" customWidth="1"/>
    <col min="16107" max="16108" width="12.81640625" style="141" customWidth="1"/>
    <col min="16109" max="16109" width="8.81640625" style="141" customWidth="1"/>
    <col min="16110" max="16111" width="12.81640625" style="141" customWidth="1"/>
    <col min="16112" max="16112" width="8.81640625" style="141" customWidth="1"/>
    <col min="16113" max="16114" width="12.81640625" style="141" customWidth="1"/>
    <col min="16115" max="16115" width="8.81640625" style="141" customWidth="1"/>
    <col min="16116" max="16117" width="12.81640625" style="141" customWidth="1"/>
    <col min="16118" max="16118" width="8.81640625" style="141" customWidth="1"/>
    <col min="16119" max="16120" width="12.81640625" style="141" customWidth="1"/>
    <col min="16121" max="16121" width="8.81640625" style="141" customWidth="1"/>
    <col min="16122" max="16122" width="3.81640625" style="141" customWidth="1"/>
    <col min="16123" max="16123" width="3.1796875" style="141" customWidth="1"/>
    <col min="16124" max="16124" width="9.1796875" style="141"/>
    <col min="16125" max="16125" width="12.1796875" style="141" customWidth="1"/>
    <col min="16126" max="16126" width="1.1796875" style="141" customWidth="1"/>
    <col min="16127" max="16128" width="12.81640625" style="141" customWidth="1"/>
    <col min="16129" max="16129" width="8.81640625" style="141" customWidth="1"/>
    <col min="16130" max="16131" width="12.81640625" style="141" customWidth="1"/>
    <col min="16132" max="16132" width="8.81640625" style="141" customWidth="1"/>
    <col min="16133" max="16134" width="12.81640625" style="141" customWidth="1"/>
    <col min="16135" max="16135" width="8.81640625" style="141" customWidth="1"/>
    <col min="16136" max="16137" width="12.81640625" style="141" customWidth="1"/>
    <col min="16138" max="16138" width="8.81640625" style="141" customWidth="1"/>
    <col min="16139" max="16140" width="12.81640625" style="141" customWidth="1"/>
    <col min="16141" max="16141" width="8.81640625" style="141" customWidth="1"/>
    <col min="16142" max="16142" width="14" style="141" bestFit="1" customWidth="1"/>
    <col min="16143" max="16143" width="12.81640625" style="141" customWidth="1"/>
    <col min="16144" max="16144" width="8.81640625" style="141" customWidth="1"/>
    <col min="16145" max="16146" width="12.81640625" style="141" customWidth="1"/>
    <col min="16147" max="16147" width="8.81640625" style="141" customWidth="1"/>
    <col min="16148" max="16148" width="5.1796875" style="141" customWidth="1"/>
    <col min="16149" max="16149" width="4.54296875" style="141" customWidth="1"/>
    <col min="16150" max="16384" width="9.1796875" style="141"/>
  </cols>
  <sheetData>
    <row r="1" spans="1:67" s="85" customFormat="1" ht="24.9" customHeight="1" thickBot="1" x14ac:dyDescent="0.4"/>
    <row r="2" spans="1:67" s="90" customFormat="1" ht="54" customHeight="1" thickBot="1" x14ac:dyDescent="0.4">
      <c r="A2" s="86"/>
      <c r="B2" s="87"/>
      <c r="C2" s="200" t="s">
        <v>68</v>
      </c>
      <c r="D2" s="200"/>
      <c r="E2" s="200"/>
      <c r="F2" s="200"/>
      <c r="G2" s="200"/>
      <c r="H2" s="200"/>
      <c r="I2" s="88"/>
      <c r="J2" s="88"/>
      <c r="K2" s="89"/>
      <c r="L2" s="86"/>
      <c r="M2" s="87"/>
      <c r="N2" s="200" t="s">
        <v>68</v>
      </c>
      <c r="O2" s="200"/>
      <c r="P2" s="200"/>
      <c r="Q2" s="200"/>
      <c r="R2" s="200"/>
      <c r="S2" s="200"/>
      <c r="T2" s="88"/>
      <c r="U2" s="88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</row>
    <row r="3" spans="1:67" s="97" customFormat="1" ht="35.25" customHeight="1" thickBot="1" x14ac:dyDescent="0.4">
      <c r="A3" s="91" t="s">
        <v>51</v>
      </c>
      <c r="B3" s="92"/>
      <c r="C3" s="3" t="s">
        <v>69</v>
      </c>
      <c r="D3" s="4" t="s">
        <v>70</v>
      </c>
      <c r="E3" s="3" t="s">
        <v>3</v>
      </c>
      <c r="F3" s="4" t="s">
        <v>4</v>
      </c>
      <c r="G3" s="1" t="s">
        <v>1</v>
      </c>
      <c r="H3" s="2" t="s">
        <v>2</v>
      </c>
      <c r="I3" s="95"/>
      <c r="J3" s="95"/>
      <c r="K3" s="96"/>
      <c r="L3" s="91" t="s">
        <v>51</v>
      </c>
      <c r="M3" s="92"/>
      <c r="N3" s="3" t="s">
        <v>69</v>
      </c>
      <c r="O3" s="4" t="s">
        <v>70</v>
      </c>
      <c r="P3" s="3" t="s">
        <v>54</v>
      </c>
      <c r="Q3" s="4" t="s">
        <v>56</v>
      </c>
      <c r="R3" s="1" t="s">
        <v>55</v>
      </c>
      <c r="S3" s="2" t="s">
        <v>57</v>
      </c>
      <c r="T3" s="95"/>
      <c r="U3" s="95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</row>
    <row r="4" spans="1:67" s="107" customFormat="1" ht="14.25" customHeight="1" x14ac:dyDescent="0.35">
      <c r="A4" s="98">
        <v>44920</v>
      </c>
      <c r="B4" s="99"/>
      <c r="C4" s="142"/>
      <c r="D4" s="143"/>
      <c r="E4" s="144"/>
      <c r="F4" s="145"/>
      <c r="G4" s="145"/>
      <c r="H4" s="145"/>
      <c r="I4" s="103"/>
      <c r="J4" s="103"/>
      <c r="K4" s="104"/>
      <c r="L4" s="98">
        <f>A4</f>
        <v>44920</v>
      </c>
      <c r="M4" s="99"/>
      <c r="N4" s="142"/>
      <c r="O4" s="143"/>
      <c r="P4" s="146"/>
      <c r="Q4" s="147"/>
      <c r="R4" s="147"/>
      <c r="S4" s="147"/>
      <c r="T4" s="103"/>
      <c r="U4" s="103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</row>
    <row r="5" spans="1:67" s="107" customFormat="1" ht="14.25" customHeight="1" x14ac:dyDescent="0.35">
      <c r="A5" s="108">
        <v>44921</v>
      </c>
      <c r="B5" s="99"/>
      <c r="C5" s="142"/>
      <c r="D5" s="143"/>
      <c r="E5" s="144"/>
      <c r="F5" s="145"/>
      <c r="G5" s="145"/>
      <c r="H5" s="145"/>
      <c r="I5" s="103"/>
      <c r="J5" s="103"/>
      <c r="K5" s="104"/>
      <c r="L5" s="108">
        <f>A5</f>
        <v>44921</v>
      </c>
      <c r="M5" s="99"/>
      <c r="N5" s="142"/>
      <c r="O5" s="143"/>
      <c r="P5" s="146"/>
      <c r="Q5" s="147"/>
      <c r="R5" s="147"/>
      <c r="S5" s="147"/>
      <c r="T5" s="103"/>
      <c r="U5" s="103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</row>
    <row r="6" spans="1:67" s="107" customFormat="1" ht="14.25" customHeight="1" x14ac:dyDescent="0.35">
      <c r="A6" s="108">
        <v>44922</v>
      </c>
      <c r="B6" s="99"/>
      <c r="C6" s="142"/>
      <c r="D6" s="143"/>
      <c r="E6" s="144"/>
      <c r="F6" s="145"/>
      <c r="G6" s="145"/>
      <c r="H6" s="145"/>
      <c r="I6" s="103"/>
      <c r="J6" s="103"/>
      <c r="K6" s="104"/>
      <c r="L6" s="108">
        <f t="shared" ref="L6:L34" si="0">A6</f>
        <v>44922</v>
      </c>
      <c r="M6" s="99"/>
      <c r="N6" s="142"/>
      <c r="O6" s="143"/>
      <c r="P6" s="146"/>
      <c r="Q6" s="147"/>
      <c r="R6" s="147"/>
      <c r="S6" s="147"/>
      <c r="T6" s="103"/>
      <c r="U6" s="103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</row>
    <row r="7" spans="1:67" s="107" customFormat="1" ht="14.25" customHeight="1" x14ac:dyDescent="0.35">
      <c r="A7" s="108">
        <v>44923</v>
      </c>
      <c r="B7" s="99"/>
      <c r="C7" s="142"/>
      <c r="D7" s="143"/>
      <c r="E7" s="144"/>
      <c r="F7" s="145"/>
      <c r="G7" s="145"/>
      <c r="H7" s="145"/>
      <c r="I7" s="103"/>
      <c r="J7" s="103"/>
      <c r="K7" s="104"/>
      <c r="L7" s="108">
        <f t="shared" si="0"/>
        <v>44923</v>
      </c>
      <c r="M7" s="99"/>
      <c r="N7" s="142"/>
      <c r="O7" s="143"/>
      <c r="P7" s="146"/>
      <c r="Q7" s="147"/>
      <c r="R7" s="147"/>
      <c r="S7" s="147"/>
      <c r="T7" s="103"/>
      <c r="U7" s="103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</row>
    <row r="8" spans="1:67" s="107" customFormat="1" ht="14.25" customHeight="1" x14ac:dyDescent="0.35">
      <c r="A8" s="108">
        <v>44924</v>
      </c>
      <c r="B8" s="99"/>
      <c r="C8" s="142"/>
      <c r="D8" s="143"/>
      <c r="E8" s="144"/>
      <c r="F8" s="145"/>
      <c r="G8" s="145"/>
      <c r="H8" s="145"/>
      <c r="I8" s="103"/>
      <c r="J8" s="103"/>
      <c r="K8" s="104"/>
      <c r="L8" s="108">
        <f t="shared" si="0"/>
        <v>44924</v>
      </c>
      <c r="M8" s="99"/>
      <c r="N8" s="142"/>
      <c r="O8" s="143"/>
      <c r="P8" s="146"/>
      <c r="Q8" s="147"/>
      <c r="R8" s="147"/>
      <c r="S8" s="147"/>
      <c r="T8" s="103"/>
      <c r="U8" s="103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</row>
    <row r="9" spans="1:67" s="107" customFormat="1" ht="14.25" customHeight="1" x14ac:dyDescent="0.35">
      <c r="A9" s="108">
        <v>44925</v>
      </c>
      <c r="B9" s="99"/>
      <c r="C9" s="142"/>
      <c r="D9" s="143"/>
      <c r="E9" s="144"/>
      <c r="F9" s="145"/>
      <c r="G9" s="145"/>
      <c r="H9" s="145"/>
      <c r="I9" s="103"/>
      <c r="J9" s="103"/>
      <c r="K9" s="104"/>
      <c r="L9" s="108">
        <f t="shared" si="0"/>
        <v>44925</v>
      </c>
      <c r="M9" s="99"/>
      <c r="N9" s="142"/>
      <c r="O9" s="143"/>
      <c r="P9" s="146"/>
      <c r="Q9" s="147"/>
      <c r="R9" s="147"/>
      <c r="S9" s="147"/>
      <c r="T9" s="103"/>
      <c r="U9" s="103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</row>
    <row r="10" spans="1:67" s="107" customFormat="1" ht="14.25" customHeight="1" x14ac:dyDescent="0.35">
      <c r="A10" s="108">
        <v>44926</v>
      </c>
      <c r="B10" s="99"/>
      <c r="C10" s="142"/>
      <c r="D10" s="143"/>
      <c r="E10" s="144"/>
      <c r="F10" s="145"/>
      <c r="G10" s="145"/>
      <c r="H10" s="145"/>
      <c r="I10" s="103"/>
      <c r="J10" s="103"/>
      <c r="K10" s="104"/>
      <c r="L10" s="108">
        <f t="shared" si="0"/>
        <v>44926</v>
      </c>
      <c r="M10" s="99"/>
      <c r="N10" s="142"/>
      <c r="O10" s="143"/>
      <c r="P10" s="146"/>
      <c r="Q10" s="147"/>
      <c r="R10" s="147"/>
      <c r="S10" s="147"/>
      <c r="T10" s="103"/>
      <c r="U10" s="103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</row>
    <row r="11" spans="1:67" s="107" customFormat="1" ht="14.25" customHeight="1" x14ac:dyDescent="0.35">
      <c r="A11" s="108">
        <v>44927</v>
      </c>
      <c r="B11" s="99"/>
      <c r="C11" s="142"/>
      <c r="D11" s="143"/>
      <c r="E11" s="144"/>
      <c r="F11" s="145"/>
      <c r="G11" s="145"/>
      <c r="H11" s="145"/>
      <c r="I11" s="103"/>
      <c r="J11" s="103"/>
      <c r="K11" s="104"/>
      <c r="L11" s="108">
        <f t="shared" si="0"/>
        <v>44927</v>
      </c>
      <c r="M11" s="99"/>
      <c r="N11" s="142"/>
      <c r="O11" s="143"/>
      <c r="P11" s="146"/>
      <c r="Q11" s="147"/>
      <c r="R11" s="147"/>
      <c r="S11" s="147"/>
      <c r="T11" s="103"/>
      <c r="U11" s="103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</row>
    <row r="12" spans="1:67" s="107" customFormat="1" ht="14.25" customHeight="1" x14ac:dyDescent="0.35">
      <c r="A12" s="108">
        <v>44928</v>
      </c>
      <c r="B12" s="99"/>
      <c r="C12" s="142"/>
      <c r="D12" s="143"/>
      <c r="E12" s="144"/>
      <c r="F12" s="145"/>
      <c r="G12" s="145"/>
      <c r="H12" s="145"/>
      <c r="I12" s="103"/>
      <c r="J12" s="103"/>
      <c r="K12" s="104"/>
      <c r="L12" s="108">
        <f t="shared" si="0"/>
        <v>44928</v>
      </c>
      <c r="M12" s="99"/>
      <c r="N12" s="142"/>
      <c r="O12" s="143"/>
      <c r="P12" s="146"/>
      <c r="Q12" s="147"/>
      <c r="R12" s="147"/>
      <c r="S12" s="147"/>
      <c r="T12" s="103"/>
      <c r="U12" s="103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</row>
    <row r="13" spans="1:67" s="107" customFormat="1" ht="14.25" customHeight="1" x14ac:dyDescent="0.35">
      <c r="A13" s="108">
        <v>44929</v>
      </c>
      <c r="B13" s="99"/>
      <c r="C13" s="142"/>
      <c r="D13" s="143"/>
      <c r="E13" s="144"/>
      <c r="F13" s="145"/>
      <c r="G13" s="145"/>
      <c r="H13" s="145"/>
      <c r="I13" s="103"/>
      <c r="J13" s="103"/>
      <c r="K13" s="104"/>
      <c r="L13" s="108">
        <f t="shared" si="0"/>
        <v>44929</v>
      </c>
      <c r="M13" s="99"/>
      <c r="N13" s="142"/>
      <c r="O13" s="143"/>
      <c r="P13" s="146"/>
      <c r="Q13" s="147"/>
      <c r="R13" s="147"/>
      <c r="S13" s="147"/>
      <c r="T13" s="103"/>
      <c r="U13" s="103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</row>
    <row r="14" spans="1:67" s="107" customFormat="1" ht="14.25" customHeight="1" x14ac:dyDescent="0.35">
      <c r="A14" s="108">
        <v>44930</v>
      </c>
      <c r="B14" s="99"/>
      <c r="C14" s="142"/>
      <c r="D14" s="143"/>
      <c r="E14" s="144"/>
      <c r="F14" s="145"/>
      <c r="G14" s="145"/>
      <c r="H14" s="145"/>
      <c r="I14" s="103"/>
      <c r="J14" s="103"/>
      <c r="K14" s="104"/>
      <c r="L14" s="108">
        <f t="shared" si="0"/>
        <v>44930</v>
      </c>
      <c r="M14" s="99"/>
      <c r="N14" s="142"/>
      <c r="O14" s="143"/>
      <c r="P14" s="146"/>
      <c r="Q14" s="147"/>
      <c r="R14" s="147"/>
      <c r="S14" s="147"/>
      <c r="T14" s="103"/>
      <c r="U14" s="103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</row>
    <row r="15" spans="1:67" s="107" customFormat="1" ht="14.25" customHeight="1" x14ac:dyDescent="0.35">
      <c r="A15" s="108">
        <v>44931</v>
      </c>
      <c r="B15" s="99"/>
      <c r="C15" s="142"/>
      <c r="D15" s="143"/>
      <c r="E15" s="144"/>
      <c r="F15" s="145"/>
      <c r="G15" s="145"/>
      <c r="H15" s="145"/>
      <c r="I15" s="103"/>
      <c r="J15" s="103"/>
      <c r="K15" s="104"/>
      <c r="L15" s="108">
        <f t="shared" si="0"/>
        <v>44931</v>
      </c>
      <c r="M15" s="99"/>
      <c r="N15" s="142"/>
      <c r="O15" s="143"/>
      <c r="P15" s="146"/>
      <c r="Q15" s="147"/>
      <c r="R15" s="147"/>
      <c r="S15" s="147"/>
      <c r="T15" s="103"/>
      <c r="U15" s="103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</row>
    <row r="16" spans="1:67" s="107" customFormat="1" ht="14.25" customHeight="1" x14ac:dyDescent="0.35">
      <c r="A16" s="108">
        <v>44932</v>
      </c>
      <c r="B16" s="99"/>
      <c r="C16" s="142"/>
      <c r="D16" s="143"/>
      <c r="E16" s="144"/>
      <c r="F16" s="145"/>
      <c r="G16" s="145"/>
      <c r="H16" s="145"/>
      <c r="I16" s="103"/>
      <c r="J16" s="103"/>
      <c r="K16" s="104"/>
      <c r="L16" s="108">
        <f t="shared" si="0"/>
        <v>44932</v>
      </c>
      <c r="M16" s="99"/>
      <c r="N16" s="142"/>
      <c r="O16" s="143"/>
      <c r="P16" s="146"/>
      <c r="Q16" s="147"/>
      <c r="R16" s="147"/>
      <c r="S16" s="147"/>
      <c r="T16" s="103"/>
      <c r="U16" s="103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</row>
    <row r="17" spans="1:67" s="107" customFormat="1" ht="14.25" customHeight="1" x14ac:dyDescent="0.35">
      <c r="A17" s="108">
        <v>44933</v>
      </c>
      <c r="B17" s="99"/>
      <c r="C17" s="142"/>
      <c r="D17" s="143"/>
      <c r="E17" s="144"/>
      <c r="F17" s="145"/>
      <c r="G17" s="145"/>
      <c r="H17" s="145"/>
      <c r="I17" s="103"/>
      <c r="J17" s="103"/>
      <c r="K17" s="104"/>
      <c r="L17" s="108">
        <f t="shared" si="0"/>
        <v>44933</v>
      </c>
      <c r="M17" s="99"/>
      <c r="N17" s="142"/>
      <c r="O17" s="143"/>
      <c r="P17" s="146"/>
      <c r="Q17" s="147"/>
      <c r="R17" s="147"/>
      <c r="S17" s="147"/>
      <c r="T17" s="103"/>
      <c r="U17" s="103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</row>
    <row r="18" spans="1:67" s="107" customFormat="1" ht="14.25" customHeight="1" x14ac:dyDescent="0.35">
      <c r="A18" s="108">
        <v>44934</v>
      </c>
      <c r="B18" s="99"/>
      <c r="C18" s="142"/>
      <c r="D18" s="143"/>
      <c r="E18" s="144"/>
      <c r="F18" s="145"/>
      <c r="G18" s="145"/>
      <c r="H18" s="145"/>
      <c r="I18" s="103"/>
      <c r="J18" s="103"/>
      <c r="K18" s="104"/>
      <c r="L18" s="108">
        <f t="shared" si="0"/>
        <v>44934</v>
      </c>
      <c r="M18" s="99"/>
      <c r="N18" s="142"/>
      <c r="O18" s="143"/>
      <c r="P18" s="146"/>
      <c r="Q18" s="147"/>
      <c r="R18" s="147"/>
      <c r="S18" s="147"/>
      <c r="T18" s="103"/>
      <c r="U18" s="103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</row>
    <row r="19" spans="1:67" s="107" customFormat="1" ht="14.25" customHeight="1" x14ac:dyDescent="0.35">
      <c r="A19" s="108">
        <v>44935</v>
      </c>
      <c r="B19" s="99"/>
      <c r="C19" s="142"/>
      <c r="D19" s="143"/>
      <c r="E19" s="144"/>
      <c r="F19" s="145"/>
      <c r="G19" s="145"/>
      <c r="H19" s="145"/>
      <c r="I19" s="103"/>
      <c r="J19" s="103"/>
      <c r="K19" s="104"/>
      <c r="L19" s="108">
        <f t="shared" si="0"/>
        <v>44935</v>
      </c>
      <c r="M19" s="99"/>
      <c r="N19" s="142"/>
      <c r="O19" s="143"/>
      <c r="P19" s="146"/>
      <c r="Q19" s="147"/>
      <c r="R19" s="147"/>
      <c r="S19" s="147"/>
      <c r="T19" s="103"/>
      <c r="U19" s="103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</row>
    <row r="20" spans="1:67" s="107" customFormat="1" ht="14.25" customHeight="1" x14ac:dyDescent="0.35">
      <c r="A20" s="108">
        <v>44936</v>
      </c>
      <c r="B20" s="99"/>
      <c r="C20" s="142"/>
      <c r="D20" s="143"/>
      <c r="E20" s="144"/>
      <c r="F20" s="145"/>
      <c r="G20" s="145"/>
      <c r="H20" s="145"/>
      <c r="I20" s="103"/>
      <c r="J20" s="103"/>
      <c r="K20" s="104"/>
      <c r="L20" s="108">
        <f t="shared" si="0"/>
        <v>44936</v>
      </c>
      <c r="M20" s="99"/>
      <c r="N20" s="142"/>
      <c r="O20" s="143"/>
      <c r="P20" s="146"/>
      <c r="Q20" s="147"/>
      <c r="R20" s="147"/>
      <c r="S20" s="147"/>
      <c r="T20" s="103"/>
      <c r="U20" s="103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</row>
    <row r="21" spans="1:67" s="107" customFormat="1" ht="14.25" customHeight="1" x14ac:dyDescent="0.35">
      <c r="A21" s="108">
        <v>44937</v>
      </c>
      <c r="B21" s="99"/>
      <c r="C21" s="142"/>
      <c r="D21" s="143"/>
      <c r="E21" s="144"/>
      <c r="F21" s="145"/>
      <c r="G21" s="145"/>
      <c r="H21" s="145"/>
      <c r="I21" s="103"/>
      <c r="J21" s="103"/>
      <c r="K21" s="104"/>
      <c r="L21" s="108">
        <f t="shared" si="0"/>
        <v>44937</v>
      </c>
      <c r="M21" s="99"/>
      <c r="N21" s="142"/>
      <c r="O21" s="143"/>
      <c r="P21" s="146"/>
      <c r="Q21" s="147"/>
      <c r="R21" s="147"/>
      <c r="S21" s="147"/>
      <c r="T21" s="103"/>
      <c r="U21" s="103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</row>
    <row r="22" spans="1:67" s="107" customFormat="1" ht="14.25" customHeight="1" x14ac:dyDescent="0.35">
      <c r="A22" s="108">
        <v>44938</v>
      </c>
      <c r="B22" s="99"/>
      <c r="C22" s="142"/>
      <c r="D22" s="143"/>
      <c r="E22" s="144"/>
      <c r="F22" s="145"/>
      <c r="G22" s="145"/>
      <c r="H22" s="145"/>
      <c r="I22" s="103"/>
      <c r="J22" s="103"/>
      <c r="K22" s="104"/>
      <c r="L22" s="108">
        <f t="shared" si="0"/>
        <v>44938</v>
      </c>
      <c r="M22" s="99"/>
      <c r="N22" s="142"/>
      <c r="O22" s="143"/>
      <c r="P22" s="146"/>
      <c r="Q22" s="147"/>
      <c r="R22" s="147"/>
      <c r="S22" s="147"/>
      <c r="T22" s="103"/>
      <c r="U22" s="103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</row>
    <row r="23" spans="1:67" s="107" customFormat="1" ht="14.25" customHeight="1" x14ac:dyDescent="0.35">
      <c r="A23" s="108">
        <v>44939</v>
      </c>
      <c r="B23" s="99"/>
      <c r="C23" s="142"/>
      <c r="D23" s="143"/>
      <c r="E23" s="144"/>
      <c r="F23" s="145"/>
      <c r="G23" s="145"/>
      <c r="H23" s="145"/>
      <c r="I23" s="103"/>
      <c r="J23" s="103"/>
      <c r="K23" s="104"/>
      <c r="L23" s="108">
        <f t="shared" si="0"/>
        <v>44939</v>
      </c>
      <c r="M23" s="99"/>
      <c r="N23" s="142"/>
      <c r="O23" s="143"/>
      <c r="P23" s="146"/>
      <c r="Q23" s="147"/>
      <c r="R23" s="147"/>
      <c r="S23" s="147"/>
      <c r="T23" s="103"/>
      <c r="U23" s="103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</row>
    <row r="24" spans="1:67" s="107" customFormat="1" ht="14.25" customHeight="1" x14ac:dyDescent="0.35">
      <c r="A24" s="108">
        <v>44940</v>
      </c>
      <c r="B24" s="99"/>
      <c r="C24" s="142"/>
      <c r="D24" s="143"/>
      <c r="E24" s="144"/>
      <c r="F24" s="145"/>
      <c r="G24" s="145"/>
      <c r="H24" s="145"/>
      <c r="I24" s="103"/>
      <c r="J24" s="103"/>
      <c r="K24" s="104"/>
      <c r="L24" s="108">
        <f t="shared" si="0"/>
        <v>44940</v>
      </c>
      <c r="M24" s="99"/>
      <c r="N24" s="142"/>
      <c r="O24" s="143"/>
      <c r="P24" s="146"/>
      <c r="Q24" s="147"/>
      <c r="R24" s="147"/>
      <c r="S24" s="147"/>
      <c r="T24" s="103"/>
      <c r="U24" s="103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</row>
    <row r="25" spans="1:67" s="107" customFormat="1" ht="14.25" customHeight="1" x14ac:dyDescent="0.35">
      <c r="A25" s="108">
        <v>44941</v>
      </c>
      <c r="B25" s="99"/>
      <c r="C25" s="142"/>
      <c r="D25" s="143"/>
      <c r="E25" s="144"/>
      <c r="F25" s="145"/>
      <c r="G25" s="145"/>
      <c r="H25" s="145"/>
      <c r="I25" s="103"/>
      <c r="J25" s="103"/>
      <c r="K25" s="104"/>
      <c r="L25" s="108">
        <f t="shared" si="0"/>
        <v>44941</v>
      </c>
      <c r="M25" s="99"/>
      <c r="N25" s="142"/>
      <c r="O25" s="143"/>
      <c r="P25" s="146"/>
      <c r="Q25" s="147"/>
      <c r="R25" s="147"/>
      <c r="S25" s="147"/>
      <c r="T25" s="103"/>
      <c r="U25" s="103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</row>
    <row r="26" spans="1:67" s="107" customFormat="1" ht="14.25" customHeight="1" x14ac:dyDescent="0.35">
      <c r="A26" s="108">
        <v>44942</v>
      </c>
      <c r="B26" s="99"/>
      <c r="C26" s="142"/>
      <c r="D26" s="143"/>
      <c r="E26" s="144"/>
      <c r="F26" s="145"/>
      <c r="G26" s="145"/>
      <c r="H26" s="145"/>
      <c r="I26" s="103"/>
      <c r="J26" s="103"/>
      <c r="K26" s="104"/>
      <c r="L26" s="108">
        <f t="shared" si="0"/>
        <v>44942</v>
      </c>
      <c r="M26" s="99"/>
      <c r="N26" s="142"/>
      <c r="O26" s="143"/>
      <c r="P26" s="146"/>
      <c r="Q26" s="147"/>
      <c r="R26" s="147"/>
      <c r="S26" s="147"/>
      <c r="T26" s="103"/>
      <c r="U26" s="103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</row>
    <row r="27" spans="1:67" s="107" customFormat="1" ht="14.25" customHeight="1" x14ac:dyDescent="0.35">
      <c r="A27" s="108">
        <v>44943</v>
      </c>
      <c r="B27" s="99"/>
      <c r="C27" s="142"/>
      <c r="D27" s="143"/>
      <c r="E27" s="144"/>
      <c r="F27" s="145"/>
      <c r="G27" s="145"/>
      <c r="H27" s="145"/>
      <c r="I27" s="103"/>
      <c r="J27" s="103"/>
      <c r="K27" s="104"/>
      <c r="L27" s="108">
        <f t="shared" si="0"/>
        <v>44943</v>
      </c>
      <c r="M27" s="99"/>
      <c r="N27" s="142"/>
      <c r="O27" s="143"/>
      <c r="P27" s="146"/>
      <c r="Q27" s="147"/>
      <c r="R27" s="147"/>
      <c r="S27" s="147"/>
      <c r="T27" s="103"/>
      <c r="U27" s="103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</row>
    <row r="28" spans="1:67" s="107" customFormat="1" ht="14.25" customHeight="1" x14ac:dyDescent="0.35">
      <c r="A28" s="108">
        <v>44944</v>
      </c>
      <c r="B28" s="99"/>
      <c r="C28" s="142"/>
      <c r="D28" s="143"/>
      <c r="E28" s="144"/>
      <c r="F28" s="145"/>
      <c r="G28" s="145"/>
      <c r="H28" s="145"/>
      <c r="I28" s="103"/>
      <c r="J28" s="103"/>
      <c r="K28" s="104"/>
      <c r="L28" s="108">
        <f t="shared" si="0"/>
        <v>44944</v>
      </c>
      <c r="M28" s="99"/>
      <c r="N28" s="142"/>
      <c r="O28" s="143"/>
      <c r="P28" s="146"/>
      <c r="Q28" s="147"/>
      <c r="R28" s="147"/>
      <c r="S28" s="147"/>
      <c r="T28" s="103"/>
      <c r="U28" s="103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</row>
    <row r="29" spans="1:67" s="107" customFormat="1" ht="14.25" customHeight="1" x14ac:dyDescent="0.35">
      <c r="A29" s="108">
        <v>44945</v>
      </c>
      <c r="B29" s="99"/>
      <c r="C29" s="142"/>
      <c r="D29" s="143"/>
      <c r="E29" s="144"/>
      <c r="F29" s="145"/>
      <c r="G29" s="145"/>
      <c r="H29" s="145"/>
      <c r="I29" s="103"/>
      <c r="J29" s="103"/>
      <c r="K29" s="104"/>
      <c r="L29" s="108">
        <f t="shared" si="0"/>
        <v>44945</v>
      </c>
      <c r="M29" s="99"/>
      <c r="N29" s="142"/>
      <c r="O29" s="143"/>
      <c r="P29" s="146"/>
      <c r="Q29" s="147"/>
      <c r="R29" s="147"/>
      <c r="S29" s="147"/>
      <c r="T29" s="103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</row>
    <row r="30" spans="1:67" s="107" customFormat="1" ht="14.25" customHeight="1" x14ac:dyDescent="0.35">
      <c r="A30" s="108">
        <v>44946</v>
      </c>
      <c r="B30" s="99"/>
      <c r="C30" s="142"/>
      <c r="D30" s="143"/>
      <c r="E30" s="144"/>
      <c r="F30" s="145"/>
      <c r="G30" s="145"/>
      <c r="H30" s="145"/>
      <c r="I30" s="103"/>
      <c r="J30" s="103"/>
      <c r="K30" s="104"/>
      <c r="L30" s="108">
        <f t="shared" si="0"/>
        <v>44946</v>
      </c>
      <c r="M30" s="99"/>
      <c r="N30" s="142"/>
      <c r="O30" s="143"/>
      <c r="P30" s="146"/>
      <c r="Q30" s="147"/>
      <c r="R30" s="147"/>
      <c r="S30" s="147"/>
      <c r="T30" s="103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</row>
    <row r="31" spans="1:67" s="107" customFormat="1" ht="14.25" customHeight="1" x14ac:dyDescent="0.35">
      <c r="A31" s="108">
        <v>44947</v>
      </c>
      <c r="B31" s="99"/>
      <c r="C31" s="142"/>
      <c r="D31" s="143"/>
      <c r="E31" s="144"/>
      <c r="F31" s="145"/>
      <c r="G31" s="145"/>
      <c r="H31" s="145"/>
      <c r="I31" s="103"/>
      <c r="J31" s="103"/>
      <c r="K31" s="104"/>
      <c r="L31" s="108">
        <f t="shared" si="0"/>
        <v>44947</v>
      </c>
      <c r="M31" s="99"/>
      <c r="N31" s="142"/>
      <c r="O31" s="143"/>
      <c r="P31" s="146"/>
      <c r="Q31" s="147"/>
      <c r="R31" s="147"/>
      <c r="S31" s="147"/>
      <c r="T31" s="103"/>
      <c r="U31" s="103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</row>
    <row r="32" spans="1:67" s="107" customFormat="1" ht="14.25" customHeight="1" x14ac:dyDescent="0.35">
      <c r="A32" s="108">
        <v>44948</v>
      </c>
      <c r="B32" s="99"/>
      <c r="C32" s="142"/>
      <c r="D32" s="143"/>
      <c r="E32" s="144"/>
      <c r="F32" s="145"/>
      <c r="G32" s="145"/>
      <c r="H32" s="145"/>
      <c r="I32" s="103"/>
      <c r="J32" s="103"/>
      <c r="K32" s="104"/>
      <c r="L32" s="108">
        <f t="shared" si="0"/>
        <v>44948</v>
      </c>
      <c r="M32" s="99"/>
      <c r="N32" s="142"/>
      <c r="O32" s="143"/>
      <c r="P32" s="146"/>
      <c r="Q32" s="147"/>
      <c r="R32" s="147"/>
      <c r="S32" s="147"/>
      <c r="T32" s="103"/>
      <c r="U32" s="103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</row>
    <row r="33" spans="1:67" s="107" customFormat="1" ht="14.25" customHeight="1" x14ac:dyDescent="0.35">
      <c r="A33" s="108">
        <v>44949</v>
      </c>
      <c r="B33" s="99"/>
      <c r="C33" s="142"/>
      <c r="D33" s="143"/>
      <c r="E33" s="144"/>
      <c r="F33" s="145"/>
      <c r="G33" s="145"/>
      <c r="H33" s="145"/>
      <c r="I33" s="103"/>
      <c r="J33" s="103"/>
      <c r="K33" s="104"/>
      <c r="L33" s="108">
        <f t="shared" si="0"/>
        <v>44949</v>
      </c>
      <c r="M33" s="99"/>
      <c r="N33" s="142"/>
      <c r="O33" s="143"/>
      <c r="P33" s="146"/>
      <c r="Q33" s="147"/>
      <c r="R33" s="147"/>
      <c r="S33" s="147"/>
      <c r="T33" s="103"/>
      <c r="U33" s="103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</row>
    <row r="34" spans="1:67" s="107" customFormat="1" ht="14.25" customHeight="1" thickBot="1" x14ac:dyDescent="0.4">
      <c r="A34" s="108">
        <v>44950</v>
      </c>
      <c r="B34" s="99"/>
      <c r="C34" s="142"/>
      <c r="D34" s="143"/>
      <c r="E34" s="144"/>
      <c r="F34" s="145"/>
      <c r="G34" s="145"/>
      <c r="H34" s="145"/>
      <c r="I34" s="103"/>
      <c r="J34" s="103"/>
      <c r="K34" s="104"/>
      <c r="L34" s="108">
        <f t="shared" si="0"/>
        <v>44950</v>
      </c>
      <c r="M34" s="99"/>
      <c r="N34" s="142"/>
      <c r="O34" s="143"/>
      <c r="P34" s="146"/>
      <c r="Q34" s="147"/>
      <c r="R34" s="147"/>
      <c r="S34" s="147"/>
      <c r="T34" s="103"/>
      <c r="U34" s="103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</row>
    <row r="35" spans="1:67" s="116" customFormat="1" ht="27.75" customHeight="1" thickBot="1" x14ac:dyDescent="0.4">
      <c r="A35" s="109" t="s">
        <v>58</v>
      </c>
      <c r="B35" s="110"/>
      <c r="C35" s="111">
        <f t="shared" ref="C35:H35" si="1">SUM(C4:C34)</f>
        <v>0</v>
      </c>
      <c r="D35" s="111">
        <f t="shared" si="1"/>
        <v>0</v>
      </c>
      <c r="E35" s="112">
        <f t="shared" si="1"/>
        <v>0</v>
      </c>
      <c r="F35" s="112">
        <f t="shared" si="1"/>
        <v>0</v>
      </c>
      <c r="G35" s="112">
        <f t="shared" si="1"/>
        <v>0</v>
      </c>
      <c r="H35" s="112">
        <f t="shared" si="1"/>
        <v>0</v>
      </c>
      <c r="I35" s="113"/>
      <c r="J35" s="113"/>
      <c r="K35" s="114"/>
      <c r="L35" s="109" t="s">
        <v>59</v>
      </c>
      <c r="M35" s="110">
        <f t="shared" ref="M35:S35" si="2">SUM(M4:M34)</f>
        <v>0</v>
      </c>
      <c r="N35" s="111">
        <f t="shared" si="2"/>
        <v>0</v>
      </c>
      <c r="O35" s="111">
        <f t="shared" si="2"/>
        <v>0</v>
      </c>
      <c r="P35" s="115">
        <f t="shared" si="2"/>
        <v>0</v>
      </c>
      <c r="Q35" s="115">
        <f t="shared" si="2"/>
        <v>0</v>
      </c>
      <c r="R35" s="115">
        <f t="shared" si="2"/>
        <v>0</v>
      </c>
      <c r="S35" s="115">
        <f t="shared" si="2"/>
        <v>0</v>
      </c>
      <c r="T35" s="113"/>
      <c r="U35" s="113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</row>
    <row r="36" spans="1:67" s="116" customFormat="1" ht="27.75" customHeight="1" thickBot="1" x14ac:dyDescent="0.4">
      <c r="A36" s="148" t="s">
        <v>60</v>
      </c>
      <c r="B36" s="110"/>
      <c r="C36" s="118" t="e">
        <f t="shared" ref="C36:H36" si="3">AVERAGE(C4:C34)</f>
        <v>#DIV/0!</v>
      </c>
      <c r="D36" s="118" t="e">
        <f t="shared" si="3"/>
        <v>#DIV/0!</v>
      </c>
      <c r="E36" s="119" t="e">
        <f t="shared" si="3"/>
        <v>#DIV/0!</v>
      </c>
      <c r="F36" s="119" t="e">
        <f t="shared" si="3"/>
        <v>#DIV/0!</v>
      </c>
      <c r="G36" s="119" t="e">
        <f t="shared" si="3"/>
        <v>#DIV/0!</v>
      </c>
      <c r="H36" s="119" t="e">
        <f t="shared" si="3"/>
        <v>#DIV/0!</v>
      </c>
      <c r="I36" s="113"/>
      <c r="J36" s="113"/>
      <c r="K36" s="114"/>
      <c r="L36" s="117" t="s">
        <v>61</v>
      </c>
      <c r="M36" s="110"/>
      <c r="N36" s="118" t="e">
        <f t="shared" ref="N36:S36" si="4">AVERAGE(N4:N34)</f>
        <v>#DIV/0!</v>
      </c>
      <c r="O36" s="118" t="e">
        <f t="shared" si="4"/>
        <v>#DIV/0!</v>
      </c>
      <c r="P36" s="120" t="e">
        <f t="shared" si="4"/>
        <v>#DIV/0!</v>
      </c>
      <c r="Q36" s="120" t="e">
        <f t="shared" si="4"/>
        <v>#DIV/0!</v>
      </c>
      <c r="R36" s="120" t="e">
        <f t="shared" si="4"/>
        <v>#DIV/0!</v>
      </c>
      <c r="S36" s="120" t="e">
        <f t="shared" si="4"/>
        <v>#DIV/0!</v>
      </c>
      <c r="T36" s="113"/>
      <c r="U36" s="113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</row>
    <row r="37" spans="1:67" s="116" customFormat="1" ht="27.75" customHeight="1" thickBot="1" x14ac:dyDescent="0.4">
      <c r="A37" s="121"/>
      <c r="B37" s="110"/>
      <c r="C37" s="201" t="s">
        <v>62</v>
      </c>
      <c r="D37" s="201"/>
      <c r="E37" s="201" t="s">
        <v>63</v>
      </c>
      <c r="F37" s="201"/>
      <c r="G37" s="201" t="s">
        <v>64</v>
      </c>
      <c r="H37" s="201"/>
      <c r="I37" s="113"/>
      <c r="J37" s="113"/>
      <c r="K37" s="114"/>
      <c r="L37" s="121"/>
      <c r="M37" s="110"/>
      <c r="N37" s="201" t="s">
        <v>62</v>
      </c>
      <c r="O37" s="201"/>
      <c r="P37" s="201" t="s">
        <v>65</v>
      </c>
      <c r="Q37" s="201"/>
      <c r="R37" s="201" t="s">
        <v>66</v>
      </c>
      <c r="S37" s="201"/>
      <c r="T37" s="113"/>
      <c r="U37" s="113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</row>
    <row r="38" spans="1:67" s="116" customFormat="1" ht="27.75" customHeight="1" thickBot="1" x14ac:dyDescent="0.4">
      <c r="A38" s="117" t="s">
        <v>67</v>
      </c>
      <c r="B38" s="110"/>
      <c r="C38" s="202">
        <f>D35-C35</f>
        <v>0</v>
      </c>
      <c r="D38" s="203"/>
      <c r="E38" s="204">
        <f>F35-E35</f>
        <v>0</v>
      </c>
      <c r="F38" s="205"/>
      <c r="G38" s="204">
        <f>H35-G35</f>
        <v>0</v>
      </c>
      <c r="H38" s="205"/>
      <c r="I38" s="113"/>
      <c r="J38" s="113"/>
      <c r="K38" s="114"/>
      <c r="L38" s="117" t="s">
        <v>0</v>
      </c>
      <c r="M38" s="110"/>
      <c r="N38" s="202">
        <f>O35-N35</f>
        <v>0</v>
      </c>
      <c r="O38" s="203"/>
      <c r="P38" s="198">
        <f>Q35-P35</f>
        <v>0</v>
      </c>
      <c r="Q38" s="199"/>
      <c r="R38" s="198">
        <f>S35-R35</f>
        <v>0</v>
      </c>
      <c r="S38" s="199"/>
      <c r="T38" s="113"/>
      <c r="U38" s="113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</row>
    <row r="39" spans="1:67" s="126" customFormat="1" ht="17.25" customHeight="1" x14ac:dyDescent="0.35">
      <c r="A39" s="122"/>
      <c r="B39" s="123"/>
      <c r="C39" s="123"/>
      <c r="D39" s="123"/>
      <c r="E39" s="123"/>
      <c r="F39" s="123"/>
      <c r="G39" s="123"/>
      <c r="H39" s="123"/>
      <c r="I39" s="124"/>
      <c r="J39" s="124"/>
      <c r="K39" s="125"/>
      <c r="L39" s="122"/>
      <c r="M39" s="123"/>
      <c r="N39" s="123"/>
      <c r="O39" s="123"/>
      <c r="P39" s="123"/>
      <c r="Q39" s="123"/>
      <c r="R39" s="123"/>
      <c r="S39" s="123"/>
      <c r="T39" s="124"/>
      <c r="U39" s="124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</row>
    <row r="40" spans="1:67" s="152" customFormat="1" ht="17.25" customHeight="1" x14ac:dyDescent="0.35">
      <c r="A40" s="149"/>
      <c r="B40" s="150"/>
      <c r="C40" s="150"/>
      <c r="D40" s="150"/>
      <c r="E40" s="150"/>
      <c r="F40" s="150"/>
      <c r="G40" s="150"/>
      <c r="H40" s="150"/>
      <c r="I40" s="151"/>
      <c r="J40" s="151"/>
      <c r="K40" s="133"/>
      <c r="L40" s="149"/>
      <c r="M40" s="150"/>
      <c r="N40" s="150"/>
      <c r="O40" s="150"/>
      <c r="P40" s="150"/>
      <c r="Q40" s="150"/>
      <c r="R40" s="150"/>
      <c r="S40" s="150"/>
      <c r="T40" s="151"/>
      <c r="U40" s="151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</row>
    <row r="41" spans="1:67" s="126" customFormat="1" ht="17.25" customHeight="1" x14ac:dyDescent="0.35">
      <c r="A41" s="121"/>
      <c r="B41" s="123"/>
      <c r="C41" s="123"/>
      <c r="D41" s="123"/>
      <c r="E41" s="123"/>
      <c r="F41" s="123"/>
      <c r="G41" s="123"/>
      <c r="H41" s="123"/>
      <c r="I41" s="124"/>
      <c r="J41" s="124"/>
      <c r="K41" s="125"/>
      <c r="L41" s="121"/>
      <c r="M41" s="123"/>
      <c r="N41" s="123"/>
      <c r="O41" s="123"/>
      <c r="P41" s="123"/>
      <c r="Q41" s="123"/>
      <c r="R41" s="123"/>
      <c r="S41" s="123"/>
      <c r="T41" s="124"/>
      <c r="U41" s="124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</row>
    <row r="42" spans="1:67" s="126" customFormat="1" ht="17.25" customHeight="1" x14ac:dyDescent="0.35">
      <c r="A42" s="128"/>
      <c r="B42" s="129"/>
      <c r="C42" s="130"/>
      <c r="D42" s="130"/>
      <c r="E42" s="130"/>
      <c r="F42" s="130"/>
      <c r="G42" s="130"/>
      <c r="H42" s="130"/>
      <c r="I42" s="124"/>
      <c r="J42" s="124"/>
      <c r="K42" s="125"/>
      <c r="L42" s="128"/>
      <c r="M42" s="129"/>
      <c r="N42" s="130"/>
      <c r="O42" s="130"/>
      <c r="P42" s="130"/>
      <c r="Q42" s="130"/>
      <c r="R42" s="130"/>
      <c r="S42" s="130"/>
      <c r="T42" s="124"/>
      <c r="U42" s="124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</row>
    <row r="43" spans="1:67" s="126" customFormat="1" ht="17.25" customHeight="1" thickBot="1" x14ac:dyDescent="0.4">
      <c r="A43" s="131"/>
      <c r="B43" s="132"/>
      <c r="C43" s="132"/>
      <c r="D43" s="132"/>
      <c r="E43" s="132"/>
      <c r="F43" s="132"/>
      <c r="G43" s="132"/>
      <c r="H43" s="132"/>
      <c r="I43" s="124"/>
      <c r="J43" s="124"/>
      <c r="K43" s="125"/>
      <c r="L43" s="131"/>
      <c r="M43" s="132"/>
      <c r="N43" s="132"/>
      <c r="O43" s="132"/>
      <c r="P43" s="132"/>
      <c r="Q43" s="132"/>
      <c r="R43" s="132"/>
      <c r="S43" s="132"/>
      <c r="T43" s="124"/>
      <c r="U43" s="124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</row>
    <row r="44" spans="1:67" s="133" customFormat="1" ht="17.25" customHeight="1" x14ac:dyDescent="0.35">
      <c r="I44" s="134"/>
      <c r="J44" s="134"/>
    </row>
  </sheetData>
  <mergeCells count="14">
    <mergeCell ref="R38:S38"/>
    <mergeCell ref="C2:H2"/>
    <mergeCell ref="N2:S2"/>
    <mergeCell ref="C37:D37"/>
    <mergeCell ref="E37:F37"/>
    <mergeCell ref="G37:H37"/>
    <mergeCell ref="N37:O37"/>
    <mergeCell ref="P37:Q37"/>
    <mergeCell ref="R37:S37"/>
    <mergeCell ref="C38:D38"/>
    <mergeCell ref="E38:F38"/>
    <mergeCell ref="G38:H38"/>
    <mergeCell ref="N38:O38"/>
    <mergeCell ref="P38:Q38"/>
  </mergeCells>
  <conditionalFormatting sqref="H4:H34 C4:D34">
    <cfRule type="cellIs" dxfId="139" priority="177" stopIfTrue="1" operator="lessThanOrEqual">
      <formula>0</formula>
    </cfRule>
  </conditionalFormatting>
  <conditionalFormatting sqref="C36:D36">
    <cfRule type="cellIs" dxfId="138" priority="176" stopIfTrue="1" operator="equal">
      <formula>#DIV/0!</formula>
    </cfRule>
  </conditionalFormatting>
  <conditionalFormatting sqref="E4:F34">
    <cfRule type="cellIs" dxfId="137" priority="175" stopIfTrue="1" operator="lessThanOrEqual">
      <formula>0</formula>
    </cfRule>
  </conditionalFormatting>
  <conditionalFormatting sqref="G4:G34">
    <cfRule type="cellIs" dxfId="136" priority="167" operator="greaterThan">
      <formula>$H$25</formula>
    </cfRule>
    <cfRule type="cellIs" dxfId="135" priority="174" stopIfTrue="1" operator="lessThanOrEqual">
      <formula>0</formula>
    </cfRule>
  </conditionalFormatting>
  <conditionalFormatting sqref="S4:S34 N4:O34">
    <cfRule type="cellIs" dxfId="134" priority="173" stopIfTrue="1" operator="lessThanOrEqual">
      <formula>0</formula>
    </cfRule>
  </conditionalFormatting>
  <conditionalFormatting sqref="N36:O36">
    <cfRule type="cellIs" dxfId="133" priority="172" stopIfTrue="1" operator="equal">
      <formula>#DIV/0!</formula>
    </cfRule>
  </conditionalFormatting>
  <conditionalFormatting sqref="P4:Q34">
    <cfRule type="cellIs" dxfId="132" priority="171" stopIfTrue="1" operator="lessThanOrEqual">
      <formula>0</formula>
    </cfRule>
  </conditionalFormatting>
  <conditionalFormatting sqref="R4:R34">
    <cfRule type="cellIs" dxfId="131" priority="164" operator="greaterThan">
      <formula>$S$25</formula>
    </cfRule>
    <cfRule type="cellIs" dxfId="130" priority="170" stopIfTrue="1" operator="lessThanOrEqual">
      <formula>0</formula>
    </cfRule>
  </conditionalFormatting>
  <conditionalFormatting sqref="C4:C34">
    <cfRule type="cellIs" dxfId="129" priority="169" operator="greaterThan">
      <formula>$D$26</formula>
    </cfRule>
  </conditionalFormatting>
  <conditionalFormatting sqref="E4:E34">
    <cfRule type="cellIs" dxfId="128" priority="168" operator="greaterThan">
      <formula>$F$26</formula>
    </cfRule>
  </conditionalFormatting>
  <conditionalFormatting sqref="N4:N34">
    <cfRule type="cellIs" dxfId="127" priority="166" operator="greaterThan">
      <formula>$O$25</formula>
    </cfRule>
  </conditionalFormatting>
  <conditionalFormatting sqref="P4:P34">
    <cfRule type="cellIs" dxfId="126" priority="165" operator="greaterThan">
      <formula>$Q$27</formula>
    </cfRule>
  </conditionalFormatting>
  <conditionalFormatting sqref="C38 E38 G38">
    <cfRule type="cellIs" dxfId="125" priority="163" stopIfTrue="1" operator="equal">
      <formula>#DIV/0!</formula>
    </cfRule>
  </conditionalFormatting>
  <conditionalFormatting sqref="N38">
    <cfRule type="cellIs" dxfId="124" priority="162" stopIfTrue="1" operator="equal">
      <formula>#DIV/0!</formula>
    </cfRule>
  </conditionalFormatting>
  <conditionalFormatting sqref="R38">
    <cfRule type="cellIs" dxfId="123" priority="161" stopIfTrue="1" operator="equal">
      <formula>#DIV/0!</formula>
    </cfRule>
  </conditionalFormatting>
  <conditionalFormatting sqref="P38">
    <cfRule type="cellIs" dxfId="122" priority="160" stopIfTrue="1" operator="equal">
      <formula>#DIV/0!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O44"/>
  <sheetViews>
    <sheetView zoomScale="85" zoomScaleNormal="85" workbookViewId="0">
      <pane xSplit="2" ySplit="3" topLeftCell="H22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9.1796875" defaultRowHeight="14.5" x14ac:dyDescent="0.35"/>
  <cols>
    <col min="1" max="1" width="12.81640625" style="141" customWidth="1"/>
    <col min="2" max="2" width="1" style="141" customWidth="1"/>
    <col min="3" max="3" width="12.81640625" style="141" customWidth="1"/>
    <col min="4" max="4" width="14.81640625" style="141" customWidth="1"/>
    <col min="5" max="5" width="12.81640625" style="141" customWidth="1"/>
    <col min="6" max="6" width="14.81640625" style="141" customWidth="1"/>
    <col min="7" max="8" width="15" style="141" customWidth="1"/>
    <col min="9" max="9" width="3.81640625" style="141" customWidth="1"/>
    <col min="10" max="10" width="3.1796875" style="141" customWidth="1"/>
    <col min="11" max="11" width="9.1796875" style="85"/>
    <col min="12" max="12" width="12.1796875" style="85" customWidth="1"/>
    <col min="13" max="13" width="1.1796875" style="85" customWidth="1"/>
    <col min="14" max="14" width="12.81640625" style="141" customWidth="1"/>
    <col min="15" max="15" width="15.453125" style="141" customWidth="1"/>
    <col min="16" max="16" width="12.81640625" style="141" customWidth="1"/>
    <col min="17" max="17" width="15.453125" style="141" customWidth="1"/>
    <col min="18" max="19" width="15" style="141" customWidth="1"/>
    <col min="20" max="20" width="5.1796875" style="85" customWidth="1"/>
    <col min="21" max="21" width="4.54296875" style="85" customWidth="1"/>
    <col min="22" max="67" width="9.1796875" style="85"/>
    <col min="68" max="226" width="9.1796875" style="141"/>
    <col min="227" max="227" width="12.81640625" style="141" customWidth="1"/>
    <col min="228" max="228" width="1" style="141" customWidth="1"/>
    <col min="229" max="230" width="12.81640625" style="141" customWidth="1"/>
    <col min="231" max="231" width="8.81640625" style="141" customWidth="1"/>
    <col min="232" max="233" width="12.81640625" style="141" customWidth="1"/>
    <col min="234" max="234" width="8.81640625" style="141" customWidth="1"/>
    <col min="235" max="236" width="12.81640625" style="141" customWidth="1"/>
    <col min="237" max="237" width="8.81640625" style="141" customWidth="1"/>
    <col min="238" max="239" width="12.81640625" style="141" customWidth="1"/>
    <col min="240" max="240" width="8.81640625" style="141" customWidth="1"/>
    <col min="241" max="242" width="12.81640625" style="141" customWidth="1"/>
    <col min="243" max="243" width="8.81640625" style="141" customWidth="1"/>
    <col min="244" max="245" width="12.81640625" style="141" customWidth="1"/>
    <col min="246" max="246" width="8.81640625" style="141" customWidth="1"/>
    <col min="247" max="248" width="12.81640625" style="141" customWidth="1"/>
    <col min="249" max="249" width="8.81640625" style="141" customWidth="1"/>
    <col min="250" max="250" width="3.81640625" style="141" customWidth="1"/>
    <col min="251" max="251" width="3.1796875" style="141" customWidth="1"/>
    <col min="252" max="252" width="9.1796875" style="141"/>
    <col min="253" max="253" width="12.1796875" style="141" customWidth="1"/>
    <col min="254" max="254" width="1.1796875" style="141" customWidth="1"/>
    <col min="255" max="256" width="12.81640625" style="141" customWidth="1"/>
    <col min="257" max="257" width="8.81640625" style="141" customWidth="1"/>
    <col min="258" max="259" width="12.81640625" style="141" customWidth="1"/>
    <col min="260" max="260" width="8.81640625" style="141" customWidth="1"/>
    <col min="261" max="262" width="12.81640625" style="141" customWidth="1"/>
    <col min="263" max="263" width="8.81640625" style="141" customWidth="1"/>
    <col min="264" max="265" width="12.81640625" style="141" customWidth="1"/>
    <col min="266" max="266" width="8.81640625" style="141" customWidth="1"/>
    <col min="267" max="268" width="12.81640625" style="141" customWidth="1"/>
    <col min="269" max="269" width="8.81640625" style="141" customWidth="1"/>
    <col min="270" max="270" width="14" style="141" bestFit="1" customWidth="1"/>
    <col min="271" max="271" width="12.81640625" style="141" customWidth="1"/>
    <col min="272" max="272" width="8.81640625" style="141" customWidth="1"/>
    <col min="273" max="274" width="12.81640625" style="141" customWidth="1"/>
    <col min="275" max="275" width="8.81640625" style="141" customWidth="1"/>
    <col min="276" max="276" width="5.1796875" style="141" customWidth="1"/>
    <col min="277" max="277" width="4.54296875" style="141" customWidth="1"/>
    <col min="278" max="482" width="9.1796875" style="141"/>
    <col min="483" max="483" width="12.81640625" style="141" customWidth="1"/>
    <col min="484" max="484" width="1" style="141" customWidth="1"/>
    <col min="485" max="486" width="12.81640625" style="141" customWidth="1"/>
    <col min="487" max="487" width="8.81640625" style="141" customWidth="1"/>
    <col min="488" max="489" width="12.81640625" style="141" customWidth="1"/>
    <col min="490" max="490" width="8.81640625" style="141" customWidth="1"/>
    <col min="491" max="492" width="12.81640625" style="141" customWidth="1"/>
    <col min="493" max="493" width="8.81640625" style="141" customWidth="1"/>
    <col min="494" max="495" width="12.81640625" style="141" customWidth="1"/>
    <col min="496" max="496" width="8.81640625" style="141" customWidth="1"/>
    <col min="497" max="498" width="12.81640625" style="141" customWidth="1"/>
    <col min="499" max="499" width="8.81640625" style="141" customWidth="1"/>
    <col min="500" max="501" width="12.81640625" style="141" customWidth="1"/>
    <col min="502" max="502" width="8.81640625" style="141" customWidth="1"/>
    <col min="503" max="504" width="12.81640625" style="141" customWidth="1"/>
    <col min="505" max="505" width="8.81640625" style="141" customWidth="1"/>
    <col min="506" max="506" width="3.81640625" style="141" customWidth="1"/>
    <col min="507" max="507" width="3.1796875" style="141" customWidth="1"/>
    <col min="508" max="508" width="9.1796875" style="141"/>
    <col min="509" max="509" width="12.1796875" style="141" customWidth="1"/>
    <col min="510" max="510" width="1.1796875" style="141" customWidth="1"/>
    <col min="511" max="512" width="12.81640625" style="141" customWidth="1"/>
    <col min="513" max="513" width="8.81640625" style="141" customWidth="1"/>
    <col min="514" max="515" width="12.81640625" style="141" customWidth="1"/>
    <col min="516" max="516" width="8.81640625" style="141" customWidth="1"/>
    <col min="517" max="518" width="12.81640625" style="141" customWidth="1"/>
    <col min="519" max="519" width="8.81640625" style="141" customWidth="1"/>
    <col min="520" max="521" width="12.81640625" style="141" customWidth="1"/>
    <col min="522" max="522" width="8.81640625" style="141" customWidth="1"/>
    <col min="523" max="524" width="12.81640625" style="141" customWidth="1"/>
    <col min="525" max="525" width="8.81640625" style="141" customWidth="1"/>
    <col min="526" max="526" width="14" style="141" bestFit="1" customWidth="1"/>
    <col min="527" max="527" width="12.81640625" style="141" customWidth="1"/>
    <col min="528" max="528" width="8.81640625" style="141" customWidth="1"/>
    <col min="529" max="530" width="12.81640625" style="141" customWidth="1"/>
    <col min="531" max="531" width="8.81640625" style="141" customWidth="1"/>
    <col min="532" max="532" width="5.1796875" style="141" customWidth="1"/>
    <col min="533" max="533" width="4.54296875" style="141" customWidth="1"/>
    <col min="534" max="738" width="9.1796875" style="141"/>
    <col min="739" max="739" width="12.81640625" style="141" customWidth="1"/>
    <col min="740" max="740" width="1" style="141" customWidth="1"/>
    <col min="741" max="742" width="12.81640625" style="141" customWidth="1"/>
    <col min="743" max="743" width="8.81640625" style="141" customWidth="1"/>
    <col min="744" max="745" width="12.81640625" style="141" customWidth="1"/>
    <col min="746" max="746" width="8.81640625" style="141" customWidth="1"/>
    <col min="747" max="748" width="12.81640625" style="141" customWidth="1"/>
    <col min="749" max="749" width="8.81640625" style="141" customWidth="1"/>
    <col min="750" max="751" width="12.81640625" style="141" customWidth="1"/>
    <col min="752" max="752" width="8.81640625" style="141" customWidth="1"/>
    <col min="753" max="754" width="12.81640625" style="141" customWidth="1"/>
    <col min="755" max="755" width="8.81640625" style="141" customWidth="1"/>
    <col min="756" max="757" width="12.81640625" style="141" customWidth="1"/>
    <col min="758" max="758" width="8.81640625" style="141" customWidth="1"/>
    <col min="759" max="760" width="12.81640625" style="141" customWidth="1"/>
    <col min="761" max="761" width="8.81640625" style="141" customWidth="1"/>
    <col min="762" max="762" width="3.81640625" style="141" customWidth="1"/>
    <col min="763" max="763" width="3.1796875" style="141" customWidth="1"/>
    <col min="764" max="764" width="9.1796875" style="141"/>
    <col min="765" max="765" width="12.1796875" style="141" customWidth="1"/>
    <col min="766" max="766" width="1.1796875" style="141" customWidth="1"/>
    <col min="767" max="768" width="12.81640625" style="141" customWidth="1"/>
    <col min="769" max="769" width="8.81640625" style="141" customWidth="1"/>
    <col min="770" max="771" width="12.81640625" style="141" customWidth="1"/>
    <col min="772" max="772" width="8.81640625" style="141" customWidth="1"/>
    <col min="773" max="774" width="12.81640625" style="141" customWidth="1"/>
    <col min="775" max="775" width="8.81640625" style="141" customWidth="1"/>
    <col min="776" max="777" width="12.81640625" style="141" customWidth="1"/>
    <col min="778" max="778" width="8.81640625" style="141" customWidth="1"/>
    <col min="779" max="780" width="12.81640625" style="141" customWidth="1"/>
    <col min="781" max="781" width="8.81640625" style="141" customWidth="1"/>
    <col min="782" max="782" width="14" style="141" bestFit="1" customWidth="1"/>
    <col min="783" max="783" width="12.81640625" style="141" customWidth="1"/>
    <col min="784" max="784" width="8.81640625" style="141" customWidth="1"/>
    <col min="785" max="786" width="12.81640625" style="141" customWidth="1"/>
    <col min="787" max="787" width="8.81640625" style="141" customWidth="1"/>
    <col min="788" max="788" width="5.1796875" style="141" customWidth="1"/>
    <col min="789" max="789" width="4.54296875" style="141" customWidth="1"/>
    <col min="790" max="994" width="9.1796875" style="141"/>
    <col min="995" max="995" width="12.81640625" style="141" customWidth="1"/>
    <col min="996" max="996" width="1" style="141" customWidth="1"/>
    <col min="997" max="998" width="12.81640625" style="141" customWidth="1"/>
    <col min="999" max="999" width="8.81640625" style="141" customWidth="1"/>
    <col min="1000" max="1001" width="12.81640625" style="141" customWidth="1"/>
    <col min="1002" max="1002" width="8.81640625" style="141" customWidth="1"/>
    <col min="1003" max="1004" width="12.81640625" style="141" customWidth="1"/>
    <col min="1005" max="1005" width="8.81640625" style="141" customWidth="1"/>
    <col min="1006" max="1007" width="12.81640625" style="141" customWidth="1"/>
    <col min="1008" max="1008" width="8.81640625" style="141" customWidth="1"/>
    <col min="1009" max="1010" width="12.81640625" style="141" customWidth="1"/>
    <col min="1011" max="1011" width="8.81640625" style="141" customWidth="1"/>
    <col min="1012" max="1013" width="12.81640625" style="141" customWidth="1"/>
    <col min="1014" max="1014" width="8.81640625" style="141" customWidth="1"/>
    <col min="1015" max="1016" width="12.81640625" style="141" customWidth="1"/>
    <col min="1017" max="1017" width="8.81640625" style="141" customWidth="1"/>
    <col min="1018" max="1018" width="3.81640625" style="141" customWidth="1"/>
    <col min="1019" max="1019" width="3.1796875" style="141" customWidth="1"/>
    <col min="1020" max="1020" width="9.1796875" style="141"/>
    <col min="1021" max="1021" width="12.1796875" style="141" customWidth="1"/>
    <col min="1022" max="1022" width="1.1796875" style="141" customWidth="1"/>
    <col min="1023" max="1024" width="12.81640625" style="141" customWidth="1"/>
    <col min="1025" max="1025" width="8.81640625" style="141" customWidth="1"/>
    <col min="1026" max="1027" width="12.81640625" style="141" customWidth="1"/>
    <col min="1028" max="1028" width="8.81640625" style="141" customWidth="1"/>
    <col min="1029" max="1030" width="12.81640625" style="141" customWidth="1"/>
    <col min="1031" max="1031" width="8.81640625" style="141" customWidth="1"/>
    <col min="1032" max="1033" width="12.81640625" style="141" customWidth="1"/>
    <col min="1034" max="1034" width="8.81640625" style="141" customWidth="1"/>
    <col min="1035" max="1036" width="12.81640625" style="141" customWidth="1"/>
    <col min="1037" max="1037" width="8.81640625" style="141" customWidth="1"/>
    <col min="1038" max="1038" width="14" style="141" bestFit="1" customWidth="1"/>
    <col min="1039" max="1039" width="12.81640625" style="141" customWidth="1"/>
    <col min="1040" max="1040" width="8.81640625" style="141" customWidth="1"/>
    <col min="1041" max="1042" width="12.81640625" style="141" customWidth="1"/>
    <col min="1043" max="1043" width="8.81640625" style="141" customWidth="1"/>
    <col min="1044" max="1044" width="5.1796875" style="141" customWidth="1"/>
    <col min="1045" max="1045" width="4.54296875" style="141" customWidth="1"/>
    <col min="1046" max="1250" width="9.1796875" style="141"/>
    <col min="1251" max="1251" width="12.81640625" style="141" customWidth="1"/>
    <col min="1252" max="1252" width="1" style="141" customWidth="1"/>
    <col min="1253" max="1254" width="12.81640625" style="141" customWidth="1"/>
    <col min="1255" max="1255" width="8.81640625" style="141" customWidth="1"/>
    <col min="1256" max="1257" width="12.81640625" style="141" customWidth="1"/>
    <col min="1258" max="1258" width="8.81640625" style="141" customWidth="1"/>
    <col min="1259" max="1260" width="12.81640625" style="141" customWidth="1"/>
    <col min="1261" max="1261" width="8.81640625" style="141" customWidth="1"/>
    <col min="1262" max="1263" width="12.81640625" style="141" customWidth="1"/>
    <col min="1264" max="1264" width="8.81640625" style="141" customWidth="1"/>
    <col min="1265" max="1266" width="12.81640625" style="141" customWidth="1"/>
    <col min="1267" max="1267" width="8.81640625" style="141" customWidth="1"/>
    <col min="1268" max="1269" width="12.81640625" style="141" customWidth="1"/>
    <col min="1270" max="1270" width="8.81640625" style="141" customWidth="1"/>
    <col min="1271" max="1272" width="12.81640625" style="141" customWidth="1"/>
    <col min="1273" max="1273" width="8.81640625" style="141" customWidth="1"/>
    <col min="1274" max="1274" width="3.81640625" style="141" customWidth="1"/>
    <col min="1275" max="1275" width="3.1796875" style="141" customWidth="1"/>
    <col min="1276" max="1276" width="9.1796875" style="141"/>
    <col min="1277" max="1277" width="12.1796875" style="141" customWidth="1"/>
    <col min="1278" max="1278" width="1.1796875" style="141" customWidth="1"/>
    <col min="1279" max="1280" width="12.81640625" style="141" customWidth="1"/>
    <col min="1281" max="1281" width="8.81640625" style="141" customWidth="1"/>
    <col min="1282" max="1283" width="12.81640625" style="141" customWidth="1"/>
    <col min="1284" max="1284" width="8.81640625" style="141" customWidth="1"/>
    <col min="1285" max="1286" width="12.81640625" style="141" customWidth="1"/>
    <col min="1287" max="1287" width="8.81640625" style="141" customWidth="1"/>
    <col min="1288" max="1289" width="12.81640625" style="141" customWidth="1"/>
    <col min="1290" max="1290" width="8.81640625" style="141" customWidth="1"/>
    <col min="1291" max="1292" width="12.81640625" style="141" customWidth="1"/>
    <col min="1293" max="1293" width="8.81640625" style="141" customWidth="1"/>
    <col min="1294" max="1294" width="14" style="141" bestFit="1" customWidth="1"/>
    <col min="1295" max="1295" width="12.81640625" style="141" customWidth="1"/>
    <col min="1296" max="1296" width="8.81640625" style="141" customWidth="1"/>
    <col min="1297" max="1298" width="12.81640625" style="141" customWidth="1"/>
    <col min="1299" max="1299" width="8.81640625" style="141" customWidth="1"/>
    <col min="1300" max="1300" width="5.1796875" style="141" customWidth="1"/>
    <col min="1301" max="1301" width="4.54296875" style="141" customWidth="1"/>
    <col min="1302" max="1506" width="9.1796875" style="141"/>
    <col min="1507" max="1507" width="12.81640625" style="141" customWidth="1"/>
    <col min="1508" max="1508" width="1" style="141" customWidth="1"/>
    <col min="1509" max="1510" width="12.81640625" style="141" customWidth="1"/>
    <col min="1511" max="1511" width="8.81640625" style="141" customWidth="1"/>
    <col min="1512" max="1513" width="12.81640625" style="141" customWidth="1"/>
    <col min="1514" max="1514" width="8.81640625" style="141" customWidth="1"/>
    <col min="1515" max="1516" width="12.81640625" style="141" customWidth="1"/>
    <col min="1517" max="1517" width="8.81640625" style="141" customWidth="1"/>
    <col min="1518" max="1519" width="12.81640625" style="141" customWidth="1"/>
    <col min="1520" max="1520" width="8.81640625" style="141" customWidth="1"/>
    <col min="1521" max="1522" width="12.81640625" style="141" customWidth="1"/>
    <col min="1523" max="1523" width="8.81640625" style="141" customWidth="1"/>
    <col min="1524" max="1525" width="12.81640625" style="141" customWidth="1"/>
    <col min="1526" max="1526" width="8.81640625" style="141" customWidth="1"/>
    <col min="1527" max="1528" width="12.81640625" style="141" customWidth="1"/>
    <col min="1529" max="1529" width="8.81640625" style="141" customWidth="1"/>
    <col min="1530" max="1530" width="3.81640625" style="141" customWidth="1"/>
    <col min="1531" max="1531" width="3.1796875" style="141" customWidth="1"/>
    <col min="1532" max="1532" width="9.1796875" style="141"/>
    <col min="1533" max="1533" width="12.1796875" style="141" customWidth="1"/>
    <col min="1534" max="1534" width="1.1796875" style="141" customWidth="1"/>
    <col min="1535" max="1536" width="12.81640625" style="141" customWidth="1"/>
    <col min="1537" max="1537" width="8.81640625" style="141" customWidth="1"/>
    <col min="1538" max="1539" width="12.81640625" style="141" customWidth="1"/>
    <col min="1540" max="1540" width="8.81640625" style="141" customWidth="1"/>
    <col min="1541" max="1542" width="12.81640625" style="141" customWidth="1"/>
    <col min="1543" max="1543" width="8.81640625" style="141" customWidth="1"/>
    <col min="1544" max="1545" width="12.81640625" style="141" customWidth="1"/>
    <col min="1546" max="1546" width="8.81640625" style="141" customWidth="1"/>
    <col min="1547" max="1548" width="12.81640625" style="141" customWidth="1"/>
    <col min="1549" max="1549" width="8.81640625" style="141" customWidth="1"/>
    <col min="1550" max="1550" width="14" style="141" bestFit="1" customWidth="1"/>
    <col min="1551" max="1551" width="12.81640625" style="141" customWidth="1"/>
    <col min="1552" max="1552" width="8.81640625" style="141" customWidth="1"/>
    <col min="1553" max="1554" width="12.81640625" style="141" customWidth="1"/>
    <col min="1555" max="1555" width="8.81640625" style="141" customWidth="1"/>
    <col min="1556" max="1556" width="5.1796875" style="141" customWidth="1"/>
    <col min="1557" max="1557" width="4.54296875" style="141" customWidth="1"/>
    <col min="1558" max="1762" width="9.1796875" style="141"/>
    <col min="1763" max="1763" width="12.81640625" style="141" customWidth="1"/>
    <col min="1764" max="1764" width="1" style="141" customWidth="1"/>
    <col min="1765" max="1766" width="12.81640625" style="141" customWidth="1"/>
    <col min="1767" max="1767" width="8.81640625" style="141" customWidth="1"/>
    <col min="1768" max="1769" width="12.81640625" style="141" customWidth="1"/>
    <col min="1770" max="1770" width="8.81640625" style="141" customWidth="1"/>
    <col min="1771" max="1772" width="12.81640625" style="141" customWidth="1"/>
    <col min="1773" max="1773" width="8.81640625" style="141" customWidth="1"/>
    <col min="1774" max="1775" width="12.81640625" style="141" customWidth="1"/>
    <col min="1776" max="1776" width="8.81640625" style="141" customWidth="1"/>
    <col min="1777" max="1778" width="12.81640625" style="141" customWidth="1"/>
    <col min="1779" max="1779" width="8.81640625" style="141" customWidth="1"/>
    <col min="1780" max="1781" width="12.81640625" style="141" customWidth="1"/>
    <col min="1782" max="1782" width="8.81640625" style="141" customWidth="1"/>
    <col min="1783" max="1784" width="12.81640625" style="141" customWidth="1"/>
    <col min="1785" max="1785" width="8.81640625" style="141" customWidth="1"/>
    <col min="1786" max="1786" width="3.81640625" style="141" customWidth="1"/>
    <col min="1787" max="1787" width="3.1796875" style="141" customWidth="1"/>
    <col min="1788" max="1788" width="9.1796875" style="141"/>
    <col min="1789" max="1789" width="12.1796875" style="141" customWidth="1"/>
    <col min="1790" max="1790" width="1.1796875" style="141" customWidth="1"/>
    <col min="1791" max="1792" width="12.81640625" style="141" customWidth="1"/>
    <col min="1793" max="1793" width="8.81640625" style="141" customWidth="1"/>
    <col min="1794" max="1795" width="12.81640625" style="141" customWidth="1"/>
    <col min="1796" max="1796" width="8.81640625" style="141" customWidth="1"/>
    <col min="1797" max="1798" width="12.81640625" style="141" customWidth="1"/>
    <col min="1799" max="1799" width="8.81640625" style="141" customWidth="1"/>
    <col min="1800" max="1801" width="12.81640625" style="141" customWidth="1"/>
    <col min="1802" max="1802" width="8.81640625" style="141" customWidth="1"/>
    <col min="1803" max="1804" width="12.81640625" style="141" customWidth="1"/>
    <col min="1805" max="1805" width="8.81640625" style="141" customWidth="1"/>
    <col min="1806" max="1806" width="14" style="141" bestFit="1" customWidth="1"/>
    <col min="1807" max="1807" width="12.81640625" style="141" customWidth="1"/>
    <col min="1808" max="1808" width="8.81640625" style="141" customWidth="1"/>
    <col min="1809" max="1810" width="12.81640625" style="141" customWidth="1"/>
    <col min="1811" max="1811" width="8.81640625" style="141" customWidth="1"/>
    <col min="1812" max="1812" width="5.1796875" style="141" customWidth="1"/>
    <col min="1813" max="1813" width="4.54296875" style="141" customWidth="1"/>
    <col min="1814" max="2018" width="9.1796875" style="141"/>
    <col min="2019" max="2019" width="12.81640625" style="141" customWidth="1"/>
    <col min="2020" max="2020" width="1" style="141" customWidth="1"/>
    <col min="2021" max="2022" width="12.81640625" style="141" customWidth="1"/>
    <col min="2023" max="2023" width="8.81640625" style="141" customWidth="1"/>
    <col min="2024" max="2025" width="12.81640625" style="141" customWidth="1"/>
    <col min="2026" max="2026" width="8.81640625" style="141" customWidth="1"/>
    <col min="2027" max="2028" width="12.81640625" style="141" customWidth="1"/>
    <col min="2029" max="2029" width="8.81640625" style="141" customWidth="1"/>
    <col min="2030" max="2031" width="12.81640625" style="141" customWidth="1"/>
    <col min="2032" max="2032" width="8.81640625" style="141" customWidth="1"/>
    <col min="2033" max="2034" width="12.81640625" style="141" customWidth="1"/>
    <col min="2035" max="2035" width="8.81640625" style="141" customWidth="1"/>
    <col min="2036" max="2037" width="12.81640625" style="141" customWidth="1"/>
    <col min="2038" max="2038" width="8.81640625" style="141" customWidth="1"/>
    <col min="2039" max="2040" width="12.81640625" style="141" customWidth="1"/>
    <col min="2041" max="2041" width="8.81640625" style="141" customWidth="1"/>
    <col min="2042" max="2042" width="3.81640625" style="141" customWidth="1"/>
    <col min="2043" max="2043" width="3.1796875" style="141" customWidth="1"/>
    <col min="2044" max="2044" width="9.1796875" style="141"/>
    <col min="2045" max="2045" width="12.1796875" style="141" customWidth="1"/>
    <col min="2046" max="2046" width="1.1796875" style="141" customWidth="1"/>
    <col min="2047" max="2048" width="12.81640625" style="141" customWidth="1"/>
    <col min="2049" max="2049" width="8.81640625" style="141" customWidth="1"/>
    <col min="2050" max="2051" width="12.81640625" style="141" customWidth="1"/>
    <col min="2052" max="2052" width="8.81640625" style="141" customWidth="1"/>
    <col min="2053" max="2054" width="12.81640625" style="141" customWidth="1"/>
    <col min="2055" max="2055" width="8.81640625" style="141" customWidth="1"/>
    <col min="2056" max="2057" width="12.81640625" style="141" customWidth="1"/>
    <col min="2058" max="2058" width="8.81640625" style="141" customWidth="1"/>
    <col min="2059" max="2060" width="12.81640625" style="141" customWidth="1"/>
    <col min="2061" max="2061" width="8.81640625" style="141" customWidth="1"/>
    <col min="2062" max="2062" width="14" style="141" bestFit="1" customWidth="1"/>
    <col min="2063" max="2063" width="12.81640625" style="141" customWidth="1"/>
    <col min="2064" max="2064" width="8.81640625" style="141" customWidth="1"/>
    <col min="2065" max="2066" width="12.81640625" style="141" customWidth="1"/>
    <col min="2067" max="2067" width="8.81640625" style="141" customWidth="1"/>
    <col min="2068" max="2068" width="5.1796875" style="141" customWidth="1"/>
    <col min="2069" max="2069" width="4.54296875" style="141" customWidth="1"/>
    <col min="2070" max="2274" width="9.1796875" style="141"/>
    <col min="2275" max="2275" width="12.81640625" style="141" customWidth="1"/>
    <col min="2276" max="2276" width="1" style="141" customWidth="1"/>
    <col min="2277" max="2278" width="12.81640625" style="141" customWidth="1"/>
    <col min="2279" max="2279" width="8.81640625" style="141" customWidth="1"/>
    <col min="2280" max="2281" width="12.81640625" style="141" customWidth="1"/>
    <col min="2282" max="2282" width="8.81640625" style="141" customWidth="1"/>
    <col min="2283" max="2284" width="12.81640625" style="141" customWidth="1"/>
    <col min="2285" max="2285" width="8.81640625" style="141" customWidth="1"/>
    <col min="2286" max="2287" width="12.81640625" style="141" customWidth="1"/>
    <col min="2288" max="2288" width="8.81640625" style="141" customWidth="1"/>
    <col min="2289" max="2290" width="12.81640625" style="141" customWidth="1"/>
    <col min="2291" max="2291" width="8.81640625" style="141" customWidth="1"/>
    <col min="2292" max="2293" width="12.81640625" style="141" customWidth="1"/>
    <col min="2294" max="2294" width="8.81640625" style="141" customWidth="1"/>
    <col min="2295" max="2296" width="12.81640625" style="141" customWidth="1"/>
    <col min="2297" max="2297" width="8.81640625" style="141" customWidth="1"/>
    <col min="2298" max="2298" width="3.81640625" style="141" customWidth="1"/>
    <col min="2299" max="2299" width="3.1796875" style="141" customWidth="1"/>
    <col min="2300" max="2300" width="9.1796875" style="141"/>
    <col min="2301" max="2301" width="12.1796875" style="141" customWidth="1"/>
    <col min="2302" max="2302" width="1.1796875" style="141" customWidth="1"/>
    <col min="2303" max="2304" width="12.81640625" style="141" customWidth="1"/>
    <col min="2305" max="2305" width="8.81640625" style="141" customWidth="1"/>
    <col min="2306" max="2307" width="12.81640625" style="141" customWidth="1"/>
    <col min="2308" max="2308" width="8.81640625" style="141" customWidth="1"/>
    <col min="2309" max="2310" width="12.81640625" style="141" customWidth="1"/>
    <col min="2311" max="2311" width="8.81640625" style="141" customWidth="1"/>
    <col min="2312" max="2313" width="12.81640625" style="141" customWidth="1"/>
    <col min="2314" max="2314" width="8.81640625" style="141" customWidth="1"/>
    <col min="2315" max="2316" width="12.81640625" style="141" customWidth="1"/>
    <col min="2317" max="2317" width="8.81640625" style="141" customWidth="1"/>
    <col min="2318" max="2318" width="14" style="141" bestFit="1" customWidth="1"/>
    <col min="2319" max="2319" width="12.81640625" style="141" customWidth="1"/>
    <col min="2320" max="2320" width="8.81640625" style="141" customWidth="1"/>
    <col min="2321" max="2322" width="12.81640625" style="141" customWidth="1"/>
    <col min="2323" max="2323" width="8.81640625" style="141" customWidth="1"/>
    <col min="2324" max="2324" width="5.1796875" style="141" customWidth="1"/>
    <col min="2325" max="2325" width="4.54296875" style="141" customWidth="1"/>
    <col min="2326" max="2530" width="9.1796875" style="141"/>
    <col min="2531" max="2531" width="12.81640625" style="141" customWidth="1"/>
    <col min="2532" max="2532" width="1" style="141" customWidth="1"/>
    <col min="2533" max="2534" width="12.81640625" style="141" customWidth="1"/>
    <col min="2535" max="2535" width="8.81640625" style="141" customWidth="1"/>
    <col min="2536" max="2537" width="12.81640625" style="141" customWidth="1"/>
    <col min="2538" max="2538" width="8.81640625" style="141" customWidth="1"/>
    <col min="2539" max="2540" width="12.81640625" style="141" customWidth="1"/>
    <col min="2541" max="2541" width="8.81640625" style="141" customWidth="1"/>
    <col min="2542" max="2543" width="12.81640625" style="141" customWidth="1"/>
    <col min="2544" max="2544" width="8.81640625" style="141" customWidth="1"/>
    <col min="2545" max="2546" width="12.81640625" style="141" customWidth="1"/>
    <col min="2547" max="2547" width="8.81640625" style="141" customWidth="1"/>
    <col min="2548" max="2549" width="12.81640625" style="141" customWidth="1"/>
    <col min="2550" max="2550" width="8.81640625" style="141" customWidth="1"/>
    <col min="2551" max="2552" width="12.81640625" style="141" customWidth="1"/>
    <col min="2553" max="2553" width="8.81640625" style="141" customWidth="1"/>
    <col min="2554" max="2554" width="3.81640625" style="141" customWidth="1"/>
    <col min="2555" max="2555" width="3.1796875" style="141" customWidth="1"/>
    <col min="2556" max="2556" width="9.1796875" style="141"/>
    <col min="2557" max="2557" width="12.1796875" style="141" customWidth="1"/>
    <col min="2558" max="2558" width="1.1796875" style="141" customWidth="1"/>
    <col min="2559" max="2560" width="12.81640625" style="141" customWidth="1"/>
    <col min="2561" max="2561" width="8.81640625" style="141" customWidth="1"/>
    <col min="2562" max="2563" width="12.81640625" style="141" customWidth="1"/>
    <col min="2564" max="2564" width="8.81640625" style="141" customWidth="1"/>
    <col min="2565" max="2566" width="12.81640625" style="141" customWidth="1"/>
    <col min="2567" max="2567" width="8.81640625" style="141" customWidth="1"/>
    <col min="2568" max="2569" width="12.81640625" style="141" customWidth="1"/>
    <col min="2570" max="2570" width="8.81640625" style="141" customWidth="1"/>
    <col min="2571" max="2572" width="12.81640625" style="141" customWidth="1"/>
    <col min="2573" max="2573" width="8.81640625" style="141" customWidth="1"/>
    <col min="2574" max="2574" width="14" style="141" bestFit="1" customWidth="1"/>
    <col min="2575" max="2575" width="12.81640625" style="141" customWidth="1"/>
    <col min="2576" max="2576" width="8.81640625" style="141" customWidth="1"/>
    <col min="2577" max="2578" width="12.81640625" style="141" customWidth="1"/>
    <col min="2579" max="2579" width="8.81640625" style="141" customWidth="1"/>
    <col min="2580" max="2580" width="5.1796875" style="141" customWidth="1"/>
    <col min="2581" max="2581" width="4.54296875" style="141" customWidth="1"/>
    <col min="2582" max="2786" width="9.1796875" style="141"/>
    <col min="2787" max="2787" width="12.81640625" style="141" customWidth="1"/>
    <col min="2788" max="2788" width="1" style="141" customWidth="1"/>
    <col min="2789" max="2790" width="12.81640625" style="141" customWidth="1"/>
    <col min="2791" max="2791" width="8.81640625" style="141" customWidth="1"/>
    <col min="2792" max="2793" width="12.81640625" style="141" customWidth="1"/>
    <col min="2794" max="2794" width="8.81640625" style="141" customWidth="1"/>
    <col min="2795" max="2796" width="12.81640625" style="141" customWidth="1"/>
    <col min="2797" max="2797" width="8.81640625" style="141" customWidth="1"/>
    <col min="2798" max="2799" width="12.81640625" style="141" customWidth="1"/>
    <col min="2800" max="2800" width="8.81640625" style="141" customWidth="1"/>
    <col min="2801" max="2802" width="12.81640625" style="141" customWidth="1"/>
    <col min="2803" max="2803" width="8.81640625" style="141" customWidth="1"/>
    <col min="2804" max="2805" width="12.81640625" style="141" customWidth="1"/>
    <col min="2806" max="2806" width="8.81640625" style="141" customWidth="1"/>
    <col min="2807" max="2808" width="12.81640625" style="141" customWidth="1"/>
    <col min="2809" max="2809" width="8.81640625" style="141" customWidth="1"/>
    <col min="2810" max="2810" width="3.81640625" style="141" customWidth="1"/>
    <col min="2811" max="2811" width="3.1796875" style="141" customWidth="1"/>
    <col min="2812" max="2812" width="9.1796875" style="141"/>
    <col min="2813" max="2813" width="12.1796875" style="141" customWidth="1"/>
    <col min="2814" max="2814" width="1.1796875" style="141" customWidth="1"/>
    <col min="2815" max="2816" width="12.81640625" style="141" customWidth="1"/>
    <col min="2817" max="2817" width="8.81640625" style="141" customWidth="1"/>
    <col min="2818" max="2819" width="12.81640625" style="141" customWidth="1"/>
    <col min="2820" max="2820" width="8.81640625" style="141" customWidth="1"/>
    <col min="2821" max="2822" width="12.81640625" style="141" customWidth="1"/>
    <col min="2823" max="2823" width="8.81640625" style="141" customWidth="1"/>
    <col min="2824" max="2825" width="12.81640625" style="141" customWidth="1"/>
    <col min="2826" max="2826" width="8.81640625" style="141" customWidth="1"/>
    <col min="2827" max="2828" width="12.81640625" style="141" customWidth="1"/>
    <col min="2829" max="2829" width="8.81640625" style="141" customWidth="1"/>
    <col min="2830" max="2830" width="14" style="141" bestFit="1" customWidth="1"/>
    <col min="2831" max="2831" width="12.81640625" style="141" customWidth="1"/>
    <col min="2832" max="2832" width="8.81640625" style="141" customWidth="1"/>
    <col min="2833" max="2834" width="12.81640625" style="141" customWidth="1"/>
    <col min="2835" max="2835" width="8.81640625" style="141" customWidth="1"/>
    <col min="2836" max="2836" width="5.1796875" style="141" customWidth="1"/>
    <col min="2837" max="2837" width="4.54296875" style="141" customWidth="1"/>
    <col min="2838" max="3042" width="9.1796875" style="141"/>
    <col min="3043" max="3043" width="12.81640625" style="141" customWidth="1"/>
    <col min="3044" max="3044" width="1" style="141" customWidth="1"/>
    <col min="3045" max="3046" width="12.81640625" style="141" customWidth="1"/>
    <col min="3047" max="3047" width="8.81640625" style="141" customWidth="1"/>
    <col min="3048" max="3049" width="12.81640625" style="141" customWidth="1"/>
    <col min="3050" max="3050" width="8.81640625" style="141" customWidth="1"/>
    <col min="3051" max="3052" width="12.81640625" style="141" customWidth="1"/>
    <col min="3053" max="3053" width="8.81640625" style="141" customWidth="1"/>
    <col min="3054" max="3055" width="12.81640625" style="141" customWidth="1"/>
    <col min="3056" max="3056" width="8.81640625" style="141" customWidth="1"/>
    <col min="3057" max="3058" width="12.81640625" style="141" customWidth="1"/>
    <col min="3059" max="3059" width="8.81640625" style="141" customWidth="1"/>
    <col min="3060" max="3061" width="12.81640625" style="141" customWidth="1"/>
    <col min="3062" max="3062" width="8.81640625" style="141" customWidth="1"/>
    <col min="3063" max="3064" width="12.81640625" style="141" customWidth="1"/>
    <col min="3065" max="3065" width="8.81640625" style="141" customWidth="1"/>
    <col min="3066" max="3066" width="3.81640625" style="141" customWidth="1"/>
    <col min="3067" max="3067" width="3.1796875" style="141" customWidth="1"/>
    <col min="3068" max="3068" width="9.1796875" style="141"/>
    <col min="3069" max="3069" width="12.1796875" style="141" customWidth="1"/>
    <col min="3070" max="3070" width="1.1796875" style="141" customWidth="1"/>
    <col min="3071" max="3072" width="12.81640625" style="141" customWidth="1"/>
    <col min="3073" max="3073" width="8.81640625" style="141" customWidth="1"/>
    <col min="3074" max="3075" width="12.81640625" style="141" customWidth="1"/>
    <col min="3076" max="3076" width="8.81640625" style="141" customWidth="1"/>
    <col min="3077" max="3078" width="12.81640625" style="141" customWidth="1"/>
    <col min="3079" max="3079" width="8.81640625" style="141" customWidth="1"/>
    <col min="3080" max="3081" width="12.81640625" style="141" customWidth="1"/>
    <col min="3082" max="3082" width="8.81640625" style="141" customWidth="1"/>
    <col min="3083" max="3084" width="12.81640625" style="141" customWidth="1"/>
    <col min="3085" max="3085" width="8.81640625" style="141" customWidth="1"/>
    <col min="3086" max="3086" width="14" style="141" bestFit="1" customWidth="1"/>
    <col min="3087" max="3087" width="12.81640625" style="141" customWidth="1"/>
    <col min="3088" max="3088" width="8.81640625" style="141" customWidth="1"/>
    <col min="3089" max="3090" width="12.81640625" style="141" customWidth="1"/>
    <col min="3091" max="3091" width="8.81640625" style="141" customWidth="1"/>
    <col min="3092" max="3092" width="5.1796875" style="141" customWidth="1"/>
    <col min="3093" max="3093" width="4.54296875" style="141" customWidth="1"/>
    <col min="3094" max="3298" width="9.1796875" style="141"/>
    <col min="3299" max="3299" width="12.81640625" style="141" customWidth="1"/>
    <col min="3300" max="3300" width="1" style="141" customWidth="1"/>
    <col min="3301" max="3302" width="12.81640625" style="141" customWidth="1"/>
    <col min="3303" max="3303" width="8.81640625" style="141" customWidth="1"/>
    <col min="3304" max="3305" width="12.81640625" style="141" customWidth="1"/>
    <col min="3306" max="3306" width="8.81640625" style="141" customWidth="1"/>
    <col min="3307" max="3308" width="12.81640625" style="141" customWidth="1"/>
    <col min="3309" max="3309" width="8.81640625" style="141" customWidth="1"/>
    <col min="3310" max="3311" width="12.81640625" style="141" customWidth="1"/>
    <col min="3312" max="3312" width="8.81640625" style="141" customWidth="1"/>
    <col min="3313" max="3314" width="12.81640625" style="141" customWidth="1"/>
    <col min="3315" max="3315" width="8.81640625" style="141" customWidth="1"/>
    <col min="3316" max="3317" width="12.81640625" style="141" customWidth="1"/>
    <col min="3318" max="3318" width="8.81640625" style="141" customWidth="1"/>
    <col min="3319" max="3320" width="12.81640625" style="141" customWidth="1"/>
    <col min="3321" max="3321" width="8.81640625" style="141" customWidth="1"/>
    <col min="3322" max="3322" width="3.81640625" style="141" customWidth="1"/>
    <col min="3323" max="3323" width="3.1796875" style="141" customWidth="1"/>
    <col min="3324" max="3324" width="9.1796875" style="141"/>
    <col min="3325" max="3325" width="12.1796875" style="141" customWidth="1"/>
    <col min="3326" max="3326" width="1.1796875" style="141" customWidth="1"/>
    <col min="3327" max="3328" width="12.81640625" style="141" customWidth="1"/>
    <col min="3329" max="3329" width="8.81640625" style="141" customWidth="1"/>
    <col min="3330" max="3331" width="12.81640625" style="141" customWidth="1"/>
    <col min="3332" max="3332" width="8.81640625" style="141" customWidth="1"/>
    <col min="3333" max="3334" width="12.81640625" style="141" customWidth="1"/>
    <col min="3335" max="3335" width="8.81640625" style="141" customWidth="1"/>
    <col min="3336" max="3337" width="12.81640625" style="141" customWidth="1"/>
    <col min="3338" max="3338" width="8.81640625" style="141" customWidth="1"/>
    <col min="3339" max="3340" width="12.81640625" style="141" customWidth="1"/>
    <col min="3341" max="3341" width="8.81640625" style="141" customWidth="1"/>
    <col min="3342" max="3342" width="14" style="141" bestFit="1" customWidth="1"/>
    <col min="3343" max="3343" width="12.81640625" style="141" customWidth="1"/>
    <col min="3344" max="3344" width="8.81640625" style="141" customWidth="1"/>
    <col min="3345" max="3346" width="12.81640625" style="141" customWidth="1"/>
    <col min="3347" max="3347" width="8.81640625" style="141" customWidth="1"/>
    <col min="3348" max="3348" width="5.1796875" style="141" customWidth="1"/>
    <col min="3349" max="3349" width="4.54296875" style="141" customWidth="1"/>
    <col min="3350" max="3554" width="9.1796875" style="141"/>
    <col min="3555" max="3555" width="12.81640625" style="141" customWidth="1"/>
    <col min="3556" max="3556" width="1" style="141" customWidth="1"/>
    <col min="3557" max="3558" width="12.81640625" style="141" customWidth="1"/>
    <col min="3559" max="3559" width="8.81640625" style="141" customWidth="1"/>
    <col min="3560" max="3561" width="12.81640625" style="141" customWidth="1"/>
    <col min="3562" max="3562" width="8.81640625" style="141" customWidth="1"/>
    <col min="3563" max="3564" width="12.81640625" style="141" customWidth="1"/>
    <col min="3565" max="3565" width="8.81640625" style="141" customWidth="1"/>
    <col min="3566" max="3567" width="12.81640625" style="141" customWidth="1"/>
    <col min="3568" max="3568" width="8.81640625" style="141" customWidth="1"/>
    <col min="3569" max="3570" width="12.81640625" style="141" customWidth="1"/>
    <col min="3571" max="3571" width="8.81640625" style="141" customWidth="1"/>
    <col min="3572" max="3573" width="12.81640625" style="141" customWidth="1"/>
    <col min="3574" max="3574" width="8.81640625" style="141" customWidth="1"/>
    <col min="3575" max="3576" width="12.81640625" style="141" customWidth="1"/>
    <col min="3577" max="3577" width="8.81640625" style="141" customWidth="1"/>
    <col min="3578" max="3578" width="3.81640625" style="141" customWidth="1"/>
    <col min="3579" max="3579" width="3.1796875" style="141" customWidth="1"/>
    <col min="3580" max="3580" width="9.1796875" style="141"/>
    <col min="3581" max="3581" width="12.1796875" style="141" customWidth="1"/>
    <col min="3582" max="3582" width="1.1796875" style="141" customWidth="1"/>
    <col min="3583" max="3584" width="12.81640625" style="141" customWidth="1"/>
    <col min="3585" max="3585" width="8.81640625" style="141" customWidth="1"/>
    <col min="3586" max="3587" width="12.81640625" style="141" customWidth="1"/>
    <col min="3588" max="3588" width="8.81640625" style="141" customWidth="1"/>
    <col min="3589" max="3590" width="12.81640625" style="141" customWidth="1"/>
    <col min="3591" max="3591" width="8.81640625" style="141" customWidth="1"/>
    <col min="3592" max="3593" width="12.81640625" style="141" customWidth="1"/>
    <col min="3594" max="3594" width="8.81640625" style="141" customWidth="1"/>
    <col min="3595" max="3596" width="12.81640625" style="141" customWidth="1"/>
    <col min="3597" max="3597" width="8.81640625" style="141" customWidth="1"/>
    <col min="3598" max="3598" width="14" style="141" bestFit="1" customWidth="1"/>
    <col min="3599" max="3599" width="12.81640625" style="141" customWidth="1"/>
    <col min="3600" max="3600" width="8.81640625" style="141" customWidth="1"/>
    <col min="3601" max="3602" width="12.81640625" style="141" customWidth="1"/>
    <col min="3603" max="3603" width="8.81640625" style="141" customWidth="1"/>
    <col min="3604" max="3604" width="5.1796875" style="141" customWidth="1"/>
    <col min="3605" max="3605" width="4.54296875" style="141" customWidth="1"/>
    <col min="3606" max="3810" width="9.1796875" style="141"/>
    <col min="3811" max="3811" width="12.81640625" style="141" customWidth="1"/>
    <col min="3812" max="3812" width="1" style="141" customWidth="1"/>
    <col min="3813" max="3814" width="12.81640625" style="141" customWidth="1"/>
    <col min="3815" max="3815" width="8.81640625" style="141" customWidth="1"/>
    <col min="3816" max="3817" width="12.81640625" style="141" customWidth="1"/>
    <col min="3818" max="3818" width="8.81640625" style="141" customWidth="1"/>
    <col min="3819" max="3820" width="12.81640625" style="141" customWidth="1"/>
    <col min="3821" max="3821" width="8.81640625" style="141" customWidth="1"/>
    <col min="3822" max="3823" width="12.81640625" style="141" customWidth="1"/>
    <col min="3824" max="3824" width="8.81640625" style="141" customWidth="1"/>
    <col min="3825" max="3826" width="12.81640625" style="141" customWidth="1"/>
    <col min="3827" max="3827" width="8.81640625" style="141" customWidth="1"/>
    <col min="3828" max="3829" width="12.81640625" style="141" customWidth="1"/>
    <col min="3830" max="3830" width="8.81640625" style="141" customWidth="1"/>
    <col min="3831" max="3832" width="12.81640625" style="141" customWidth="1"/>
    <col min="3833" max="3833" width="8.81640625" style="141" customWidth="1"/>
    <col min="3834" max="3834" width="3.81640625" style="141" customWidth="1"/>
    <col min="3835" max="3835" width="3.1796875" style="141" customWidth="1"/>
    <col min="3836" max="3836" width="9.1796875" style="141"/>
    <col min="3837" max="3837" width="12.1796875" style="141" customWidth="1"/>
    <col min="3838" max="3838" width="1.1796875" style="141" customWidth="1"/>
    <col min="3839" max="3840" width="12.81640625" style="141" customWidth="1"/>
    <col min="3841" max="3841" width="8.81640625" style="141" customWidth="1"/>
    <col min="3842" max="3843" width="12.81640625" style="141" customWidth="1"/>
    <col min="3844" max="3844" width="8.81640625" style="141" customWidth="1"/>
    <col min="3845" max="3846" width="12.81640625" style="141" customWidth="1"/>
    <col min="3847" max="3847" width="8.81640625" style="141" customWidth="1"/>
    <col min="3848" max="3849" width="12.81640625" style="141" customWidth="1"/>
    <col min="3850" max="3850" width="8.81640625" style="141" customWidth="1"/>
    <col min="3851" max="3852" width="12.81640625" style="141" customWidth="1"/>
    <col min="3853" max="3853" width="8.81640625" style="141" customWidth="1"/>
    <col min="3854" max="3854" width="14" style="141" bestFit="1" customWidth="1"/>
    <col min="3855" max="3855" width="12.81640625" style="141" customWidth="1"/>
    <col min="3856" max="3856" width="8.81640625" style="141" customWidth="1"/>
    <col min="3857" max="3858" width="12.81640625" style="141" customWidth="1"/>
    <col min="3859" max="3859" width="8.81640625" style="141" customWidth="1"/>
    <col min="3860" max="3860" width="5.1796875" style="141" customWidth="1"/>
    <col min="3861" max="3861" width="4.54296875" style="141" customWidth="1"/>
    <col min="3862" max="4066" width="9.1796875" style="141"/>
    <col min="4067" max="4067" width="12.81640625" style="141" customWidth="1"/>
    <col min="4068" max="4068" width="1" style="141" customWidth="1"/>
    <col min="4069" max="4070" width="12.81640625" style="141" customWidth="1"/>
    <col min="4071" max="4071" width="8.81640625" style="141" customWidth="1"/>
    <col min="4072" max="4073" width="12.81640625" style="141" customWidth="1"/>
    <col min="4074" max="4074" width="8.81640625" style="141" customWidth="1"/>
    <col min="4075" max="4076" width="12.81640625" style="141" customWidth="1"/>
    <col min="4077" max="4077" width="8.81640625" style="141" customWidth="1"/>
    <col min="4078" max="4079" width="12.81640625" style="141" customWidth="1"/>
    <col min="4080" max="4080" width="8.81640625" style="141" customWidth="1"/>
    <col min="4081" max="4082" width="12.81640625" style="141" customWidth="1"/>
    <col min="4083" max="4083" width="8.81640625" style="141" customWidth="1"/>
    <col min="4084" max="4085" width="12.81640625" style="141" customWidth="1"/>
    <col min="4086" max="4086" width="8.81640625" style="141" customWidth="1"/>
    <col min="4087" max="4088" width="12.81640625" style="141" customWidth="1"/>
    <col min="4089" max="4089" width="8.81640625" style="141" customWidth="1"/>
    <col min="4090" max="4090" width="3.81640625" style="141" customWidth="1"/>
    <col min="4091" max="4091" width="3.1796875" style="141" customWidth="1"/>
    <col min="4092" max="4092" width="9.1796875" style="141"/>
    <col min="4093" max="4093" width="12.1796875" style="141" customWidth="1"/>
    <col min="4094" max="4094" width="1.1796875" style="141" customWidth="1"/>
    <col min="4095" max="4096" width="12.81640625" style="141" customWidth="1"/>
    <col min="4097" max="4097" width="8.81640625" style="141" customWidth="1"/>
    <col min="4098" max="4099" width="12.81640625" style="141" customWidth="1"/>
    <col min="4100" max="4100" width="8.81640625" style="141" customWidth="1"/>
    <col min="4101" max="4102" width="12.81640625" style="141" customWidth="1"/>
    <col min="4103" max="4103" width="8.81640625" style="141" customWidth="1"/>
    <col min="4104" max="4105" width="12.81640625" style="141" customWidth="1"/>
    <col min="4106" max="4106" width="8.81640625" style="141" customWidth="1"/>
    <col min="4107" max="4108" width="12.81640625" style="141" customWidth="1"/>
    <col min="4109" max="4109" width="8.81640625" style="141" customWidth="1"/>
    <col min="4110" max="4110" width="14" style="141" bestFit="1" customWidth="1"/>
    <col min="4111" max="4111" width="12.81640625" style="141" customWidth="1"/>
    <col min="4112" max="4112" width="8.81640625" style="141" customWidth="1"/>
    <col min="4113" max="4114" width="12.81640625" style="141" customWidth="1"/>
    <col min="4115" max="4115" width="8.81640625" style="141" customWidth="1"/>
    <col min="4116" max="4116" width="5.1796875" style="141" customWidth="1"/>
    <col min="4117" max="4117" width="4.54296875" style="141" customWidth="1"/>
    <col min="4118" max="4322" width="9.1796875" style="141"/>
    <col min="4323" max="4323" width="12.81640625" style="141" customWidth="1"/>
    <col min="4324" max="4324" width="1" style="141" customWidth="1"/>
    <col min="4325" max="4326" width="12.81640625" style="141" customWidth="1"/>
    <col min="4327" max="4327" width="8.81640625" style="141" customWidth="1"/>
    <col min="4328" max="4329" width="12.81640625" style="141" customWidth="1"/>
    <col min="4330" max="4330" width="8.81640625" style="141" customWidth="1"/>
    <col min="4331" max="4332" width="12.81640625" style="141" customWidth="1"/>
    <col min="4333" max="4333" width="8.81640625" style="141" customWidth="1"/>
    <col min="4334" max="4335" width="12.81640625" style="141" customWidth="1"/>
    <col min="4336" max="4336" width="8.81640625" style="141" customWidth="1"/>
    <col min="4337" max="4338" width="12.81640625" style="141" customWidth="1"/>
    <col min="4339" max="4339" width="8.81640625" style="141" customWidth="1"/>
    <col min="4340" max="4341" width="12.81640625" style="141" customWidth="1"/>
    <col min="4342" max="4342" width="8.81640625" style="141" customWidth="1"/>
    <col min="4343" max="4344" width="12.81640625" style="141" customWidth="1"/>
    <col min="4345" max="4345" width="8.81640625" style="141" customWidth="1"/>
    <col min="4346" max="4346" width="3.81640625" style="141" customWidth="1"/>
    <col min="4347" max="4347" width="3.1796875" style="141" customWidth="1"/>
    <col min="4348" max="4348" width="9.1796875" style="141"/>
    <col min="4349" max="4349" width="12.1796875" style="141" customWidth="1"/>
    <col min="4350" max="4350" width="1.1796875" style="141" customWidth="1"/>
    <col min="4351" max="4352" width="12.81640625" style="141" customWidth="1"/>
    <col min="4353" max="4353" width="8.81640625" style="141" customWidth="1"/>
    <col min="4354" max="4355" width="12.81640625" style="141" customWidth="1"/>
    <col min="4356" max="4356" width="8.81640625" style="141" customWidth="1"/>
    <col min="4357" max="4358" width="12.81640625" style="141" customWidth="1"/>
    <col min="4359" max="4359" width="8.81640625" style="141" customWidth="1"/>
    <col min="4360" max="4361" width="12.81640625" style="141" customWidth="1"/>
    <col min="4362" max="4362" width="8.81640625" style="141" customWidth="1"/>
    <col min="4363" max="4364" width="12.81640625" style="141" customWidth="1"/>
    <col min="4365" max="4365" width="8.81640625" style="141" customWidth="1"/>
    <col min="4366" max="4366" width="14" style="141" bestFit="1" customWidth="1"/>
    <col min="4367" max="4367" width="12.81640625" style="141" customWidth="1"/>
    <col min="4368" max="4368" width="8.81640625" style="141" customWidth="1"/>
    <col min="4369" max="4370" width="12.81640625" style="141" customWidth="1"/>
    <col min="4371" max="4371" width="8.81640625" style="141" customWidth="1"/>
    <col min="4372" max="4372" width="5.1796875" style="141" customWidth="1"/>
    <col min="4373" max="4373" width="4.54296875" style="141" customWidth="1"/>
    <col min="4374" max="4578" width="9.1796875" style="141"/>
    <col min="4579" max="4579" width="12.81640625" style="141" customWidth="1"/>
    <col min="4580" max="4580" width="1" style="141" customWidth="1"/>
    <col min="4581" max="4582" width="12.81640625" style="141" customWidth="1"/>
    <col min="4583" max="4583" width="8.81640625" style="141" customWidth="1"/>
    <col min="4584" max="4585" width="12.81640625" style="141" customWidth="1"/>
    <col min="4586" max="4586" width="8.81640625" style="141" customWidth="1"/>
    <col min="4587" max="4588" width="12.81640625" style="141" customWidth="1"/>
    <col min="4589" max="4589" width="8.81640625" style="141" customWidth="1"/>
    <col min="4590" max="4591" width="12.81640625" style="141" customWidth="1"/>
    <col min="4592" max="4592" width="8.81640625" style="141" customWidth="1"/>
    <col min="4593" max="4594" width="12.81640625" style="141" customWidth="1"/>
    <col min="4595" max="4595" width="8.81640625" style="141" customWidth="1"/>
    <col min="4596" max="4597" width="12.81640625" style="141" customWidth="1"/>
    <col min="4598" max="4598" width="8.81640625" style="141" customWidth="1"/>
    <col min="4599" max="4600" width="12.81640625" style="141" customWidth="1"/>
    <col min="4601" max="4601" width="8.81640625" style="141" customWidth="1"/>
    <col min="4602" max="4602" width="3.81640625" style="141" customWidth="1"/>
    <col min="4603" max="4603" width="3.1796875" style="141" customWidth="1"/>
    <col min="4604" max="4604" width="9.1796875" style="141"/>
    <col min="4605" max="4605" width="12.1796875" style="141" customWidth="1"/>
    <col min="4606" max="4606" width="1.1796875" style="141" customWidth="1"/>
    <col min="4607" max="4608" width="12.81640625" style="141" customWidth="1"/>
    <col min="4609" max="4609" width="8.81640625" style="141" customWidth="1"/>
    <col min="4610" max="4611" width="12.81640625" style="141" customWidth="1"/>
    <col min="4612" max="4612" width="8.81640625" style="141" customWidth="1"/>
    <col min="4613" max="4614" width="12.81640625" style="141" customWidth="1"/>
    <col min="4615" max="4615" width="8.81640625" style="141" customWidth="1"/>
    <col min="4616" max="4617" width="12.81640625" style="141" customWidth="1"/>
    <col min="4618" max="4618" width="8.81640625" style="141" customWidth="1"/>
    <col min="4619" max="4620" width="12.81640625" style="141" customWidth="1"/>
    <col min="4621" max="4621" width="8.81640625" style="141" customWidth="1"/>
    <col min="4622" max="4622" width="14" style="141" bestFit="1" customWidth="1"/>
    <col min="4623" max="4623" width="12.81640625" style="141" customWidth="1"/>
    <col min="4624" max="4624" width="8.81640625" style="141" customWidth="1"/>
    <col min="4625" max="4626" width="12.81640625" style="141" customWidth="1"/>
    <col min="4627" max="4627" width="8.81640625" style="141" customWidth="1"/>
    <col min="4628" max="4628" width="5.1796875" style="141" customWidth="1"/>
    <col min="4629" max="4629" width="4.54296875" style="141" customWidth="1"/>
    <col min="4630" max="4834" width="9.1796875" style="141"/>
    <col min="4835" max="4835" width="12.81640625" style="141" customWidth="1"/>
    <col min="4836" max="4836" width="1" style="141" customWidth="1"/>
    <col min="4837" max="4838" width="12.81640625" style="141" customWidth="1"/>
    <col min="4839" max="4839" width="8.81640625" style="141" customWidth="1"/>
    <col min="4840" max="4841" width="12.81640625" style="141" customWidth="1"/>
    <col min="4842" max="4842" width="8.81640625" style="141" customWidth="1"/>
    <col min="4843" max="4844" width="12.81640625" style="141" customWidth="1"/>
    <col min="4845" max="4845" width="8.81640625" style="141" customWidth="1"/>
    <col min="4846" max="4847" width="12.81640625" style="141" customWidth="1"/>
    <col min="4848" max="4848" width="8.81640625" style="141" customWidth="1"/>
    <col min="4849" max="4850" width="12.81640625" style="141" customWidth="1"/>
    <col min="4851" max="4851" width="8.81640625" style="141" customWidth="1"/>
    <col min="4852" max="4853" width="12.81640625" style="141" customWidth="1"/>
    <col min="4854" max="4854" width="8.81640625" style="141" customWidth="1"/>
    <col min="4855" max="4856" width="12.81640625" style="141" customWidth="1"/>
    <col min="4857" max="4857" width="8.81640625" style="141" customWidth="1"/>
    <col min="4858" max="4858" width="3.81640625" style="141" customWidth="1"/>
    <col min="4859" max="4859" width="3.1796875" style="141" customWidth="1"/>
    <col min="4860" max="4860" width="9.1796875" style="141"/>
    <col min="4861" max="4861" width="12.1796875" style="141" customWidth="1"/>
    <col min="4862" max="4862" width="1.1796875" style="141" customWidth="1"/>
    <col min="4863" max="4864" width="12.81640625" style="141" customWidth="1"/>
    <col min="4865" max="4865" width="8.81640625" style="141" customWidth="1"/>
    <col min="4866" max="4867" width="12.81640625" style="141" customWidth="1"/>
    <col min="4868" max="4868" width="8.81640625" style="141" customWidth="1"/>
    <col min="4869" max="4870" width="12.81640625" style="141" customWidth="1"/>
    <col min="4871" max="4871" width="8.81640625" style="141" customWidth="1"/>
    <col min="4872" max="4873" width="12.81640625" style="141" customWidth="1"/>
    <col min="4874" max="4874" width="8.81640625" style="141" customWidth="1"/>
    <col min="4875" max="4876" width="12.81640625" style="141" customWidth="1"/>
    <col min="4877" max="4877" width="8.81640625" style="141" customWidth="1"/>
    <col min="4878" max="4878" width="14" style="141" bestFit="1" customWidth="1"/>
    <col min="4879" max="4879" width="12.81640625" style="141" customWidth="1"/>
    <col min="4880" max="4880" width="8.81640625" style="141" customWidth="1"/>
    <col min="4881" max="4882" width="12.81640625" style="141" customWidth="1"/>
    <col min="4883" max="4883" width="8.81640625" style="141" customWidth="1"/>
    <col min="4884" max="4884" width="5.1796875" style="141" customWidth="1"/>
    <col min="4885" max="4885" width="4.54296875" style="141" customWidth="1"/>
    <col min="4886" max="5090" width="9.1796875" style="141"/>
    <col min="5091" max="5091" width="12.81640625" style="141" customWidth="1"/>
    <col min="5092" max="5092" width="1" style="141" customWidth="1"/>
    <col min="5093" max="5094" width="12.81640625" style="141" customWidth="1"/>
    <col min="5095" max="5095" width="8.81640625" style="141" customWidth="1"/>
    <col min="5096" max="5097" width="12.81640625" style="141" customWidth="1"/>
    <col min="5098" max="5098" width="8.81640625" style="141" customWidth="1"/>
    <col min="5099" max="5100" width="12.81640625" style="141" customWidth="1"/>
    <col min="5101" max="5101" width="8.81640625" style="141" customWidth="1"/>
    <col min="5102" max="5103" width="12.81640625" style="141" customWidth="1"/>
    <col min="5104" max="5104" width="8.81640625" style="141" customWidth="1"/>
    <col min="5105" max="5106" width="12.81640625" style="141" customWidth="1"/>
    <col min="5107" max="5107" width="8.81640625" style="141" customWidth="1"/>
    <col min="5108" max="5109" width="12.81640625" style="141" customWidth="1"/>
    <col min="5110" max="5110" width="8.81640625" style="141" customWidth="1"/>
    <col min="5111" max="5112" width="12.81640625" style="141" customWidth="1"/>
    <col min="5113" max="5113" width="8.81640625" style="141" customWidth="1"/>
    <col min="5114" max="5114" width="3.81640625" style="141" customWidth="1"/>
    <col min="5115" max="5115" width="3.1796875" style="141" customWidth="1"/>
    <col min="5116" max="5116" width="9.1796875" style="141"/>
    <col min="5117" max="5117" width="12.1796875" style="141" customWidth="1"/>
    <col min="5118" max="5118" width="1.1796875" style="141" customWidth="1"/>
    <col min="5119" max="5120" width="12.81640625" style="141" customWidth="1"/>
    <col min="5121" max="5121" width="8.81640625" style="141" customWidth="1"/>
    <col min="5122" max="5123" width="12.81640625" style="141" customWidth="1"/>
    <col min="5124" max="5124" width="8.81640625" style="141" customWidth="1"/>
    <col min="5125" max="5126" width="12.81640625" style="141" customWidth="1"/>
    <col min="5127" max="5127" width="8.81640625" style="141" customWidth="1"/>
    <col min="5128" max="5129" width="12.81640625" style="141" customWidth="1"/>
    <col min="5130" max="5130" width="8.81640625" style="141" customWidth="1"/>
    <col min="5131" max="5132" width="12.81640625" style="141" customWidth="1"/>
    <col min="5133" max="5133" width="8.81640625" style="141" customWidth="1"/>
    <col min="5134" max="5134" width="14" style="141" bestFit="1" customWidth="1"/>
    <col min="5135" max="5135" width="12.81640625" style="141" customWidth="1"/>
    <col min="5136" max="5136" width="8.81640625" style="141" customWidth="1"/>
    <col min="5137" max="5138" width="12.81640625" style="141" customWidth="1"/>
    <col min="5139" max="5139" width="8.81640625" style="141" customWidth="1"/>
    <col min="5140" max="5140" width="5.1796875" style="141" customWidth="1"/>
    <col min="5141" max="5141" width="4.54296875" style="141" customWidth="1"/>
    <col min="5142" max="5346" width="9.1796875" style="141"/>
    <col min="5347" max="5347" width="12.81640625" style="141" customWidth="1"/>
    <col min="5348" max="5348" width="1" style="141" customWidth="1"/>
    <col min="5349" max="5350" width="12.81640625" style="141" customWidth="1"/>
    <col min="5351" max="5351" width="8.81640625" style="141" customWidth="1"/>
    <col min="5352" max="5353" width="12.81640625" style="141" customWidth="1"/>
    <col min="5354" max="5354" width="8.81640625" style="141" customWidth="1"/>
    <col min="5355" max="5356" width="12.81640625" style="141" customWidth="1"/>
    <col min="5357" max="5357" width="8.81640625" style="141" customWidth="1"/>
    <col min="5358" max="5359" width="12.81640625" style="141" customWidth="1"/>
    <col min="5360" max="5360" width="8.81640625" style="141" customWidth="1"/>
    <col min="5361" max="5362" width="12.81640625" style="141" customWidth="1"/>
    <col min="5363" max="5363" width="8.81640625" style="141" customWidth="1"/>
    <col min="5364" max="5365" width="12.81640625" style="141" customWidth="1"/>
    <col min="5366" max="5366" width="8.81640625" style="141" customWidth="1"/>
    <col min="5367" max="5368" width="12.81640625" style="141" customWidth="1"/>
    <col min="5369" max="5369" width="8.81640625" style="141" customWidth="1"/>
    <col min="5370" max="5370" width="3.81640625" style="141" customWidth="1"/>
    <col min="5371" max="5371" width="3.1796875" style="141" customWidth="1"/>
    <col min="5372" max="5372" width="9.1796875" style="141"/>
    <col min="5373" max="5373" width="12.1796875" style="141" customWidth="1"/>
    <col min="5374" max="5374" width="1.1796875" style="141" customWidth="1"/>
    <col min="5375" max="5376" width="12.81640625" style="141" customWidth="1"/>
    <col min="5377" max="5377" width="8.81640625" style="141" customWidth="1"/>
    <col min="5378" max="5379" width="12.81640625" style="141" customWidth="1"/>
    <col min="5380" max="5380" width="8.81640625" style="141" customWidth="1"/>
    <col min="5381" max="5382" width="12.81640625" style="141" customWidth="1"/>
    <col min="5383" max="5383" width="8.81640625" style="141" customWidth="1"/>
    <col min="5384" max="5385" width="12.81640625" style="141" customWidth="1"/>
    <col min="5386" max="5386" width="8.81640625" style="141" customWidth="1"/>
    <col min="5387" max="5388" width="12.81640625" style="141" customWidth="1"/>
    <col min="5389" max="5389" width="8.81640625" style="141" customWidth="1"/>
    <col min="5390" max="5390" width="14" style="141" bestFit="1" customWidth="1"/>
    <col min="5391" max="5391" width="12.81640625" style="141" customWidth="1"/>
    <col min="5392" max="5392" width="8.81640625" style="141" customWidth="1"/>
    <col min="5393" max="5394" width="12.81640625" style="141" customWidth="1"/>
    <col min="5395" max="5395" width="8.81640625" style="141" customWidth="1"/>
    <col min="5396" max="5396" width="5.1796875" style="141" customWidth="1"/>
    <col min="5397" max="5397" width="4.54296875" style="141" customWidth="1"/>
    <col min="5398" max="5602" width="9.1796875" style="141"/>
    <col min="5603" max="5603" width="12.81640625" style="141" customWidth="1"/>
    <col min="5604" max="5604" width="1" style="141" customWidth="1"/>
    <col min="5605" max="5606" width="12.81640625" style="141" customWidth="1"/>
    <col min="5607" max="5607" width="8.81640625" style="141" customWidth="1"/>
    <col min="5608" max="5609" width="12.81640625" style="141" customWidth="1"/>
    <col min="5610" max="5610" width="8.81640625" style="141" customWidth="1"/>
    <col min="5611" max="5612" width="12.81640625" style="141" customWidth="1"/>
    <col min="5613" max="5613" width="8.81640625" style="141" customWidth="1"/>
    <col min="5614" max="5615" width="12.81640625" style="141" customWidth="1"/>
    <col min="5616" max="5616" width="8.81640625" style="141" customWidth="1"/>
    <col min="5617" max="5618" width="12.81640625" style="141" customWidth="1"/>
    <col min="5619" max="5619" width="8.81640625" style="141" customWidth="1"/>
    <col min="5620" max="5621" width="12.81640625" style="141" customWidth="1"/>
    <col min="5622" max="5622" width="8.81640625" style="141" customWidth="1"/>
    <col min="5623" max="5624" width="12.81640625" style="141" customWidth="1"/>
    <col min="5625" max="5625" width="8.81640625" style="141" customWidth="1"/>
    <col min="5626" max="5626" width="3.81640625" style="141" customWidth="1"/>
    <col min="5627" max="5627" width="3.1796875" style="141" customWidth="1"/>
    <col min="5628" max="5628" width="9.1796875" style="141"/>
    <col min="5629" max="5629" width="12.1796875" style="141" customWidth="1"/>
    <col min="5630" max="5630" width="1.1796875" style="141" customWidth="1"/>
    <col min="5631" max="5632" width="12.81640625" style="141" customWidth="1"/>
    <col min="5633" max="5633" width="8.81640625" style="141" customWidth="1"/>
    <col min="5634" max="5635" width="12.81640625" style="141" customWidth="1"/>
    <col min="5636" max="5636" width="8.81640625" style="141" customWidth="1"/>
    <col min="5637" max="5638" width="12.81640625" style="141" customWidth="1"/>
    <col min="5639" max="5639" width="8.81640625" style="141" customWidth="1"/>
    <col min="5640" max="5641" width="12.81640625" style="141" customWidth="1"/>
    <col min="5642" max="5642" width="8.81640625" style="141" customWidth="1"/>
    <col min="5643" max="5644" width="12.81640625" style="141" customWidth="1"/>
    <col min="5645" max="5645" width="8.81640625" style="141" customWidth="1"/>
    <col min="5646" max="5646" width="14" style="141" bestFit="1" customWidth="1"/>
    <col min="5647" max="5647" width="12.81640625" style="141" customWidth="1"/>
    <col min="5648" max="5648" width="8.81640625" style="141" customWidth="1"/>
    <col min="5649" max="5650" width="12.81640625" style="141" customWidth="1"/>
    <col min="5651" max="5651" width="8.81640625" style="141" customWidth="1"/>
    <col min="5652" max="5652" width="5.1796875" style="141" customWidth="1"/>
    <col min="5653" max="5653" width="4.54296875" style="141" customWidth="1"/>
    <col min="5654" max="5858" width="9.1796875" style="141"/>
    <col min="5859" max="5859" width="12.81640625" style="141" customWidth="1"/>
    <col min="5860" max="5860" width="1" style="141" customWidth="1"/>
    <col min="5861" max="5862" width="12.81640625" style="141" customWidth="1"/>
    <col min="5863" max="5863" width="8.81640625" style="141" customWidth="1"/>
    <col min="5864" max="5865" width="12.81640625" style="141" customWidth="1"/>
    <col min="5866" max="5866" width="8.81640625" style="141" customWidth="1"/>
    <col min="5867" max="5868" width="12.81640625" style="141" customWidth="1"/>
    <col min="5869" max="5869" width="8.81640625" style="141" customWidth="1"/>
    <col min="5870" max="5871" width="12.81640625" style="141" customWidth="1"/>
    <col min="5872" max="5872" width="8.81640625" style="141" customWidth="1"/>
    <col min="5873" max="5874" width="12.81640625" style="141" customWidth="1"/>
    <col min="5875" max="5875" width="8.81640625" style="141" customWidth="1"/>
    <col min="5876" max="5877" width="12.81640625" style="141" customWidth="1"/>
    <col min="5878" max="5878" width="8.81640625" style="141" customWidth="1"/>
    <col min="5879" max="5880" width="12.81640625" style="141" customWidth="1"/>
    <col min="5881" max="5881" width="8.81640625" style="141" customWidth="1"/>
    <col min="5882" max="5882" width="3.81640625" style="141" customWidth="1"/>
    <col min="5883" max="5883" width="3.1796875" style="141" customWidth="1"/>
    <col min="5884" max="5884" width="9.1796875" style="141"/>
    <col min="5885" max="5885" width="12.1796875" style="141" customWidth="1"/>
    <col min="5886" max="5886" width="1.1796875" style="141" customWidth="1"/>
    <col min="5887" max="5888" width="12.81640625" style="141" customWidth="1"/>
    <col min="5889" max="5889" width="8.81640625" style="141" customWidth="1"/>
    <col min="5890" max="5891" width="12.81640625" style="141" customWidth="1"/>
    <col min="5892" max="5892" width="8.81640625" style="141" customWidth="1"/>
    <col min="5893" max="5894" width="12.81640625" style="141" customWidth="1"/>
    <col min="5895" max="5895" width="8.81640625" style="141" customWidth="1"/>
    <col min="5896" max="5897" width="12.81640625" style="141" customWidth="1"/>
    <col min="5898" max="5898" width="8.81640625" style="141" customWidth="1"/>
    <col min="5899" max="5900" width="12.81640625" style="141" customWidth="1"/>
    <col min="5901" max="5901" width="8.81640625" style="141" customWidth="1"/>
    <col min="5902" max="5902" width="14" style="141" bestFit="1" customWidth="1"/>
    <col min="5903" max="5903" width="12.81640625" style="141" customWidth="1"/>
    <col min="5904" max="5904" width="8.81640625" style="141" customWidth="1"/>
    <col min="5905" max="5906" width="12.81640625" style="141" customWidth="1"/>
    <col min="5907" max="5907" width="8.81640625" style="141" customWidth="1"/>
    <col min="5908" max="5908" width="5.1796875" style="141" customWidth="1"/>
    <col min="5909" max="5909" width="4.54296875" style="141" customWidth="1"/>
    <col min="5910" max="6114" width="9.1796875" style="141"/>
    <col min="6115" max="6115" width="12.81640625" style="141" customWidth="1"/>
    <col min="6116" max="6116" width="1" style="141" customWidth="1"/>
    <col min="6117" max="6118" width="12.81640625" style="141" customWidth="1"/>
    <col min="6119" max="6119" width="8.81640625" style="141" customWidth="1"/>
    <col min="6120" max="6121" width="12.81640625" style="141" customWidth="1"/>
    <col min="6122" max="6122" width="8.81640625" style="141" customWidth="1"/>
    <col min="6123" max="6124" width="12.81640625" style="141" customWidth="1"/>
    <col min="6125" max="6125" width="8.81640625" style="141" customWidth="1"/>
    <col min="6126" max="6127" width="12.81640625" style="141" customWidth="1"/>
    <col min="6128" max="6128" width="8.81640625" style="141" customWidth="1"/>
    <col min="6129" max="6130" width="12.81640625" style="141" customWidth="1"/>
    <col min="6131" max="6131" width="8.81640625" style="141" customWidth="1"/>
    <col min="6132" max="6133" width="12.81640625" style="141" customWidth="1"/>
    <col min="6134" max="6134" width="8.81640625" style="141" customWidth="1"/>
    <col min="6135" max="6136" width="12.81640625" style="141" customWidth="1"/>
    <col min="6137" max="6137" width="8.81640625" style="141" customWidth="1"/>
    <col min="6138" max="6138" width="3.81640625" style="141" customWidth="1"/>
    <col min="6139" max="6139" width="3.1796875" style="141" customWidth="1"/>
    <col min="6140" max="6140" width="9.1796875" style="141"/>
    <col min="6141" max="6141" width="12.1796875" style="141" customWidth="1"/>
    <col min="6142" max="6142" width="1.1796875" style="141" customWidth="1"/>
    <col min="6143" max="6144" width="12.81640625" style="141" customWidth="1"/>
    <col min="6145" max="6145" width="8.81640625" style="141" customWidth="1"/>
    <col min="6146" max="6147" width="12.81640625" style="141" customWidth="1"/>
    <col min="6148" max="6148" width="8.81640625" style="141" customWidth="1"/>
    <col min="6149" max="6150" width="12.81640625" style="141" customWidth="1"/>
    <col min="6151" max="6151" width="8.81640625" style="141" customWidth="1"/>
    <col min="6152" max="6153" width="12.81640625" style="141" customWidth="1"/>
    <col min="6154" max="6154" width="8.81640625" style="141" customWidth="1"/>
    <col min="6155" max="6156" width="12.81640625" style="141" customWidth="1"/>
    <col min="6157" max="6157" width="8.81640625" style="141" customWidth="1"/>
    <col min="6158" max="6158" width="14" style="141" bestFit="1" customWidth="1"/>
    <col min="6159" max="6159" width="12.81640625" style="141" customWidth="1"/>
    <col min="6160" max="6160" width="8.81640625" style="141" customWidth="1"/>
    <col min="6161" max="6162" width="12.81640625" style="141" customWidth="1"/>
    <col min="6163" max="6163" width="8.81640625" style="141" customWidth="1"/>
    <col min="6164" max="6164" width="5.1796875" style="141" customWidth="1"/>
    <col min="6165" max="6165" width="4.54296875" style="141" customWidth="1"/>
    <col min="6166" max="6370" width="9.1796875" style="141"/>
    <col min="6371" max="6371" width="12.81640625" style="141" customWidth="1"/>
    <col min="6372" max="6372" width="1" style="141" customWidth="1"/>
    <col min="6373" max="6374" width="12.81640625" style="141" customWidth="1"/>
    <col min="6375" max="6375" width="8.81640625" style="141" customWidth="1"/>
    <col min="6376" max="6377" width="12.81640625" style="141" customWidth="1"/>
    <col min="6378" max="6378" width="8.81640625" style="141" customWidth="1"/>
    <col min="6379" max="6380" width="12.81640625" style="141" customWidth="1"/>
    <col min="6381" max="6381" width="8.81640625" style="141" customWidth="1"/>
    <col min="6382" max="6383" width="12.81640625" style="141" customWidth="1"/>
    <col min="6384" max="6384" width="8.81640625" style="141" customWidth="1"/>
    <col min="6385" max="6386" width="12.81640625" style="141" customWidth="1"/>
    <col min="6387" max="6387" width="8.81640625" style="141" customWidth="1"/>
    <col min="6388" max="6389" width="12.81640625" style="141" customWidth="1"/>
    <col min="6390" max="6390" width="8.81640625" style="141" customWidth="1"/>
    <col min="6391" max="6392" width="12.81640625" style="141" customWidth="1"/>
    <col min="6393" max="6393" width="8.81640625" style="141" customWidth="1"/>
    <col min="6394" max="6394" width="3.81640625" style="141" customWidth="1"/>
    <col min="6395" max="6395" width="3.1796875" style="141" customWidth="1"/>
    <col min="6396" max="6396" width="9.1796875" style="141"/>
    <col min="6397" max="6397" width="12.1796875" style="141" customWidth="1"/>
    <col min="6398" max="6398" width="1.1796875" style="141" customWidth="1"/>
    <col min="6399" max="6400" width="12.81640625" style="141" customWidth="1"/>
    <col min="6401" max="6401" width="8.81640625" style="141" customWidth="1"/>
    <col min="6402" max="6403" width="12.81640625" style="141" customWidth="1"/>
    <col min="6404" max="6404" width="8.81640625" style="141" customWidth="1"/>
    <col min="6405" max="6406" width="12.81640625" style="141" customWidth="1"/>
    <col min="6407" max="6407" width="8.81640625" style="141" customWidth="1"/>
    <col min="6408" max="6409" width="12.81640625" style="141" customWidth="1"/>
    <col min="6410" max="6410" width="8.81640625" style="141" customWidth="1"/>
    <col min="6411" max="6412" width="12.81640625" style="141" customWidth="1"/>
    <col min="6413" max="6413" width="8.81640625" style="141" customWidth="1"/>
    <col min="6414" max="6414" width="14" style="141" bestFit="1" customWidth="1"/>
    <col min="6415" max="6415" width="12.81640625" style="141" customWidth="1"/>
    <col min="6416" max="6416" width="8.81640625" style="141" customWidth="1"/>
    <col min="6417" max="6418" width="12.81640625" style="141" customWidth="1"/>
    <col min="6419" max="6419" width="8.81640625" style="141" customWidth="1"/>
    <col min="6420" max="6420" width="5.1796875" style="141" customWidth="1"/>
    <col min="6421" max="6421" width="4.54296875" style="141" customWidth="1"/>
    <col min="6422" max="6626" width="9.1796875" style="141"/>
    <col min="6627" max="6627" width="12.81640625" style="141" customWidth="1"/>
    <col min="6628" max="6628" width="1" style="141" customWidth="1"/>
    <col min="6629" max="6630" width="12.81640625" style="141" customWidth="1"/>
    <col min="6631" max="6631" width="8.81640625" style="141" customWidth="1"/>
    <col min="6632" max="6633" width="12.81640625" style="141" customWidth="1"/>
    <col min="6634" max="6634" width="8.81640625" style="141" customWidth="1"/>
    <col min="6635" max="6636" width="12.81640625" style="141" customWidth="1"/>
    <col min="6637" max="6637" width="8.81640625" style="141" customWidth="1"/>
    <col min="6638" max="6639" width="12.81640625" style="141" customWidth="1"/>
    <col min="6640" max="6640" width="8.81640625" style="141" customWidth="1"/>
    <col min="6641" max="6642" width="12.81640625" style="141" customWidth="1"/>
    <col min="6643" max="6643" width="8.81640625" style="141" customWidth="1"/>
    <col min="6644" max="6645" width="12.81640625" style="141" customWidth="1"/>
    <col min="6646" max="6646" width="8.81640625" style="141" customWidth="1"/>
    <col min="6647" max="6648" width="12.81640625" style="141" customWidth="1"/>
    <col min="6649" max="6649" width="8.81640625" style="141" customWidth="1"/>
    <col min="6650" max="6650" width="3.81640625" style="141" customWidth="1"/>
    <col min="6651" max="6651" width="3.1796875" style="141" customWidth="1"/>
    <col min="6652" max="6652" width="9.1796875" style="141"/>
    <col min="6653" max="6653" width="12.1796875" style="141" customWidth="1"/>
    <col min="6654" max="6654" width="1.1796875" style="141" customWidth="1"/>
    <col min="6655" max="6656" width="12.81640625" style="141" customWidth="1"/>
    <col min="6657" max="6657" width="8.81640625" style="141" customWidth="1"/>
    <col min="6658" max="6659" width="12.81640625" style="141" customWidth="1"/>
    <col min="6660" max="6660" width="8.81640625" style="141" customWidth="1"/>
    <col min="6661" max="6662" width="12.81640625" style="141" customWidth="1"/>
    <col min="6663" max="6663" width="8.81640625" style="141" customWidth="1"/>
    <col min="6664" max="6665" width="12.81640625" style="141" customWidth="1"/>
    <col min="6666" max="6666" width="8.81640625" style="141" customWidth="1"/>
    <col min="6667" max="6668" width="12.81640625" style="141" customWidth="1"/>
    <col min="6669" max="6669" width="8.81640625" style="141" customWidth="1"/>
    <col min="6670" max="6670" width="14" style="141" bestFit="1" customWidth="1"/>
    <col min="6671" max="6671" width="12.81640625" style="141" customWidth="1"/>
    <col min="6672" max="6672" width="8.81640625" style="141" customWidth="1"/>
    <col min="6673" max="6674" width="12.81640625" style="141" customWidth="1"/>
    <col min="6675" max="6675" width="8.81640625" style="141" customWidth="1"/>
    <col min="6676" max="6676" width="5.1796875" style="141" customWidth="1"/>
    <col min="6677" max="6677" width="4.54296875" style="141" customWidth="1"/>
    <col min="6678" max="6882" width="9.1796875" style="141"/>
    <col min="6883" max="6883" width="12.81640625" style="141" customWidth="1"/>
    <col min="6884" max="6884" width="1" style="141" customWidth="1"/>
    <col min="6885" max="6886" width="12.81640625" style="141" customWidth="1"/>
    <col min="6887" max="6887" width="8.81640625" style="141" customWidth="1"/>
    <col min="6888" max="6889" width="12.81640625" style="141" customWidth="1"/>
    <col min="6890" max="6890" width="8.81640625" style="141" customWidth="1"/>
    <col min="6891" max="6892" width="12.81640625" style="141" customWidth="1"/>
    <col min="6893" max="6893" width="8.81640625" style="141" customWidth="1"/>
    <col min="6894" max="6895" width="12.81640625" style="141" customWidth="1"/>
    <col min="6896" max="6896" width="8.81640625" style="141" customWidth="1"/>
    <col min="6897" max="6898" width="12.81640625" style="141" customWidth="1"/>
    <col min="6899" max="6899" width="8.81640625" style="141" customWidth="1"/>
    <col min="6900" max="6901" width="12.81640625" style="141" customWidth="1"/>
    <col min="6902" max="6902" width="8.81640625" style="141" customWidth="1"/>
    <col min="6903" max="6904" width="12.81640625" style="141" customWidth="1"/>
    <col min="6905" max="6905" width="8.81640625" style="141" customWidth="1"/>
    <col min="6906" max="6906" width="3.81640625" style="141" customWidth="1"/>
    <col min="6907" max="6907" width="3.1796875" style="141" customWidth="1"/>
    <col min="6908" max="6908" width="9.1796875" style="141"/>
    <col min="6909" max="6909" width="12.1796875" style="141" customWidth="1"/>
    <col min="6910" max="6910" width="1.1796875" style="141" customWidth="1"/>
    <col min="6911" max="6912" width="12.81640625" style="141" customWidth="1"/>
    <col min="6913" max="6913" width="8.81640625" style="141" customWidth="1"/>
    <col min="6914" max="6915" width="12.81640625" style="141" customWidth="1"/>
    <col min="6916" max="6916" width="8.81640625" style="141" customWidth="1"/>
    <col min="6917" max="6918" width="12.81640625" style="141" customWidth="1"/>
    <col min="6919" max="6919" width="8.81640625" style="141" customWidth="1"/>
    <col min="6920" max="6921" width="12.81640625" style="141" customWidth="1"/>
    <col min="6922" max="6922" width="8.81640625" style="141" customWidth="1"/>
    <col min="6923" max="6924" width="12.81640625" style="141" customWidth="1"/>
    <col min="6925" max="6925" width="8.81640625" style="141" customWidth="1"/>
    <col min="6926" max="6926" width="14" style="141" bestFit="1" customWidth="1"/>
    <col min="6927" max="6927" width="12.81640625" style="141" customWidth="1"/>
    <col min="6928" max="6928" width="8.81640625" style="141" customWidth="1"/>
    <col min="6929" max="6930" width="12.81640625" style="141" customWidth="1"/>
    <col min="6931" max="6931" width="8.81640625" style="141" customWidth="1"/>
    <col min="6932" max="6932" width="5.1796875" style="141" customWidth="1"/>
    <col min="6933" max="6933" width="4.54296875" style="141" customWidth="1"/>
    <col min="6934" max="7138" width="9.1796875" style="141"/>
    <col min="7139" max="7139" width="12.81640625" style="141" customWidth="1"/>
    <col min="7140" max="7140" width="1" style="141" customWidth="1"/>
    <col min="7141" max="7142" width="12.81640625" style="141" customWidth="1"/>
    <col min="7143" max="7143" width="8.81640625" style="141" customWidth="1"/>
    <col min="7144" max="7145" width="12.81640625" style="141" customWidth="1"/>
    <col min="7146" max="7146" width="8.81640625" style="141" customWidth="1"/>
    <col min="7147" max="7148" width="12.81640625" style="141" customWidth="1"/>
    <col min="7149" max="7149" width="8.81640625" style="141" customWidth="1"/>
    <col min="7150" max="7151" width="12.81640625" style="141" customWidth="1"/>
    <col min="7152" max="7152" width="8.81640625" style="141" customWidth="1"/>
    <col min="7153" max="7154" width="12.81640625" style="141" customWidth="1"/>
    <col min="7155" max="7155" width="8.81640625" style="141" customWidth="1"/>
    <col min="7156" max="7157" width="12.81640625" style="141" customWidth="1"/>
    <col min="7158" max="7158" width="8.81640625" style="141" customWidth="1"/>
    <col min="7159" max="7160" width="12.81640625" style="141" customWidth="1"/>
    <col min="7161" max="7161" width="8.81640625" style="141" customWidth="1"/>
    <col min="7162" max="7162" width="3.81640625" style="141" customWidth="1"/>
    <col min="7163" max="7163" width="3.1796875" style="141" customWidth="1"/>
    <col min="7164" max="7164" width="9.1796875" style="141"/>
    <col min="7165" max="7165" width="12.1796875" style="141" customWidth="1"/>
    <col min="7166" max="7166" width="1.1796875" style="141" customWidth="1"/>
    <col min="7167" max="7168" width="12.81640625" style="141" customWidth="1"/>
    <col min="7169" max="7169" width="8.81640625" style="141" customWidth="1"/>
    <col min="7170" max="7171" width="12.81640625" style="141" customWidth="1"/>
    <col min="7172" max="7172" width="8.81640625" style="141" customWidth="1"/>
    <col min="7173" max="7174" width="12.81640625" style="141" customWidth="1"/>
    <col min="7175" max="7175" width="8.81640625" style="141" customWidth="1"/>
    <col min="7176" max="7177" width="12.81640625" style="141" customWidth="1"/>
    <col min="7178" max="7178" width="8.81640625" style="141" customWidth="1"/>
    <col min="7179" max="7180" width="12.81640625" style="141" customWidth="1"/>
    <col min="7181" max="7181" width="8.81640625" style="141" customWidth="1"/>
    <col min="7182" max="7182" width="14" style="141" bestFit="1" customWidth="1"/>
    <col min="7183" max="7183" width="12.81640625" style="141" customWidth="1"/>
    <col min="7184" max="7184" width="8.81640625" style="141" customWidth="1"/>
    <col min="7185" max="7186" width="12.81640625" style="141" customWidth="1"/>
    <col min="7187" max="7187" width="8.81640625" style="141" customWidth="1"/>
    <col min="7188" max="7188" width="5.1796875" style="141" customWidth="1"/>
    <col min="7189" max="7189" width="4.54296875" style="141" customWidth="1"/>
    <col min="7190" max="7394" width="9.1796875" style="141"/>
    <col min="7395" max="7395" width="12.81640625" style="141" customWidth="1"/>
    <col min="7396" max="7396" width="1" style="141" customWidth="1"/>
    <col min="7397" max="7398" width="12.81640625" style="141" customWidth="1"/>
    <col min="7399" max="7399" width="8.81640625" style="141" customWidth="1"/>
    <col min="7400" max="7401" width="12.81640625" style="141" customWidth="1"/>
    <col min="7402" max="7402" width="8.81640625" style="141" customWidth="1"/>
    <col min="7403" max="7404" width="12.81640625" style="141" customWidth="1"/>
    <col min="7405" max="7405" width="8.81640625" style="141" customWidth="1"/>
    <col min="7406" max="7407" width="12.81640625" style="141" customWidth="1"/>
    <col min="7408" max="7408" width="8.81640625" style="141" customWidth="1"/>
    <col min="7409" max="7410" width="12.81640625" style="141" customWidth="1"/>
    <col min="7411" max="7411" width="8.81640625" style="141" customWidth="1"/>
    <col min="7412" max="7413" width="12.81640625" style="141" customWidth="1"/>
    <col min="7414" max="7414" width="8.81640625" style="141" customWidth="1"/>
    <col min="7415" max="7416" width="12.81640625" style="141" customWidth="1"/>
    <col min="7417" max="7417" width="8.81640625" style="141" customWidth="1"/>
    <col min="7418" max="7418" width="3.81640625" style="141" customWidth="1"/>
    <col min="7419" max="7419" width="3.1796875" style="141" customWidth="1"/>
    <col min="7420" max="7420" width="9.1796875" style="141"/>
    <col min="7421" max="7421" width="12.1796875" style="141" customWidth="1"/>
    <col min="7422" max="7422" width="1.1796875" style="141" customWidth="1"/>
    <col min="7423" max="7424" width="12.81640625" style="141" customWidth="1"/>
    <col min="7425" max="7425" width="8.81640625" style="141" customWidth="1"/>
    <col min="7426" max="7427" width="12.81640625" style="141" customWidth="1"/>
    <col min="7428" max="7428" width="8.81640625" style="141" customWidth="1"/>
    <col min="7429" max="7430" width="12.81640625" style="141" customWidth="1"/>
    <col min="7431" max="7431" width="8.81640625" style="141" customWidth="1"/>
    <col min="7432" max="7433" width="12.81640625" style="141" customWidth="1"/>
    <col min="7434" max="7434" width="8.81640625" style="141" customWidth="1"/>
    <col min="7435" max="7436" width="12.81640625" style="141" customWidth="1"/>
    <col min="7437" max="7437" width="8.81640625" style="141" customWidth="1"/>
    <col min="7438" max="7438" width="14" style="141" bestFit="1" customWidth="1"/>
    <col min="7439" max="7439" width="12.81640625" style="141" customWidth="1"/>
    <col min="7440" max="7440" width="8.81640625" style="141" customWidth="1"/>
    <col min="7441" max="7442" width="12.81640625" style="141" customWidth="1"/>
    <col min="7443" max="7443" width="8.81640625" style="141" customWidth="1"/>
    <col min="7444" max="7444" width="5.1796875" style="141" customWidth="1"/>
    <col min="7445" max="7445" width="4.54296875" style="141" customWidth="1"/>
    <col min="7446" max="7650" width="9.1796875" style="141"/>
    <col min="7651" max="7651" width="12.81640625" style="141" customWidth="1"/>
    <col min="7652" max="7652" width="1" style="141" customWidth="1"/>
    <col min="7653" max="7654" width="12.81640625" style="141" customWidth="1"/>
    <col min="7655" max="7655" width="8.81640625" style="141" customWidth="1"/>
    <col min="7656" max="7657" width="12.81640625" style="141" customWidth="1"/>
    <col min="7658" max="7658" width="8.81640625" style="141" customWidth="1"/>
    <col min="7659" max="7660" width="12.81640625" style="141" customWidth="1"/>
    <col min="7661" max="7661" width="8.81640625" style="141" customWidth="1"/>
    <col min="7662" max="7663" width="12.81640625" style="141" customWidth="1"/>
    <col min="7664" max="7664" width="8.81640625" style="141" customWidth="1"/>
    <col min="7665" max="7666" width="12.81640625" style="141" customWidth="1"/>
    <col min="7667" max="7667" width="8.81640625" style="141" customWidth="1"/>
    <col min="7668" max="7669" width="12.81640625" style="141" customWidth="1"/>
    <col min="7670" max="7670" width="8.81640625" style="141" customWidth="1"/>
    <col min="7671" max="7672" width="12.81640625" style="141" customWidth="1"/>
    <col min="7673" max="7673" width="8.81640625" style="141" customWidth="1"/>
    <col min="7674" max="7674" width="3.81640625" style="141" customWidth="1"/>
    <col min="7675" max="7675" width="3.1796875" style="141" customWidth="1"/>
    <col min="7676" max="7676" width="9.1796875" style="141"/>
    <col min="7677" max="7677" width="12.1796875" style="141" customWidth="1"/>
    <col min="7678" max="7678" width="1.1796875" style="141" customWidth="1"/>
    <col min="7679" max="7680" width="12.81640625" style="141" customWidth="1"/>
    <col min="7681" max="7681" width="8.81640625" style="141" customWidth="1"/>
    <col min="7682" max="7683" width="12.81640625" style="141" customWidth="1"/>
    <col min="7684" max="7684" width="8.81640625" style="141" customWidth="1"/>
    <col min="7685" max="7686" width="12.81640625" style="141" customWidth="1"/>
    <col min="7687" max="7687" width="8.81640625" style="141" customWidth="1"/>
    <col min="7688" max="7689" width="12.81640625" style="141" customWidth="1"/>
    <col min="7690" max="7690" width="8.81640625" style="141" customWidth="1"/>
    <col min="7691" max="7692" width="12.81640625" style="141" customWidth="1"/>
    <col min="7693" max="7693" width="8.81640625" style="141" customWidth="1"/>
    <col min="7694" max="7694" width="14" style="141" bestFit="1" customWidth="1"/>
    <col min="7695" max="7695" width="12.81640625" style="141" customWidth="1"/>
    <col min="7696" max="7696" width="8.81640625" style="141" customWidth="1"/>
    <col min="7697" max="7698" width="12.81640625" style="141" customWidth="1"/>
    <col min="7699" max="7699" width="8.81640625" style="141" customWidth="1"/>
    <col min="7700" max="7700" width="5.1796875" style="141" customWidth="1"/>
    <col min="7701" max="7701" width="4.54296875" style="141" customWidth="1"/>
    <col min="7702" max="7906" width="9.1796875" style="141"/>
    <col min="7907" max="7907" width="12.81640625" style="141" customWidth="1"/>
    <col min="7908" max="7908" width="1" style="141" customWidth="1"/>
    <col min="7909" max="7910" width="12.81640625" style="141" customWidth="1"/>
    <col min="7911" max="7911" width="8.81640625" style="141" customWidth="1"/>
    <col min="7912" max="7913" width="12.81640625" style="141" customWidth="1"/>
    <col min="7914" max="7914" width="8.81640625" style="141" customWidth="1"/>
    <col min="7915" max="7916" width="12.81640625" style="141" customWidth="1"/>
    <col min="7917" max="7917" width="8.81640625" style="141" customWidth="1"/>
    <col min="7918" max="7919" width="12.81640625" style="141" customWidth="1"/>
    <col min="7920" max="7920" width="8.81640625" style="141" customWidth="1"/>
    <col min="7921" max="7922" width="12.81640625" style="141" customWidth="1"/>
    <col min="7923" max="7923" width="8.81640625" style="141" customWidth="1"/>
    <col min="7924" max="7925" width="12.81640625" style="141" customWidth="1"/>
    <col min="7926" max="7926" width="8.81640625" style="141" customWidth="1"/>
    <col min="7927" max="7928" width="12.81640625" style="141" customWidth="1"/>
    <col min="7929" max="7929" width="8.81640625" style="141" customWidth="1"/>
    <col min="7930" max="7930" width="3.81640625" style="141" customWidth="1"/>
    <col min="7931" max="7931" width="3.1796875" style="141" customWidth="1"/>
    <col min="7932" max="7932" width="9.1796875" style="141"/>
    <col min="7933" max="7933" width="12.1796875" style="141" customWidth="1"/>
    <col min="7934" max="7934" width="1.1796875" style="141" customWidth="1"/>
    <col min="7935" max="7936" width="12.81640625" style="141" customWidth="1"/>
    <col min="7937" max="7937" width="8.81640625" style="141" customWidth="1"/>
    <col min="7938" max="7939" width="12.81640625" style="141" customWidth="1"/>
    <col min="7940" max="7940" width="8.81640625" style="141" customWidth="1"/>
    <col min="7941" max="7942" width="12.81640625" style="141" customWidth="1"/>
    <col min="7943" max="7943" width="8.81640625" style="141" customWidth="1"/>
    <col min="7944" max="7945" width="12.81640625" style="141" customWidth="1"/>
    <col min="7946" max="7946" width="8.81640625" style="141" customWidth="1"/>
    <col min="7947" max="7948" width="12.81640625" style="141" customWidth="1"/>
    <col min="7949" max="7949" width="8.81640625" style="141" customWidth="1"/>
    <col min="7950" max="7950" width="14" style="141" bestFit="1" customWidth="1"/>
    <col min="7951" max="7951" width="12.81640625" style="141" customWidth="1"/>
    <col min="7952" max="7952" width="8.81640625" style="141" customWidth="1"/>
    <col min="7953" max="7954" width="12.81640625" style="141" customWidth="1"/>
    <col min="7955" max="7955" width="8.81640625" style="141" customWidth="1"/>
    <col min="7956" max="7956" width="5.1796875" style="141" customWidth="1"/>
    <col min="7957" max="7957" width="4.54296875" style="141" customWidth="1"/>
    <col min="7958" max="8162" width="9.1796875" style="141"/>
    <col min="8163" max="8163" width="12.81640625" style="141" customWidth="1"/>
    <col min="8164" max="8164" width="1" style="141" customWidth="1"/>
    <col min="8165" max="8166" width="12.81640625" style="141" customWidth="1"/>
    <col min="8167" max="8167" width="8.81640625" style="141" customWidth="1"/>
    <col min="8168" max="8169" width="12.81640625" style="141" customWidth="1"/>
    <col min="8170" max="8170" width="8.81640625" style="141" customWidth="1"/>
    <col min="8171" max="8172" width="12.81640625" style="141" customWidth="1"/>
    <col min="8173" max="8173" width="8.81640625" style="141" customWidth="1"/>
    <col min="8174" max="8175" width="12.81640625" style="141" customWidth="1"/>
    <col min="8176" max="8176" width="8.81640625" style="141" customWidth="1"/>
    <col min="8177" max="8178" width="12.81640625" style="141" customWidth="1"/>
    <col min="8179" max="8179" width="8.81640625" style="141" customWidth="1"/>
    <col min="8180" max="8181" width="12.81640625" style="141" customWidth="1"/>
    <col min="8182" max="8182" width="8.81640625" style="141" customWidth="1"/>
    <col min="8183" max="8184" width="12.81640625" style="141" customWidth="1"/>
    <col min="8185" max="8185" width="8.81640625" style="141" customWidth="1"/>
    <col min="8186" max="8186" width="3.81640625" style="141" customWidth="1"/>
    <col min="8187" max="8187" width="3.1796875" style="141" customWidth="1"/>
    <col min="8188" max="8188" width="9.1796875" style="141"/>
    <col min="8189" max="8189" width="12.1796875" style="141" customWidth="1"/>
    <col min="8190" max="8190" width="1.1796875" style="141" customWidth="1"/>
    <col min="8191" max="8192" width="12.81640625" style="141" customWidth="1"/>
    <col min="8193" max="8193" width="8.81640625" style="141" customWidth="1"/>
    <col min="8194" max="8195" width="12.81640625" style="141" customWidth="1"/>
    <col min="8196" max="8196" width="8.81640625" style="141" customWidth="1"/>
    <col min="8197" max="8198" width="12.81640625" style="141" customWidth="1"/>
    <col min="8199" max="8199" width="8.81640625" style="141" customWidth="1"/>
    <col min="8200" max="8201" width="12.81640625" style="141" customWidth="1"/>
    <col min="8202" max="8202" width="8.81640625" style="141" customWidth="1"/>
    <col min="8203" max="8204" width="12.81640625" style="141" customWidth="1"/>
    <col min="8205" max="8205" width="8.81640625" style="141" customWidth="1"/>
    <col min="8206" max="8206" width="14" style="141" bestFit="1" customWidth="1"/>
    <col min="8207" max="8207" width="12.81640625" style="141" customWidth="1"/>
    <col min="8208" max="8208" width="8.81640625" style="141" customWidth="1"/>
    <col min="8209" max="8210" width="12.81640625" style="141" customWidth="1"/>
    <col min="8211" max="8211" width="8.81640625" style="141" customWidth="1"/>
    <col min="8212" max="8212" width="5.1796875" style="141" customWidth="1"/>
    <col min="8213" max="8213" width="4.54296875" style="141" customWidth="1"/>
    <col min="8214" max="8418" width="9.1796875" style="141"/>
    <col min="8419" max="8419" width="12.81640625" style="141" customWidth="1"/>
    <col min="8420" max="8420" width="1" style="141" customWidth="1"/>
    <col min="8421" max="8422" width="12.81640625" style="141" customWidth="1"/>
    <col min="8423" max="8423" width="8.81640625" style="141" customWidth="1"/>
    <col min="8424" max="8425" width="12.81640625" style="141" customWidth="1"/>
    <col min="8426" max="8426" width="8.81640625" style="141" customWidth="1"/>
    <col min="8427" max="8428" width="12.81640625" style="141" customWidth="1"/>
    <col min="8429" max="8429" width="8.81640625" style="141" customWidth="1"/>
    <col min="8430" max="8431" width="12.81640625" style="141" customWidth="1"/>
    <col min="8432" max="8432" width="8.81640625" style="141" customWidth="1"/>
    <col min="8433" max="8434" width="12.81640625" style="141" customWidth="1"/>
    <col min="8435" max="8435" width="8.81640625" style="141" customWidth="1"/>
    <col min="8436" max="8437" width="12.81640625" style="141" customWidth="1"/>
    <col min="8438" max="8438" width="8.81640625" style="141" customWidth="1"/>
    <col min="8439" max="8440" width="12.81640625" style="141" customWidth="1"/>
    <col min="8441" max="8441" width="8.81640625" style="141" customWidth="1"/>
    <col min="8442" max="8442" width="3.81640625" style="141" customWidth="1"/>
    <col min="8443" max="8443" width="3.1796875" style="141" customWidth="1"/>
    <col min="8444" max="8444" width="9.1796875" style="141"/>
    <col min="8445" max="8445" width="12.1796875" style="141" customWidth="1"/>
    <col min="8446" max="8446" width="1.1796875" style="141" customWidth="1"/>
    <col min="8447" max="8448" width="12.81640625" style="141" customWidth="1"/>
    <col min="8449" max="8449" width="8.81640625" style="141" customWidth="1"/>
    <col min="8450" max="8451" width="12.81640625" style="141" customWidth="1"/>
    <col min="8452" max="8452" width="8.81640625" style="141" customWidth="1"/>
    <col min="8453" max="8454" width="12.81640625" style="141" customWidth="1"/>
    <col min="8455" max="8455" width="8.81640625" style="141" customWidth="1"/>
    <col min="8456" max="8457" width="12.81640625" style="141" customWidth="1"/>
    <col min="8458" max="8458" width="8.81640625" style="141" customWidth="1"/>
    <col min="8459" max="8460" width="12.81640625" style="141" customWidth="1"/>
    <col min="8461" max="8461" width="8.81640625" style="141" customWidth="1"/>
    <col min="8462" max="8462" width="14" style="141" bestFit="1" customWidth="1"/>
    <col min="8463" max="8463" width="12.81640625" style="141" customWidth="1"/>
    <col min="8464" max="8464" width="8.81640625" style="141" customWidth="1"/>
    <col min="8465" max="8466" width="12.81640625" style="141" customWidth="1"/>
    <col min="8467" max="8467" width="8.81640625" style="141" customWidth="1"/>
    <col min="8468" max="8468" width="5.1796875" style="141" customWidth="1"/>
    <col min="8469" max="8469" width="4.54296875" style="141" customWidth="1"/>
    <col min="8470" max="8674" width="9.1796875" style="141"/>
    <col min="8675" max="8675" width="12.81640625" style="141" customWidth="1"/>
    <col min="8676" max="8676" width="1" style="141" customWidth="1"/>
    <col min="8677" max="8678" width="12.81640625" style="141" customWidth="1"/>
    <col min="8679" max="8679" width="8.81640625" style="141" customWidth="1"/>
    <col min="8680" max="8681" width="12.81640625" style="141" customWidth="1"/>
    <col min="8682" max="8682" width="8.81640625" style="141" customWidth="1"/>
    <col min="8683" max="8684" width="12.81640625" style="141" customWidth="1"/>
    <col min="8685" max="8685" width="8.81640625" style="141" customWidth="1"/>
    <col min="8686" max="8687" width="12.81640625" style="141" customWidth="1"/>
    <col min="8688" max="8688" width="8.81640625" style="141" customWidth="1"/>
    <col min="8689" max="8690" width="12.81640625" style="141" customWidth="1"/>
    <col min="8691" max="8691" width="8.81640625" style="141" customWidth="1"/>
    <col min="8692" max="8693" width="12.81640625" style="141" customWidth="1"/>
    <col min="8694" max="8694" width="8.81640625" style="141" customWidth="1"/>
    <col min="8695" max="8696" width="12.81640625" style="141" customWidth="1"/>
    <col min="8697" max="8697" width="8.81640625" style="141" customWidth="1"/>
    <col min="8698" max="8698" width="3.81640625" style="141" customWidth="1"/>
    <col min="8699" max="8699" width="3.1796875" style="141" customWidth="1"/>
    <col min="8700" max="8700" width="9.1796875" style="141"/>
    <col min="8701" max="8701" width="12.1796875" style="141" customWidth="1"/>
    <col min="8702" max="8702" width="1.1796875" style="141" customWidth="1"/>
    <col min="8703" max="8704" width="12.81640625" style="141" customWidth="1"/>
    <col min="8705" max="8705" width="8.81640625" style="141" customWidth="1"/>
    <col min="8706" max="8707" width="12.81640625" style="141" customWidth="1"/>
    <col min="8708" max="8708" width="8.81640625" style="141" customWidth="1"/>
    <col min="8709" max="8710" width="12.81640625" style="141" customWidth="1"/>
    <col min="8711" max="8711" width="8.81640625" style="141" customWidth="1"/>
    <col min="8712" max="8713" width="12.81640625" style="141" customWidth="1"/>
    <col min="8714" max="8714" width="8.81640625" style="141" customWidth="1"/>
    <col min="8715" max="8716" width="12.81640625" style="141" customWidth="1"/>
    <col min="8717" max="8717" width="8.81640625" style="141" customWidth="1"/>
    <col min="8718" max="8718" width="14" style="141" bestFit="1" customWidth="1"/>
    <col min="8719" max="8719" width="12.81640625" style="141" customWidth="1"/>
    <col min="8720" max="8720" width="8.81640625" style="141" customWidth="1"/>
    <col min="8721" max="8722" width="12.81640625" style="141" customWidth="1"/>
    <col min="8723" max="8723" width="8.81640625" style="141" customWidth="1"/>
    <col min="8724" max="8724" width="5.1796875" style="141" customWidth="1"/>
    <col min="8725" max="8725" width="4.54296875" style="141" customWidth="1"/>
    <col min="8726" max="8930" width="9.1796875" style="141"/>
    <col min="8931" max="8931" width="12.81640625" style="141" customWidth="1"/>
    <col min="8932" max="8932" width="1" style="141" customWidth="1"/>
    <col min="8933" max="8934" width="12.81640625" style="141" customWidth="1"/>
    <col min="8935" max="8935" width="8.81640625" style="141" customWidth="1"/>
    <col min="8936" max="8937" width="12.81640625" style="141" customWidth="1"/>
    <col min="8938" max="8938" width="8.81640625" style="141" customWidth="1"/>
    <col min="8939" max="8940" width="12.81640625" style="141" customWidth="1"/>
    <col min="8941" max="8941" width="8.81640625" style="141" customWidth="1"/>
    <col min="8942" max="8943" width="12.81640625" style="141" customWidth="1"/>
    <col min="8944" max="8944" width="8.81640625" style="141" customWidth="1"/>
    <col min="8945" max="8946" width="12.81640625" style="141" customWidth="1"/>
    <col min="8947" max="8947" width="8.81640625" style="141" customWidth="1"/>
    <col min="8948" max="8949" width="12.81640625" style="141" customWidth="1"/>
    <col min="8950" max="8950" width="8.81640625" style="141" customWidth="1"/>
    <col min="8951" max="8952" width="12.81640625" style="141" customWidth="1"/>
    <col min="8953" max="8953" width="8.81640625" style="141" customWidth="1"/>
    <col min="8954" max="8954" width="3.81640625" style="141" customWidth="1"/>
    <col min="8955" max="8955" width="3.1796875" style="141" customWidth="1"/>
    <col min="8956" max="8956" width="9.1796875" style="141"/>
    <col min="8957" max="8957" width="12.1796875" style="141" customWidth="1"/>
    <col min="8958" max="8958" width="1.1796875" style="141" customWidth="1"/>
    <col min="8959" max="8960" width="12.81640625" style="141" customWidth="1"/>
    <col min="8961" max="8961" width="8.81640625" style="141" customWidth="1"/>
    <col min="8962" max="8963" width="12.81640625" style="141" customWidth="1"/>
    <col min="8964" max="8964" width="8.81640625" style="141" customWidth="1"/>
    <col min="8965" max="8966" width="12.81640625" style="141" customWidth="1"/>
    <col min="8967" max="8967" width="8.81640625" style="141" customWidth="1"/>
    <col min="8968" max="8969" width="12.81640625" style="141" customWidth="1"/>
    <col min="8970" max="8970" width="8.81640625" style="141" customWidth="1"/>
    <col min="8971" max="8972" width="12.81640625" style="141" customWidth="1"/>
    <col min="8973" max="8973" width="8.81640625" style="141" customWidth="1"/>
    <col min="8974" max="8974" width="14" style="141" bestFit="1" customWidth="1"/>
    <col min="8975" max="8975" width="12.81640625" style="141" customWidth="1"/>
    <col min="8976" max="8976" width="8.81640625" style="141" customWidth="1"/>
    <col min="8977" max="8978" width="12.81640625" style="141" customWidth="1"/>
    <col min="8979" max="8979" width="8.81640625" style="141" customWidth="1"/>
    <col min="8980" max="8980" width="5.1796875" style="141" customWidth="1"/>
    <col min="8981" max="8981" width="4.54296875" style="141" customWidth="1"/>
    <col min="8982" max="9186" width="9.1796875" style="141"/>
    <col min="9187" max="9187" width="12.81640625" style="141" customWidth="1"/>
    <col min="9188" max="9188" width="1" style="141" customWidth="1"/>
    <col min="9189" max="9190" width="12.81640625" style="141" customWidth="1"/>
    <col min="9191" max="9191" width="8.81640625" style="141" customWidth="1"/>
    <col min="9192" max="9193" width="12.81640625" style="141" customWidth="1"/>
    <col min="9194" max="9194" width="8.81640625" style="141" customWidth="1"/>
    <col min="9195" max="9196" width="12.81640625" style="141" customWidth="1"/>
    <col min="9197" max="9197" width="8.81640625" style="141" customWidth="1"/>
    <col min="9198" max="9199" width="12.81640625" style="141" customWidth="1"/>
    <col min="9200" max="9200" width="8.81640625" style="141" customWidth="1"/>
    <col min="9201" max="9202" width="12.81640625" style="141" customWidth="1"/>
    <col min="9203" max="9203" width="8.81640625" style="141" customWidth="1"/>
    <col min="9204" max="9205" width="12.81640625" style="141" customWidth="1"/>
    <col min="9206" max="9206" width="8.81640625" style="141" customWidth="1"/>
    <col min="9207" max="9208" width="12.81640625" style="141" customWidth="1"/>
    <col min="9209" max="9209" width="8.81640625" style="141" customWidth="1"/>
    <col min="9210" max="9210" width="3.81640625" style="141" customWidth="1"/>
    <col min="9211" max="9211" width="3.1796875" style="141" customWidth="1"/>
    <col min="9212" max="9212" width="9.1796875" style="141"/>
    <col min="9213" max="9213" width="12.1796875" style="141" customWidth="1"/>
    <col min="9214" max="9214" width="1.1796875" style="141" customWidth="1"/>
    <col min="9215" max="9216" width="12.81640625" style="141" customWidth="1"/>
    <col min="9217" max="9217" width="8.81640625" style="141" customWidth="1"/>
    <col min="9218" max="9219" width="12.81640625" style="141" customWidth="1"/>
    <col min="9220" max="9220" width="8.81640625" style="141" customWidth="1"/>
    <col min="9221" max="9222" width="12.81640625" style="141" customWidth="1"/>
    <col min="9223" max="9223" width="8.81640625" style="141" customWidth="1"/>
    <col min="9224" max="9225" width="12.81640625" style="141" customWidth="1"/>
    <col min="9226" max="9226" width="8.81640625" style="141" customWidth="1"/>
    <col min="9227" max="9228" width="12.81640625" style="141" customWidth="1"/>
    <col min="9229" max="9229" width="8.81640625" style="141" customWidth="1"/>
    <col min="9230" max="9230" width="14" style="141" bestFit="1" customWidth="1"/>
    <col min="9231" max="9231" width="12.81640625" style="141" customWidth="1"/>
    <col min="9232" max="9232" width="8.81640625" style="141" customWidth="1"/>
    <col min="9233" max="9234" width="12.81640625" style="141" customWidth="1"/>
    <col min="9235" max="9235" width="8.81640625" style="141" customWidth="1"/>
    <col min="9236" max="9236" width="5.1796875" style="141" customWidth="1"/>
    <col min="9237" max="9237" width="4.54296875" style="141" customWidth="1"/>
    <col min="9238" max="9442" width="9.1796875" style="141"/>
    <col min="9443" max="9443" width="12.81640625" style="141" customWidth="1"/>
    <col min="9444" max="9444" width="1" style="141" customWidth="1"/>
    <col min="9445" max="9446" width="12.81640625" style="141" customWidth="1"/>
    <col min="9447" max="9447" width="8.81640625" style="141" customWidth="1"/>
    <col min="9448" max="9449" width="12.81640625" style="141" customWidth="1"/>
    <col min="9450" max="9450" width="8.81640625" style="141" customWidth="1"/>
    <col min="9451" max="9452" width="12.81640625" style="141" customWidth="1"/>
    <col min="9453" max="9453" width="8.81640625" style="141" customWidth="1"/>
    <col min="9454" max="9455" width="12.81640625" style="141" customWidth="1"/>
    <col min="9456" max="9456" width="8.81640625" style="141" customWidth="1"/>
    <col min="9457" max="9458" width="12.81640625" style="141" customWidth="1"/>
    <col min="9459" max="9459" width="8.81640625" style="141" customWidth="1"/>
    <col min="9460" max="9461" width="12.81640625" style="141" customWidth="1"/>
    <col min="9462" max="9462" width="8.81640625" style="141" customWidth="1"/>
    <col min="9463" max="9464" width="12.81640625" style="141" customWidth="1"/>
    <col min="9465" max="9465" width="8.81640625" style="141" customWidth="1"/>
    <col min="9466" max="9466" width="3.81640625" style="141" customWidth="1"/>
    <col min="9467" max="9467" width="3.1796875" style="141" customWidth="1"/>
    <col min="9468" max="9468" width="9.1796875" style="141"/>
    <col min="9469" max="9469" width="12.1796875" style="141" customWidth="1"/>
    <col min="9470" max="9470" width="1.1796875" style="141" customWidth="1"/>
    <col min="9471" max="9472" width="12.81640625" style="141" customWidth="1"/>
    <col min="9473" max="9473" width="8.81640625" style="141" customWidth="1"/>
    <col min="9474" max="9475" width="12.81640625" style="141" customWidth="1"/>
    <col min="9476" max="9476" width="8.81640625" style="141" customWidth="1"/>
    <col min="9477" max="9478" width="12.81640625" style="141" customWidth="1"/>
    <col min="9479" max="9479" width="8.81640625" style="141" customWidth="1"/>
    <col min="9480" max="9481" width="12.81640625" style="141" customWidth="1"/>
    <col min="9482" max="9482" width="8.81640625" style="141" customWidth="1"/>
    <col min="9483" max="9484" width="12.81640625" style="141" customWidth="1"/>
    <col min="9485" max="9485" width="8.81640625" style="141" customWidth="1"/>
    <col min="9486" max="9486" width="14" style="141" bestFit="1" customWidth="1"/>
    <col min="9487" max="9487" width="12.81640625" style="141" customWidth="1"/>
    <col min="9488" max="9488" width="8.81640625" style="141" customWidth="1"/>
    <col min="9489" max="9490" width="12.81640625" style="141" customWidth="1"/>
    <col min="9491" max="9491" width="8.81640625" style="141" customWidth="1"/>
    <col min="9492" max="9492" width="5.1796875" style="141" customWidth="1"/>
    <col min="9493" max="9493" width="4.54296875" style="141" customWidth="1"/>
    <col min="9494" max="9698" width="9.1796875" style="141"/>
    <col min="9699" max="9699" width="12.81640625" style="141" customWidth="1"/>
    <col min="9700" max="9700" width="1" style="141" customWidth="1"/>
    <col min="9701" max="9702" width="12.81640625" style="141" customWidth="1"/>
    <col min="9703" max="9703" width="8.81640625" style="141" customWidth="1"/>
    <col min="9704" max="9705" width="12.81640625" style="141" customWidth="1"/>
    <col min="9706" max="9706" width="8.81640625" style="141" customWidth="1"/>
    <col min="9707" max="9708" width="12.81640625" style="141" customWidth="1"/>
    <col min="9709" max="9709" width="8.81640625" style="141" customWidth="1"/>
    <col min="9710" max="9711" width="12.81640625" style="141" customWidth="1"/>
    <col min="9712" max="9712" width="8.81640625" style="141" customWidth="1"/>
    <col min="9713" max="9714" width="12.81640625" style="141" customWidth="1"/>
    <col min="9715" max="9715" width="8.81640625" style="141" customWidth="1"/>
    <col min="9716" max="9717" width="12.81640625" style="141" customWidth="1"/>
    <col min="9718" max="9718" width="8.81640625" style="141" customWidth="1"/>
    <col min="9719" max="9720" width="12.81640625" style="141" customWidth="1"/>
    <col min="9721" max="9721" width="8.81640625" style="141" customWidth="1"/>
    <col min="9722" max="9722" width="3.81640625" style="141" customWidth="1"/>
    <col min="9723" max="9723" width="3.1796875" style="141" customWidth="1"/>
    <col min="9724" max="9724" width="9.1796875" style="141"/>
    <col min="9725" max="9725" width="12.1796875" style="141" customWidth="1"/>
    <col min="9726" max="9726" width="1.1796875" style="141" customWidth="1"/>
    <col min="9727" max="9728" width="12.81640625" style="141" customWidth="1"/>
    <col min="9729" max="9729" width="8.81640625" style="141" customWidth="1"/>
    <col min="9730" max="9731" width="12.81640625" style="141" customWidth="1"/>
    <col min="9732" max="9732" width="8.81640625" style="141" customWidth="1"/>
    <col min="9733" max="9734" width="12.81640625" style="141" customWidth="1"/>
    <col min="9735" max="9735" width="8.81640625" style="141" customWidth="1"/>
    <col min="9736" max="9737" width="12.81640625" style="141" customWidth="1"/>
    <col min="9738" max="9738" width="8.81640625" style="141" customWidth="1"/>
    <col min="9739" max="9740" width="12.81640625" style="141" customWidth="1"/>
    <col min="9741" max="9741" width="8.81640625" style="141" customWidth="1"/>
    <col min="9742" max="9742" width="14" style="141" bestFit="1" customWidth="1"/>
    <col min="9743" max="9743" width="12.81640625" style="141" customWidth="1"/>
    <col min="9744" max="9744" width="8.81640625" style="141" customWidth="1"/>
    <col min="9745" max="9746" width="12.81640625" style="141" customWidth="1"/>
    <col min="9747" max="9747" width="8.81640625" style="141" customWidth="1"/>
    <col min="9748" max="9748" width="5.1796875" style="141" customWidth="1"/>
    <col min="9749" max="9749" width="4.54296875" style="141" customWidth="1"/>
    <col min="9750" max="9954" width="9.1796875" style="141"/>
    <col min="9955" max="9955" width="12.81640625" style="141" customWidth="1"/>
    <col min="9956" max="9956" width="1" style="141" customWidth="1"/>
    <col min="9957" max="9958" width="12.81640625" style="141" customWidth="1"/>
    <col min="9959" max="9959" width="8.81640625" style="141" customWidth="1"/>
    <col min="9960" max="9961" width="12.81640625" style="141" customWidth="1"/>
    <col min="9962" max="9962" width="8.81640625" style="141" customWidth="1"/>
    <col min="9963" max="9964" width="12.81640625" style="141" customWidth="1"/>
    <col min="9965" max="9965" width="8.81640625" style="141" customWidth="1"/>
    <col min="9966" max="9967" width="12.81640625" style="141" customWidth="1"/>
    <col min="9968" max="9968" width="8.81640625" style="141" customWidth="1"/>
    <col min="9969" max="9970" width="12.81640625" style="141" customWidth="1"/>
    <col min="9971" max="9971" width="8.81640625" style="141" customWidth="1"/>
    <col min="9972" max="9973" width="12.81640625" style="141" customWidth="1"/>
    <col min="9974" max="9974" width="8.81640625" style="141" customWidth="1"/>
    <col min="9975" max="9976" width="12.81640625" style="141" customWidth="1"/>
    <col min="9977" max="9977" width="8.81640625" style="141" customWidth="1"/>
    <col min="9978" max="9978" width="3.81640625" style="141" customWidth="1"/>
    <col min="9979" max="9979" width="3.1796875" style="141" customWidth="1"/>
    <col min="9980" max="9980" width="9.1796875" style="141"/>
    <col min="9981" max="9981" width="12.1796875" style="141" customWidth="1"/>
    <col min="9982" max="9982" width="1.1796875" style="141" customWidth="1"/>
    <col min="9983" max="9984" width="12.81640625" style="141" customWidth="1"/>
    <col min="9985" max="9985" width="8.81640625" style="141" customWidth="1"/>
    <col min="9986" max="9987" width="12.81640625" style="141" customWidth="1"/>
    <col min="9988" max="9988" width="8.81640625" style="141" customWidth="1"/>
    <col min="9989" max="9990" width="12.81640625" style="141" customWidth="1"/>
    <col min="9991" max="9991" width="8.81640625" style="141" customWidth="1"/>
    <col min="9992" max="9993" width="12.81640625" style="141" customWidth="1"/>
    <col min="9994" max="9994" width="8.81640625" style="141" customWidth="1"/>
    <col min="9995" max="9996" width="12.81640625" style="141" customWidth="1"/>
    <col min="9997" max="9997" width="8.81640625" style="141" customWidth="1"/>
    <col min="9998" max="9998" width="14" style="141" bestFit="1" customWidth="1"/>
    <col min="9999" max="9999" width="12.81640625" style="141" customWidth="1"/>
    <col min="10000" max="10000" width="8.81640625" style="141" customWidth="1"/>
    <col min="10001" max="10002" width="12.81640625" style="141" customWidth="1"/>
    <col min="10003" max="10003" width="8.81640625" style="141" customWidth="1"/>
    <col min="10004" max="10004" width="5.1796875" style="141" customWidth="1"/>
    <col min="10005" max="10005" width="4.54296875" style="141" customWidth="1"/>
    <col min="10006" max="10210" width="9.1796875" style="141"/>
    <col min="10211" max="10211" width="12.81640625" style="141" customWidth="1"/>
    <col min="10212" max="10212" width="1" style="141" customWidth="1"/>
    <col min="10213" max="10214" width="12.81640625" style="141" customWidth="1"/>
    <col min="10215" max="10215" width="8.81640625" style="141" customWidth="1"/>
    <col min="10216" max="10217" width="12.81640625" style="141" customWidth="1"/>
    <col min="10218" max="10218" width="8.81640625" style="141" customWidth="1"/>
    <col min="10219" max="10220" width="12.81640625" style="141" customWidth="1"/>
    <col min="10221" max="10221" width="8.81640625" style="141" customWidth="1"/>
    <col min="10222" max="10223" width="12.81640625" style="141" customWidth="1"/>
    <col min="10224" max="10224" width="8.81640625" style="141" customWidth="1"/>
    <col min="10225" max="10226" width="12.81640625" style="141" customWidth="1"/>
    <col min="10227" max="10227" width="8.81640625" style="141" customWidth="1"/>
    <col min="10228" max="10229" width="12.81640625" style="141" customWidth="1"/>
    <col min="10230" max="10230" width="8.81640625" style="141" customWidth="1"/>
    <col min="10231" max="10232" width="12.81640625" style="141" customWidth="1"/>
    <col min="10233" max="10233" width="8.81640625" style="141" customWidth="1"/>
    <col min="10234" max="10234" width="3.81640625" style="141" customWidth="1"/>
    <col min="10235" max="10235" width="3.1796875" style="141" customWidth="1"/>
    <col min="10236" max="10236" width="9.1796875" style="141"/>
    <col min="10237" max="10237" width="12.1796875" style="141" customWidth="1"/>
    <col min="10238" max="10238" width="1.1796875" style="141" customWidth="1"/>
    <col min="10239" max="10240" width="12.81640625" style="141" customWidth="1"/>
    <col min="10241" max="10241" width="8.81640625" style="141" customWidth="1"/>
    <col min="10242" max="10243" width="12.81640625" style="141" customWidth="1"/>
    <col min="10244" max="10244" width="8.81640625" style="141" customWidth="1"/>
    <col min="10245" max="10246" width="12.81640625" style="141" customWidth="1"/>
    <col min="10247" max="10247" width="8.81640625" style="141" customWidth="1"/>
    <col min="10248" max="10249" width="12.81640625" style="141" customWidth="1"/>
    <col min="10250" max="10250" width="8.81640625" style="141" customWidth="1"/>
    <col min="10251" max="10252" width="12.81640625" style="141" customWidth="1"/>
    <col min="10253" max="10253" width="8.81640625" style="141" customWidth="1"/>
    <col min="10254" max="10254" width="14" style="141" bestFit="1" customWidth="1"/>
    <col min="10255" max="10255" width="12.81640625" style="141" customWidth="1"/>
    <col min="10256" max="10256" width="8.81640625" style="141" customWidth="1"/>
    <col min="10257" max="10258" width="12.81640625" style="141" customWidth="1"/>
    <col min="10259" max="10259" width="8.81640625" style="141" customWidth="1"/>
    <col min="10260" max="10260" width="5.1796875" style="141" customWidth="1"/>
    <col min="10261" max="10261" width="4.54296875" style="141" customWidth="1"/>
    <col min="10262" max="10466" width="9.1796875" style="141"/>
    <col min="10467" max="10467" width="12.81640625" style="141" customWidth="1"/>
    <col min="10468" max="10468" width="1" style="141" customWidth="1"/>
    <col min="10469" max="10470" width="12.81640625" style="141" customWidth="1"/>
    <col min="10471" max="10471" width="8.81640625" style="141" customWidth="1"/>
    <col min="10472" max="10473" width="12.81640625" style="141" customWidth="1"/>
    <col min="10474" max="10474" width="8.81640625" style="141" customWidth="1"/>
    <col min="10475" max="10476" width="12.81640625" style="141" customWidth="1"/>
    <col min="10477" max="10477" width="8.81640625" style="141" customWidth="1"/>
    <col min="10478" max="10479" width="12.81640625" style="141" customWidth="1"/>
    <col min="10480" max="10480" width="8.81640625" style="141" customWidth="1"/>
    <col min="10481" max="10482" width="12.81640625" style="141" customWidth="1"/>
    <col min="10483" max="10483" width="8.81640625" style="141" customWidth="1"/>
    <col min="10484" max="10485" width="12.81640625" style="141" customWidth="1"/>
    <col min="10486" max="10486" width="8.81640625" style="141" customWidth="1"/>
    <col min="10487" max="10488" width="12.81640625" style="141" customWidth="1"/>
    <col min="10489" max="10489" width="8.81640625" style="141" customWidth="1"/>
    <col min="10490" max="10490" width="3.81640625" style="141" customWidth="1"/>
    <col min="10491" max="10491" width="3.1796875" style="141" customWidth="1"/>
    <col min="10492" max="10492" width="9.1796875" style="141"/>
    <col min="10493" max="10493" width="12.1796875" style="141" customWidth="1"/>
    <col min="10494" max="10494" width="1.1796875" style="141" customWidth="1"/>
    <col min="10495" max="10496" width="12.81640625" style="141" customWidth="1"/>
    <col min="10497" max="10497" width="8.81640625" style="141" customWidth="1"/>
    <col min="10498" max="10499" width="12.81640625" style="141" customWidth="1"/>
    <col min="10500" max="10500" width="8.81640625" style="141" customWidth="1"/>
    <col min="10501" max="10502" width="12.81640625" style="141" customWidth="1"/>
    <col min="10503" max="10503" width="8.81640625" style="141" customWidth="1"/>
    <col min="10504" max="10505" width="12.81640625" style="141" customWidth="1"/>
    <col min="10506" max="10506" width="8.81640625" style="141" customWidth="1"/>
    <col min="10507" max="10508" width="12.81640625" style="141" customWidth="1"/>
    <col min="10509" max="10509" width="8.81640625" style="141" customWidth="1"/>
    <col min="10510" max="10510" width="14" style="141" bestFit="1" customWidth="1"/>
    <col min="10511" max="10511" width="12.81640625" style="141" customWidth="1"/>
    <col min="10512" max="10512" width="8.81640625" style="141" customWidth="1"/>
    <col min="10513" max="10514" width="12.81640625" style="141" customWidth="1"/>
    <col min="10515" max="10515" width="8.81640625" style="141" customWidth="1"/>
    <col min="10516" max="10516" width="5.1796875" style="141" customWidth="1"/>
    <col min="10517" max="10517" width="4.54296875" style="141" customWidth="1"/>
    <col min="10518" max="10722" width="9.1796875" style="141"/>
    <col min="10723" max="10723" width="12.81640625" style="141" customWidth="1"/>
    <col min="10724" max="10724" width="1" style="141" customWidth="1"/>
    <col min="10725" max="10726" width="12.81640625" style="141" customWidth="1"/>
    <col min="10727" max="10727" width="8.81640625" style="141" customWidth="1"/>
    <col min="10728" max="10729" width="12.81640625" style="141" customWidth="1"/>
    <col min="10730" max="10730" width="8.81640625" style="141" customWidth="1"/>
    <col min="10731" max="10732" width="12.81640625" style="141" customWidth="1"/>
    <col min="10733" max="10733" width="8.81640625" style="141" customWidth="1"/>
    <col min="10734" max="10735" width="12.81640625" style="141" customWidth="1"/>
    <col min="10736" max="10736" width="8.81640625" style="141" customWidth="1"/>
    <col min="10737" max="10738" width="12.81640625" style="141" customWidth="1"/>
    <col min="10739" max="10739" width="8.81640625" style="141" customWidth="1"/>
    <col min="10740" max="10741" width="12.81640625" style="141" customWidth="1"/>
    <col min="10742" max="10742" width="8.81640625" style="141" customWidth="1"/>
    <col min="10743" max="10744" width="12.81640625" style="141" customWidth="1"/>
    <col min="10745" max="10745" width="8.81640625" style="141" customWidth="1"/>
    <col min="10746" max="10746" width="3.81640625" style="141" customWidth="1"/>
    <col min="10747" max="10747" width="3.1796875" style="141" customWidth="1"/>
    <col min="10748" max="10748" width="9.1796875" style="141"/>
    <col min="10749" max="10749" width="12.1796875" style="141" customWidth="1"/>
    <col min="10750" max="10750" width="1.1796875" style="141" customWidth="1"/>
    <col min="10751" max="10752" width="12.81640625" style="141" customWidth="1"/>
    <col min="10753" max="10753" width="8.81640625" style="141" customWidth="1"/>
    <col min="10754" max="10755" width="12.81640625" style="141" customWidth="1"/>
    <col min="10756" max="10756" width="8.81640625" style="141" customWidth="1"/>
    <col min="10757" max="10758" width="12.81640625" style="141" customWidth="1"/>
    <col min="10759" max="10759" width="8.81640625" style="141" customWidth="1"/>
    <col min="10760" max="10761" width="12.81640625" style="141" customWidth="1"/>
    <col min="10762" max="10762" width="8.81640625" style="141" customWidth="1"/>
    <col min="10763" max="10764" width="12.81640625" style="141" customWidth="1"/>
    <col min="10765" max="10765" width="8.81640625" style="141" customWidth="1"/>
    <col min="10766" max="10766" width="14" style="141" bestFit="1" customWidth="1"/>
    <col min="10767" max="10767" width="12.81640625" style="141" customWidth="1"/>
    <col min="10768" max="10768" width="8.81640625" style="141" customWidth="1"/>
    <col min="10769" max="10770" width="12.81640625" style="141" customWidth="1"/>
    <col min="10771" max="10771" width="8.81640625" style="141" customWidth="1"/>
    <col min="10772" max="10772" width="5.1796875" style="141" customWidth="1"/>
    <col min="10773" max="10773" width="4.54296875" style="141" customWidth="1"/>
    <col min="10774" max="10978" width="9.1796875" style="141"/>
    <col min="10979" max="10979" width="12.81640625" style="141" customWidth="1"/>
    <col min="10980" max="10980" width="1" style="141" customWidth="1"/>
    <col min="10981" max="10982" width="12.81640625" style="141" customWidth="1"/>
    <col min="10983" max="10983" width="8.81640625" style="141" customWidth="1"/>
    <col min="10984" max="10985" width="12.81640625" style="141" customWidth="1"/>
    <col min="10986" max="10986" width="8.81640625" style="141" customWidth="1"/>
    <col min="10987" max="10988" width="12.81640625" style="141" customWidth="1"/>
    <col min="10989" max="10989" width="8.81640625" style="141" customWidth="1"/>
    <col min="10990" max="10991" width="12.81640625" style="141" customWidth="1"/>
    <col min="10992" max="10992" width="8.81640625" style="141" customWidth="1"/>
    <col min="10993" max="10994" width="12.81640625" style="141" customWidth="1"/>
    <col min="10995" max="10995" width="8.81640625" style="141" customWidth="1"/>
    <col min="10996" max="10997" width="12.81640625" style="141" customWidth="1"/>
    <col min="10998" max="10998" width="8.81640625" style="141" customWidth="1"/>
    <col min="10999" max="11000" width="12.81640625" style="141" customWidth="1"/>
    <col min="11001" max="11001" width="8.81640625" style="141" customWidth="1"/>
    <col min="11002" max="11002" width="3.81640625" style="141" customWidth="1"/>
    <col min="11003" max="11003" width="3.1796875" style="141" customWidth="1"/>
    <col min="11004" max="11004" width="9.1796875" style="141"/>
    <col min="11005" max="11005" width="12.1796875" style="141" customWidth="1"/>
    <col min="11006" max="11006" width="1.1796875" style="141" customWidth="1"/>
    <col min="11007" max="11008" width="12.81640625" style="141" customWidth="1"/>
    <col min="11009" max="11009" width="8.81640625" style="141" customWidth="1"/>
    <col min="11010" max="11011" width="12.81640625" style="141" customWidth="1"/>
    <col min="11012" max="11012" width="8.81640625" style="141" customWidth="1"/>
    <col min="11013" max="11014" width="12.81640625" style="141" customWidth="1"/>
    <col min="11015" max="11015" width="8.81640625" style="141" customWidth="1"/>
    <col min="11016" max="11017" width="12.81640625" style="141" customWidth="1"/>
    <col min="11018" max="11018" width="8.81640625" style="141" customWidth="1"/>
    <col min="11019" max="11020" width="12.81640625" style="141" customWidth="1"/>
    <col min="11021" max="11021" width="8.81640625" style="141" customWidth="1"/>
    <col min="11022" max="11022" width="14" style="141" bestFit="1" customWidth="1"/>
    <col min="11023" max="11023" width="12.81640625" style="141" customWidth="1"/>
    <col min="11024" max="11024" width="8.81640625" style="141" customWidth="1"/>
    <col min="11025" max="11026" width="12.81640625" style="141" customWidth="1"/>
    <col min="11027" max="11027" width="8.81640625" style="141" customWidth="1"/>
    <col min="11028" max="11028" width="5.1796875" style="141" customWidth="1"/>
    <col min="11029" max="11029" width="4.54296875" style="141" customWidth="1"/>
    <col min="11030" max="11234" width="9.1796875" style="141"/>
    <col min="11235" max="11235" width="12.81640625" style="141" customWidth="1"/>
    <col min="11236" max="11236" width="1" style="141" customWidth="1"/>
    <col min="11237" max="11238" width="12.81640625" style="141" customWidth="1"/>
    <col min="11239" max="11239" width="8.81640625" style="141" customWidth="1"/>
    <col min="11240" max="11241" width="12.81640625" style="141" customWidth="1"/>
    <col min="11242" max="11242" width="8.81640625" style="141" customWidth="1"/>
    <col min="11243" max="11244" width="12.81640625" style="141" customWidth="1"/>
    <col min="11245" max="11245" width="8.81640625" style="141" customWidth="1"/>
    <col min="11246" max="11247" width="12.81640625" style="141" customWidth="1"/>
    <col min="11248" max="11248" width="8.81640625" style="141" customWidth="1"/>
    <col min="11249" max="11250" width="12.81640625" style="141" customWidth="1"/>
    <col min="11251" max="11251" width="8.81640625" style="141" customWidth="1"/>
    <col min="11252" max="11253" width="12.81640625" style="141" customWidth="1"/>
    <col min="11254" max="11254" width="8.81640625" style="141" customWidth="1"/>
    <col min="11255" max="11256" width="12.81640625" style="141" customWidth="1"/>
    <col min="11257" max="11257" width="8.81640625" style="141" customWidth="1"/>
    <col min="11258" max="11258" width="3.81640625" style="141" customWidth="1"/>
    <col min="11259" max="11259" width="3.1796875" style="141" customWidth="1"/>
    <col min="11260" max="11260" width="9.1796875" style="141"/>
    <col min="11261" max="11261" width="12.1796875" style="141" customWidth="1"/>
    <col min="11262" max="11262" width="1.1796875" style="141" customWidth="1"/>
    <col min="11263" max="11264" width="12.81640625" style="141" customWidth="1"/>
    <col min="11265" max="11265" width="8.81640625" style="141" customWidth="1"/>
    <col min="11266" max="11267" width="12.81640625" style="141" customWidth="1"/>
    <col min="11268" max="11268" width="8.81640625" style="141" customWidth="1"/>
    <col min="11269" max="11270" width="12.81640625" style="141" customWidth="1"/>
    <col min="11271" max="11271" width="8.81640625" style="141" customWidth="1"/>
    <col min="11272" max="11273" width="12.81640625" style="141" customWidth="1"/>
    <col min="11274" max="11274" width="8.81640625" style="141" customWidth="1"/>
    <col min="11275" max="11276" width="12.81640625" style="141" customWidth="1"/>
    <col min="11277" max="11277" width="8.81640625" style="141" customWidth="1"/>
    <col min="11278" max="11278" width="14" style="141" bestFit="1" customWidth="1"/>
    <col min="11279" max="11279" width="12.81640625" style="141" customWidth="1"/>
    <col min="11280" max="11280" width="8.81640625" style="141" customWidth="1"/>
    <col min="11281" max="11282" width="12.81640625" style="141" customWidth="1"/>
    <col min="11283" max="11283" width="8.81640625" style="141" customWidth="1"/>
    <col min="11284" max="11284" width="5.1796875" style="141" customWidth="1"/>
    <col min="11285" max="11285" width="4.54296875" style="141" customWidth="1"/>
    <col min="11286" max="11490" width="9.1796875" style="141"/>
    <col min="11491" max="11491" width="12.81640625" style="141" customWidth="1"/>
    <col min="11492" max="11492" width="1" style="141" customWidth="1"/>
    <col min="11493" max="11494" width="12.81640625" style="141" customWidth="1"/>
    <col min="11495" max="11495" width="8.81640625" style="141" customWidth="1"/>
    <col min="11496" max="11497" width="12.81640625" style="141" customWidth="1"/>
    <col min="11498" max="11498" width="8.81640625" style="141" customWidth="1"/>
    <col min="11499" max="11500" width="12.81640625" style="141" customWidth="1"/>
    <col min="11501" max="11501" width="8.81640625" style="141" customWidth="1"/>
    <col min="11502" max="11503" width="12.81640625" style="141" customWidth="1"/>
    <col min="11504" max="11504" width="8.81640625" style="141" customWidth="1"/>
    <col min="11505" max="11506" width="12.81640625" style="141" customWidth="1"/>
    <col min="11507" max="11507" width="8.81640625" style="141" customWidth="1"/>
    <col min="11508" max="11509" width="12.81640625" style="141" customWidth="1"/>
    <col min="11510" max="11510" width="8.81640625" style="141" customWidth="1"/>
    <col min="11511" max="11512" width="12.81640625" style="141" customWidth="1"/>
    <col min="11513" max="11513" width="8.81640625" style="141" customWidth="1"/>
    <col min="11514" max="11514" width="3.81640625" style="141" customWidth="1"/>
    <col min="11515" max="11515" width="3.1796875" style="141" customWidth="1"/>
    <col min="11516" max="11516" width="9.1796875" style="141"/>
    <col min="11517" max="11517" width="12.1796875" style="141" customWidth="1"/>
    <col min="11518" max="11518" width="1.1796875" style="141" customWidth="1"/>
    <col min="11519" max="11520" width="12.81640625" style="141" customWidth="1"/>
    <col min="11521" max="11521" width="8.81640625" style="141" customWidth="1"/>
    <col min="11522" max="11523" width="12.81640625" style="141" customWidth="1"/>
    <col min="11524" max="11524" width="8.81640625" style="141" customWidth="1"/>
    <col min="11525" max="11526" width="12.81640625" style="141" customWidth="1"/>
    <col min="11527" max="11527" width="8.81640625" style="141" customWidth="1"/>
    <col min="11528" max="11529" width="12.81640625" style="141" customWidth="1"/>
    <col min="11530" max="11530" width="8.81640625" style="141" customWidth="1"/>
    <col min="11531" max="11532" width="12.81640625" style="141" customWidth="1"/>
    <col min="11533" max="11533" width="8.81640625" style="141" customWidth="1"/>
    <col min="11534" max="11534" width="14" style="141" bestFit="1" customWidth="1"/>
    <col min="11535" max="11535" width="12.81640625" style="141" customWidth="1"/>
    <col min="11536" max="11536" width="8.81640625" style="141" customWidth="1"/>
    <col min="11537" max="11538" width="12.81640625" style="141" customWidth="1"/>
    <col min="11539" max="11539" width="8.81640625" style="141" customWidth="1"/>
    <col min="11540" max="11540" width="5.1796875" style="141" customWidth="1"/>
    <col min="11541" max="11541" width="4.54296875" style="141" customWidth="1"/>
    <col min="11542" max="11746" width="9.1796875" style="141"/>
    <col min="11747" max="11747" width="12.81640625" style="141" customWidth="1"/>
    <col min="11748" max="11748" width="1" style="141" customWidth="1"/>
    <col min="11749" max="11750" width="12.81640625" style="141" customWidth="1"/>
    <col min="11751" max="11751" width="8.81640625" style="141" customWidth="1"/>
    <col min="11752" max="11753" width="12.81640625" style="141" customWidth="1"/>
    <col min="11754" max="11754" width="8.81640625" style="141" customWidth="1"/>
    <col min="11755" max="11756" width="12.81640625" style="141" customWidth="1"/>
    <col min="11757" max="11757" width="8.81640625" style="141" customWidth="1"/>
    <col min="11758" max="11759" width="12.81640625" style="141" customWidth="1"/>
    <col min="11760" max="11760" width="8.81640625" style="141" customWidth="1"/>
    <col min="11761" max="11762" width="12.81640625" style="141" customWidth="1"/>
    <col min="11763" max="11763" width="8.81640625" style="141" customWidth="1"/>
    <col min="11764" max="11765" width="12.81640625" style="141" customWidth="1"/>
    <col min="11766" max="11766" width="8.81640625" style="141" customWidth="1"/>
    <col min="11767" max="11768" width="12.81640625" style="141" customWidth="1"/>
    <col min="11769" max="11769" width="8.81640625" style="141" customWidth="1"/>
    <col min="11770" max="11770" width="3.81640625" style="141" customWidth="1"/>
    <col min="11771" max="11771" width="3.1796875" style="141" customWidth="1"/>
    <col min="11772" max="11772" width="9.1796875" style="141"/>
    <col min="11773" max="11773" width="12.1796875" style="141" customWidth="1"/>
    <col min="11774" max="11774" width="1.1796875" style="141" customWidth="1"/>
    <col min="11775" max="11776" width="12.81640625" style="141" customWidth="1"/>
    <col min="11777" max="11777" width="8.81640625" style="141" customWidth="1"/>
    <col min="11778" max="11779" width="12.81640625" style="141" customWidth="1"/>
    <col min="11780" max="11780" width="8.81640625" style="141" customWidth="1"/>
    <col min="11781" max="11782" width="12.81640625" style="141" customWidth="1"/>
    <col min="11783" max="11783" width="8.81640625" style="141" customWidth="1"/>
    <col min="11784" max="11785" width="12.81640625" style="141" customWidth="1"/>
    <col min="11786" max="11786" width="8.81640625" style="141" customWidth="1"/>
    <col min="11787" max="11788" width="12.81640625" style="141" customWidth="1"/>
    <col min="11789" max="11789" width="8.81640625" style="141" customWidth="1"/>
    <col min="11790" max="11790" width="14" style="141" bestFit="1" customWidth="1"/>
    <col min="11791" max="11791" width="12.81640625" style="141" customWidth="1"/>
    <col min="11792" max="11792" width="8.81640625" style="141" customWidth="1"/>
    <col min="11793" max="11794" width="12.81640625" style="141" customWidth="1"/>
    <col min="11795" max="11795" width="8.81640625" style="141" customWidth="1"/>
    <col min="11796" max="11796" width="5.1796875" style="141" customWidth="1"/>
    <col min="11797" max="11797" width="4.54296875" style="141" customWidth="1"/>
    <col min="11798" max="12002" width="9.1796875" style="141"/>
    <col min="12003" max="12003" width="12.81640625" style="141" customWidth="1"/>
    <col min="12004" max="12004" width="1" style="141" customWidth="1"/>
    <col min="12005" max="12006" width="12.81640625" style="141" customWidth="1"/>
    <col min="12007" max="12007" width="8.81640625" style="141" customWidth="1"/>
    <col min="12008" max="12009" width="12.81640625" style="141" customWidth="1"/>
    <col min="12010" max="12010" width="8.81640625" style="141" customWidth="1"/>
    <col min="12011" max="12012" width="12.81640625" style="141" customWidth="1"/>
    <col min="12013" max="12013" width="8.81640625" style="141" customWidth="1"/>
    <col min="12014" max="12015" width="12.81640625" style="141" customWidth="1"/>
    <col min="12016" max="12016" width="8.81640625" style="141" customWidth="1"/>
    <col min="12017" max="12018" width="12.81640625" style="141" customWidth="1"/>
    <col min="12019" max="12019" width="8.81640625" style="141" customWidth="1"/>
    <col min="12020" max="12021" width="12.81640625" style="141" customWidth="1"/>
    <col min="12022" max="12022" width="8.81640625" style="141" customWidth="1"/>
    <col min="12023" max="12024" width="12.81640625" style="141" customWidth="1"/>
    <col min="12025" max="12025" width="8.81640625" style="141" customWidth="1"/>
    <col min="12026" max="12026" width="3.81640625" style="141" customWidth="1"/>
    <col min="12027" max="12027" width="3.1796875" style="141" customWidth="1"/>
    <col min="12028" max="12028" width="9.1796875" style="141"/>
    <col min="12029" max="12029" width="12.1796875" style="141" customWidth="1"/>
    <col min="12030" max="12030" width="1.1796875" style="141" customWidth="1"/>
    <col min="12031" max="12032" width="12.81640625" style="141" customWidth="1"/>
    <col min="12033" max="12033" width="8.81640625" style="141" customWidth="1"/>
    <col min="12034" max="12035" width="12.81640625" style="141" customWidth="1"/>
    <col min="12036" max="12036" width="8.81640625" style="141" customWidth="1"/>
    <col min="12037" max="12038" width="12.81640625" style="141" customWidth="1"/>
    <col min="12039" max="12039" width="8.81640625" style="141" customWidth="1"/>
    <col min="12040" max="12041" width="12.81640625" style="141" customWidth="1"/>
    <col min="12042" max="12042" width="8.81640625" style="141" customWidth="1"/>
    <col min="12043" max="12044" width="12.81640625" style="141" customWidth="1"/>
    <col min="12045" max="12045" width="8.81640625" style="141" customWidth="1"/>
    <col min="12046" max="12046" width="14" style="141" bestFit="1" customWidth="1"/>
    <col min="12047" max="12047" width="12.81640625" style="141" customWidth="1"/>
    <col min="12048" max="12048" width="8.81640625" style="141" customWidth="1"/>
    <col min="12049" max="12050" width="12.81640625" style="141" customWidth="1"/>
    <col min="12051" max="12051" width="8.81640625" style="141" customWidth="1"/>
    <col min="12052" max="12052" width="5.1796875" style="141" customWidth="1"/>
    <col min="12053" max="12053" width="4.54296875" style="141" customWidth="1"/>
    <col min="12054" max="12258" width="9.1796875" style="141"/>
    <col min="12259" max="12259" width="12.81640625" style="141" customWidth="1"/>
    <col min="12260" max="12260" width="1" style="141" customWidth="1"/>
    <col min="12261" max="12262" width="12.81640625" style="141" customWidth="1"/>
    <col min="12263" max="12263" width="8.81640625" style="141" customWidth="1"/>
    <col min="12264" max="12265" width="12.81640625" style="141" customWidth="1"/>
    <col min="12266" max="12266" width="8.81640625" style="141" customWidth="1"/>
    <col min="12267" max="12268" width="12.81640625" style="141" customWidth="1"/>
    <col min="12269" max="12269" width="8.81640625" style="141" customWidth="1"/>
    <col min="12270" max="12271" width="12.81640625" style="141" customWidth="1"/>
    <col min="12272" max="12272" width="8.81640625" style="141" customWidth="1"/>
    <col min="12273" max="12274" width="12.81640625" style="141" customWidth="1"/>
    <col min="12275" max="12275" width="8.81640625" style="141" customWidth="1"/>
    <col min="12276" max="12277" width="12.81640625" style="141" customWidth="1"/>
    <col min="12278" max="12278" width="8.81640625" style="141" customWidth="1"/>
    <col min="12279" max="12280" width="12.81640625" style="141" customWidth="1"/>
    <col min="12281" max="12281" width="8.81640625" style="141" customWidth="1"/>
    <col min="12282" max="12282" width="3.81640625" style="141" customWidth="1"/>
    <col min="12283" max="12283" width="3.1796875" style="141" customWidth="1"/>
    <col min="12284" max="12284" width="9.1796875" style="141"/>
    <col min="12285" max="12285" width="12.1796875" style="141" customWidth="1"/>
    <col min="12286" max="12286" width="1.1796875" style="141" customWidth="1"/>
    <col min="12287" max="12288" width="12.81640625" style="141" customWidth="1"/>
    <col min="12289" max="12289" width="8.81640625" style="141" customWidth="1"/>
    <col min="12290" max="12291" width="12.81640625" style="141" customWidth="1"/>
    <col min="12292" max="12292" width="8.81640625" style="141" customWidth="1"/>
    <col min="12293" max="12294" width="12.81640625" style="141" customWidth="1"/>
    <col min="12295" max="12295" width="8.81640625" style="141" customWidth="1"/>
    <col min="12296" max="12297" width="12.81640625" style="141" customWidth="1"/>
    <col min="12298" max="12298" width="8.81640625" style="141" customWidth="1"/>
    <col min="12299" max="12300" width="12.81640625" style="141" customWidth="1"/>
    <col min="12301" max="12301" width="8.81640625" style="141" customWidth="1"/>
    <col min="12302" max="12302" width="14" style="141" bestFit="1" customWidth="1"/>
    <col min="12303" max="12303" width="12.81640625" style="141" customWidth="1"/>
    <col min="12304" max="12304" width="8.81640625" style="141" customWidth="1"/>
    <col min="12305" max="12306" width="12.81640625" style="141" customWidth="1"/>
    <col min="12307" max="12307" width="8.81640625" style="141" customWidth="1"/>
    <col min="12308" max="12308" width="5.1796875" style="141" customWidth="1"/>
    <col min="12309" max="12309" width="4.54296875" style="141" customWidth="1"/>
    <col min="12310" max="12514" width="9.1796875" style="141"/>
    <col min="12515" max="12515" width="12.81640625" style="141" customWidth="1"/>
    <col min="12516" max="12516" width="1" style="141" customWidth="1"/>
    <col min="12517" max="12518" width="12.81640625" style="141" customWidth="1"/>
    <col min="12519" max="12519" width="8.81640625" style="141" customWidth="1"/>
    <col min="12520" max="12521" width="12.81640625" style="141" customWidth="1"/>
    <col min="12522" max="12522" width="8.81640625" style="141" customWidth="1"/>
    <col min="12523" max="12524" width="12.81640625" style="141" customWidth="1"/>
    <col min="12525" max="12525" width="8.81640625" style="141" customWidth="1"/>
    <col min="12526" max="12527" width="12.81640625" style="141" customWidth="1"/>
    <col min="12528" max="12528" width="8.81640625" style="141" customWidth="1"/>
    <col min="12529" max="12530" width="12.81640625" style="141" customWidth="1"/>
    <col min="12531" max="12531" width="8.81640625" style="141" customWidth="1"/>
    <col min="12532" max="12533" width="12.81640625" style="141" customWidth="1"/>
    <col min="12534" max="12534" width="8.81640625" style="141" customWidth="1"/>
    <col min="12535" max="12536" width="12.81640625" style="141" customWidth="1"/>
    <col min="12537" max="12537" width="8.81640625" style="141" customWidth="1"/>
    <col min="12538" max="12538" width="3.81640625" style="141" customWidth="1"/>
    <col min="12539" max="12539" width="3.1796875" style="141" customWidth="1"/>
    <col min="12540" max="12540" width="9.1796875" style="141"/>
    <col min="12541" max="12541" width="12.1796875" style="141" customWidth="1"/>
    <col min="12542" max="12542" width="1.1796875" style="141" customWidth="1"/>
    <col min="12543" max="12544" width="12.81640625" style="141" customWidth="1"/>
    <col min="12545" max="12545" width="8.81640625" style="141" customWidth="1"/>
    <col min="12546" max="12547" width="12.81640625" style="141" customWidth="1"/>
    <col min="12548" max="12548" width="8.81640625" style="141" customWidth="1"/>
    <col min="12549" max="12550" width="12.81640625" style="141" customWidth="1"/>
    <col min="12551" max="12551" width="8.81640625" style="141" customWidth="1"/>
    <col min="12552" max="12553" width="12.81640625" style="141" customWidth="1"/>
    <col min="12554" max="12554" width="8.81640625" style="141" customWidth="1"/>
    <col min="12555" max="12556" width="12.81640625" style="141" customWidth="1"/>
    <col min="12557" max="12557" width="8.81640625" style="141" customWidth="1"/>
    <col min="12558" max="12558" width="14" style="141" bestFit="1" customWidth="1"/>
    <col min="12559" max="12559" width="12.81640625" style="141" customWidth="1"/>
    <col min="12560" max="12560" width="8.81640625" style="141" customWidth="1"/>
    <col min="12561" max="12562" width="12.81640625" style="141" customWidth="1"/>
    <col min="12563" max="12563" width="8.81640625" style="141" customWidth="1"/>
    <col min="12564" max="12564" width="5.1796875" style="141" customWidth="1"/>
    <col min="12565" max="12565" width="4.54296875" style="141" customWidth="1"/>
    <col min="12566" max="12770" width="9.1796875" style="141"/>
    <col min="12771" max="12771" width="12.81640625" style="141" customWidth="1"/>
    <col min="12772" max="12772" width="1" style="141" customWidth="1"/>
    <col min="12773" max="12774" width="12.81640625" style="141" customWidth="1"/>
    <col min="12775" max="12775" width="8.81640625" style="141" customWidth="1"/>
    <col min="12776" max="12777" width="12.81640625" style="141" customWidth="1"/>
    <col min="12778" max="12778" width="8.81640625" style="141" customWidth="1"/>
    <col min="12779" max="12780" width="12.81640625" style="141" customWidth="1"/>
    <col min="12781" max="12781" width="8.81640625" style="141" customWidth="1"/>
    <col min="12782" max="12783" width="12.81640625" style="141" customWidth="1"/>
    <col min="12784" max="12784" width="8.81640625" style="141" customWidth="1"/>
    <col min="12785" max="12786" width="12.81640625" style="141" customWidth="1"/>
    <col min="12787" max="12787" width="8.81640625" style="141" customWidth="1"/>
    <col min="12788" max="12789" width="12.81640625" style="141" customWidth="1"/>
    <col min="12790" max="12790" width="8.81640625" style="141" customWidth="1"/>
    <col min="12791" max="12792" width="12.81640625" style="141" customWidth="1"/>
    <col min="12793" max="12793" width="8.81640625" style="141" customWidth="1"/>
    <col min="12794" max="12794" width="3.81640625" style="141" customWidth="1"/>
    <col min="12795" max="12795" width="3.1796875" style="141" customWidth="1"/>
    <col min="12796" max="12796" width="9.1796875" style="141"/>
    <col min="12797" max="12797" width="12.1796875" style="141" customWidth="1"/>
    <col min="12798" max="12798" width="1.1796875" style="141" customWidth="1"/>
    <col min="12799" max="12800" width="12.81640625" style="141" customWidth="1"/>
    <col min="12801" max="12801" width="8.81640625" style="141" customWidth="1"/>
    <col min="12802" max="12803" width="12.81640625" style="141" customWidth="1"/>
    <col min="12804" max="12804" width="8.81640625" style="141" customWidth="1"/>
    <col min="12805" max="12806" width="12.81640625" style="141" customWidth="1"/>
    <col min="12807" max="12807" width="8.81640625" style="141" customWidth="1"/>
    <col min="12808" max="12809" width="12.81640625" style="141" customWidth="1"/>
    <col min="12810" max="12810" width="8.81640625" style="141" customWidth="1"/>
    <col min="12811" max="12812" width="12.81640625" style="141" customWidth="1"/>
    <col min="12813" max="12813" width="8.81640625" style="141" customWidth="1"/>
    <col min="12814" max="12814" width="14" style="141" bestFit="1" customWidth="1"/>
    <col min="12815" max="12815" width="12.81640625" style="141" customWidth="1"/>
    <col min="12816" max="12816" width="8.81640625" style="141" customWidth="1"/>
    <col min="12817" max="12818" width="12.81640625" style="141" customWidth="1"/>
    <col min="12819" max="12819" width="8.81640625" style="141" customWidth="1"/>
    <col min="12820" max="12820" width="5.1796875" style="141" customWidth="1"/>
    <col min="12821" max="12821" width="4.54296875" style="141" customWidth="1"/>
    <col min="12822" max="13026" width="9.1796875" style="141"/>
    <col min="13027" max="13027" width="12.81640625" style="141" customWidth="1"/>
    <col min="13028" max="13028" width="1" style="141" customWidth="1"/>
    <col min="13029" max="13030" width="12.81640625" style="141" customWidth="1"/>
    <col min="13031" max="13031" width="8.81640625" style="141" customWidth="1"/>
    <col min="13032" max="13033" width="12.81640625" style="141" customWidth="1"/>
    <col min="13034" max="13034" width="8.81640625" style="141" customWidth="1"/>
    <col min="13035" max="13036" width="12.81640625" style="141" customWidth="1"/>
    <col min="13037" max="13037" width="8.81640625" style="141" customWidth="1"/>
    <col min="13038" max="13039" width="12.81640625" style="141" customWidth="1"/>
    <col min="13040" max="13040" width="8.81640625" style="141" customWidth="1"/>
    <col min="13041" max="13042" width="12.81640625" style="141" customWidth="1"/>
    <col min="13043" max="13043" width="8.81640625" style="141" customWidth="1"/>
    <col min="13044" max="13045" width="12.81640625" style="141" customWidth="1"/>
    <col min="13046" max="13046" width="8.81640625" style="141" customWidth="1"/>
    <col min="13047" max="13048" width="12.81640625" style="141" customWidth="1"/>
    <col min="13049" max="13049" width="8.81640625" style="141" customWidth="1"/>
    <col min="13050" max="13050" width="3.81640625" style="141" customWidth="1"/>
    <col min="13051" max="13051" width="3.1796875" style="141" customWidth="1"/>
    <col min="13052" max="13052" width="9.1796875" style="141"/>
    <col min="13053" max="13053" width="12.1796875" style="141" customWidth="1"/>
    <col min="13054" max="13054" width="1.1796875" style="141" customWidth="1"/>
    <col min="13055" max="13056" width="12.81640625" style="141" customWidth="1"/>
    <col min="13057" max="13057" width="8.81640625" style="141" customWidth="1"/>
    <col min="13058" max="13059" width="12.81640625" style="141" customWidth="1"/>
    <col min="13060" max="13060" width="8.81640625" style="141" customWidth="1"/>
    <col min="13061" max="13062" width="12.81640625" style="141" customWidth="1"/>
    <col min="13063" max="13063" width="8.81640625" style="141" customWidth="1"/>
    <col min="13064" max="13065" width="12.81640625" style="141" customWidth="1"/>
    <col min="13066" max="13066" width="8.81640625" style="141" customWidth="1"/>
    <col min="13067" max="13068" width="12.81640625" style="141" customWidth="1"/>
    <col min="13069" max="13069" width="8.81640625" style="141" customWidth="1"/>
    <col min="13070" max="13070" width="14" style="141" bestFit="1" customWidth="1"/>
    <col min="13071" max="13071" width="12.81640625" style="141" customWidth="1"/>
    <col min="13072" max="13072" width="8.81640625" style="141" customWidth="1"/>
    <col min="13073" max="13074" width="12.81640625" style="141" customWidth="1"/>
    <col min="13075" max="13075" width="8.81640625" style="141" customWidth="1"/>
    <col min="13076" max="13076" width="5.1796875" style="141" customWidth="1"/>
    <col min="13077" max="13077" width="4.54296875" style="141" customWidth="1"/>
    <col min="13078" max="13282" width="9.1796875" style="141"/>
    <col min="13283" max="13283" width="12.81640625" style="141" customWidth="1"/>
    <col min="13284" max="13284" width="1" style="141" customWidth="1"/>
    <col min="13285" max="13286" width="12.81640625" style="141" customWidth="1"/>
    <col min="13287" max="13287" width="8.81640625" style="141" customWidth="1"/>
    <col min="13288" max="13289" width="12.81640625" style="141" customWidth="1"/>
    <col min="13290" max="13290" width="8.81640625" style="141" customWidth="1"/>
    <col min="13291" max="13292" width="12.81640625" style="141" customWidth="1"/>
    <col min="13293" max="13293" width="8.81640625" style="141" customWidth="1"/>
    <col min="13294" max="13295" width="12.81640625" style="141" customWidth="1"/>
    <col min="13296" max="13296" width="8.81640625" style="141" customWidth="1"/>
    <col min="13297" max="13298" width="12.81640625" style="141" customWidth="1"/>
    <col min="13299" max="13299" width="8.81640625" style="141" customWidth="1"/>
    <col min="13300" max="13301" width="12.81640625" style="141" customWidth="1"/>
    <col min="13302" max="13302" width="8.81640625" style="141" customWidth="1"/>
    <col min="13303" max="13304" width="12.81640625" style="141" customWidth="1"/>
    <col min="13305" max="13305" width="8.81640625" style="141" customWidth="1"/>
    <col min="13306" max="13306" width="3.81640625" style="141" customWidth="1"/>
    <col min="13307" max="13307" width="3.1796875" style="141" customWidth="1"/>
    <col min="13308" max="13308" width="9.1796875" style="141"/>
    <col min="13309" max="13309" width="12.1796875" style="141" customWidth="1"/>
    <col min="13310" max="13310" width="1.1796875" style="141" customWidth="1"/>
    <col min="13311" max="13312" width="12.81640625" style="141" customWidth="1"/>
    <col min="13313" max="13313" width="8.81640625" style="141" customWidth="1"/>
    <col min="13314" max="13315" width="12.81640625" style="141" customWidth="1"/>
    <col min="13316" max="13316" width="8.81640625" style="141" customWidth="1"/>
    <col min="13317" max="13318" width="12.81640625" style="141" customWidth="1"/>
    <col min="13319" max="13319" width="8.81640625" style="141" customWidth="1"/>
    <col min="13320" max="13321" width="12.81640625" style="141" customWidth="1"/>
    <col min="13322" max="13322" width="8.81640625" style="141" customWidth="1"/>
    <col min="13323" max="13324" width="12.81640625" style="141" customWidth="1"/>
    <col min="13325" max="13325" width="8.81640625" style="141" customWidth="1"/>
    <col min="13326" max="13326" width="14" style="141" bestFit="1" customWidth="1"/>
    <col min="13327" max="13327" width="12.81640625" style="141" customWidth="1"/>
    <col min="13328" max="13328" width="8.81640625" style="141" customWidth="1"/>
    <col min="13329" max="13330" width="12.81640625" style="141" customWidth="1"/>
    <col min="13331" max="13331" width="8.81640625" style="141" customWidth="1"/>
    <col min="13332" max="13332" width="5.1796875" style="141" customWidth="1"/>
    <col min="13333" max="13333" width="4.54296875" style="141" customWidth="1"/>
    <col min="13334" max="13538" width="9.1796875" style="141"/>
    <col min="13539" max="13539" width="12.81640625" style="141" customWidth="1"/>
    <col min="13540" max="13540" width="1" style="141" customWidth="1"/>
    <col min="13541" max="13542" width="12.81640625" style="141" customWidth="1"/>
    <col min="13543" max="13543" width="8.81640625" style="141" customWidth="1"/>
    <col min="13544" max="13545" width="12.81640625" style="141" customWidth="1"/>
    <col min="13546" max="13546" width="8.81640625" style="141" customWidth="1"/>
    <col min="13547" max="13548" width="12.81640625" style="141" customWidth="1"/>
    <col min="13549" max="13549" width="8.81640625" style="141" customWidth="1"/>
    <col min="13550" max="13551" width="12.81640625" style="141" customWidth="1"/>
    <col min="13552" max="13552" width="8.81640625" style="141" customWidth="1"/>
    <col min="13553" max="13554" width="12.81640625" style="141" customWidth="1"/>
    <col min="13555" max="13555" width="8.81640625" style="141" customWidth="1"/>
    <col min="13556" max="13557" width="12.81640625" style="141" customWidth="1"/>
    <col min="13558" max="13558" width="8.81640625" style="141" customWidth="1"/>
    <col min="13559" max="13560" width="12.81640625" style="141" customWidth="1"/>
    <col min="13561" max="13561" width="8.81640625" style="141" customWidth="1"/>
    <col min="13562" max="13562" width="3.81640625" style="141" customWidth="1"/>
    <col min="13563" max="13563" width="3.1796875" style="141" customWidth="1"/>
    <col min="13564" max="13564" width="9.1796875" style="141"/>
    <col min="13565" max="13565" width="12.1796875" style="141" customWidth="1"/>
    <col min="13566" max="13566" width="1.1796875" style="141" customWidth="1"/>
    <col min="13567" max="13568" width="12.81640625" style="141" customWidth="1"/>
    <col min="13569" max="13569" width="8.81640625" style="141" customWidth="1"/>
    <col min="13570" max="13571" width="12.81640625" style="141" customWidth="1"/>
    <col min="13572" max="13572" width="8.81640625" style="141" customWidth="1"/>
    <col min="13573" max="13574" width="12.81640625" style="141" customWidth="1"/>
    <col min="13575" max="13575" width="8.81640625" style="141" customWidth="1"/>
    <col min="13576" max="13577" width="12.81640625" style="141" customWidth="1"/>
    <col min="13578" max="13578" width="8.81640625" style="141" customWidth="1"/>
    <col min="13579" max="13580" width="12.81640625" style="141" customWidth="1"/>
    <col min="13581" max="13581" width="8.81640625" style="141" customWidth="1"/>
    <col min="13582" max="13582" width="14" style="141" bestFit="1" customWidth="1"/>
    <col min="13583" max="13583" width="12.81640625" style="141" customWidth="1"/>
    <col min="13584" max="13584" width="8.81640625" style="141" customWidth="1"/>
    <col min="13585" max="13586" width="12.81640625" style="141" customWidth="1"/>
    <col min="13587" max="13587" width="8.81640625" style="141" customWidth="1"/>
    <col min="13588" max="13588" width="5.1796875" style="141" customWidth="1"/>
    <col min="13589" max="13589" width="4.54296875" style="141" customWidth="1"/>
    <col min="13590" max="13794" width="9.1796875" style="141"/>
    <col min="13795" max="13795" width="12.81640625" style="141" customWidth="1"/>
    <col min="13796" max="13796" width="1" style="141" customWidth="1"/>
    <col min="13797" max="13798" width="12.81640625" style="141" customWidth="1"/>
    <col min="13799" max="13799" width="8.81640625" style="141" customWidth="1"/>
    <col min="13800" max="13801" width="12.81640625" style="141" customWidth="1"/>
    <col min="13802" max="13802" width="8.81640625" style="141" customWidth="1"/>
    <col min="13803" max="13804" width="12.81640625" style="141" customWidth="1"/>
    <col min="13805" max="13805" width="8.81640625" style="141" customWidth="1"/>
    <col min="13806" max="13807" width="12.81640625" style="141" customWidth="1"/>
    <col min="13808" max="13808" width="8.81640625" style="141" customWidth="1"/>
    <col min="13809" max="13810" width="12.81640625" style="141" customWidth="1"/>
    <col min="13811" max="13811" width="8.81640625" style="141" customWidth="1"/>
    <col min="13812" max="13813" width="12.81640625" style="141" customWidth="1"/>
    <col min="13814" max="13814" width="8.81640625" style="141" customWidth="1"/>
    <col min="13815" max="13816" width="12.81640625" style="141" customWidth="1"/>
    <col min="13817" max="13817" width="8.81640625" style="141" customWidth="1"/>
    <col min="13818" max="13818" width="3.81640625" style="141" customWidth="1"/>
    <col min="13819" max="13819" width="3.1796875" style="141" customWidth="1"/>
    <col min="13820" max="13820" width="9.1796875" style="141"/>
    <col min="13821" max="13821" width="12.1796875" style="141" customWidth="1"/>
    <col min="13822" max="13822" width="1.1796875" style="141" customWidth="1"/>
    <col min="13823" max="13824" width="12.81640625" style="141" customWidth="1"/>
    <col min="13825" max="13825" width="8.81640625" style="141" customWidth="1"/>
    <col min="13826" max="13827" width="12.81640625" style="141" customWidth="1"/>
    <col min="13828" max="13828" width="8.81640625" style="141" customWidth="1"/>
    <col min="13829" max="13830" width="12.81640625" style="141" customWidth="1"/>
    <col min="13831" max="13831" width="8.81640625" style="141" customWidth="1"/>
    <col min="13832" max="13833" width="12.81640625" style="141" customWidth="1"/>
    <col min="13834" max="13834" width="8.81640625" style="141" customWidth="1"/>
    <col min="13835" max="13836" width="12.81640625" style="141" customWidth="1"/>
    <col min="13837" max="13837" width="8.81640625" style="141" customWidth="1"/>
    <col min="13838" max="13838" width="14" style="141" bestFit="1" customWidth="1"/>
    <col min="13839" max="13839" width="12.81640625" style="141" customWidth="1"/>
    <col min="13840" max="13840" width="8.81640625" style="141" customWidth="1"/>
    <col min="13841" max="13842" width="12.81640625" style="141" customWidth="1"/>
    <col min="13843" max="13843" width="8.81640625" style="141" customWidth="1"/>
    <col min="13844" max="13844" width="5.1796875" style="141" customWidth="1"/>
    <col min="13845" max="13845" width="4.54296875" style="141" customWidth="1"/>
    <col min="13846" max="14050" width="9.1796875" style="141"/>
    <col min="14051" max="14051" width="12.81640625" style="141" customWidth="1"/>
    <col min="14052" max="14052" width="1" style="141" customWidth="1"/>
    <col min="14053" max="14054" width="12.81640625" style="141" customWidth="1"/>
    <col min="14055" max="14055" width="8.81640625" style="141" customWidth="1"/>
    <col min="14056" max="14057" width="12.81640625" style="141" customWidth="1"/>
    <col min="14058" max="14058" width="8.81640625" style="141" customWidth="1"/>
    <col min="14059" max="14060" width="12.81640625" style="141" customWidth="1"/>
    <col min="14061" max="14061" width="8.81640625" style="141" customWidth="1"/>
    <col min="14062" max="14063" width="12.81640625" style="141" customWidth="1"/>
    <col min="14064" max="14064" width="8.81640625" style="141" customWidth="1"/>
    <col min="14065" max="14066" width="12.81640625" style="141" customWidth="1"/>
    <col min="14067" max="14067" width="8.81640625" style="141" customWidth="1"/>
    <col min="14068" max="14069" width="12.81640625" style="141" customWidth="1"/>
    <col min="14070" max="14070" width="8.81640625" style="141" customWidth="1"/>
    <col min="14071" max="14072" width="12.81640625" style="141" customWidth="1"/>
    <col min="14073" max="14073" width="8.81640625" style="141" customWidth="1"/>
    <col min="14074" max="14074" width="3.81640625" style="141" customWidth="1"/>
    <col min="14075" max="14075" width="3.1796875" style="141" customWidth="1"/>
    <col min="14076" max="14076" width="9.1796875" style="141"/>
    <col min="14077" max="14077" width="12.1796875" style="141" customWidth="1"/>
    <col min="14078" max="14078" width="1.1796875" style="141" customWidth="1"/>
    <col min="14079" max="14080" width="12.81640625" style="141" customWidth="1"/>
    <col min="14081" max="14081" width="8.81640625" style="141" customWidth="1"/>
    <col min="14082" max="14083" width="12.81640625" style="141" customWidth="1"/>
    <col min="14084" max="14084" width="8.81640625" style="141" customWidth="1"/>
    <col min="14085" max="14086" width="12.81640625" style="141" customWidth="1"/>
    <col min="14087" max="14087" width="8.81640625" style="141" customWidth="1"/>
    <col min="14088" max="14089" width="12.81640625" style="141" customWidth="1"/>
    <col min="14090" max="14090" width="8.81640625" style="141" customWidth="1"/>
    <col min="14091" max="14092" width="12.81640625" style="141" customWidth="1"/>
    <col min="14093" max="14093" width="8.81640625" style="141" customWidth="1"/>
    <col min="14094" max="14094" width="14" style="141" bestFit="1" customWidth="1"/>
    <col min="14095" max="14095" width="12.81640625" style="141" customWidth="1"/>
    <col min="14096" max="14096" width="8.81640625" style="141" customWidth="1"/>
    <col min="14097" max="14098" width="12.81640625" style="141" customWidth="1"/>
    <col min="14099" max="14099" width="8.81640625" style="141" customWidth="1"/>
    <col min="14100" max="14100" width="5.1796875" style="141" customWidth="1"/>
    <col min="14101" max="14101" width="4.54296875" style="141" customWidth="1"/>
    <col min="14102" max="14306" width="9.1796875" style="141"/>
    <col min="14307" max="14307" width="12.81640625" style="141" customWidth="1"/>
    <col min="14308" max="14308" width="1" style="141" customWidth="1"/>
    <col min="14309" max="14310" width="12.81640625" style="141" customWidth="1"/>
    <col min="14311" max="14311" width="8.81640625" style="141" customWidth="1"/>
    <col min="14312" max="14313" width="12.81640625" style="141" customWidth="1"/>
    <col min="14314" max="14314" width="8.81640625" style="141" customWidth="1"/>
    <col min="14315" max="14316" width="12.81640625" style="141" customWidth="1"/>
    <col min="14317" max="14317" width="8.81640625" style="141" customWidth="1"/>
    <col min="14318" max="14319" width="12.81640625" style="141" customWidth="1"/>
    <col min="14320" max="14320" width="8.81640625" style="141" customWidth="1"/>
    <col min="14321" max="14322" width="12.81640625" style="141" customWidth="1"/>
    <col min="14323" max="14323" width="8.81640625" style="141" customWidth="1"/>
    <col min="14324" max="14325" width="12.81640625" style="141" customWidth="1"/>
    <col min="14326" max="14326" width="8.81640625" style="141" customWidth="1"/>
    <col min="14327" max="14328" width="12.81640625" style="141" customWidth="1"/>
    <col min="14329" max="14329" width="8.81640625" style="141" customWidth="1"/>
    <col min="14330" max="14330" width="3.81640625" style="141" customWidth="1"/>
    <col min="14331" max="14331" width="3.1796875" style="141" customWidth="1"/>
    <col min="14332" max="14332" width="9.1796875" style="141"/>
    <col min="14333" max="14333" width="12.1796875" style="141" customWidth="1"/>
    <col min="14334" max="14334" width="1.1796875" style="141" customWidth="1"/>
    <col min="14335" max="14336" width="12.81640625" style="141" customWidth="1"/>
    <col min="14337" max="14337" width="8.81640625" style="141" customWidth="1"/>
    <col min="14338" max="14339" width="12.81640625" style="141" customWidth="1"/>
    <col min="14340" max="14340" width="8.81640625" style="141" customWidth="1"/>
    <col min="14341" max="14342" width="12.81640625" style="141" customWidth="1"/>
    <col min="14343" max="14343" width="8.81640625" style="141" customWidth="1"/>
    <col min="14344" max="14345" width="12.81640625" style="141" customWidth="1"/>
    <col min="14346" max="14346" width="8.81640625" style="141" customWidth="1"/>
    <col min="14347" max="14348" width="12.81640625" style="141" customWidth="1"/>
    <col min="14349" max="14349" width="8.81640625" style="141" customWidth="1"/>
    <col min="14350" max="14350" width="14" style="141" bestFit="1" customWidth="1"/>
    <col min="14351" max="14351" width="12.81640625" style="141" customWidth="1"/>
    <col min="14352" max="14352" width="8.81640625" style="141" customWidth="1"/>
    <col min="14353" max="14354" width="12.81640625" style="141" customWidth="1"/>
    <col min="14355" max="14355" width="8.81640625" style="141" customWidth="1"/>
    <col min="14356" max="14356" width="5.1796875" style="141" customWidth="1"/>
    <col min="14357" max="14357" width="4.54296875" style="141" customWidth="1"/>
    <col min="14358" max="14562" width="9.1796875" style="141"/>
    <col min="14563" max="14563" width="12.81640625" style="141" customWidth="1"/>
    <col min="14564" max="14564" width="1" style="141" customWidth="1"/>
    <col min="14565" max="14566" width="12.81640625" style="141" customWidth="1"/>
    <col min="14567" max="14567" width="8.81640625" style="141" customWidth="1"/>
    <col min="14568" max="14569" width="12.81640625" style="141" customWidth="1"/>
    <col min="14570" max="14570" width="8.81640625" style="141" customWidth="1"/>
    <col min="14571" max="14572" width="12.81640625" style="141" customWidth="1"/>
    <col min="14573" max="14573" width="8.81640625" style="141" customWidth="1"/>
    <col min="14574" max="14575" width="12.81640625" style="141" customWidth="1"/>
    <col min="14576" max="14576" width="8.81640625" style="141" customWidth="1"/>
    <col min="14577" max="14578" width="12.81640625" style="141" customWidth="1"/>
    <col min="14579" max="14579" width="8.81640625" style="141" customWidth="1"/>
    <col min="14580" max="14581" width="12.81640625" style="141" customWidth="1"/>
    <col min="14582" max="14582" width="8.81640625" style="141" customWidth="1"/>
    <col min="14583" max="14584" width="12.81640625" style="141" customWidth="1"/>
    <col min="14585" max="14585" width="8.81640625" style="141" customWidth="1"/>
    <col min="14586" max="14586" width="3.81640625" style="141" customWidth="1"/>
    <col min="14587" max="14587" width="3.1796875" style="141" customWidth="1"/>
    <col min="14588" max="14588" width="9.1796875" style="141"/>
    <col min="14589" max="14589" width="12.1796875" style="141" customWidth="1"/>
    <col min="14590" max="14590" width="1.1796875" style="141" customWidth="1"/>
    <col min="14591" max="14592" width="12.81640625" style="141" customWidth="1"/>
    <col min="14593" max="14593" width="8.81640625" style="141" customWidth="1"/>
    <col min="14594" max="14595" width="12.81640625" style="141" customWidth="1"/>
    <col min="14596" max="14596" width="8.81640625" style="141" customWidth="1"/>
    <col min="14597" max="14598" width="12.81640625" style="141" customWidth="1"/>
    <col min="14599" max="14599" width="8.81640625" style="141" customWidth="1"/>
    <col min="14600" max="14601" width="12.81640625" style="141" customWidth="1"/>
    <col min="14602" max="14602" width="8.81640625" style="141" customWidth="1"/>
    <col min="14603" max="14604" width="12.81640625" style="141" customWidth="1"/>
    <col min="14605" max="14605" width="8.81640625" style="141" customWidth="1"/>
    <col min="14606" max="14606" width="14" style="141" bestFit="1" customWidth="1"/>
    <col min="14607" max="14607" width="12.81640625" style="141" customWidth="1"/>
    <col min="14608" max="14608" width="8.81640625" style="141" customWidth="1"/>
    <col min="14609" max="14610" width="12.81640625" style="141" customWidth="1"/>
    <col min="14611" max="14611" width="8.81640625" style="141" customWidth="1"/>
    <col min="14612" max="14612" width="5.1796875" style="141" customWidth="1"/>
    <col min="14613" max="14613" width="4.54296875" style="141" customWidth="1"/>
    <col min="14614" max="14818" width="9.1796875" style="141"/>
    <col min="14819" max="14819" width="12.81640625" style="141" customWidth="1"/>
    <col min="14820" max="14820" width="1" style="141" customWidth="1"/>
    <col min="14821" max="14822" width="12.81640625" style="141" customWidth="1"/>
    <col min="14823" max="14823" width="8.81640625" style="141" customWidth="1"/>
    <col min="14824" max="14825" width="12.81640625" style="141" customWidth="1"/>
    <col min="14826" max="14826" width="8.81640625" style="141" customWidth="1"/>
    <col min="14827" max="14828" width="12.81640625" style="141" customWidth="1"/>
    <col min="14829" max="14829" width="8.81640625" style="141" customWidth="1"/>
    <col min="14830" max="14831" width="12.81640625" style="141" customWidth="1"/>
    <col min="14832" max="14832" width="8.81640625" style="141" customWidth="1"/>
    <col min="14833" max="14834" width="12.81640625" style="141" customWidth="1"/>
    <col min="14835" max="14835" width="8.81640625" style="141" customWidth="1"/>
    <col min="14836" max="14837" width="12.81640625" style="141" customWidth="1"/>
    <col min="14838" max="14838" width="8.81640625" style="141" customWidth="1"/>
    <col min="14839" max="14840" width="12.81640625" style="141" customWidth="1"/>
    <col min="14841" max="14841" width="8.81640625" style="141" customWidth="1"/>
    <col min="14842" max="14842" width="3.81640625" style="141" customWidth="1"/>
    <col min="14843" max="14843" width="3.1796875" style="141" customWidth="1"/>
    <col min="14844" max="14844" width="9.1796875" style="141"/>
    <col min="14845" max="14845" width="12.1796875" style="141" customWidth="1"/>
    <col min="14846" max="14846" width="1.1796875" style="141" customWidth="1"/>
    <col min="14847" max="14848" width="12.81640625" style="141" customWidth="1"/>
    <col min="14849" max="14849" width="8.81640625" style="141" customWidth="1"/>
    <col min="14850" max="14851" width="12.81640625" style="141" customWidth="1"/>
    <col min="14852" max="14852" width="8.81640625" style="141" customWidth="1"/>
    <col min="14853" max="14854" width="12.81640625" style="141" customWidth="1"/>
    <col min="14855" max="14855" width="8.81640625" style="141" customWidth="1"/>
    <col min="14856" max="14857" width="12.81640625" style="141" customWidth="1"/>
    <col min="14858" max="14858" width="8.81640625" style="141" customWidth="1"/>
    <col min="14859" max="14860" width="12.81640625" style="141" customWidth="1"/>
    <col min="14861" max="14861" width="8.81640625" style="141" customWidth="1"/>
    <col min="14862" max="14862" width="14" style="141" bestFit="1" customWidth="1"/>
    <col min="14863" max="14863" width="12.81640625" style="141" customWidth="1"/>
    <col min="14864" max="14864" width="8.81640625" style="141" customWidth="1"/>
    <col min="14865" max="14866" width="12.81640625" style="141" customWidth="1"/>
    <col min="14867" max="14867" width="8.81640625" style="141" customWidth="1"/>
    <col min="14868" max="14868" width="5.1796875" style="141" customWidth="1"/>
    <col min="14869" max="14869" width="4.54296875" style="141" customWidth="1"/>
    <col min="14870" max="15074" width="9.1796875" style="141"/>
    <col min="15075" max="15075" width="12.81640625" style="141" customWidth="1"/>
    <col min="15076" max="15076" width="1" style="141" customWidth="1"/>
    <col min="15077" max="15078" width="12.81640625" style="141" customWidth="1"/>
    <col min="15079" max="15079" width="8.81640625" style="141" customWidth="1"/>
    <col min="15080" max="15081" width="12.81640625" style="141" customWidth="1"/>
    <col min="15082" max="15082" width="8.81640625" style="141" customWidth="1"/>
    <col min="15083" max="15084" width="12.81640625" style="141" customWidth="1"/>
    <col min="15085" max="15085" width="8.81640625" style="141" customWidth="1"/>
    <col min="15086" max="15087" width="12.81640625" style="141" customWidth="1"/>
    <col min="15088" max="15088" width="8.81640625" style="141" customWidth="1"/>
    <col min="15089" max="15090" width="12.81640625" style="141" customWidth="1"/>
    <col min="15091" max="15091" width="8.81640625" style="141" customWidth="1"/>
    <col min="15092" max="15093" width="12.81640625" style="141" customWidth="1"/>
    <col min="15094" max="15094" width="8.81640625" style="141" customWidth="1"/>
    <col min="15095" max="15096" width="12.81640625" style="141" customWidth="1"/>
    <col min="15097" max="15097" width="8.81640625" style="141" customWidth="1"/>
    <col min="15098" max="15098" width="3.81640625" style="141" customWidth="1"/>
    <col min="15099" max="15099" width="3.1796875" style="141" customWidth="1"/>
    <col min="15100" max="15100" width="9.1796875" style="141"/>
    <col min="15101" max="15101" width="12.1796875" style="141" customWidth="1"/>
    <col min="15102" max="15102" width="1.1796875" style="141" customWidth="1"/>
    <col min="15103" max="15104" width="12.81640625" style="141" customWidth="1"/>
    <col min="15105" max="15105" width="8.81640625" style="141" customWidth="1"/>
    <col min="15106" max="15107" width="12.81640625" style="141" customWidth="1"/>
    <col min="15108" max="15108" width="8.81640625" style="141" customWidth="1"/>
    <col min="15109" max="15110" width="12.81640625" style="141" customWidth="1"/>
    <col min="15111" max="15111" width="8.81640625" style="141" customWidth="1"/>
    <col min="15112" max="15113" width="12.81640625" style="141" customWidth="1"/>
    <col min="15114" max="15114" width="8.81640625" style="141" customWidth="1"/>
    <col min="15115" max="15116" width="12.81640625" style="141" customWidth="1"/>
    <col min="15117" max="15117" width="8.81640625" style="141" customWidth="1"/>
    <col min="15118" max="15118" width="14" style="141" bestFit="1" customWidth="1"/>
    <col min="15119" max="15119" width="12.81640625" style="141" customWidth="1"/>
    <col min="15120" max="15120" width="8.81640625" style="141" customWidth="1"/>
    <col min="15121" max="15122" width="12.81640625" style="141" customWidth="1"/>
    <col min="15123" max="15123" width="8.81640625" style="141" customWidth="1"/>
    <col min="15124" max="15124" width="5.1796875" style="141" customWidth="1"/>
    <col min="15125" max="15125" width="4.54296875" style="141" customWidth="1"/>
    <col min="15126" max="15330" width="9.1796875" style="141"/>
    <col min="15331" max="15331" width="12.81640625" style="141" customWidth="1"/>
    <col min="15332" max="15332" width="1" style="141" customWidth="1"/>
    <col min="15333" max="15334" width="12.81640625" style="141" customWidth="1"/>
    <col min="15335" max="15335" width="8.81640625" style="141" customWidth="1"/>
    <col min="15336" max="15337" width="12.81640625" style="141" customWidth="1"/>
    <col min="15338" max="15338" width="8.81640625" style="141" customWidth="1"/>
    <col min="15339" max="15340" width="12.81640625" style="141" customWidth="1"/>
    <col min="15341" max="15341" width="8.81640625" style="141" customWidth="1"/>
    <col min="15342" max="15343" width="12.81640625" style="141" customWidth="1"/>
    <col min="15344" max="15344" width="8.81640625" style="141" customWidth="1"/>
    <col min="15345" max="15346" width="12.81640625" style="141" customWidth="1"/>
    <col min="15347" max="15347" width="8.81640625" style="141" customWidth="1"/>
    <col min="15348" max="15349" width="12.81640625" style="141" customWidth="1"/>
    <col min="15350" max="15350" width="8.81640625" style="141" customWidth="1"/>
    <col min="15351" max="15352" width="12.81640625" style="141" customWidth="1"/>
    <col min="15353" max="15353" width="8.81640625" style="141" customWidth="1"/>
    <col min="15354" max="15354" width="3.81640625" style="141" customWidth="1"/>
    <col min="15355" max="15355" width="3.1796875" style="141" customWidth="1"/>
    <col min="15356" max="15356" width="9.1796875" style="141"/>
    <col min="15357" max="15357" width="12.1796875" style="141" customWidth="1"/>
    <col min="15358" max="15358" width="1.1796875" style="141" customWidth="1"/>
    <col min="15359" max="15360" width="12.81640625" style="141" customWidth="1"/>
    <col min="15361" max="15361" width="8.81640625" style="141" customWidth="1"/>
    <col min="15362" max="15363" width="12.81640625" style="141" customWidth="1"/>
    <col min="15364" max="15364" width="8.81640625" style="141" customWidth="1"/>
    <col min="15365" max="15366" width="12.81640625" style="141" customWidth="1"/>
    <col min="15367" max="15367" width="8.81640625" style="141" customWidth="1"/>
    <col min="15368" max="15369" width="12.81640625" style="141" customWidth="1"/>
    <col min="15370" max="15370" width="8.81640625" style="141" customWidth="1"/>
    <col min="15371" max="15372" width="12.81640625" style="141" customWidth="1"/>
    <col min="15373" max="15373" width="8.81640625" style="141" customWidth="1"/>
    <col min="15374" max="15374" width="14" style="141" bestFit="1" customWidth="1"/>
    <col min="15375" max="15375" width="12.81640625" style="141" customWidth="1"/>
    <col min="15376" max="15376" width="8.81640625" style="141" customWidth="1"/>
    <col min="15377" max="15378" width="12.81640625" style="141" customWidth="1"/>
    <col min="15379" max="15379" width="8.81640625" style="141" customWidth="1"/>
    <col min="15380" max="15380" width="5.1796875" style="141" customWidth="1"/>
    <col min="15381" max="15381" width="4.54296875" style="141" customWidth="1"/>
    <col min="15382" max="15586" width="9.1796875" style="141"/>
    <col min="15587" max="15587" width="12.81640625" style="141" customWidth="1"/>
    <col min="15588" max="15588" width="1" style="141" customWidth="1"/>
    <col min="15589" max="15590" width="12.81640625" style="141" customWidth="1"/>
    <col min="15591" max="15591" width="8.81640625" style="141" customWidth="1"/>
    <col min="15592" max="15593" width="12.81640625" style="141" customWidth="1"/>
    <col min="15594" max="15594" width="8.81640625" style="141" customWidth="1"/>
    <col min="15595" max="15596" width="12.81640625" style="141" customWidth="1"/>
    <col min="15597" max="15597" width="8.81640625" style="141" customWidth="1"/>
    <col min="15598" max="15599" width="12.81640625" style="141" customWidth="1"/>
    <col min="15600" max="15600" width="8.81640625" style="141" customWidth="1"/>
    <col min="15601" max="15602" width="12.81640625" style="141" customWidth="1"/>
    <col min="15603" max="15603" width="8.81640625" style="141" customWidth="1"/>
    <col min="15604" max="15605" width="12.81640625" style="141" customWidth="1"/>
    <col min="15606" max="15606" width="8.81640625" style="141" customWidth="1"/>
    <col min="15607" max="15608" width="12.81640625" style="141" customWidth="1"/>
    <col min="15609" max="15609" width="8.81640625" style="141" customWidth="1"/>
    <col min="15610" max="15610" width="3.81640625" style="141" customWidth="1"/>
    <col min="15611" max="15611" width="3.1796875" style="141" customWidth="1"/>
    <col min="15612" max="15612" width="9.1796875" style="141"/>
    <col min="15613" max="15613" width="12.1796875" style="141" customWidth="1"/>
    <col min="15614" max="15614" width="1.1796875" style="141" customWidth="1"/>
    <col min="15615" max="15616" width="12.81640625" style="141" customWidth="1"/>
    <col min="15617" max="15617" width="8.81640625" style="141" customWidth="1"/>
    <col min="15618" max="15619" width="12.81640625" style="141" customWidth="1"/>
    <col min="15620" max="15620" width="8.81640625" style="141" customWidth="1"/>
    <col min="15621" max="15622" width="12.81640625" style="141" customWidth="1"/>
    <col min="15623" max="15623" width="8.81640625" style="141" customWidth="1"/>
    <col min="15624" max="15625" width="12.81640625" style="141" customWidth="1"/>
    <col min="15626" max="15626" width="8.81640625" style="141" customWidth="1"/>
    <col min="15627" max="15628" width="12.81640625" style="141" customWidth="1"/>
    <col min="15629" max="15629" width="8.81640625" style="141" customWidth="1"/>
    <col min="15630" max="15630" width="14" style="141" bestFit="1" customWidth="1"/>
    <col min="15631" max="15631" width="12.81640625" style="141" customWidth="1"/>
    <col min="15632" max="15632" width="8.81640625" style="141" customWidth="1"/>
    <col min="15633" max="15634" width="12.81640625" style="141" customWidth="1"/>
    <col min="15635" max="15635" width="8.81640625" style="141" customWidth="1"/>
    <col min="15636" max="15636" width="5.1796875" style="141" customWidth="1"/>
    <col min="15637" max="15637" width="4.54296875" style="141" customWidth="1"/>
    <col min="15638" max="15842" width="9.1796875" style="141"/>
    <col min="15843" max="15843" width="12.81640625" style="141" customWidth="1"/>
    <col min="15844" max="15844" width="1" style="141" customWidth="1"/>
    <col min="15845" max="15846" width="12.81640625" style="141" customWidth="1"/>
    <col min="15847" max="15847" width="8.81640625" style="141" customWidth="1"/>
    <col min="15848" max="15849" width="12.81640625" style="141" customWidth="1"/>
    <col min="15850" max="15850" width="8.81640625" style="141" customWidth="1"/>
    <col min="15851" max="15852" width="12.81640625" style="141" customWidth="1"/>
    <col min="15853" max="15853" width="8.81640625" style="141" customWidth="1"/>
    <col min="15854" max="15855" width="12.81640625" style="141" customWidth="1"/>
    <col min="15856" max="15856" width="8.81640625" style="141" customWidth="1"/>
    <col min="15857" max="15858" width="12.81640625" style="141" customWidth="1"/>
    <col min="15859" max="15859" width="8.81640625" style="141" customWidth="1"/>
    <col min="15860" max="15861" width="12.81640625" style="141" customWidth="1"/>
    <col min="15862" max="15862" width="8.81640625" style="141" customWidth="1"/>
    <col min="15863" max="15864" width="12.81640625" style="141" customWidth="1"/>
    <col min="15865" max="15865" width="8.81640625" style="141" customWidth="1"/>
    <col min="15866" max="15866" width="3.81640625" style="141" customWidth="1"/>
    <col min="15867" max="15867" width="3.1796875" style="141" customWidth="1"/>
    <col min="15868" max="15868" width="9.1796875" style="141"/>
    <col min="15869" max="15869" width="12.1796875" style="141" customWidth="1"/>
    <col min="15870" max="15870" width="1.1796875" style="141" customWidth="1"/>
    <col min="15871" max="15872" width="12.81640625" style="141" customWidth="1"/>
    <col min="15873" max="15873" width="8.81640625" style="141" customWidth="1"/>
    <col min="15874" max="15875" width="12.81640625" style="141" customWidth="1"/>
    <col min="15876" max="15876" width="8.81640625" style="141" customWidth="1"/>
    <col min="15877" max="15878" width="12.81640625" style="141" customWidth="1"/>
    <col min="15879" max="15879" width="8.81640625" style="141" customWidth="1"/>
    <col min="15880" max="15881" width="12.81640625" style="141" customWidth="1"/>
    <col min="15882" max="15882" width="8.81640625" style="141" customWidth="1"/>
    <col min="15883" max="15884" width="12.81640625" style="141" customWidth="1"/>
    <col min="15885" max="15885" width="8.81640625" style="141" customWidth="1"/>
    <col min="15886" max="15886" width="14" style="141" bestFit="1" customWidth="1"/>
    <col min="15887" max="15887" width="12.81640625" style="141" customWidth="1"/>
    <col min="15888" max="15888" width="8.81640625" style="141" customWidth="1"/>
    <col min="15889" max="15890" width="12.81640625" style="141" customWidth="1"/>
    <col min="15891" max="15891" width="8.81640625" style="141" customWidth="1"/>
    <col min="15892" max="15892" width="5.1796875" style="141" customWidth="1"/>
    <col min="15893" max="15893" width="4.54296875" style="141" customWidth="1"/>
    <col min="15894" max="16098" width="9.1796875" style="141"/>
    <col min="16099" max="16099" width="12.81640625" style="141" customWidth="1"/>
    <col min="16100" max="16100" width="1" style="141" customWidth="1"/>
    <col min="16101" max="16102" width="12.81640625" style="141" customWidth="1"/>
    <col min="16103" max="16103" width="8.81640625" style="141" customWidth="1"/>
    <col min="16104" max="16105" width="12.81640625" style="141" customWidth="1"/>
    <col min="16106" max="16106" width="8.81640625" style="141" customWidth="1"/>
    <col min="16107" max="16108" width="12.81640625" style="141" customWidth="1"/>
    <col min="16109" max="16109" width="8.81640625" style="141" customWidth="1"/>
    <col min="16110" max="16111" width="12.81640625" style="141" customWidth="1"/>
    <col min="16112" max="16112" width="8.81640625" style="141" customWidth="1"/>
    <col min="16113" max="16114" width="12.81640625" style="141" customWidth="1"/>
    <col min="16115" max="16115" width="8.81640625" style="141" customWidth="1"/>
    <col min="16116" max="16117" width="12.81640625" style="141" customWidth="1"/>
    <col min="16118" max="16118" width="8.81640625" style="141" customWidth="1"/>
    <col min="16119" max="16120" width="12.81640625" style="141" customWidth="1"/>
    <col min="16121" max="16121" width="8.81640625" style="141" customWidth="1"/>
    <col min="16122" max="16122" width="3.81640625" style="141" customWidth="1"/>
    <col min="16123" max="16123" width="3.1796875" style="141" customWidth="1"/>
    <col min="16124" max="16124" width="9.1796875" style="141"/>
    <col min="16125" max="16125" width="12.1796875" style="141" customWidth="1"/>
    <col min="16126" max="16126" width="1.1796875" style="141" customWidth="1"/>
    <col min="16127" max="16128" width="12.81640625" style="141" customWidth="1"/>
    <col min="16129" max="16129" width="8.81640625" style="141" customWidth="1"/>
    <col min="16130" max="16131" width="12.81640625" style="141" customWidth="1"/>
    <col min="16132" max="16132" width="8.81640625" style="141" customWidth="1"/>
    <col min="16133" max="16134" width="12.81640625" style="141" customWidth="1"/>
    <col min="16135" max="16135" width="8.81640625" style="141" customWidth="1"/>
    <col min="16136" max="16137" width="12.81640625" style="141" customWidth="1"/>
    <col min="16138" max="16138" width="8.81640625" style="141" customWidth="1"/>
    <col min="16139" max="16140" width="12.81640625" style="141" customWidth="1"/>
    <col min="16141" max="16141" width="8.81640625" style="141" customWidth="1"/>
    <col min="16142" max="16142" width="14" style="141" bestFit="1" customWidth="1"/>
    <col min="16143" max="16143" width="12.81640625" style="141" customWidth="1"/>
    <col min="16144" max="16144" width="8.81640625" style="141" customWidth="1"/>
    <col min="16145" max="16146" width="12.81640625" style="141" customWidth="1"/>
    <col min="16147" max="16147" width="8.81640625" style="141" customWidth="1"/>
    <col min="16148" max="16148" width="5.1796875" style="141" customWidth="1"/>
    <col min="16149" max="16149" width="4.54296875" style="141" customWidth="1"/>
    <col min="16150" max="16384" width="9.1796875" style="141"/>
  </cols>
  <sheetData>
    <row r="1" spans="1:67" s="85" customFormat="1" ht="24.9" customHeight="1" thickBot="1" x14ac:dyDescent="0.4"/>
    <row r="2" spans="1:67" s="90" customFormat="1" ht="63.15" customHeight="1" thickBot="1" x14ac:dyDescent="0.4">
      <c r="A2" s="86"/>
      <c r="B2" s="87"/>
      <c r="C2" s="200" t="s">
        <v>71</v>
      </c>
      <c r="D2" s="200"/>
      <c r="E2" s="200"/>
      <c r="F2" s="200"/>
      <c r="G2" s="200"/>
      <c r="H2" s="200"/>
      <c r="I2" s="88"/>
      <c r="J2" s="88"/>
      <c r="K2" s="89"/>
      <c r="L2" s="86"/>
      <c r="M2" s="87"/>
      <c r="N2" s="200" t="s">
        <v>71</v>
      </c>
      <c r="O2" s="200"/>
      <c r="P2" s="200"/>
      <c r="Q2" s="200"/>
      <c r="R2" s="200"/>
      <c r="S2" s="200"/>
      <c r="T2" s="88"/>
      <c r="U2" s="88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</row>
    <row r="3" spans="1:67" s="97" customFormat="1" ht="35.25" customHeight="1" thickBot="1" x14ac:dyDescent="0.4">
      <c r="A3" s="91" t="s">
        <v>51</v>
      </c>
      <c r="B3" s="92"/>
      <c r="C3" s="3" t="s">
        <v>69</v>
      </c>
      <c r="D3" s="4" t="s">
        <v>70</v>
      </c>
      <c r="E3" s="3" t="s">
        <v>3</v>
      </c>
      <c r="F3" s="4" t="s">
        <v>4</v>
      </c>
      <c r="G3" s="1" t="s">
        <v>1</v>
      </c>
      <c r="H3" s="2" t="s">
        <v>2</v>
      </c>
      <c r="I3" s="95"/>
      <c r="J3" s="95"/>
      <c r="K3" s="96"/>
      <c r="L3" s="91" t="s">
        <v>51</v>
      </c>
      <c r="M3" s="92"/>
      <c r="N3" s="3" t="s">
        <v>69</v>
      </c>
      <c r="O3" s="4" t="s">
        <v>70</v>
      </c>
      <c r="P3" s="3" t="s">
        <v>54</v>
      </c>
      <c r="Q3" s="4" t="s">
        <v>56</v>
      </c>
      <c r="R3" s="1" t="s">
        <v>55</v>
      </c>
      <c r="S3" s="2" t="s">
        <v>57</v>
      </c>
      <c r="T3" s="95"/>
      <c r="U3" s="95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</row>
    <row r="4" spans="1:67" s="107" customFormat="1" ht="14.25" customHeight="1" x14ac:dyDescent="0.35">
      <c r="A4" s="98">
        <v>44920</v>
      </c>
      <c r="B4" s="99"/>
      <c r="C4" s="142"/>
      <c r="D4" s="143"/>
      <c r="E4" s="144"/>
      <c r="F4" s="145"/>
      <c r="G4" s="145"/>
      <c r="H4" s="145"/>
      <c r="I4" s="103"/>
      <c r="J4" s="103"/>
      <c r="K4" s="104"/>
      <c r="L4" s="98">
        <f>A4</f>
        <v>44920</v>
      </c>
      <c r="M4" s="99"/>
      <c r="N4" s="142"/>
      <c r="O4" s="143"/>
      <c r="P4" s="146"/>
      <c r="Q4" s="147"/>
      <c r="R4" s="147"/>
      <c r="S4" s="147"/>
      <c r="T4" s="103"/>
      <c r="U4" s="103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</row>
    <row r="5" spans="1:67" s="107" customFormat="1" ht="14.25" customHeight="1" x14ac:dyDescent="0.35">
      <c r="A5" s="108">
        <v>44921</v>
      </c>
      <c r="B5" s="99"/>
      <c r="C5" s="142"/>
      <c r="D5" s="143"/>
      <c r="E5" s="144"/>
      <c r="F5" s="145"/>
      <c r="G5" s="145"/>
      <c r="H5" s="145"/>
      <c r="I5" s="103"/>
      <c r="J5" s="103"/>
      <c r="K5" s="104"/>
      <c r="L5" s="108">
        <f>A5</f>
        <v>44921</v>
      </c>
      <c r="M5" s="99"/>
      <c r="N5" s="142"/>
      <c r="O5" s="143"/>
      <c r="P5" s="146"/>
      <c r="Q5" s="147"/>
      <c r="R5" s="147"/>
      <c r="S5" s="147"/>
      <c r="T5" s="103"/>
      <c r="U5" s="103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</row>
    <row r="6" spans="1:67" s="107" customFormat="1" ht="14.25" customHeight="1" x14ac:dyDescent="0.35">
      <c r="A6" s="108">
        <v>44922</v>
      </c>
      <c r="B6" s="99"/>
      <c r="C6" s="142"/>
      <c r="D6" s="143"/>
      <c r="E6" s="144"/>
      <c r="F6" s="145"/>
      <c r="G6" s="145"/>
      <c r="H6" s="145"/>
      <c r="I6" s="103"/>
      <c r="J6" s="103"/>
      <c r="K6" s="104"/>
      <c r="L6" s="108">
        <f t="shared" ref="L6:L34" si="0">A6</f>
        <v>44922</v>
      </c>
      <c r="M6" s="99"/>
      <c r="N6" s="142"/>
      <c r="O6" s="143"/>
      <c r="P6" s="146"/>
      <c r="Q6" s="147"/>
      <c r="R6" s="147"/>
      <c r="S6" s="147"/>
      <c r="T6" s="103"/>
      <c r="U6" s="103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</row>
    <row r="7" spans="1:67" s="107" customFormat="1" ht="14.25" customHeight="1" x14ac:dyDescent="0.35">
      <c r="A7" s="108">
        <v>44923</v>
      </c>
      <c r="B7" s="99"/>
      <c r="C7" s="142"/>
      <c r="D7" s="143"/>
      <c r="E7" s="144"/>
      <c r="F7" s="145"/>
      <c r="G7" s="145"/>
      <c r="H7" s="145"/>
      <c r="I7" s="103"/>
      <c r="J7" s="103"/>
      <c r="K7" s="104"/>
      <c r="L7" s="108">
        <f t="shared" si="0"/>
        <v>44923</v>
      </c>
      <c r="M7" s="99"/>
      <c r="N7" s="142"/>
      <c r="O7" s="143"/>
      <c r="P7" s="146"/>
      <c r="Q7" s="147"/>
      <c r="R7" s="147"/>
      <c r="S7" s="147"/>
      <c r="T7" s="103"/>
      <c r="U7" s="103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</row>
    <row r="8" spans="1:67" s="107" customFormat="1" ht="14.25" customHeight="1" x14ac:dyDescent="0.35">
      <c r="A8" s="108">
        <v>44924</v>
      </c>
      <c r="B8" s="99"/>
      <c r="C8" s="142"/>
      <c r="D8" s="143"/>
      <c r="E8" s="144"/>
      <c r="F8" s="145"/>
      <c r="G8" s="145"/>
      <c r="H8" s="145"/>
      <c r="I8" s="103"/>
      <c r="J8" s="103"/>
      <c r="K8" s="104"/>
      <c r="L8" s="108">
        <f t="shared" si="0"/>
        <v>44924</v>
      </c>
      <c r="M8" s="99"/>
      <c r="N8" s="142"/>
      <c r="O8" s="143"/>
      <c r="P8" s="146"/>
      <c r="Q8" s="147"/>
      <c r="R8" s="147"/>
      <c r="S8" s="147"/>
      <c r="T8" s="103"/>
      <c r="U8" s="103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</row>
    <row r="9" spans="1:67" s="107" customFormat="1" ht="14.25" customHeight="1" x14ac:dyDescent="0.35">
      <c r="A9" s="108">
        <v>44925</v>
      </c>
      <c r="B9" s="99"/>
      <c r="C9" s="142"/>
      <c r="D9" s="143"/>
      <c r="E9" s="144"/>
      <c r="F9" s="145"/>
      <c r="G9" s="145"/>
      <c r="H9" s="145"/>
      <c r="I9" s="103"/>
      <c r="J9" s="103"/>
      <c r="K9" s="104"/>
      <c r="L9" s="108">
        <f t="shared" si="0"/>
        <v>44925</v>
      </c>
      <c r="M9" s="99"/>
      <c r="N9" s="142"/>
      <c r="O9" s="143"/>
      <c r="P9" s="146"/>
      <c r="Q9" s="147"/>
      <c r="R9" s="147"/>
      <c r="S9" s="147"/>
      <c r="T9" s="103"/>
      <c r="U9" s="103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</row>
    <row r="10" spans="1:67" s="107" customFormat="1" ht="14.25" customHeight="1" x14ac:dyDescent="0.35">
      <c r="A10" s="108">
        <v>44926</v>
      </c>
      <c r="B10" s="99"/>
      <c r="C10" s="142"/>
      <c r="D10" s="143"/>
      <c r="E10" s="144"/>
      <c r="F10" s="145"/>
      <c r="G10" s="145"/>
      <c r="H10" s="145"/>
      <c r="I10" s="103"/>
      <c r="J10" s="103"/>
      <c r="K10" s="104"/>
      <c r="L10" s="108">
        <f t="shared" si="0"/>
        <v>44926</v>
      </c>
      <c r="M10" s="99"/>
      <c r="N10" s="142"/>
      <c r="O10" s="143"/>
      <c r="P10" s="146"/>
      <c r="Q10" s="147"/>
      <c r="R10" s="147"/>
      <c r="S10" s="147"/>
      <c r="T10" s="103"/>
      <c r="U10" s="103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</row>
    <row r="11" spans="1:67" s="107" customFormat="1" ht="14.25" customHeight="1" x14ac:dyDescent="0.35">
      <c r="A11" s="108">
        <v>44927</v>
      </c>
      <c r="B11" s="99"/>
      <c r="C11" s="142"/>
      <c r="D11" s="143"/>
      <c r="E11" s="144"/>
      <c r="F11" s="145"/>
      <c r="G11" s="145"/>
      <c r="H11" s="145"/>
      <c r="I11" s="103"/>
      <c r="J11" s="103"/>
      <c r="K11" s="104"/>
      <c r="L11" s="108">
        <f t="shared" si="0"/>
        <v>44927</v>
      </c>
      <c r="M11" s="99"/>
      <c r="N11" s="142"/>
      <c r="O11" s="143"/>
      <c r="P11" s="146"/>
      <c r="Q11" s="147"/>
      <c r="R11" s="147"/>
      <c r="S11" s="147"/>
      <c r="T11" s="103"/>
      <c r="U11" s="103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</row>
    <row r="12" spans="1:67" s="107" customFormat="1" ht="14.25" customHeight="1" x14ac:dyDescent="0.35">
      <c r="A12" s="108">
        <v>44928</v>
      </c>
      <c r="B12" s="99"/>
      <c r="C12" s="142"/>
      <c r="D12" s="143"/>
      <c r="E12" s="144"/>
      <c r="F12" s="145"/>
      <c r="G12" s="145"/>
      <c r="H12" s="145"/>
      <c r="I12" s="103"/>
      <c r="J12" s="103"/>
      <c r="K12" s="104"/>
      <c r="L12" s="108">
        <f t="shared" si="0"/>
        <v>44928</v>
      </c>
      <c r="M12" s="99"/>
      <c r="N12" s="142"/>
      <c r="O12" s="143"/>
      <c r="P12" s="146"/>
      <c r="Q12" s="147"/>
      <c r="R12" s="147"/>
      <c r="S12" s="147"/>
      <c r="T12" s="103"/>
      <c r="U12" s="103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</row>
    <row r="13" spans="1:67" s="107" customFormat="1" ht="14.25" customHeight="1" x14ac:dyDescent="0.35">
      <c r="A13" s="108">
        <v>44929</v>
      </c>
      <c r="B13" s="99"/>
      <c r="C13" s="142"/>
      <c r="D13" s="143"/>
      <c r="E13" s="144"/>
      <c r="F13" s="145"/>
      <c r="G13" s="145"/>
      <c r="H13" s="145"/>
      <c r="I13" s="103"/>
      <c r="J13" s="103"/>
      <c r="K13" s="104"/>
      <c r="L13" s="108">
        <f t="shared" si="0"/>
        <v>44929</v>
      </c>
      <c r="M13" s="99"/>
      <c r="N13" s="142"/>
      <c r="O13" s="143"/>
      <c r="P13" s="146"/>
      <c r="Q13" s="147"/>
      <c r="R13" s="147"/>
      <c r="S13" s="147"/>
      <c r="T13" s="103"/>
      <c r="U13" s="103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</row>
    <row r="14" spans="1:67" s="107" customFormat="1" ht="14.25" customHeight="1" x14ac:dyDescent="0.35">
      <c r="A14" s="108">
        <v>44930</v>
      </c>
      <c r="B14" s="99"/>
      <c r="C14" s="142"/>
      <c r="D14" s="143"/>
      <c r="E14" s="144"/>
      <c r="F14" s="145"/>
      <c r="G14" s="145"/>
      <c r="H14" s="145"/>
      <c r="I14" s="103"/>
      <c r="J14" s="103"/>
      <c r="K14" s="104"/>
      <c r="L14" s="108">
        <f t="shared" si="0"/>
        <v>44930</v>
      </c>
      <c r="M14" s="99"/>
      <c r="N14" s="142"/>
      <c r="O14" s="143"/>
      <c r="P14" s="146"/>
      <c r="Q14" s="147"/>
      <c r="R14" s="147"/>
      <c r="S14" s="147"/>
      <c r="T14" s="103"/>
      <c r="U14" s="103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</row>
    <row r="15" spans="1:67" s="107" customFormat="1" ht="14.25" customHeight="1" x14ac:dyDescent="0.35">
      <c r="A15" s="108">
        <v>44931</v>
      </c>
      <c r="B15" s="99"/>
      <c r="C15" s="142"/>
      <c r="D15" s="143"/>
      <c r="E15" s="144"/>
      <c r="F15" s="145"/>
      <c r="G15" s="145"/>
      <c r="H15" s="145"/>
      <c r="I15" s="103"/>
      <c r="J15" s="103"/>
      <c r="K15" s="104"/>
      <c r="L15" s="108">
        <f t="shared" si="0"/>
        <v>44931</v>
      </c>
      <c r="M15" s="99"/>
      <c r="N15" s="142"/>
      <c r="O15" s="143"/>
      <c r="P15" s="146"/>
      <c r="Q15" s="147"/>
      <c r="R15" s="147"/>
      <c r="S15" s="147"/>
      <c r="T15" s="103"/>
      <c r="U15" s="103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</row>
    <row r="16" spans="1:67" s="107" customFormat="1" ht="14.25" customHeight="1" x14ac:dyDescent="0.35">
      <c r="A16" s="108">
        <v>44932</v>
      </c>
      <c r="B16" s="99"/>
      <c r="C16" s="142"/>
      <c r="D16" s="143"/>
      <c r="E16" s="144"/>
      <c r="F16" s="145"/>
      <c r="G16" s="145"/>
      <c r="H16" s="145"/>
      <c r="I16" s="103"/>
      <c r="J16" s="103"/>
      <c r="K16" s="104"/>
      <c r="L16" s="108">
        <f t="shared" si="0"/>
        <v>44932</v>
      </c>
      <c r="M16" s="99"/>
      <c r="N16" s="142"/>
      <c r="O16" s="143"/>
      <c r="P16" s="146"/>
      <c r="Q16" s="147"/>
      <c r="R16" s="147"/>
      <c r="S16" s="147"/>
      <c r="T16" s="103"/>
      <c r="U16" s="103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</row>
    <row r="17" spans="1:67" s="107" customFormat="1" ht="14.25" customHeight="1" x14ac:dyDescent="0.35">
      <c r="A17" s="108">
        <v>44933</v>
      </c>
      <c r="B17" s="99"/>
      <c r="C17" s="142"/>
      <c r="D17" s="143"/>
      <c r="E17" s="144"/>
      <c r="F17" s="145"/>
      <c r="G17" s="145"/>
      <c r="H17" s="145"/>
      <c r="I17" s="103"/>
      <c r="J17" s="103"/>
      <c r="K17" s="104"/>
      <c r="L17" s="108">
        <f t="shared" si="0"/>
        <v>44933</v>
      </c>
      <c r="M17" s="99"/>
      <c r="N17" s="142"/>
      <c r="O17" s="143"/>
      <c r="P17" s="146"/>
      <c r="Q17" s="147"/>
      <c r="R17" s="147"/>
      <c r="S17" s="147"/>
      <c r="T17" s="103"/>
      <c r="U17" s="103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</row>
    <row r="18" spans="1:67" s="107" customFormat="1" ht="14.25" customHeight="1" x14ac:dyDescent="0.35">
      <c r="A18" s="108">
        <v>44934</v>
      </c>
      <c r="B18" s="99"/>
      <c r="C18" s="142"/>
      <c r="D18" s="143"/>
      <c r="E18" s="144"/>
      <c r="F18" s="145"/>
      <c r="G18" s="145"/>
      <c r="H18" s="145"/>
      <c r="I18" s="103"/>
      <c r="J18" s="103"/>
      <c r="K18" s="104"/>
      <c r="L18" s="108">
        <f t="shared" si="0"/>
        <v>44934</v>
      </c>
      <c r="M18" s="99"/>
      <c r="N18" s="142"/>
      <c r="O18" s="143"/>
      <c r="P18" s="146"/>
      <c r="Q18" s="147"/>
      <c r="R18" s="147"/>
      <c r="S18" s="147"/>
      <c r="T18" s="103"/>
      <c r="U18" s="103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</row>
    <row r="19" spans="1:67" s="107" customFormat="1" ht="14.25" customHeight="1" x14ac:dyDescent="0.35">
      <c r="A19" s="108">
        <v>44935</v>
      </c>
      <c r="B19" s="99"/>
      <c r="C19" s="142"/>
      <c r="D19" s="143"/>
      <c r="E19" s="144"/>
      <c r="F19" s="145"/>
      <c r="G19" s="145"/>
      <c r="H19" s="145"/>
      <c r="I19" s="103"/>
      <c r="J19" s="103"/>
      <c r="K19" s="104"/>
      <c r="L19" s="108">
        <f t="shared" si="0"/>
        <v>44935</v>
      </c>
      <c r="M19" s="99"/>
      <c r="N19" s="142"/>
      <c r="O19" s="143"/>
      <c r="P19" s="146"/>
      <c r="Q19" s="147"/>
      <c r="R19" s="147"/>
      <c r="S19" s="147"/>
      <c r="T19" s="103"/>
      <c r="U19" s="103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</row>
    <row r="20" spans="1:67" s="107" customFormat="1" ht="14.25" customHeight="1" x14ac:dyDescent="0.35">
      <c r="A20" s="108">
        <v>44936</v>
      </c>
      <c r="B20" s="99"/>
      <c r="C20" s="142"/>
      <c r="D20" s="143"/>
      <c r="E20" s="144"/>
      <c r="F20" s="145"/>
      <c r="G20" s="145"/>
      <c r="H20" s="145"/>
      <c r="I20" s="103"/>
      <c r="J20" s="103"/>
      <c r="K20" s="104"/>
      <c r="L20" s="108">
        <f t="shared" si="0"/>
        <v>44936</v>
      </c>
      <c r="M20" s="99"/>
      <c r="N20" s="142"/>
      <c r="O20" s="143"/>
      <c r="P20" s="146"/>
      <c r="Q20" s="147"/>
      <c r="R20" s="147"/>
      <c r="S20" s="147"/>
      <c r="T20" s="103"/>
      <c r="U20" s="103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</row>
    <row r="21" spans="1:67" s="107" customFormat="1" ht="14.25" customHeight="1" x14ac:dyDescent="0.35">
      <c r="A21" s="108">
        <v>44937</v>
      </c>
      <c r="B21" s="99"/>
      <c r="C21" s="142"/>
      <c r="D21" s="143"/>
      <c r="E21" s="144"/>
      <c r="F21" s="145"/>
      <c r="G21" s="145"/>
      <c r="H21" s="145"/>
      <c r="I21" s="103"/>
      <c r="J21" s="103"/>
      <c r="K21" s="104"/>
      <c r="L21" s="108">
        <f t="shared" si="0"/>
        <v>44937</v>
      </c>
      <c r="M21" s="99"/>
      <c r="N21" s="142"/>
      <c r="O21" s="143"/>
      <c r="P21" s="146"/>
      <c r="Q21" s="147"/>
      <c r="R21" s="147"/>
      <c r="S21" s="147"/>
      <c r="T21" s="103"/>
      <c r="U21" s="103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</row>
    <row r="22" spans="1:67" s="107" customFormat="1" ht="14.25" customHeight="1" x14ac:dyDescent="0.35">
      <c r="A22" s="108">
        <v>44938</v>
      </c>
      <c r="B22" s="99"/>
      <c r="C22" s="142"/>
      <c r="D22" s="143"/>
      <c r="E22" s="144"/>
      <c r="F22" s="145"/>
      <c r="G22" s="145"/>
      <c r="H22" s="145"/>
      <c r="I22" s="103"/>
      <c r="J22" s="103"/>
      <c r="K22" s="104"/>
      <c r="L22" s="108">
        <f t="shared" si="0"/>
        <v>44938</v>
      </c>
      <c r="M22" s="99"/>
      <c r="N22" s="142"/>
      <c r="O22" s="143"/>
      <c r="P22" s="146"/>
      <c r="Q22" s="147"/>
      <c r="R22" s="147"/>
      <c r="S22" s="147"/>
      <c r="T22" s="103"/>
      <c r="U22" s="103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</row>
    <row r="23" spans="1:67" s="107" customFormat="1" ht="14.25" customHeight="1" x14ac:dyDescent="0.35">
      <c r="A23" s="108">
        <v>44939</v>
      </c>
      <c r="B23" s="99"/>
      <c r="C23" s="142"/>
      <c r="D23" s="143"/>
      <c r="E23" s="144"/>
      <c r="F23" s="145"/>
      <c r="G23" s="145"/>
      <c r="H23" s="145"/>
      <c r="I23" s="103"/>
      <c r="J23" s="103"/>
      <c r="K23" s="104"/>
      <c r="L23" s="108">
        <f t="shared" si="0"/>
        <v>44939</v>
      </c>
      <c r="M23" s="99"/>
      <c r="N23" s="142"/>
      <c r="O23" s="143"/>
      <c r="P23" s="146"/>
      <c r="Q23" s="147"/>
      <c r="R23" s="147"/>
      <c r="S23" s="147"/>
      <c r="T23" s="103"/>
      <c r="U23" s="103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</row>
    <row r="24" spans="1:67" s="107" customFormat="1" ht="14.25" customHeight="1" x14ac:dyDescent="0.35">
      <c r="A24" s="108">
        <v>44940</v>
      </c>
      <c r="B24" s="99"/>
      <c r="C24" s="142"/>
      <c r="D24" s="143"/>
      <c r="E24" s="144"/>
      <c r="F24" s="145"/>
      <c r="G24" s="145"/>
      <c r="H24" s="145"/>
      <c r="I24" s="103"/>
      <c r="J24" s="103"/>
      <c r="K24" s="104"/>
      <c r="L24" s="108">
        <f t="shared" si="0"/>
        <v>44940</v>
      </c>
      <c r="M24" s="99"/>
      <c r="N24" s="142"/>
      <c r="O24" s="143"/>
      <c r="P24" s="146"/>
      <c r="Q24" s="147"/>
      <c r="R24" s="147"/>
      <c r="S24" s="147"/>
      <c r="T24" s="103"/>
      <c r="U24" s="103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</row>
    <row r="25" spans="1:67" s="107" customFormat="1" ht="14.25" customHeight="1" x14ac:dyDescent="0.35">
      <c r="A25" s="108">
        <v>44941</v>
      </c>
      <c r="B25" s="99"/>
      <c r="C25" s="142"/>
      <c r="D25" s="143"/>
      <c r="E25" s="144"/>
      <c r="F25" s="145"/>
      <c r="G25" s="145"/>
      <c r="H25" s="145"/>
      <c r="I25" s="103"/>
      <c r="J25" s="103"/>
      <c r="K25" s="104"/>
      <c r="L25" s="108">
        <f t="shared" si="0"/>
        <v>44941</v>
      </c>
      <c r="M25" s="99"/>
      <c r="N25" s="142"/>
      <c r="O25" s="143"/>
      <c r="P25" s="146"/>
      <c r="Q25" s="147"/>
      <c r="R25" s="147"/>
      <c r="S25" s="147"/>
      <c r="T25" s="103"/>
      <c r="U25" s="103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</row>
    <row r="26" spans="1:67" s="107" customFormat="1" ht="14.25" customHeight="1" x14ac:dyDescent="0.35">
      <c r="A26" s="108">
        <v>44942</v>
      </c>
      <c r="B26" s="99"/>
      <c r="C26" s="142"/>
      <c r="D26" s="143"/>
      <c r="E26" s="144"/>
      <c r="F26" s="145"/>
      <c r="G26" s="145"/>
      <c r="H26" s="145"/>
      <c r="I26" s="103"/>
      <c r="J26" s="103"/>
      <c r="K26" s="104"/>
      <c r="L26" s="108">
        <f t="shared" si="0"/>
        <v>44942</v>
      </c>
      <c r="M26" s="99"/>
      <c r="N26" s="142"/>
      <c r="O26" s="143"/>
      <c r="P26" s="146"/>
      <c r="Q26" s="147"/>
      <c r="R26" s="147"/>
      <c r="S26" s="147"/>
      <c r="T26" s="103"/>
      <c r="U26" s="103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</row>
    <row r="27" spans="1:67" s="107" customFormat="1" ht="14.25" customHeight="1" x14ac:dyDescent="0.35">
      <c r="A27" s="108">
        <v>44943</v>
      </c>
      <c r="B27" s="99"/>
      <c r="C27" s="142"/>
      <c r="D27" s="143"/>
      <c r="E27" s="144"/>
      <c r="F27" s="145"/>
      <c r="G27" s="145"/>
      <c r="H27" s="145"/>
      <c r="I27" s="103"/>
      <c r="J27" s="103"/>
      <c r="K27" s="104"/>
      <c r="L27" s="108">
        <f t="shared" si="0"/>
        <v>44943</v>
      </c>
      <c r="M27" s="99"/>
      <c r="N27" s="142"/>
      <c r="O27" s="143"/>
      <c r="P27" s="146"/>
      <c r="Q27" s="147"/>
      <c r="R27" s="147"/>
      <c r="S27" s="147"/>
      <c r="T27" s="103"/>
      <c r="U27" s="103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</row>
    <row r="28" spans="1:67" s="107" customFormat="1" ht="14.25" customHeight="1" x14ac:dyDescent="0.35">
      <c r="A28" s="108">
        <v>44944</v>
      </c>
      <c r="B28" s="99"/>
      <c r="C28" s="142"/>
      <c r="D28" s="143"/>
      <c r="E28" s="144"/>
      <c r="F28" s="145"/>
      <c r="G28" s="145"/>
      <c r="H28" s="145"/>
      <c r="I28" s="103"/>
      <c r="J28" s="103"/>
      <c r="K28" s="104"/>
      <c r="L28" s="108">
        <f t="shared" si="0"/>
        <v>44944</v>
      </c>
      <c r="M28" s="99"/>
      <c r="N28" s="142"/>
      <c r="O28" s="143"/>
      <c r="P28" s="146"/>
      <c r="Q28" s="147"/>
      <c r="R28" s="147"/>
      <c r="S28" s="147"/>
      <c r="T28" s="103"/>
      <c r="U28" s="103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</row>
    <row r="29" spans="1:67" s="107" customFormat="1" ht="14.25" customHeight="1" x14ac:dyDescent="0.35">
      <c r="A29" s="108">
        <v>44945</v>
      </c>
      <c r="B29" s="99"/>
      <c r="C29" s="142"/>
      <c r="D29" s="143"/>
      <c r="E29" s="144"/>
      <c r="F29" s="145"/>
      <c r="G29" s="145"/>
      <c r="H29" s="145"/>
      <c r="I29" s="103"/>
      <c r="J29" s="103"/>
      <c r="K29" s="104"/>
      <c r="L29" s="108">
        <f t="shared" si="0"/>
        <v>44945</v>
      </c>
      <c r="M29" s="99"/>
      <c r="N29" s="142"/>
      <c r="O29" s="143"/>
      <c r="P29" s="146"/>
      <c r="Q29" s="147"/>
      <c r="R29" s="147"/>
      <c r="S29" s="147"/>
      <c r="T29" s="103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</row>
    <row r="30" spans="1:67" s="107" customFormat="1" ht="14.25" customHeight="1" x14ac:dyDescent="0.35">
      <c r="A30" s="108">
        <v>44946</v>
      </c>
      <c r="B30" s="99"/>
      <c r="C30" s="142"/>
      <c r="D30" s="143"/>
      <c r="E30" s="144"/>
      <c r="F30" s="145"/>
      <c r="G30" s="145"/>
      <c r="H30" s="145"/>
      <c r="I30" s="103"/>
      <c r="J30" s="103"/>
      <c r="K30" s="104"/>
      <c r="L30" s="108">
        <f t="shared" si="0"/>
        <v>44946</v>
      </c>
      <c r="M30" s="99"/>
      <c r="N30" s="142"/>
      <c r="O30" s="143"/>
      <c r="P30" s="146"/>
      <c r="Q30" s="147"/>
      <c r="R30" s="147"/>
      <c r="S30" s="147"/>
      <c r="T30" s="103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</row>
    <row r="31" spans="1:67" s="107" customFormat="1" ht="14.25" customHeight="1" x14ac:dyDescent="0.35">
      <c r="A31" s="108">
        <v>44947</v>
      </c>
      <c r="B31" s="99"/>
      <c r="C31" s="142"/>
      <c r="D31" s="143"/>
      <c r="E31" s="144"/>
      <c r="F31" s="145"/>
      <c r="G31" s="145"/>
      <c r="H31" s="145"/>
      <c r="I31" s="103"/>
      <c r="J31" s="103"/>
      <c r="K31" s="104"/>
      <c r="L31" s="108">
        <f t="shared" si="0"/>
        <v>44947</v>
      </c>
      <c r="M31" s="99"/>
      <c r="N31" s="142"/>
      <c r="O31" s="143"/>
      <c r="P31" s="146"/>
      <c r="Q31" s="147"/>
      <c r="R31" s="147"/>
      <c r="S31" s="147"/>
      <c r="T31" s="103"/>
      <c r="U31" s="103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</row>
    <row r="32" spans="1:67" s="107" customFormat="1" ht="14.25" customHeight="1" x14ac:dyDescent="0.35">
      <c r="A32" s="108">
        <v>44948</v>
      </c>
      <c r="B32" s="99"/>
      <c r="C32" s="142"/>
      <c r="D32" s="143"/>
      <c r="E32" s="144"/>
      <c r="F32" s="145"/>
      <c r="G32" s="145"/>
      <c r="H32" s="145"/>
      <c r="I32" s="103"/>
      <c r="J32" s="103"/>
      <c r="K32" s="104"/>
      <c r="L32" s="108">
        <f t="shared" si="0"/>
        <v>44948</v>
      </c>
      <c r="M32" s="99"/>
      <c r="N32" s="142"/>
      <c r="O32" s="143"/>
      <c r="P32" s="146"/>
      <c r="Q32" s="147"/>
      <c r="R32" s="147"/>
      <c r="S32" s="147"/>
      <c r="T32" s="103"/>
      <c r="U32" s="103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</row>
    <row r="33" spans="1:67" s="107" customFormat="1" ht="14.25" customHeight="1" x14ac:dyDescent="0.35">
      <c r="A33" s="108">
        <v>44949</v>
      </c>
      <c r="B33" s="99"/>
      <c r="C33" s="142"/>
      <c r="D33" s="143"/>
      <c r="E33" s="144"/>
      <c r="F33" s="145"/>
      <c r="G33" s="145"/>
      <c r="H33" s="145"/>
      <c r="I33" s="103"/>
      <c r="J33" s="103"/>
      <c r="K33" s="104"/>
      <c r="L33" s="108">
        <f t="shared" si="0"/>
        <v>44949</v>
      </c>
      <c r="M33" s="99"/>
      <c r="N33" s="142"/>
      <c r="O33" s="143"/>
      <c r="P33" s="146"/>
      <c r="Q33" s="147"/>
      <c r="R33" s="147"/>
      <c r="S33" s="147"/>
      <c r="T33" s="103"/>
      <c r="U33" s="103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</row>
    <row r="34" spans="1:67" s="107" customFormat="1" ht="14.25" customHeight="1" thickBot="1" x14ac:dyDescent="0.4">
      <c r="A34" s="108">
        <v>44950</v>
      </c>
      <c r="B34" s="99"/>
      <c r="C34" s="142"/>
      <c r="D34" s="143"/>
      <c r="E34" s="144"/>
      <c r="F34" s="145"/>
      <c r="G34" s="145"/>
      <c r="H34" s="145"/>
      <c r="I34" s="103"/>
      <c r="J34" s="103"/>
      <c r="K34" s="104"/>
      <c r="L34" s="108">
        <f t="shared" si="0"/>
        <v>44950</v>
      </c>
      <c r="M34" s="99"/>
      <c r="N34" s="142"/>
      <c r="O34" s="143"/>
      <c r="P34" s="146"/>
      <c r="Q34" s="147"/>
      <c r="R34" s="147"/>
      <c r="S34" s="147"/>
      <c r="T34" s="103"/>
      <c r="U34" s="103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</row>
    <row r="35" spans="1:67" s="116" customFormat="1" ht="27.75" customHeight="1" thickBot="1" x14ac:dyDescent="0.4">
      <c r="A35" s="109" t="s">
        <v>58</v>
      </c>
      <c r="B35" s="110"/>
      <c r="C35" s="111">
        <f t="shared" ref="C35:H35" si="1">SUM(C4:C34)</f>
        <v>0</v>
      </c>
      <c r="D35" s="111">
        <f t="shared" si="1"/>
        <v>0</v>
      </c>
      <c r="E35" s="112">
        <f t="shared" si="1"/>
        <v>0</v>
      </c>
      <c r="F35" s="112">
        <f t="shared" si="1"/>
        <v>0</v>
      </c>
      <c r="G35" s="112">
        <f t="shared" si="1"/>
        <v>0</v>
      </c>
      <c r="H35" s="112">
        <f t="shared" si="1"/>
        <v>0</v>
      </c>
      <c r="I35" s="113"/>
      <c r="J35" s="113"/>
      <c r="K35" s="114"/>
      <c r="L35" s="109" t="s">
        <v>59</v>
      </c>
      <c r="M35" s="110">
        <f t="shared" ref="M35:S35" si="2">SUM(M4:M34)</f>
        <v>0</v>
      </c>
      <c r="N35" s="111">
        <f t="shared" si="2"/>
        <v>0</v>
      </c>
      <c r="O35" s="111">
        <f t="shared" si="2"/>
        <v>0</v>
      </c>
      <c r="P35" s="115">
        <f t="shared" si="2"/>
        <v>0</v>
      </c>
      <c r="Q35" s="115">
        <f t="shared" si="2"/>
        <v>0</v>
      </c>
      <c r="R35" s="115">
        <f t="shared" si="2"/>
        <v>0</v>
      </c>
      <c r="S35" s="115">
        <f t="shared" si="2"/>
        <v>0</v>
      </c>
      <c r="T35" s="113"/>
      <c r="U35" s="113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</row>
    <row r="36" spans="1:67" s="116" customFormat="1" ht="27.75" customHeight="1" thickBot="1" x14ac:dyDescent="0.4">
      <c r="A36" s="148" t="s">
        <v>60</v>
      </c>
      <c r="B36" s="110"/>
      <c r="C36" s="118" t="e">
        <f t="shared" ref="C36:H36" si="3">AVERAGE(C4:C34)</f>
        <v>#DIV/0!</v>
      </c>
      <c r="D36" s="118" t="e">
        <f t="shared" si="3"/>
        <v>#DIV/0!</v>
      </c>
      <c r="E36" s="119" t="e">
        <f t="shared" si="3"/>
        <v>#DIV/0!</v>
      </c>
      <c r="F36" s="119" t="e">
        <f t="shared" si="3"/>
        <v>#DIV/0!</v>
      </c>
      <c r="G36" s="119" t="e">
        <f t="shared" si="3"/>
        <v>#DIV/0!</v>
      </c>
      <c r="H36" s="119" t="e">
        <f t="shared" si="3"/>
        <v>#DIV/0!</v>
      </c>
      <c r="I36" s="113"/>
      <c r="J36" s="113"/>
      <c r="K36" s="114"/>
      <c r="L36" s="117" t="s">
        <v>61</v>
      </c>
      <c r="M36" s="110"/>
      <c r="N36" s="118" t="e">
        <f t="shared" ref="N36:S36" si="4">AVERAGE(N4:N34)</f>
        <v>#DIV/0!</v>
      </c>
      <c r="O36" s="118" t="e">
        <f t="shared" si="4"/>
        <v>#DIV/0!</v>
      </c>
      <c r="P36" s="120" t="e">
        <f t="shared" si="4"/>
        <v>#DIV/0!</v>
      </c>
      <c r="Q36" s="120" t="e">
        <f t="shared" si="4"/>
        <v>#DIV/0!</v>
      </c>
      <c r="R36" s="120" t="e">
        <f t="shared" si="4"/>
        <v>#DIV/0!</v>
      </c>
      <c r="S36" s="120" t="e">
        <f t="shared" si="4"/>
        <v>#DIV/0!</v>
      </c>
      <c r="T36" s="113"/>
      <c r="U36" s="113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</row>
    <row r="37" spans="1:67" s="116" customFormat="1" ht="27.75" customHeight="1" thickBot="1" x14ac:dyDescent="0.4">
      <c r="A37" s="121"/>
      <c r="B37" s="110"/>
      <c r="C37" s="201" t="s">
        <v>62</v>
      </c>
      <c r="D37" s="201"/>
      <c r="E37" s="201" t="s">
        <v>63</v>
      </c>
      <c r="F37" s="201"/>
      <c r="G37" s="201" t="s">
        <v>64</v>
      </c>
      <c r="H37" s="201"/>
      <c r="I37" s="113"/>
      <c r="J37" s="113"/>
      <c r="K37" s="114"/>
      <c r="L37" s="121"/>
      <c r="M37" s="110"/>
      <c r="N37" s="201" t="s">
        <v>62</v>
      </c>
      <c r="O37" s="201"/>
      <c r="P37" s="201" t="s">
        <v>65</v>
      </c>
      <c r="Q37" s="201"/>
      <c r="R37" s="201" t="s">
        <v>66</v>
      </c>
      <c r="S37" s="201"/>
      <c r="T37" s="113"/>
      <c r="U37" s="113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</row>
    <row r="38" spans="1:67" s="116" customFormat="1" ht="27.75" customHeight="1" thickBot="1" x14ac:dyDescent="0.4">
      <c r="A38" s="117" t="s">
        <v>67</v>
      </c>
      <c r="B38" s="110"/>
      <c r="C38" s="202">
        <f>D35-C35</f>
        <v>0</v>
      </c>
      <c r="D38" s="203"/>
      <c r="E38" s="204">
        <f>F35-E35</f>
        <v>0</v>
      </c>
      <c r="F38" s="205"/>
      <c r="G38" s="204">
        <f>H35-G35</f>
        <v>0</v>
      </c>
      <c r="H38" s="205"/>
      <c r="I38" s="113"/>
      <c r="J38" s="113"/>
      <c r="K38" s="114"/>
      <c r="L38" s="117" t="s">
        <v>0</v>
      </c>
      <c r="M38" s="110"/>
      <c r="N38" s="202">
        <f>O35-N35</f>
        <v>0</v>
      </c>
      <c r="O38" s="203"/>
      <c r="P38" s="198">
        <f>Q35-P35</f>
        <v>0</v>
      </c>
      <c r="Q38" s="199"/>
      <c r="R38" s="198">
        <f>S35-R35</f>
        <v>0</v>
      </c>
      <c r="S38" s="199"/>
      <c r="T38" s="113"/>
      <c r="U38" s="113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</row>
    <row r="39" spans="1:67" s="126" customFormat="1" ht="17.25" customHeight="1" x14ac:dyDescent="0.35">
      <c r="A39" s="122"/>
      <c r="B39" s="123"/>
      <c r="C39" s="123"/>
      <c r="D39" s="123"/>
      <c r="E39" s="123"/>
      <c r="F39" s="123"/>
      <c r="G39" s="123"/>
      <c r="H39" s="123"/>
      <c r="I39" s="124"/>
      <c r="J39" s="124"/>
      <c r="K39" s="125"/>
      <c r="L39" s="122"/>
      <c r="M39" s="123"/>
      <c r="N39" s="123"/>
      <c r="O39" s="123"/>
      <c r="P39" s="123"/>
      <c r="Q39" s="123"/>
      <c r="R39" s="123"/>
      <c r="S39" s="123"/>
      <c r="T39" s="124"/>
      <c r="U39" s="124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</row>
    <row r="40" spans="1:67" s="152" customFormat="1" ht="17.25" customHeight="1" x14ac:dyDescent="0.35">
      <c r="A40" s="149"/>
      <c r="B40" s="150"/>
      <c r="C40" s="150"/>
      <c r="D40" s="150"/>
      <c r="E40" s="150"/>
      <c r="F40" s="150"/>
      <c r="G40" s="150"/>
      <c r="H40" s="150"/>
      <c r="I40" s="151"/>
      <c r="J40" s="151"/>
      <c r="K40" s="133"/>
      <c r="L40" s="149"/>
      <c r="M40" s="150"/>
      <c r="N40" s="150"/>
      <c r="O40" s="150"/>
      <c r="P40" s="150"/>
      <c r="Q40" s="150"/>
      <c r="R40" s="150"/>
      <c r="S40" s="150"/>
      <c r="T40" s="151"/>
      <c r="U40" s="151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</row>
    <row r="41" spans="1:67" s="126" customFormat="1" ht="17.25" customHeight="1" x14ac:dyDescent="0.35">
      <c r="A41" s="121"/>
      <c r="B41" s="123"/>
      <c r="C41" s="123"/>
      <c r="D41" s="123"/>
      <c r="E41" s="123"/>
      <c r="F41" s="123"/>
      <c r="G41" s="123"/>
      <c r="H41" s="123"/>
      <c r="I41" s="124"/>
      <c r="J41" s="124"/>
      <c r="K41" s="125"/>
      <c r="L41" s="121"/>
      <c r="M41" s="123"/>
      <c r="N41" s="123"/>
      <c r="O41" s="123"/>
      <c r="P41" s="123"/>
      <c r="Q41" s="123"/>
      <c r="R41" s="123"/>
      <c r="S41" s="123"/>
      <c r="T41" s="124"/>
      <c r="U41" s="124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</row>
    <row r="42" spans="1:67" s="126" customFormat="1" ht="17.25" customHeight="1" x14ac:dyDescent="0.35">
      <c r="A42" s="128"/>
      <c r="B42" s="129"/>
      <c r="C42" s="130"/>
      <c r="D42" s="130"/>
      <c r="E42" s="130"/>
      <c r="F42" s="130"/>
      <c r="G42" s="130"/>
      <c r="H42" s="130"/>
      <c r="I42" s="124"/>
      <c r="J42" s="124"/>
      <c r="K42" s="125"/>
      <c r="L42" s="128"/>
      <c r="M42" s="129"/>
      <c r="N42" s="130"/>
      <c r="O42" s="130"/>
      <c r="P42" s="130"/>
      <c r="Q42" s="130"/>
      <c r="R42" s="130"/>
      <c r="S42" s="130"/>
      <c r="T42" s="124"/>
      <c r="U42" s="124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</row>
    <row r="43" spans="1:67" s="126" customFormat="1" ht="17.25" customHeight="1" thickBot="1" x14ac:dyDescent="0.4">
      <c r="A43" s="131"/>
      <c r="B43" s="132"/>
      <c r="C43" s="132"/>
      <c r="D43" s="132"/>
      <c r="E43" s="132"/>
      <c r="F43" s="132"/>
      <c r="G43" s="132"/>
      <c r="H43" s="132"/>
      <c r="I43" s="124"/>
      <c r="J43" s="124"/>
      <c r="K43" s="125"/>
      <c r="L43" s="131"/>
      <c r="M43" s="132"/>
      <c r="N43" s="132"/>
      <c r="O43" s="132"/>
      <c r="P43" s="132"/>
      <c r="Q43" s="132"/>
      <c r="R43" s="132"/>
      <c r="S43" s="132"/>
      <c r="T43" s="124"/>
      <c r="U43" s="124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</row>
    <row r="44" spans="1:67" s="133" customFormat="1" ht="17.25" customHeight="1" x14ac:dyDescent="0.35">
      <c r="I44" s="134"/>
      <c r="J44" s="134"/>
    </row>
  </sheetData>
  <mergeCells count="14">
    <mergeCell ref="R38:S38"/>
    <mergeCell ref="C2:H2"/>
    <mergeCell ref="N2:S2"/>
    <mergeCell ref="C37:D37"/>
    <mergeCell ref="E37:F37"/>
    <mergeCell ref="G37:H37"/>
    <mergeCell ref="N37:O37"/>
    <mergeCell ref="P37:Q37"/>
    <mergeCell ref="R37:S37"/>
    <mergeCell ref="C38:D38"/>
    <mergeCell ref="E38:F38"/>
    <mergeCell ref="G38:H38"/>
    <mergeCell ref="N38:O38"/>
    <mergeCell ref="P38:Q38"/>
  </mergeCells>
  <conditionalFormatting sqref="H4:H34 C4:D34">
    <cfRule type="cellIs" dxfId="121" priority="181" stopIfTrue="1" operator="lessThanOrEqual">
      <formula>0</formula>
    </cfRule>
  </conditionalFormatting>
  <conditionalFormatting sqref="E4:F34">
    <cfRule type="cellIs" dxfId="120" priority="180" stopIfTrue="1" operator="lessThanOrEqual">
      <formula>0</formula>
    </cfRule>
  </conditionalFormatting>
  <conditionalFormatting sqref="G4:G34">
    <cfRule type="cellIs" dxfId="119" priority="167" operator="greaterThan">
      <formula>$H$30</formula>
    </cfRule>
    <cfRule type="cellIs" dxfId="118" priority="179" stopIfTrue="1" operator="lessThanOrEqual">
      <formula>0</formula>
    </cfRule>
  </conditionalFormatting>
  <conditionalFormatting sqref="S4:S34 N4:O34">
    <cfRule type="cellIs" dxfId="117" priority="178" stopIfTrue="1" operator="lessThanOrEqual">
      <formula>0</formula>
    </cfRule>
  </conditionalFormatting>
  <conditionalFormatting sqref="P4:Q34">
    <cfRule type="cellIs" dxfId="116" priority="177" stopIfTrue="1" operator="lessThanOrEqual">
      <formula>0</formula>
    </cfRule>
  </conditionalFormatting>
  <conditionalFormatting sqref="R4:R34">
    <cfRule type="cellIs" dxfId="115" priority="164" operator="greaterThan">
      <formula>$S$31</formula>
    </cfRule>
    <cfRule type="cellIs" dxfId="114" priority="176" stopIfTrue="1" operator="lessThanOrEqual">
      <formula>0</formula>
    </cfRule>
  </conditionalFormatting>
  <conditionalFormatting sqref="C36:D36">
    <cfRule type="cellIs" dxfId="113" priority="175" stopIfTrue="1" operator="equal">
      <formula>#DIV/0!</formula>
    </cfRule>
  </conditionalFormatting>
  <conditionalFormatting sqref="N36:O36">
    <cfRule type="cellIs" dxfId="112" priority="174" stopIfTrue="1" operator="equal">
      <formula>#DIV/0!</formula>
    </cfRule>
  </conditionalFormatting>
  <conditionalFormatting sqref="C38 E38 G38">
    <cfRule type="cellIs" dxfId="111" priority="173" stopIfTrue="1" operator="equal">
      <formula>#DIV/0!</formula>
    </cfRule>
  </conditionalFormatting>
  <conditionalFormatting sqref="N38">
    <cfRule type="cellIs" dxfId="110" priority="172" stopIfTrue="1" operator="equal">
      <formula>#DIV/0!</formula>
    </cfRule>
  </conditionalFormatting>
  <conditionalFormatting sqref="R38">
    <cfRule type="cellIs" dxfId="109" priority="171" stopIfTrue="1" operator="equal">
      <formula>#DIV/0!</formula>
    </cfRule>
  </conditionalFormatting>
  <conditionalFormatting sqref="P38">
    <cfRule type="cellIs" dxfId="108" priority="170" stopIfTrue="1" operator="equal">
      <formula>#DIV/0!</formula>
    </cfRule>
  </conditionalFormatting>
  <conditionalFormatting sqref="C4:C34">
    <cfRule type="cellIs" dxfId="107" priority="169" operator="greaterThan">
      <formula>$D$23</formula>
    </cfRule>
  </conditionalFormatting>
  <conditionalFormatting sqref="E4:E34">
    <cfRule type="cellIs" dxfId="106" priority="168" operator="greaterThan">
      <formula>$F$29</formula>
    </cfRule>
  </conditionalFormatting>
  <conditionalFormatting sqref="N4:N34">
    <cfRule type="cellIs" dxfId="105" priority="166" operator="greaterThan">
      <formula>$O$29</formula>
    </cfRule>
  </conditionalFormatting>
  <conditionalFormatting sqref="P4:P34">
    <cfRule type="cellIs" dxfId="104" priority="165" operator="greaterThan">
      <formula>$Q$30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V110"/>
  <sheetViews>
    <sheetView workbookViewId="0">
      <pane xSplit="1" ySplit="9" topLeftCell="G25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9.1796875" defaultRowHeight="10" x14ac:dyDescent="0.2"/>
  <cols>
    <col min="1" max="1" width="18.54296875" style="61" customWidth="1"/>
    <col min="2" max="4" width="17.54296875" style="61" bestFit="1" customWidth="1"/>
    <col min="5" max="9" width="16.81640625" style="61" bestFit="1" customWidth="1"/>
    <col min="10" max="11" width="17.1796875" style="61" customWidth="1"/>
    <col min="12" max="13" width="16.6328125" style="61" bestFit="1" customWidth="1"/>
    <col min="14" max="14" width="17.6328125" style="61" customWidth="1"/>
    <col min="15" max="253" width="9.1796875" style="61"/>
    <col min="254" max="254" width="18.54296875" style="61" customWidth="1"/>
    <col min="255" max="266" width="11" style="61" customWidth="1"/>
    <col min="267" max="267" width="13.54296875" style="61" customWidth="1"/>
    <col min="268" max="268" width="8.81640625" style="61" customWidth="1"/>
    <col min="269" max="269" width="12.81640625" style="61" customWidth="1"/>
    <col min="270" max="509" width="9.1796875" style="61"/>
    <col min="510" max="510" width="18.54296875" style="61" customWidth="1"/>
    <col min="511" max="522" width="11" style="61" customWidth="1"/>
    <col min="523" max="523" width="13.54296875" style="61" customWidth="1"/>
    <col min="524" max="524" width="8.81640625" style="61" customWidth="1"/>
    <col min="525" max="525" width="12.81640625" style="61" customWidth="1"/>
    <col min="526" max="765" width="9.1796875" style="61"/>
    <col min="766" max="766" width="18.54296875" style="61" customWidth="1"/>
    <col min="767" max="778" width="11" style="61" customWidth="1"/>
    <col min="779" max="779" width="13.54296875" style="61" customWidth="1"/>
    <col min="780" max="780" width="8.81640625" style="61" customWidth="1"/>
    <col min="781" max="781" width="12.81640625" style="61" customWidth="1"/>
    <col min="782" max="1021" width="9.1796875" style="61"/>
    <col min="1022" max="1022" width="18.54296875" style="61" customWidth="1"/>
    <col min="1023" max="1034" width="11" style="61" customWidth="1"/>
    <col min="1035" max="1035" width="13.54296875" style="61" customWidth="1"/>
    <col min="1036" max="1036" width="8.81640625" style="61" customWidth="1"/>
    <col min="1037" max="1037" width="12.81640625" style="61" customWidth="1"/>
    <col min="1038" max="1277" width="9.1796875" style="61"/>
    <col min="1278" max="1278" width="18.54296875" style="61" customWidth="1"/>
    <col min="1279" max="1290" width="11" style="61" customWidth="1"/>
    <col min="1291" max="1291" width="13.54296875" style="61" customWidth="1"/>
    <col min="1292" max="1292" width="8.81640625" style="61" customWidth="1"/>
    <col min="1293" max="1293" width="12.81640625" style="61" customWidth="1"/>
    <col min="1294" max="1533" width="9.1796875" style="61"/>
    <col min="1534" max="1534" width="18.54296875" style="61" customWidth="1"/>
    <col min="1535" max="1546" width="11" style="61" customWidth="1"/>
    <col min="1547" max="1547" width="13.54296875" style="61" customWidth="1"/>
    <col min="1548" max="1548" width="8.81640625" style="61" customWidth="1"/>
    <col min="1549" max="1549" width="12.81640625" style="61" customWidth="1"/>
    <col min="1550" max="1789" width="9.1796875" style="61"/>
    <col min="1790" max="1790" width="18.54296875" style="61" customWidth="1"/>
    <col min="1791" max="1802" width="11" style="61" customWidth="1"/>
    <col min="1803" max="1803" width="13.54296875" style="61" customWidth="1"/>
    <col min="1804" max="1804" width="8.81640625" style="61" customWidth="1"/>
    <col min="1805" max="1805" width="12.81640625" style="61" customWidth="1"/>
    <col min="1806" max="2045" width="9.1796875" style="61"/>
    <col min="2046" max="2046" width="18.54296875" style="61" customWidth="1"/>
    <col min="2047" max="2058" width="11" style="61" customWidth="1"/>
    <col min="2059" max="2059" width="13.54296875" style="61" customWidth="1"/>
    <col min="2060" max="2060" width="8.81640625" style="61" customWidth="1"/>
    <col min="2061" max="2061" width="12.81640625" style="61" customWidth="1"/>
    <col min="2062" max="2301" width="9.1796875" style="61"/>
    <col min="2302" max="2302" width="18.54296875" style="61" customWidth="1"/>
    <col min="2303" max="2314" width="11" style="61" customWidth="1"/>
    <col min="2315" max="2315" width="13.54296875" style="61" customWidth="1"/>
    <col min="2316" max="2316" width="8.81640625" style="61" customWidth="1"/>
    <col min="2317" max="2317" width="12.81640625" style="61" customWidth="1"/>
    <col min="2318" max="2557" width="9.1796875" style="61"/>
    <col min="2558" max="2558" width="18.54296875" style="61" customWidth="1"/>
    <col min="2559" max="2570" width="11" style="61" customWidth="1"/>
    <col min="2571" max="2571" width="13.54296875" style="61" customWidth="1"/>
    <col min="2572" max="2572" width="8.81640625" style="61" customWidth="1"/>
    <col min="2573" max="2573" width="12.81640625" style="61" customWidth="1"/>
    <col min="2574" max="2813" width="9.1796875" style="61"/>
    <col min="2814" max="2814" width="18.54296875" style="61" customWidth="1"/>
    <col min="2815" max="2826" width="11" style="61" customWidth="1"/>
    <col min="2827" max="2827" width="13.54296875" style="61" customWidth="1"/>
    <col min="2828" max="2828" width="8.81640625" style="61" customWidth="1"/>
    <col min="2829" max="2829" width="12.81640625" style="61" customWidth="1"/>
    <col min="2830" max="3069" width="9.1796875" style="61"/>
    <col min="3070" max="3070" width="18.54296875" style="61" customWidth="1"/>
    <col min="3071" max="3082" width="11" style="61" customWidth="1"/>
    <col min="3083" max="3083" width="13.54296875" style="61" customWidth="1"/>
    <col min="3084" max="3084" width="8.81640625" style="61" customWidth="1"/>
    <col min="3085" max="3085" width="12.81640625" style="61" customWidth="1"/>
    <col min="3086" max="3325" width="9.1796875" style="61"/>
    <col min="3326" max="3326" width="18.54296875" style="61" customWidth="1"/>
    <col min="3327" max="3338" width="11" style="61" customWidth="1"/>
    <col min="3339" max="3339" width="13.54296875" style="61" customWidth="1"/>
    <col min="3340" max="3340" width="8.81640625" style="61" customWidth="1"/>
    <col min="3341" max="3341" width="12.81640625" style="61" customWidth="1"/>
    <col min="3342" max="3581" width="9.1796875" style="61"/>
    <col min="3582" max="3582" width="18.54296875" style="61" customWidth="1"/>
    <col min="3583" max="3594" width="11" style="61" customWidth="1"/>
    <col min="3595" max="3595" width="13.54296875" style="61" customWidth="1"/>
    <col min="3596" max="3596" width="8.81640625" style="61" customWidth="1"/>
    <col min="3597" max="3597" width="12.81640625" style="61" customWidth="1"/>
    <col min="3598" max="3837" width="9.1796875" style="61"/>
    <col min="3838" max="3838" width="18.54296875" style="61" customWidth="1"/>
    <col min="3839" max="3850" width="11" style="61" customWidth="1"/>
    <col min="3851" max="3851" width="13.54296875" style="61" customWidth="1"/>
    <col min="3852" max="3852" width="8.81640625" style="61" customWidth="1"/>
    <col min="3853" max="3853" width="12.81640625" style="61" customWidth="1"/>
    <col min="3854" max="4093" width="9.1796875" style="61"/>
    <col min="4094" max="4094" width="18.54296875" style="61" customWidth="1"/>
    <col min="4095" max="4106" width="11" style="61" customWidth="1"/>
    <col min="4107" max="4107" width="13.54296875" style="61" customWidth="1"/>
    <col min="4108" max="4108" width="8.81640625" style="61" customWidth="1"/>
    <col min="4109" max="4109" width="12.81640625" style="61" customWidth="1"/>
    <col min="4110" max="4349" width="9.1796875" style="61"/>
    <col min="4350" max="4350" width="18.54296875" style="61" customWidth="1"/>
    <col min="4351" max="4362" width="11" style="61" customWidth="1"/>
    <col min="4363" max="4363" width="13.54296875" style="61" customWidth="1"/>
    <col min="4364" max="4364" width="8.81640625" style="61" customWidth="1"/>
    <col min="4365" max="4365" width="12.81640625" style="61" customWidth="1"/>
    <col min="4366" max="4605" width="9.1796875" style="61"/>
    <col min="4606" max="4606" width="18.54296875" style="61" customWidth="1"/>
    <col min="4607" max="4618" width="11" style="61" customWidth="1"/>
    <col min="4619" max="4619" width="13.54296875" style="61" customWidth="1"/>
    <col min="4620" max="4620" width="8.81640625" style="61" customWidth="1"/>
    <col min="4621" max="4621" width="12.81640625" style="61" customWidth="1"/>
    <col min="4622" max="4861" width="9.1796875" style="61"/>
    <col min="4862" max="4862" width="18.54296875" style="61" customWidth="1"/>
    <col min="4863" max="4874" width="11" style="61" customWidth="1"/>
    <col min="4875" max="4875" width="13.54296875" style="61" customWidth="1"/>
    <col min="4876" max="4876" width="8.81640625" style="61" customWidth="1"/>
    <col min="4877" max="4877" width="12.81640625" style="61" customWidth="1"/>
    <col min="4878" max="5117" width="9.1796875" style="61"/>
    <col min="5118" max="5118" width="18.54296875" style="61" customWidth="1"/>
    <col min="5119" max="5130" width="11" style="61" customWidth="1"/>
    <col min="5131" max="5131" width="13.54296875" style="61" customWidth="1"/>
    <col min="5132" max="5132" width="8.81640625" style="61" customWidth="1"/>
    <col min="5133" max="5133" width="12.81640625" style="61" customWidth="1"/>
    <col min="5134" max="5373" width="9.1796875" style="61"/>
    <col min="5374" max="5374" width="18.54296875" style="61" customWidth="1"/>
    <col min="5375" max="5386" width="11" style="61" customWidth="1"/>
    <col min="5387" max="5387" width="13.54296875" style="61" customWidth="1"/>
    <col min="5388" max="5388" width="8.81640625" style="61" customWidth="1"/>
    <col min="5389" max="5389" width="12.81640625" style="61" customWidth="1"/>
    <col min="5390" max="5629" width="9.1796875" style="61"/>
    <col min="5630" max="5630" width="18.54296875" style="61" customWidth="1"/>
    <col min="5631" max="5642" width="11" style="61" customWidth="1"/>
    <col min="5643" max="5643" width="13.54296875" style="61" customWidth="1"/>
    <col min="5644" max="5644" width="8.81640625" style="61" customWidth="1"/>
    <col min="5645" max="5645" width="12.81640625" style="61" customWidth="1"/>
    <col min="5646" max="5885" width="9.1796875" style="61"/>
    <col min="5886" max="5886" width="18.54296875" style="61" customWidth="1"/>
    <col min="5887" max="5898" width="11" style="61" customWidth="1"/>
    <col min="5899" max="5899" width="13.54296875" style="61" customWidth="1"/>
    <col min="5900" max="5900" width="8.81640625" style="61" customWidth="1"/>
    <col min="5901" max="5901" width="12.81640625" style="61" customWidth="1"/>
    <col min="5902" max="6141" width="9.1796875" style="61"/>
    <col min="6142" max="6142" width="18.54296875" style="61" customWidth="1"/>
    <col min="6143" max="6154" width="11" style="61" customWidth="1"/>
    <col min="6155" max="6155" width="13.54296875" style="61" customWidth="1"/>
    <col min="6156" max="6156" width="8.81640625" style="61" customWidth="1"/>
    <col min="6157" max="6157" width="12.81640625" style="61" customWidth="1"/>
    <col min="6158" max="6397" width="9.1796875" style="61"/>
    <col min="6398" max="6398" width="18.54296875" style="61" customWidth="1"/>
    <col min="6399" max="6410" width="11" style="61" customWidth="1"/>
    <col min="6411" max="6411" width="13.54296875" style="61" customWidth="1"/>
    <col min="6412" max="6412" width="8.81640625" style="61" customWidth="1"/>
    <col min="6413" max="6413" width="12.81640625" style="61" customWidth="1"/>
    <col min="6414" max="6653" width="9.1796875" style="61"/>
    <col min="6654" max="6654" width="18.54296875" style="61" customWidth="1"/>
    <col min="6655" max="6666" width="11" style="61" customWidth="1"/>
    <col min="6667" max="6667" width="13.54296875" style="61" customWidth="1"/>
    <col min="6668" max="6668" width="8.81640625" style="61" customWidth="1"/>
    <col min="6669" max="6669" width="12.81640625" style="61" customWidth="1"/>
    <col min="6670" max="6909" width="9.1796875" style="61"/>
    <col min="6910" max="6910" width="18.54296875" style="61" customWidth="1"/>
    <col min="6911" max="6922" width="11" style="61" customWidth="1"/>
    <col min="6923" max="6923" width="13.54296875" style="61" customWidth="1"/>
    <col min="6924" max="6924" width="8.81640625" style="61" customWidth="1"/>
    <col min="6925" max="6925" width="12.81640625" style="61" customWidth="1"/>
    <col min="6926" max="7165" width="9.1796875" style="61"/>
    <col min="7166" max="7166" width="18.54296875" style="61" customWidth="1"/>
    <col min="7167" max="7178" width="11" style="61" customWidth="1"/>
    <col min="7179" max="7179" width="13.54296875" style="61" customWidth="1"/>
    <col min="7180" max="7180" width="8.81640625" style="61" customWidth="1"/>
    <col min="7181" max="7181" width="12.81640625" style="61" customWidth="1"/>
    <col min="7182" max="7421" width="9.1796875" style="61"/>
    <col min="7422" max="7422" width="18.54296875" style="61" customWidth="1"/>
    <col min="7423" max="7434" width="11" style="61" customWidth="1"/>
    <col min="7435" max="7435" width="13.54296875" style="61" customWidth="1"/>
    <col min="7436" max="7436" width="8.81640625" style="61" customWidth="1"/>
    <col min="7437" max="7437" width="12.81640625" style="61" customWidth="1"/>
    <col min="7438" max="7677" width="9.1796875" style="61"/>
    <col min="7678" max="7678" width="18.54296875" style="61" customWidth="1"/>
    <col min="7679" max="7690" width="11" style="61" customWidth="1"/>
    <col min="7691" max="7691" width="13.54296875" style="61" customWidth="1"/>
    <col min="7692" max="7692" width="8.81640625" style="61" customWidth="1"/>
    <col min="7693" max="7693" width="12.81640625" style="61" customWidth="1"/>
    <col min="7694" max="7933" width="9.1796875" style="61"/>
    <col min="7934" max="7934" width="18.54296875" style="61" customWidth="1"/>
    <col min="7935" max="7946" width="11" style="61" customWidth="1"/>
    <col min="7947" max="7947" width="13.54296875" style="61" customWidth="1"/>
    <col min="7948" max="7948" width="8.81640625" style="61" customWidth="1"/>
    <col min="7949" max="7949" width="12.81640625" style="61" customWidth="1"/>
    <col min="7950" max="8189" width="9.1796875" style="61"/>
    <col min="8190" max="8190" width="18.54296875" style="61" customWidth="1"/>
    <col min="8191" max="8202" width="11" style="61" customWidth="1"/>
    <col min="8203" max="8203" width="13.54296875" style="61" customWidth="1"/>
    <col min="8204" max="8204" width="8.81640625" style="61" customWidth="1"/>
    <col min="8205" max="8205" width="12.81640625" style="61" customWidth="1"/>
    <col min="8206" max="8445" width="9.1796875" style="61"/>
    <col min="8446" max="8446" width="18.54296875" style="61" customWidth="1"/>
    <col min="8447" max="8458" width="11" style="61" customWidth="1"/>
    <col min="8459" max="8459" width="13.54296875" style="61" customWidth="1"/>
    <col min="8460" max="8460" width="8.81640625" style="61" customWidth="1"/>
    <col min="8461" max="8461" width="12.81640625" style="61" customWidth="1"/>
    <col min="8462" max="8701" width="9.1796875" style="61"/>
    <col min="8702" max="8702" width="18.54296875" style="61" customWidth="1"/>
    <col min="8703" max="8714" width="11" style="61" customWidth="1"/>
    <col min="8715" max="8715" width="13.54296875" style="61" customWidth="1"/>
    <col min="8716" max="8716" width="8.81640625" style="61" customWidth="1"/>
    <col min="8717" max="8717" width="12.81640625" style="61" customWidth="1"/>
    <col min="8718" max="8957" width="9.1796875" style="61"/>
    <col min="8958" max="8958" width="18.54296875" style="61" customWidth="1"/>
    <col min="8959" max="8970" width="11" style="61" customWidth="1"/>
    <col min="8971" max="8971" width="13.54296875" style="61" customWidth="1"/>
    <col min="8972" max="8972" width="8.81640625" style="61" customWidth="1"/>
    <col min="8973" max="8973" width="12.81640625" style="61" customWidth="1"/>
    <col min="8974" max="9213" width="9.1796875" style="61"/>
    <col min="9214" max="9214" width="18.54296875" style="61" customWidth="1"/>
    <col min="9215" max="9226" width="11" style="61" customWidth="1"/>
    <col min="9227" max="9227" width="13.54296875" style="61" customWidth="1"/>
    <col min="9228" max="9228" width="8.81640625" style="61" customWidth="1"/>
    <col min="9229" max="9229" width="12.81640625" style="61" customWidth="1"/>
    <col min="9230" max="9469" width="9.1796875" style="61"/>
    <col min="9470" max="9470" width="18.54296875" style="61" customWidth="1"/>
    <col min="9471" max="9482" width="11" style="61" customWidth="1"/>
    <col min="9483" max="9483" width="13.54296875" style="61" customWidth="1"/>
    <col min="9484" max="9484" width="8.81640625" style="61" customWidth="1"/>
    <col min="9485" max="9485" width="12.81640625" style="61" customWidth="1"/>
    <col min="9486" max="9725" width="9.1796875" style="61"/>
    <col min="9726" max="9726" width="18.54296875" style="61" customWidth="1"/>
    <col min="9727" max="9738" width="11" style="61" customWidth="1"/>
    <col min="9739" max="9739" width="13.54296875" style="61" customWidth="1"/>
    <col min="9740" max="9740" width="8.81640625" style="61" customWidth="1"/>
    <col min="9741" max="9741" width="12.81640625" style="61" customWidth="1"/>
    <col min="9742" max="9981" width="9.1796875" style="61"/>
    <col min="9982" max="9982" width="18.54296875" style="61" customWidth="1"/>
    <col min="9983" max="9994" width="11" style="61" customWidth="1"/>
    <col min="9995" max="9995" width="13.54296875" style="61" customWidth="1"/>
    <col min="9996" max="9996" width="8.81640625" style="61" customWidth="1"/>
    <col min="9997" max="9997" width="12.81640625" style="61" customWidth="1"/>
    <col min="9998" max="10237" width="9.1796875" style="61"/>
    <col min="10238" max="10238" width="18.54296875" style="61" customWidth="1"/>
    <col min="10239" max="10250" width="11" style="61" customWidth="1"/>
    <col min="10251" max="10251" width="13.54296875" style="61" customWidth="1"/>
    <col min="10252" max="10252" width="8.81640625" style="61" customWidth="1"/>
    <col min="10253" max="10253" width="12.81640625" style="61" customWidth="1"/>
    <col min="10254" max="10493" width="9.1796875" style="61"/>
    <col min="10494" max="10494" width="18.54296875" style="61" customWidth="1"/>
    <col min="10495" max="10506" width="11" style="61" customWidth="1"/>
    <col min="10507" max="10507" width="13.54296875" style="61" customWidth="1"/>
    <col min="10508" max="10508" width="8.81640625" style="61" customWidth="1"/>
    <col min="10509" max="10509" width="12.81640625" style="61" customWidth="1"/>
    <col min="10510" max="10749" width="9.1796875" style="61"/>
    <col min="10750" max="10750" width="18.54296875" style="61" customWidth="1"/>
    <col min="10751" max="10762" width="11" style="61" customWidth="1"/>
    <col min="10763" max="10763" width="13.54296875" style="61" customWidth="1"/>
    <col min="10764" max="10764" width="8.81640625" style="61" customWidth="1"/>
    <col min="10765" max="10765" width="12.81640625" style="61" customWidth="1"/>
    <col min="10766" max="11005" width="9.1796875" style="61"/>
    <col min="11006" max="11006" width="18.54296875" style="61" customWidth="1"/>
    <col min="11007" max="11018" width="11" style="61" customWidth="1"/>
    <col min="11019" max="11019" width="13.54296875" style="61" customWidth="1"/>
    <col min="11020" max="11020" width="8.81640625" style="61" customWidth="1"/>
    <col min="11021" max="11021" width="12.81640625" style="61" customWidth="1"/>
    <col min="11022" max="11261" width="9.1796875" style="61"/>
    <col min="11262" max="11262" width="18.54296875" style="61" customWidth="1"/>
    <col min="11263" max="11274" width="11" style="61" customWidth="1"/>
    <col min="11275" max="11275" width="13.54296875" style="61" customWidth="1"/>
    <col min="11276" max="11276" width="8.81640625" style="61" customWidth="1"/>
    <col min="11277" max="11277" width="12.81640625" style="61" customWidth="1"/>
    <col min="11278" max="11517" width="9.1796875" style="61"/>
    <col min="11518" max="11518" width="18.54296875" style="61" customWidth="1"/>
    <col min="11519" max="11530" width="11" style="61" customWidth="1"/>
    <col min="11531" max="11531" width="13.54296875" style="61" customWidth="1"/>
    <col min="11532" max="11532" width="8.81640625" style="61" customWidth="1"/>
    <col min="11533" max="11533" width="12.81640625" style="61" customWidth="1"/>
    <col min="11534" max="11773" width="9.1796875" style="61"/>
    <col min="11774" max="11774" width="18.54296875" style="61" customWidth="1"/>
    <col min="11775" max="11786" width="11" style="61" customWidth="1"/>
    <col min="11787" max="11787" width="13.54296875" style="61" customWidth="1"/>
    <col min="11788" max="11788" width="8.81640625" style="61" customWidth="1"/>
    <col min="11789" max="11789" width="12.81640625" style="61" customWidth="1"/>
    <col min="11790" max="12029" width="9.1796875" style="61"/>
    <col min="12030" max="12030" width="18.54296875" style="61" customWidth="1"/>
    <col min="12031" max="12042" width="11" style="61" customWidth="1"/>
    <col min="12043" max="12043" width="13.54296875" style="61" customWidth="1"/>
    <col min="12044" max="12044" width="8.81640625" style="61" customWidth="1"/>
    <col min="12045" max="12045" width="12.81640625" style="61" customWidth="1"/>
    <col min="12046" max="12285" width="9.1796875" style="61"/>
    <col min="12286" max="12286" width="18.54296875" style="61" customWidth="1"/>
    <col min="12287" max="12298" width="11" style="61" customWidth="1"/>
    <col min="12299" max="12299" width="13.54296875" style="61" customWidth="1"/>
    <col min="12300" max="12300" width="8.81640625" style="61" customWidth="1"/>
    <col min="12301" max="12301" width="12.81640625" style="61" customWidth="1"/>
    <col min="12302" max="12541" width="9.1796875" style="61"/>
    <col min="12542" max="12542" width="18.54296875" style="61" customWidth="1"/>
    <col min="12543" max="12554" width="11" style="61" customWidth="1"/>
    <col min="12555" max="12555" width="13.54296875" style="61" customWidth="1"/>
    <col min="12556" max="12556" width="8.81640625" style="61" customWidth="1"/>
    <col min="12557" max="12557" width="12.81640625" style="61" customWidth="1"/>
    <col min="12558" max="12797" width="9.1796875" style="61"/>
    <col min="12798" max="12798" width="18.54296875" style="61" customWidth="1"/>
    <col min="12799" max="12810" width="11" style="61" customWidth="1"/>
    <col min="12811" max="12811" width="13.54296875" style="61" customWidth="1"/>
    <col min="12812" max="12812" width="8.81640625" style="61" customWidth="1"/>
    <col min="12813" max="12813" width="12.81640625" style="61" customWidth="1"/>
    <col min="12814" max="13053" width="9.1796875" style="61"/>
    <col min="13054" max="13054" width="18.54296875" style="61" customWidth="1"/>
    <col min="13055" max="13066" width="11" style="61" customWidth="1"/>
    <col min="13067" max="13067" width="13.54296875" style="61" customWidth="1"/>
    <col min="13068" max="13068" width="8.81640625" style="61" customWidth="1"/>
    <col min="13069" max="13069" width="12.81640625" style="61" customWidth="1"/>
    <col min="13070" max="13309" width="9.1796875" style="61"/>
    <col min="13310" max="13310" width="18.54296875" style="61" customWidth="1"/>
    <col min="13311" max="13322" width="11" style="61" customWidth="1"/>
    <col min="13323" max="13323" width="13.54296875" style="61" customWidth="1"/>
    <col min="13324" max="13324" width="8.81640625" style="61" customWidth="1"/>
    <col min="13325" max="13325" width="12.81640625" style="61" customWidth="1"/>
    <col min="13326" max="13565" width="9.1796875" style="61"/>
    <col min="13566" max="13566" width="18.54296875" style="61" customWidth="1"/>
    <col min="13567" max="13578" width="11" style="61" customWidth="1"/>
    <col min="13579" max="13579" width="13.54296875" style="61" customWidth="1"/>
    <col min="13580" max="13580" width="8.81640625" style="61" customWidth="1"/>
    <col min="13581" max="13581" width="12.81640625" style="61" customWidth="1"/>
    <col min="13582" max="13821" width="9.1796875" style="61"/>
    <col min="13822" max="13822" width="18.54296875" style="61" customWidth="1"/>
    <col min="13823" max="13834" width="11" style="61" customWidth="1"/>
    <col min="13835" max="13835" width="13.54296875" style="61" customWidth="1"/>
    <col min="13836" max="13836" width="8.81640625" style="61" customWidth="1"/>
    <col min="13837" max="13837" width="12.81640625" style="61" customWidth="1"/>
    <col min="13838" max="14077" width="9.1796875" style="61"/>
    <col min="14078" max="14078" width="18.54296875" style="61" customWidth="1"/>
    <col min="14079" max="14090" width="11" style="61" customWidth="1"/>
    <col min="14091" max="14091" width="13.54296875" style="61" customWidth="1"/>
    <col min="14092" max="14092" width="8.81640625" style="61" customWidth="1"/>
    <col min="14093" max="14093" width="12.81640625" style="61" customWidth="1"/>
    <col min="14094" max="14333" width="9.1796875" style="61"/>
    <col min="14334" max="14334" width="18.54296875" style="61" customWidth="1"/>
    <col min="14335" max="14346" width="11" style="61" customWidth="1"/>
    <col min="14347" max="14347" width="13.54296875" style="61" customWidth="1"/>
    <col min="14348" max="14348" width="8.81640625" style="61" customWidth="1"/>
    <col min="14349" max="14349" width="12.81640625" style="61" customWidth="1"/>
    <col min="14350" max="14589" width="9.1796875" style="61"/>
    <col min="14590" max="14590" width="18.54296875" style="61" customWidth="1"/>
    <col min="14591" max="14602" width="11" style="61" customWidth="1"/>
    <col min="14603" max="14603" width="13.54296875" style="61" customWidth="1"/>
    <col min="14604" max="14604" width="8.81640625" style="61" customWidth="1"/>
    <col min="14605" max="14605" width="12.81640625" style="61" customWidth="1"/>
    <col min="14606" max="14845" width="9.1796875" style="61"/>
    <col min="14846" max="14846" width="18.54296875" style="61" customWidth="1"/>
    <col min="14847" max="14858" width="11" style="61" customWidth="1"/>
    <col min="14859" max="14859" width="13.54296875" style="61" customWidth="1"/>
    <col min="14860" max="14860" width="8.81640625" style="61" customWidth="1"/>
    <col min="14861" max="14861" width="12.81640625" style="61" customWidth="1"/>
    <col min="14862" max="15101" width="9.1796875" style="61"/>
    <col min="15102" max="15102" width="18.54296875" style="61" customWidth="1"/>
    <col min="15103" max="15114" width="11" style="61" customWidth="1"/>
    <col min="15115" max="15115" width="13.54296875" style="61" customWidth="1"/>
    <col min="15116" max="15116" width="8.81640625" style="61" customWidth="1"/>
    <col min="15117" max="15117" width="12.81640625" style="61" customWidth="1"/>
    <col min="15118" max="15357" width="9.1796875" style="61"/>
    <col min="15358" max="15358" width="18.54296875" style="61" customWidth="1"/>
    <col min="15359" max="15370" width="11" style="61" customWidth="1"/>
    <col min="15371" max="15371" width="13.54296875" style="61" customWidth="1"/>
    <col min="15372" max="15372" width="8.81640625" style="61" customWidth="1"/>
    <col min="15373" max="15373" width="12.81640625" style="61" customWidth="1"/>
    <col min="15374" max="15613" width="9.1796875" style="61"/>
    <col min="15614" max="15614" width="18.54296875" style="61" customWidth="1"/>
    <col min="15615" max="15626" width="11" style="61" customWidth="1"/>
    <col min="15627" max="15627" width="13.54296875" style="61" customWidth="1"/>
    <col min="15628" max="15628" width="8.81640625" style="61" customWidth="1"/>
    <col min="15629" max="15629" width="12.81640625" style="61" customWidth="1"/>
    <col min="15630" max="15869" width="9.1796875" style="61"/>
    <col min="15870" max="15870" width="18.54296875" style="61" customWidth="1"/>
    <col min="15871" max="15882" width="11" style="61" customWidth="1"/>
    <col min="15883" max="15883" width="13.54296875" style="61" customWidth="1"/>
    <col min="15884" max="15884" width="8.81640625" style="61" customWidth="1"/>
    <col min="15885" max="15885" width="12.81640625" style="61" customWidth="1"/>
    <col min="15886" max="16125" width="9.1796875" style="61"/>
    <col min="16126" max="16126" width="18.54296875" style="61" customWidth="1"/>
    <col min="16127" max="16138" width="11" style="61" customWidth="1"/>
    <col min="16139" max="16139" width="13.54296875" style="61" customWidth="1"/>
    <col min="16140" max="16140" width="8.81640625" style="61" customWidth="1"/>
    <col min="16141" max="16141" width="12.81640625" style="61" customWidth="1"/>
    <col min="16142" max="16384" width="9.1796875" style="61"/>
  </cols>
  <sheetData>
    <row r="1" spans="1:22" s="27" customFormat="1" ht="9.75" customHeight="1" x14ac:dyDescent="0.2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  <c r="P1" s="26"/>
      <c r="Q1" s="26"/>
      <c r="R1" s="26"/>
      <c r="S1" s="26"/>
      <c r="T1" s="26"/>
      <c r="U1" s="26"/>
      <c r="V1" s="26"/>
    </row>
    <row r="2" spans="1:22" s="27" customFormat="1" ht="11.5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5"/>
      <c r="P2" s="26"/>
      <c r="Q2" s="26"/>
      <c r="R2" s="26"/>
      <c r="S2" s="26"/>
      <c r="T2" s="26"/>
      <c r="U2" s="26"/>
      <c r="V2" s="26"/>
    </row>
    <row r="3" spans="1:22" s="27" customFormat="1" ht="11.5" customHeight="1" x14ac:dyDescent="0.2">
      <c r="A3" s="23"/>
      <c r="B3" s="23"/>
      <c r="C3" s="23"/>
      <c r="D3" s="206" t="s">
        <v>72</v>
      </c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5"/>
      <c r="P3" s="26"/>
      <c r="Q3" s="26"/>
      <c r="R3" s="26"/>
      <c r="S3" s="26"/>
      <c r="T3" s="26"/>
      <c r="U3" s="26"/>
      <c r="V3" s="26"/>
    </row>
    <row r="4" spans="1:22" s="27" customFormat="1" ht="11.5" customHeight="1" x14ac:dyDescent="0.2">
      <c r="A4" s="23"/>
      <c r="B4" s="23"/>
      <c r="C4" s="23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5"/>
      <c r="P4" s="26"/>
      <c r="Q4" s="26"/>
      <c r="R4" s="26"/>
      <c r="S4" s="26"/>
      <c r="T4" s="26"/>
      <c r="U4" s="26"/>
      <c r="V4" s="26"/>
    </row>
    <row r="5" spans="1:22" s="27" customFormat="1" ht="20.25" customHeight="1" x14ac:dyDescent="0.2">
      <c r="A5" s="23"/>
      <c r="B5" s="23"/>
      <c r="C5" s="23"/>
      <c r="D5" s="207" t="s">
        <v>80</v>
      </c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5"/>
      <c r="P5" s="26"/>
      <c r="Q5" s="26"/>
      <c r="R5" s="26"/>
      <c r="S5" s="26"/>
      <c r="T5" s="26"/>
      <c r="U5" s="26"/>
      <c r="V5" s="26"/>
    </row>
    <row r="6" spans="1:22" s="27" customFormat="1" ht="9.75" customHeight="1" x14ac:dyDescent="0.4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5"/>
      <c r="P6" s="26"/>
      <c r="Q6" s="26"/>
      <c r="R6" s="26"/>
      <c r="S6" s="26"/>
      <c r="T6" s="26"/>
      <c r="U6" s="26"/>
      <c r="V6" s="26"/>
    </row>
    <row r="7" spans="1:22" s="27" customFormat="1" ht="9.75" customHeight="1" x14ac:dyDescent="0.4">
      <c r="A7" s="23"/>
      <c r="B7" s="23"/>
      <c r="C7" s="23"/>
      <c r="D7" s="23"/>
      <c r="E7" s="23"/>
      <c r="F7" s="23"/>
      <c r="G7" s="23"/>
      <c r="H7" s="209" t="s">
        <v>33</v>
      </c>
      <c r="I7" s="209"/>
      <c r="J7" s="209"/>
      <c r="K7" s="76"/>
      <c r="L7" s="23"/>
      <c r="M7" s="23"/>
      <c r="N7" s="23"/>
      <c r="O7" s="25"/>
      <c r="P7" s="26"/>
      <c r="Q7" s="26"/>
      <c r="R7" s="26"/>
      <c r="S7" s="26"/>
      <c r="T7" s="26"/>
      <c r="U7" s="26"/>
      <c r="V7" s="26"/>
    </row>
    <row r="8" spans="1:22" s="27" customFormat="1" ht="17" customHeight="1" thickBot="1" x14ac:dyDescent="0.45">
      <c r="A8" s="29" t="s">
        <v>34</v>
      </c>
      <c r="B8" s="30"/>
      <c r="C8" s="30"/>
      <c r="D8" s="30"/>
      <c r="E8" s="30"/>
      <c r="F8" s="30"/>
      <c r="G8" s="30"/>
      <c r="H8" s="210"/>
      <c r="I8" s="210"/>
      <c r="J8" s="210"/>
      <c r="K8" s="71">
        <f ca="1">TODAY()</f>
        <v>45986</v>
      </c>
      <c r="L8" s="23"/>
      <c r="M8" s="23"/>
      <c r="N8" s="23"/>
      <c r="O8" s="25"/>
      <c r="P8" s="26"/>
      <c r="Q8" s="26"/>
      <c r="R8" s="26"/>
      <c r="S8" s="26"/>
      <c r="T8" s="26"/>
      <c r="U8" s="26"/>
      <c r="V8" s="26"/>
    </row>
    <row r="9" spans="1:22" s="34" customFormat="1" ht="15.75" customHeight="1" thickBot="1" x14ac:dyDescent="0.4">
      <c r="A9" s="31" t="s">
        <v>20</v>
      </c>
      <c r="B9" s="75">
        <v>44927</v>
      </c>
      <c r="C9" s="75">
        <v>44958</v>
      </c>
      <c r="D9" s="75">
        <v>44986</v>
      </c>
      <c r="E9" s="75">
        <v>45017</v>
      </c>
      <c r="F9" s="75">
        <v>45047</v>
      </c>
      <c r="G9" s="75">
        <v>45078</v>
      </c>
      <c r="H9" s="75">
        <v>45108</v>
      </c>
      <c r="I9" s="75">
        <v>45139</v>
      </c>
      <c r="J9" s="75">
        <v>45170</v>
      </c>
      <c r="K9" s="75">
        <v>45200</v>
      </c>
      <c r="L9" s="75">
        <v>45231</v>
      </c>
      <c r="M9" s="75">
        <v>45261</v>
      </c>
      <c r="N9" s="75" t="s">
        <v>30</v>
      </c>
      <c r="O9" s="32"/>
      <c r="P9" s="33"/>
      <c r="Q9" s="33"/>
      <c r="R9" s="33"/>
      <c r="S9" s="33"/>
      <c r="T9" s="33"/>
      <c r="U9" s="33"/>
      <c r="V9" s="33"/>
    </row>
    <row r="10" spans="1:22" s="39" customFormat="1" ht="15.75" customHeight="1" x14ac:dyDescent="0.35">
      <c r="A10" s="35" t="s">
        <v>35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7"/>
      <c r="P10" s="38"/>
      <c r="Q10" s="38"/>
      <c r="R10" s="38"/>
      <c r="S10" s="38"/>
      <c r="T10" s="38"/>
      <c r="U10" s="38"/>
      <c r="V10" s="38"/>
    </row>
    <row r="11" spans="1:22" s="39" customFormat="1" ht="15.75" customHeight="1" x14ac:dyDescent="0.35">
      <c r="A11" s="40" t="s">
        <v>36</v>
      </c>
      <c r="B11" s="41"/>
      <c r="C11" s="41"/>
      <c r="D11" s="41"/>
      <c r="E11" s="41"/>
      <c r="F11" s="41"/>
      <c r="G11" s="36"/>
      <c r="H11" s="41"/>
      <c r="I11" s="36"/>
      <c r="J11" s="36"/>
      <c r="K11" s="36"/>
      <c r="L11" s="41"/>
      <c r="M11" s="36"/>
      <c r="N11" s="41"/>
      <c r="O11" s="37"/>
      <c r="P11" s="38"/>
      <c r="Q11" s="38"/>
      <c r="R11" s="38"/>
      <c r="S11" s="38"/>
      <c r="T11" s="38"/>
      <c r="U11" s="38"/>
      <c r="V11" s="38"/>
    </row>
    <row r="12" spans="1:22" s="39" customFormat="1" ht="15.75" customHeight="1" x14ac:dyDescent="0.35">
      <c r="A12" s="40" t="s">
        <v>37</v>
      </c>
      <c r="B12" s="41"/>
      <c r="C12" s="41"/>
      <c r="D12" s="41"/>
      <c r="E12" s="41"/>
      <c r="F12" s="41"/>
      <c r="G12" s="36"/>
      <c r="H12" s="41"/>
      <c r="I12" s="36"/>
      <c r="J12" s="36"/>
      <c r="K12" s="36"/>
      <c r="L12" s="41"/>
      <c r="M12" s="36"/>
      <c r="N12" s="41"/>
      <c r="O12" s="37"/>
      <c r="P12" s="38"/>
      <c r="Q12" s="38"/>
      <c r="R12" s="38"/>
      <c r="S12" s="38"/>
      <c r="T12" s="38"/>
      <c r="U12" s="38"/>
      <c r="V12" s="38"/>
    </row>
    <row r="13" spans="1:22" s="39" customFormat="1" ht="15.75" customHeight="1" x14ac:dyDescent="0.35">
      <c r="A13" s="40" t="s">
        <v>38</v>
      </c>
      <c r="B13" s="41"/>
      <c r="C13" s="41"/>
      <c r="D13" s="41"/>
      <c r="E13" s="41"/>
      <c r="F13" s="41"/>
      <c r="G13" s="36"/>
      <c r="H13" s="41"/>
      <c r="I13" s="36"/>
      <c r="J13" s="36"/>
      <c r="K13" s="36"/>
      <c r="L13" s="41"/>
      <c r="M13" s="36"/>
      <c r="N13" s="41"/>
      <c r="O13" s="37"/>
      <c r="P13" s="38"/>
      <c r="Q13" s="38"/>
      <c r="R13" s="38"/>
      <c r="S13" s="38"/>
      <c r="T13" s="38"/>
      <c r="U13" s="38"/>
      <c r="V13" s="38"/>
    </row>
    <row r="14" spans="1:22" s="39" customFormat="1" ht="15.75" customHeight="1" x14ac:dyDescent="0.35">
      <c r="A14" s="40" t="s">
        <v>39</v>
      </c>
      <c r="B14" s="41"/>
      <c r="C14" s="41"/>
      <c r="D14" s="41"/>
      <c r="E14" s="41"/>
      <c r="F14" s="41"/>
      <c r="G14" s="36"/>
      <c r="H14" s="41"/>
      <c r="I14" s="36"/>
      <c r="J14" s="36"/>
      <c r="K14" s="36"/>
      <c r="L14" s="41"/>
      <c r="M14" s="36"/>
      <c r="N14" s="41"/>
      <c r="O14" s="37"/>
      <c r="P14" s="38"/>
      <c r="Q14" s="38"/>
      <c r="R14" s="38"/>
      <c r="S14" s="38"/>
      <c r="T14" s="38"/>
      <c r="U14" s="38"/>
      <c r="V14" s="38"/>
    </row>
    <row r="15" spans="1:22" s="39" customFormat="1" ht="15.75" customHeight="1" x14ac:dyDescent="0.35">
      <c r="A15" s="40" t="s">
        <v>40</v>
      </c>
      <c r="B15" s="41"/>
      <c r="C15" s="41"/>
      <c r="D15" s="41"/>
      <c r="E15" s="41"/>
      <c r="F15" s="41"/>
      <c r="G15" s="36"/>
      <c r="H15" s="41"/>
      <c r="I15" s="36"/>
      <c r="J15" s="36"/>
      <c r="K15" s="36"/>
      <c r="L15" s="41"/>
      <c r="M15" s="36"/>
      <c r="N15" s="41"/>
      <c r="O15" s="37"/>
      <c r="P15" s="38"/>
      <c r="Q15" s="38"/>
      <c r="R15" s="38"/>
      <c r="S15" s="38"/>
      <c r="T15" s="38"/>
      <c r="U15" s="38"/>
      <c r="V15" s="38"/>
    </row>
    <row r="16" spans="1:22" s="39" customFormat="1" ht="15.75" customHeight="1" x14ac:dyDescent="0.35">
      <c r="A16" s="40" t="s">
        <v>41</v>
      </c>
      <c r="B16" s="41"/>
      <c r="C16" s="41"/>
      <c r="D16" s="41"/>
      <c r="E16" s="41"/>
      <c r="F16" s="41"/>
      <c r="G16" s="36"/>
      <c r="H16" s="41"/>
      <c r="I16" s="36"/>
      <c r="J16" s="36"/>
      <c r="K16" s="36"/>
      <c r="L16" s="41"/>
      <c r="M16" s="36"/>
      <c r="N16" s="41"/>
      <c r="O16" s="37"/>
      <c r="P16" s="38"/>
      <c r="Q16" s="38"/>
      <c r="R16" s="38"/>
      <c r="S16" s="38"/>
      <c r="T16" s="38"/>
      <c r="U16" s="38"/>
      <c r="V16" s="38"/>
    </row>
    <row r="17" spans="1:22" s="39" customFormat="1" ht="15.75" customHeight="1" x14ac:dyDescent="0.35">
      <c r="A17" s="42" t="s">
        <v>42</v>
      </c>
      <c r="B17" s="43"/>
      <c r="C17" s="43"/>
      <c r="D17" s="43"/>
      <c r="E17" s="43"/>
      <c r="F17" s="43"/>
      <c r="G17" s="36"/>
      <c r="H17" s="43"/>
      <c r="I17" s="36"/>
      <c r="J17" s="36"/>
      <c r="K17" s="36"/>
      <c r="L17" s="43"/>
      <c r="M17" s="36"/>
      <c r="N17" s="43"/>
      <c r="O17" s="37"/>
      <c r="P17" s="38"/>
      <c r="Q17" s="38"/>
      <c r="R17" s="38"/>
      <c r="S17" s="38"/>
      <c r="T17" s="38"/>
      <c r="U17" s="38"/>
      <c r="V17" s="38"/>
    </row>
    <row r="18" spans="1:22" s="39" customFormat="1" ht="15.75" customHeight="1" thickBot="1" x14ac:dyDescent="0.4">
      <c r="A18" s="44" t="s">
        <v>43</v>
      </c>
      <c r="B18" s="45"/>
      <c r="C18" s="45"/>
      <c r="D18" s="45"/>
      <c r="E18" s="45"/>
      <c r="F18" s="45"/>
      <c r="G18" s="36"/>
      <c r="H18" s="45"/>
      <c r="I18" s="36"/>
      <c r="J18" s="36"/>
      <c r="K18" s="36"/>
      <c r="L18" s="45"/>
      <c r="M18" s="36"/>
      <c r="N18" s="45"/>
      <c r="O18" s="37"/>
      <c r="P18" s="38"/>
      <c r="Q18" s="38"/>
      <c r="R18" s="38"/>
      <c r="S18" s="38"/>
      <c r="T18" s="38"/>
      <c r="U18" s="38"/>
      <c r="V18" s="38"/>
    </row>
    <row r="19" spans="1:22" s="50" customFormat="1" ht="15.75" customHeight="1" thickBot="1" x14ac:dyDescent="0.4">
      <c r="A19" s="46" t="s">
        <v>30</v>
      </c>
      <c r="B19" s="47">
        <f t="shared" ref="B19:N19" si="0">SUM(B10:B18)</f>
        <v>0</v>
      </c>
      <c r="C19" s="47">
        <f t="shared" si="0"/>
        <v>0</v>
      </c>
      <c r="D19" s="47">
        <f t="shared" si="0"/>
        <v>0</v>
      </c>
      <c r="E19" s="47"/>
      <c r="F19" s="47">
        <f t="shared" ref="F19" si="1">SUM(F10:F18)</f>
        <v>0</v>
      </c>
      <c r="G19" s="47">
        <f t="shared" si="0"/>
        <v>0</v>
      </c>
      <c r="H19" s="47">
        <f t="shared" si="0"/>
        <v>0</v>
      </c>
      <c r="I19" s="47">
        <f t="shared" si="0"/>
        <v>0</v>
      </c>
      <c r="J19" s="47">
        <f t="shared" si="0"/>
        <v>0</v>
      </c>
      <c r="K19" s="47">
        <f t="shared" si="0"/>
        <v>0</v>
      </c>
      <c r="L19" s="47">
        <f t="shared" si="0"/>
        <v>0</v>
      </c>
      <c r="M19" s="47">
        <f t="shared" si="0"/>
        <v>0</v>
      </c>
      <c r="N19" s="47">
        <f t="shared" si="0"/>
        <v>0</v>
      </c>
      <c r="O19" s="48"/>
      <c r="P19" s="49"/>
      <c r="Q19" s="49"/>
      <c r="R19" s="49"/>
      <c r="S19" s="49"/>
      <c r="T19" s="49"/>
      <c r="U19" s="49"/>
      <c r="V19" s="49"/>
    </row>
    <row r="20" spans="1:22" s="27" customFormat="1" ht="9.75" customHeight="1" x14ac:dyDescent="0.2">
      <c r="A20" s="51"/>
      <c r="B20" s="23"/>
      <c r="C20" s="23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25"/>
      <c r="P20" s="26"/>
      <c r="Q20" s="26"/>
      <c r="R20" s="26"/>
      <c r="S20" s="26"/>
      <c r="T20" s="26"/>
      <c r="U20" s="26"/>
      <c r="V20" s="26"/>
    </row>
    <row r="21" spans="1:22" s="27" customFormat="1" ht="17.5" customHeight="1" thickBot="1" x14ac:dyDescent="0.4">
      <c r="A21" s="29" t="s">
        <v>44</v>
      </c>
      <c r="B21" s="23"/>
      <c r="C21" s="23"/>
      <c r="D21" s="53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25"/>
      <c r="P21" s="26"/>
      <c r="Q21" s="26"/>
      <c r="R21" s="26"/>
      <c r="S21" s="26"/>
      <c r="T21" s="26"/>
      <c r="U21" s="26"/>
      <c r="V21" s="26"/>
    </row>
    <row r="22" spans="1:22" s="34" customFormat="1" ht="15.75" customHeight="1" thickBot="1" x14ac:dyDescent="0.4">
      <c r="A22" s="31" t="s">
        <v>20</v>
      </c>
      <c r="B22" s="75">
        <v>44927</v>
      </c>
      <c r="C22" s="75">
        <v>44958</v>
      </c>
      <c r="D22" s="75">
        <v>44986</v>
      </c>
      <c r="E22" s="75">
        <v>45017</v>
      </c>
      <c r="F22" s="75">
        <v>45047</v>
      </c>
      <c r="G22" s="75">
        <v>45078</v>
      </c>
      <c r="H22" s="75">
        <v>45108</v>
      </c>
      <c r="I22" s="75">
        <v>45139</v>
      </c>
      <c r="J22" s="75">
        <v>45170</v>
      </c>
      <c r="K22" s="75">
        <v>45200</v>
      </c>
      <c r="L22" s="75">
        <v>45231</v>
      </c>
      <c r="M22" s="75">
        <v>45261</v>
      </c>
      <c r="N22" s="75" t="s">
        <v>30</v>
      </c>
      <c r="O22" s="32"/>
      <c r="P22" s="33"/>
      <c r="Q22" s="33"/>
      <c r="R22" s="33"/>
      <c r="S22" s="33"/>
      <c r="T22" s="33"/>
      <c r="U22" s="33"/>
      <c r="V22" s="33"/>
    </row>
    <row r="23" spans="1:22" s="39" customFormat="1" ht="15.75" customHeight="1" x14ac:dyDescent="0.35">
      <c r="A23" s="35" t="s">
        <v>35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  <c r="P23" s="38"/>
      <c r="Q23" s="38"/>
      <c r="R23" s="38"/>
      <c r="S23" s="38"/>
      <c r="T23" s="38"/>
      <c r="U23" s="38"/>
      <c r="V23" s="38"/>
    </row>
    <row r="24" spans="1:22" s="39" customFormat="1" ht="15.75" customHeight="1" x14ac:dyDescent="0.35">
      <c r="A24" s="40" t="s">
        <v>36</v>
      </c>
      <c r="B24" s="41"/>
      <c r="C24" s="41"/>
      <c r="D24" s="41"/>
      <c r="E24" s="41"/>
      <c r="F24" s="41"/>
      <c r="G24" s="36"/>
      <c r="H24" s="41"/>
      <c r="I24" s="36"/>
      <c r="J24" s="36"/>
      <c r="K24" s="36"/>
      <c r="L24" s="41"/>
      <c r="M24" s="36"/>
      <c r="N24" s="41"/>
      <c r="O24" s="37"/>
      <c r="P24" s="38"/>
      <c r="Q24" s="38"/>
      <c r="R24" s="38"/>
      <c r="S24" s="38"/>
      <c r="T24" s="38"/>
      <c r="U24" s="38"/>
      <c r="V24" s="38"/>
    </row>
    <row r="25" spans="1:22" s="39" customFormat="1" ht="15.75" customHeight="1" x14ac:dyDescent="0.35">
      <c r="A25" s="40" t="s">
        <v>37</v>
      </c>
      <c r="B25" s="41"/>
      <c r="C25" s="41"/>
      <c r="D25" s="41"/>
      <c r="E25" s="41"/>
      <c r="F25" s="41"/>
      <c r="G25" s="36"/>
      <c r="H25" s="41"/>
      <c r="I25" s="36"/>
      <c r="J25" s="36"/>
      <c r="K25" s="36"/>
      <c r="L25" s="41"/>
      <c r="M25" s="36"/>
      <c r="N25" s="41"/>
      <c r="O25" s="37"/>
      <c r="P25" s="38"/>
      <c r="Q25" s="38"/>
      <c r="R25" s="38"/>
      <c r="S25" s="38"/>
      <c r="T25" s="38"/>
      <c r="U25" s="38"/>
      <c r="V25" s="38"/>
    </row>
    <row r="26" spans="1:22" s="39" customFormat="1" ht="15.75" customHeight="1" x14ac:dyDescent="0.35">
      <c r="A26" s="40" t="s">
        <v>38</v>
      </c>
      <c r="B26" s="41"/>
      <c r="C26" s="41"/>
      <c r="D26" s="41"/>
      <c r="E26" s="41"/>
      <c r="F26" s="41"/>
      <c r="G26" s="36"/>
      <c r="H26" s="41"/>
      <c r="I26" s="36"/>
      <c r="J26" s="36"/>
      <c r="K26" s="36"/>
      <c r="L26" s="41"/>
      <c r="M26" s="36"/>
      <c r="N26" s="41"/>
      <c r="O26" s="37"/>
      <c r="P26" s="38"/>
      <c r="Q26" s="38"/>
      <c r="R26" s="38"/>
      <c r="S26" s="38"/>
      <c r="T26" s="38"/>
      <c r="U26" s="38"/>
      <c r="V26" s="38"/>
    </row>
    <row r="27" spans="1:22" s="39" customFormat="1" ht="15.75" customHeight="1" x14ac:dyDescent="0.35">
      <c r="A27" s="40" t="s">
        <v>39</v>
      </c>
      <c r="B27" s="41"/>
      <c r="C27" s="41"/>
      <c r="D27" s="41"/>
      <c r="E27" s="41"/>
      <c r="F27" s="41"/>
      <c r="G27" s="36"/>
      <c r="H27" s="41"/>
      <c r="I27" s="36"/>
      <c r="J27" s="36"/>
      <c r="K27" s="36"/>
      <c r="L27" s="41"/>
      <c r="M27" s="36"/>
      <c r="N27" s="41"/>
      <c r="O27" s="37"/>
      <c r="P27" s="38"/>
      <c r="Q27" s="38"/>
      <c r="R27" s="38"/>
      <c r="S27" s="38"/>
      <c r="T27" s="38"/>
      <c r="U27" s="38"/>
      <c r="V27" s="38"/>
    </row>
    <row r="28" spans="1:22" s="39" customFormat="1" ht="15.75" customHeight="1" x14ac:dyDescent="0.35">
      <c r="A28" s="40" t="s">
        <v>40</v>
      </c>
      <c r="B28" s="41"/>
      <c r="C28" s="41"/>
      <c r="D28" s="41"/>
      <c r="E28" s="41"/>
      <c r="F28" s="41"/>
      <c r="G28" s="36"/>
      <c r="H28" s="41"/>
      <c r="I28" s="36"/>
      <c r="J28" s="36"/>
      <c r="K28" s="36"/>
      <c r="L28" s="41"/>
      <c r="M28" s="36"/>
      <c r="N28" s="41"/>
      <c r="O28" s="37"/>
      <c r="P28" s="38"/>
      <c r="Q28" s="38"/>
      <c r="R28" s="38"/>
      <c r="S28" s="38"/>
      <c r="T28" s="38"/>
      <c r="U28" s="38"/>
      <c r="V28" s="38"/>
    </row>
    <row r="29" spans="1:22" s="39" customFormat="1" ht="15.75" customHeight="1" x14ac:dyDescent="0.35">
      <c r="A29" s="40" t="s">
        <v>41</v>
      </c>
      <c r="B29" s="41"/>
      <c r="C29" s="41"/>
      <c r="D29" s="41"/>
      <c r="E29" s="41"/>
      <c r="F29" s="41"/>
      <c r="G29" s="36"/>
      <c r="H29" s="41"/>
      <c r="I29" s="36"/>
      <c r="J29" s="36"/>
      <c r="K29" s="36"/>
      <c r="L29" s="41"/>
      <c r="M29" s="36"/>
      <c r="N29" s="41"/>
      <c r="O29" s="37"/>
      <c r="P29" s="38"/>
      <c r="Q29" s="38"/>
      <c r="R29" s="38"/>
      <c r="S29" s="38"/>
      <c r="T29" s="38"/>
      <c r="U29" s="38"/>
      <c r="V29" s="38"/>
    </row>
    <row r="30" spans="1:22" s="39" customFormat="1" ht="15.75" customHeight="1" x14ac:dyDescent="0.35">
      <c r="A30" s="42" t="s">
        <v>42</v>
      </c>
      <c r="B30" s="41"/>
      <c r="C30" s="41"/>
      <c r="D30" s="41"/>
      <c r="E30" s="41"/>
      <c r="F30" s="41"/>
      <c r="G30" s="36"/>
      <c r="H30" s="43"/>
      <c r="I30" s="36"/>
      <c r="J30" s="36"/>
      <c r="K30" s="36"/>
      <c r="L30" s="43"/>
      <c r="M30" s="36"/>
      <c r="N30" s="43"/>
      <c r="O30" s="37"/>
      <c r="P30" s="38"/>
      <c r="Q30" s="38"/>
      <c r="R30" s="38"/>
      <c r="S30" s="38"/>
      <c r="T30" s="38"/>
      <c r="U30" s="38"/>
      <c r="V30" s="38"/>
    </row>
    <row r="31" spans="1:22" s="39" customFormat="1" ht="15.75" customHeight="1" thickBot="1" x14ac:dyDescent="0.4">
      <c r="A31" s="44" t="s">
        <v>43</v>
      </c>
      <c r="B31" s="41"/>
      <c r="C31" s="41"/>
      <c r="D31" s="41"/>
      <c r="E31" s="41"/>
      <c r="F31" s="41"/>
      <c r="G31" s="36"/>
      <c r="H31" s="45"/>
      <c r="I31" s="36"/>
      <c r="J31" s="36"/>
      <c r="K31" s="36"/>
      <c r="L31" s="45"/>
      <c r="M31" s="36"/>
      <c r="N31" s="45"/>
      <c r="O31" s="37"/>
      <c r="P31" s="38"/>
      <c r="Q31" s="38"/>
      <c r="R31" s="38"/>
      <c r="S31" s="38"/>
      <c r="T31" s="38"/>
      <c r="U31" s="38"/>
      <c r="V31" s="38"/>
    </row>
    <row r="32" spans="1:22" s="50" customFormat="1" ht="15.75" customHeight="1" thickBot="1" x14ac:dyDescent="0.4">
      <c r="A32" s="46" t="s">
        <v>30</v>
      </c>
      <c r="B32" s="47"/>
      <c r="C32" s="47"/>
      <c r="D32" s="47"/>
      <c r="E32" s="47"/>
      <c r="F32" s="47"/>
      <c r="G32" s="47">
        <f t="shared" ref="G32:I32" si="2">SUM(G23:G31)</f>
        <v>0</v>
      </c>
      <c r="H32" s="47">
        <f t="shared" si="2"/>
        <v>0</v>
      </c>
      <c r="I32" s="47">
        <f t="shared" si="2"/>
        <v>0</v>
      </c>
      <c r="J32" s="47">
        <f>SUM(J23:J31)</f>
        <v>0</v>
      </c>
      <c r="K32" s="47">
        <f>SUM(K23:K31)</f>
        <v>0</v>
      </c>
      <c r="L32" s="47">
        <f t="shared" ref="L32:N32" si="3">SUM(L23:L31)</f>
        <v>0</v>
      </c>
      <c r="M32" s="47">
        <f t="shared" si="3"/>
        <v>0</v>
      </c>
      <c r="N32" s="47">
        <f t="shared" si="3"/>
        <v>0</v>
      </c>
      <c r="O32" s="48"/>
      <c r="P32" s="49"/>
      <c r="Q32" s="49"/>
      <c r="R32" s="49"/>
      <c r="S32" s="49"/>
      <c r="T32" s="49"/>
      <c r="U32" s="49"/>
      <c r="V32" s="49"/>
    </row>
    <row r="33" spans="1:22" s="27" customFormat="1" ht="9.15" customHeight="1" x14ac:dyDescent="0.2">
      <c r="A33" s="51"/>
      <c r="B33" s="23"/>
      <c r="C33" s="23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25"/>
      <c r="P33" s="26"/>
      <c r="Q33" s="26"/>
      <c r="R33" s="26"/>
      <c r="S33" s="26"/>
      <c r="T33" s="26"/>
      <c r="U33" s="26"/>
      <c r="V33" s="26"/>
    </row>
    <row r="34" spans="1:22" s="27" customFormat="1" ht="9.15" customHeight="1" x14ac:dyDescent="0.2">
      <c r="A34" s="54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25"/>
      <c r="P34" s="26"/>
      <c r="Q34" s="26"/>
      <c r="R34" s="26"/>
      <c r="S34" s="26"/>
      <c r="T34" s="26"/>
      <c r="U34" s="26"/>
      <c r="V34" s="26"/>
    </row>
    <row r="35" spans="1:22" s="27" customFormat="1" ht="17" customHeight="1" thickBot="1" x14ac:dyDescent="0.4">
      <c r="A35" s="29" t="s">
        <v>45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23"/>
      <c r="O35" s="25"/>
      <c r="P35" s="26"/>
      <c r="Q35" s="26"/>
      <c r="R35" s="26"/>
      <c r="S35" s="26"/>
      <c r="T35" s="26"/>
      <c r="U35" s="26"/>
      <c r="V35" s="26"/>
    </row>
    <row r="36" spans="1:22" s="34" customFormat="1" ht="15.75" customHeight="1" thickBot="1" x14ac:dyDescent="0.4">
      <c r="A36" s="31" t="s">
        <v>20</v>
      </c>
      <c r="B36" s="75">
        <v>44927</v>
      </c>
      <c r="C36" s="75">
        <v>44958</v>
      </c>
      <c r="D36" s="75">
        <v>44986</v>
      </c>
      <c r="E36" s="75">
        <v>45017</v>
      </c>
      <c r="F36" s="75">
        <v>45047</v>
      </c>
      <c r="G36" s="75">
        <v>45078</v>
      </c>
      <c r="H36" s="75">
        <v>45108</v>
      </c>
      <c r="I36" s="75">
        <v>45139</v>
      </c>
      <c r="J36" s="75">
        <v>45170</v>
      </c>
      <c r="K36" s="75">
        <v>45200</v>
      </c>
      <c r="L36" s="75">
        <v>45231</v>
      </c>
      <c r="M36" s="75">
        <v>45261</v>
      </c>
      <c r="N36" s="75" t="s">
        <v>30</v>
      </c>
      <c r="O36" s="32"/>
      <c r="P36" s="33"/>
      <c r="Q36" s="33"/>
      <c r="R36" s="33"/>
      <c r="S36" s="33"/>
      <c r="T36" s="33"/>
      <c r="U36" s="33"/>
      <c r="V36" s="33"/>
    </row>
    <row r="37" spans="1:22" s="39" customFormat="1" ht="15.75" customHeight="1" x14ac:dyDescent="0.35">
      <c r="A37" s="35" t="s">
        <v>35</v>
      </c>
      <c r="B37" s="56">
        <f>SUM('Actual Cost per type'!E67:E79)</f>
        <v>0</v>
      </c>
      <c r="C37" s="56"/>
      <c r="D37" s="56"/>
      <c r="E37" s="56"/>
      <c r="F37" s="56"/>
      <c r="G37" s="56"/>
      <c r="H37" s="56"/>
      <c r="I37" s="56"/>
      <c r="J37" s="56"/>
      <c r="K37" s="57"/>
      <c r="L37" s="56"/>
      <c r="M37" s="56"/>
      <c r="N37" s="56"/>
      <c r="O37" s="37"/>
      <c r="P37" s="38"/>
      <c r="Q37" s="38"/>
      <c r="R37" s="38"/>
      <c r="S37" s="38"/>
      <c r="T37" s="38"/>
      <c r="U37" s="38"/>
      <c r="V37" s="38"/>
    </row>
    <row r="38" spans="1:22" s="39" customFormat="1" ht="15.75" customHeight="1" x14ac:dyDescent="0.35">
      <c r="A38" s="40" t="s">
        <v>36</v>
      </c>
      <c r="B38" s="56">
        <f>'Actual Cost per type'!E87</f>
        <v>0</v>
      </c>
      <c r="C38" s="56"/>
      <c r="D38" s="56"/>
      <c r="E38" s="56"/>
      <c r="F38" s="56"/>
      <c r="G38" s="57"/>
      <c r="H38" s="57"/>
      <c r="I38" s="57"/>
      <c r="J38" s="57"/>
      <c r="K38" s="57"/>
      <c r="L38" s="57"/>
      <c r="M38" s="56"/>
      <c r="N38" s="57"/>
      <c r="O38" s="37"/>
      <c r="P38" s="38"/>
      <c r="Q38" s="38"/>
      <c r="R38" s="38"/>
      <c r="S38" s="38"/>
      <c r="T38" s="38"/>
      <c r="U38" s="38"/>
      <c r="V38" s="38"/>
    </row>
    <row r="39" spans="1:22" s="39" customFormat="1" ht="15.75" customHeight="1" x14ac:dyDescent="0.35">
      <c r="A39" s="40" t="s">
        <v>37</v>
      </c>
      <c r="B39" s="56">
        <f>'Actual Cost per type'!E88</f>
        <v>0</v>
      </c>
      <c r="C39" s="56"/>
      <c r="D39" s="56"/>
      <c r="E39" s="56"/>
      <c r="F39" s="56"/>
      <c r="G39" s="57"/>
      <c r="H39" s="57"/>
      <c r="I39" s="57"/>
      <c r="J39" s="57"/>
      <c r="K39" s="57"/>
      <c r="L39" s="57"/>
      <c r="M39" s="56"/>
      <c r="N39" s="57"/>
      <c r="O39" s="37"/>
      <c r="P39" s="38"/>
      <c r="Q39" s="38"/>
      <c r="R39" s="38"/>
      <c r="S39" s="38"/>
      <c r="T39" s="38"/>
      <c r="U39" s="38"/>
      <c r="V39" s="38"/>
    </row>
    <row r="40" spans="1:22" s="39" customFormat="1" ht="15.75" customHeight="1" x14ac:dyDescent="0.35">
      <c r="A40" s="40" t="s">
        <v>38</v>
      </c>
      <c r="B40" s="56">
        <f>'Actual Cost per type'!E89</f>
        <v>0</v>
      </c>
      <c r="C40" s="56"/>
      <c r="D40" s="56"/>
      <c r="E40" s="56"/>
      <c r="F40" s="56"/>
      <c r="G40" s="57"/>
      <c r="H40" s="57"/>
      <c r="I40" s="57"/>
      <c r="J40" s="57"/>
      <c r="K40" s="57"/>
      <c r="L40" s="57"/>
      <c r="M40" s="56"/>
      <c r="N40" s="57"/>
      <c r="O40" s="37"/>
      <c r="P40" s="38"/>
      <c r="Q40" s="38"/>
      <c r="R40" s="38"/>
      <c r="S40" s="38"/>
      <c r="T40" s="38"/>
      <c r="U40" s="38"/>
      <c r="V40" s="38"/>
    </row>
    <row r="41" spans="1:22" s="39" customFormat="1" ht="15.75" customHeight="1" x14ac:dyDescent="0.35">
      <c r="A41" s="40" t="s">
        <v>39</v>
      </c>
      <c r="B41" s="56">
        <f>'Actual Cost per type'!E90</f>
        <v>0</v>
      </c>
      <c r="C41" s="56"/>
      <c r="D41" s="56"/>
      <c r="E41" s="56"/>
      <c r="F41" s="56"/>
      <c r="G41" s="57"/>
      <c r="H41" s="57"/>
      <c r="I41" s="57"/>
      <c r="J41" s="57"/>
      <c r="K41" s="57"/>
      <c r="L41" s="57"/>
      <c r="M41" s="56"/>
      <c r="N41" s="57"/>
      <c r="O41" s="37"/>
      <c r="P41" s="38"/>
      <c r="Q41" s="38"/>
      <c r="R41" s="38"/>
      <c r="S41" s="38"/>
      <c r="T41" s="38"/>
      <c r="U41" s="38"/>
      <c r="V41" s="38"/>
    </row>
    <row r="42" spans="1:22" s="39" customFormat="1" ht="15.75" customHeight="1" x14ac:dyDescent="0.35">
      <c r="A42" s="40" t="s">
        <v>40</v>
      </c>
      <c r="B42" s="56">
        <f>'Actual Cost per type'!E92</f>
        <v>0</v>
      </c>
      <c r="C42" s="56"/>
      <c r="D42" s="56"/>
      <c r="E42" s="56"/>
      <c r="F42" s="56"/>
      <c r="G42" s="57"/>
      <c r="H42" s="57"/>
      <c r="I42" s="57"/>
      <c r="J42" s="57"/>
      <c r="K42" s="57"/>
      <c r="L42" s="57"/>
      <c r="M42" s="56"/>
      <c r="N42" s="57"/>
      <c r="O42" s="37"/>
      <c r="P42" s="38"/>
      <c r="Q42" s="38"/>
      <c r="R42" s="38"/>
      <c r="S42" s="38"/>
      <c r="T42" s="38"/>
      <c r="U42" s="38"/>
      <c r="V42" s="38"/>
    </row>
    <row r="43" spans="1:22" s="39" customFormat="1" ht="15.75" customHeight="1" x14ac:dyDescent="0.35">
      <c r="A43" s="40" t="s">
        <v>41</v>
      </c>
      <c r="B43" s="56">
        <f>'Actual Cost per type'!E91</f>
        <v>0</v>
      </c>
      <c r="C43" s="56"/>
      <c r="D43" s="56"/>
      <c r="E43" s="56"/>
      <c r="F43" s="56"/>
      <c r="G43" s="57"/>
      <c r="H43" s="57"/>
      <c r="I43" s="57"/>
      <c r="J43" s="57"/>
      <c r="K43" s="57"/>
      <c r="L43" s="57"/>
      <c r="M43" s="56"/>
      <c r="N43" s="57"/>
      <c r="O43" s="37"/>
      <c r="P43" s="38"/>
      <c r="Q43" s="38"/>
      <c r="R43" s="38"/>
      <c r="S43" s="38"/>
      <c r="T43" s="38"/>
      <c r="U43" s="38"/>
      <c r="V43" s="38"/>
    </row>
    <row r="44" spans="1:22" s="39" customFormat="1" ht="15.75" customHeight="1" x14ac:dyDescent="0.35">
      <c r="A44" s="42" t="s">
        <v>42</v>
      </c>
      <c r="B44" s="56">
        <f>SUM('Actual Cost per type'!E82:E83)</f>
        <v>0</v>
      </c>
      <c r="C44" s="56"/>
      <c r="D44" s="56"/>
      <c r="E44" s="56"/>
      <c r="F44" s="56"/>
      <c r="G44" s="57"/>
      <c r="H44" s="58"/>
      <c r="I44" s="57"/>
      <c r="J44" s="58"/>
      <c r="K44" s="57"/>
      <c r="L44" s="58"/>
      <c r="M44" s="56"/>
      <c r="N44" s="58"/>
      <c r="O44" s="37"/>
      <c r="P44" s="38"/>
      <c r="Q44" s="38"/>
      <c r="R44" s="38"/>
      <c r="S44" s="38"/>
      <c r="T44" s="38"/>
      <c r="U44" s="38"/>
      <c r="V44" s="38"/>
    </row>
    <row r="45" spans="1:22" s="39" customFormat="1" ht="15.75" customHeight="1" thickBot="1" x14ac:dyDescent="0.4">
      <c r="A45" s="44" t="s">
        <v>43</v>
      </c>
      <c r="B45" s="56">
        <f>'Actual Cost per type'!E94</f>
        <v>0</v>
      </c>
      <c r="C45" s="56"/>
      <c r="D45" s="56"/>
      <c r="E45" s="56"/>
      <c r="F45" s="56"/>
      <c r="G45" s="57"/>
      <c r="H45" s="59"/>
      <c r="I45" s="57"/>
      <c r="J45" s="59"/>
      <c r="K45" s="57"/>
      <c r="L45" s="59"/>
      <c r="M45" s="56"/>
      <c r="N45" s="59"/>
      <c r="O45" s="37"/>
      <c r="P45" s="38"/>
      <c r="Q45" s="38"/>
      <c r="R45" s="38"/>
      <c r="S45" s="38"/>
      <c r="T45" s="38"/>
      <c r="U45" s="38"/>
      <c r="V45" s="38"/>
    </row>
    <row r="46" spans="1:22" s="50" customFormat="1" ht="15.75" customHeight="1" thickBot="1" x14ac:dyDescent="0.4">
      <c r="A46" s="46" t="s">
        <v>30</v>
      </c>
      <c r="B46" s="60"/>
      <c r="C46" s="60"/>
      <c r="D46" s="60"/>
      <c r="E46" s="60"/>
      <c r="F46" s="60"/>
      <c r="G46" s="60">
        <f t="shared" ref="G46:I46" si="4">SUM(G37:G45)</f>
        <v>0</v>
      </c>
      <c r="H46" s="60">
        <f t="shared" si="4"/>
        <v>0</v>
      </c>
      <c r="I46" s="60">
        <f t="shared" si="4"/>
        <v>0</v>
      </c>
      <c r="J46" s="60">
        <f>SUM(J37:J45)</f>
        <v>0</v>
      </c>
      <c r="K46" s="60">
        <f>SUM(K37:K45)</f>
        <v>0</v>
      </c>
      <c r="L46" s="60">
        <f t="shared" ref="L46:N46" si="5">SUM(L37:L45)</f>
        <v>0</v>
      </c>
      <c r="M46" s="60">
        <f t="shared" si="5"/>
        <v>0</v>
      </c>
      <c r="N46" s="60">
        <f t="shared" si="5"/>
        <v>0</v>
      </c>
      <c r="O46" s="48"/>
      <c r="P46" s="49"/>
      <c r="Q46" s="49"/>
      <c r="R46" s="49"/>
      <c r="S46" s="49"/>
      <c r="T46" s="49"/>
      <c r="U46" s="49"/>
      <c r="V46" s="49"/>
    </row>
    <row r="47" spans="1:22" s="27" customFormat="1" ht="9.75" customHeight="1" x14ac:dyDescent="0.2">
      <c r="A47" s="51"/>
      <c r="B47" s="23"/>
      <c r="C47" s="2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25"/>
      <c r="P47" s="26"/>
      <c r="Q47" s="26"/>
      <c r="R47" s="26"/>
      <c r="S47" s="26"/>
      <c r="T47" s="26"/>
      <c r="U47" s="26"/>
      <c r="V47" s="26"/>
    </row>
    <row r="48" spans="1:22" s="27" customFormat="1" ht="17.5" customHeight="1" thickBot="1" x14ac:dyDescent="0.4">
      <c r="A48" s="29" t="s">
        <v>46</v>
      </c>
      <c r="B48" s="23"/>
      <c r="C48" s="23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25"/>
      <c r="P48" s="26"/>
      <c r="Q48" s="26"/>
      <c r="R48" s="26"/>
      <c r="S48" s="26"/>
      <c r="T48" s="26"/>
      <c r="U48" s="26"/>
      <c r="V48" s="26"/>
    </row>
    <row r="49" spans="1:22" s="34" customFormat="1" ht="15.75" customHeight="1" thickBot="1" x14ac:dyDescent="0.4">
      <c r="A49" s="31" t="s">
        <v>20</v>
      </c>
      <c r="B49" s="75">
        <v>44927</v>
      </c>
      <c r="C49" s="75">
        <v>44958</v>
      </c>
      <c r="D49" s="75">
        <v>44986</v>
      </c>
      <c r="E49" s="75">
        <v>45017</v>
      </c>
      <c r="F49" s="75">
        <v>45047</v>
      </c>
      <c r="G49" s="75">
        <v>45078</v>
      </c>
      <c r="H49" s="75">
        <v>45108</v>
      </c>
      <c r="I49" s="75">
        <v>45139</v>
      </c>
      <c r="J49" s="75">
        <v>45170</v>
      </c>
      <c r="K49" s="75">
        <v>45200</v>
      </c>
      <c r="L49" s="75">
        <v>45231</v>
      </c>
      <c r="M49" s="75">
        <v>45261</v>
      </c>
      <c r="N49" s="75" t="s">
        <v>30</v>
      </c>
      <c r="O49" s="32"/>
      <c r="P49" s="33"/>
      <c r="Q49" s="33"/>
      <c r="R49" s="33"/>
      <c r="S49" s="33"/>
      <c r="T49" s="33"/>
      <c r="U49" s="33"/>
      <c r="V49" s="33"/>
    </row>
    <row r="50" spans="1:22" s="39" customFormat="1" ht="15.75" customHeight="1" x14ac:dyDescent="0.35">
      <c r="A50" s="35" t="s">
        <v>35</v>
      </c>
      <c r="B50" s="56">
        <f>SUM('Actual Cost per type'!D67:D80)</f>
        <v>0</v>
      </c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37"/>
      <c r="P50" s="38"/>
      <c r="Q50" s="38"/>
      <c r="R50" s="38"/>
      <c r="S50" s="38"/>
      <c r="T50" s="38"/>
      <c r="U50" s="38"/>
      <c r="V50" s="38"/>
    </row>
    <row r="51" spans="1:22" s="39" customFormat="1" ht="15.75" customHeight="1" x14ac:dyDescent="0.35">
      <c r="A51" s="40" t="s">
        <v>36</v>
      </c>
      <c r="B51" s="56">
        <f>'Actual Cost per type'!D87</f>
        <v>0</v>
      </c>
      <c r="C51" s="56"/>
      <c r="D51" s="56"/>
      <c r="E51" s="56"/>
      <c r="F51" s="56"/>
      <c r="G51" s="57"/>
      <c r="H51" s="57"/>
      <c r="I51" s="57"/>
      <c r="J51" s="57"/>
      <c r="K51" s="57"/>
      <c r="L51" s="57"/>
      <c r="M51" s="56"/>
      <c r="N51" s="57"/>
      <c r="O51" s="37"/>
      <c r="P51" s="38"/>
      <c r="Q51" s="38"/>
      <c r="R51" s="38"/>
      <c r="S51" s="38"/>
      <c r="T51" s="38"/>
      <c r="U51" s="38"/>
      <c r="V51" s="38"/>
    </row>
    <row r="52" spans="1:22" s="39" customFormat="1" ht="15.75" customHeight="1" x14ac:dyDescent="0.35">
      <c r="A52" s="40" t="s">
        <v>37</v>
      </c>
      <c r="B52" s="56">
        <f>'Actual Cost per type'!D88</f>
        <v>0</v>
      </c>
      <c r="C52" s="56"/>
      <c r="D52" s="56"/>
      <c r="E52" s="56"/>
      <c r="F52" s="56"/>
      <c r="G52" s="57"/>
      <c r="H52" s="57"/>
      <c r="I52" s="57"/>
      <c r="J52" s="57"/>
      <c r="K52" s="57"/>
      <c r="L52" s="57"/>
      <c r="M52" s="56"/>
      <c r="N52" s="57"/>
      <c r="O52" s="37"/>
      <c r="P52" s="38"/>
      <c r="Q52" s="38"/>
      <c r="R52" s="38"/>
      <c r="S52" s="38"/>
      <c r="T52" s="38"/>
      <c r="U52" s="38"/>
      <c r="V52" s="38"/>
    </row>
    <row r="53" spans="1:22" s="39" customFormat="1" ht="15.75" customHeight="1" x14ac:dyDescent="0.35">
      <c r="A53" s="40" t="s">
        <v>38</v>
      </c>
      <c r="B53" s="56">
        <f>'Actual Cost per type'!D89</f>
        <v>0</v>
      </c>
      <c r="C53" s="56"/>
      <c r="D53" s="56"/>
      <c r="E53" s="56"/>
      <c r="F53" s="56"/>
      <c r="G53" s="57"/>
      <c r="H53" s="57"/>
      <c r="I53" s="57"/>
      <c r="J53" s="57"/>
      <c r="K53" s="57"/>
      <c r="L53" s="57"/>
      <c r="M53" s="56"/>
      <c r="N53" s="57"/>
      <c r="O53" s="37"/>
      <c r="P53" s="38"/>
      <c r="Q53" s="38"/>
      <c r="R53" s="38"/>
      <c r="S53" s="38"/>
      <c r="T53" s="38"/>
      <c r="U53" s="38"/>
      <c r="V53" s="38"/>
    </row>
    <row r="54" spans="1:22" s="39" customFormat="1" ht="15.75" customHeight="1" x14ac:dyDescent="0.35">
      <c r="A54" s="40" t="s">
        <v>39</v>
      </c>
      <c r="B54" s="56">
        <f>'Actual Cost per type'!D90</f>
        <v>0</v>
      </c>
      <c r="C54" s="56"/>
      <c r="D54" s="56"/>
      <c r="E54" s="56"/>
      <c r="F54" s="56"/>
      <c r="G54" s="57"/>
      <c r="H54" s="57"/>
      <c r="I54" s="57"/>
      <c r="J54" s="57"/>
      <c r="K54" s="57"/>
      <c r="L54" s="57"/>
      <c r="M54" s="56"/>
      <c r="N54" s="57"/>
      <c r="O54" s="37"/>
      <c r="P54" s="38"/>
      <c r="Q54" s="38"/>
      <c r="R54" s="38"/>
      <c r="S54" s="38"/>
      <c r="T54" s="38"/>
      <c r="U54" s="38"/>
      <c r="V54" s="38"/>
    </row>
    <row r="55" spans="1:22" s="39" customFormat="1" ht="15.75" customHeight="1" x14ac:dyDescent="0.35">
      <c r="A55" s="40" t="s">
        <v>40</v>
      </c>
      <c r="B55" s="56">
        <f>'Actual Cost per type'!E92</f>
        <v>0</v>
      </c>
      <c r="C55" s="56"/>
      <c r="D55" s="56"/>
      <c r="E55" s="56"/>
      <c r="F55" s="56"/>
      <c r="G55" s="57"/>
      <c r="H55" s="57"/>
      <c r="I55" s="57"/>
      <c r="J55" s="57"/>
      <c r="K55" s="57"/>
      <c r="L55" s="57"/>
      <c r="M55" s="56"/>
      <c r="N55" s="57"/>
      <c r="O55" s="37"/>
      <c r="P55" s="38"/>
      <c r="Q55" s="38"/>
      <c r="R55" s="38"/>
      <c r="S55" s="38"/>
      <c r="T55" s="38"/>
      <c r="U55" s="38"/>
      <c r="V55" s="38"/>
    </row>
    <row r="56" spans="1:22" s="39" customFormat="1" ht="15.75" customHeight="1" x14ac:dyDescent="0.35">
      <c r="A56" s="40" t="s">
        <v>41</v>
      </c>
      <c r="B56" s="56">
        <f>'Actual Cost per type'!D91</f>
        <v>0</v>
      </c>
      <c r="C56" s="56"/>
      <c r="D56" s="56"/>
      <c r="E56" s="56"/>
      <c r="F56" s="56"/>
      <c r="G56" s="57"/>
      <c r="H56" s="57"/>
      <c r="I56" s="57"/>
      <c r="J56" s="57"/>
      <c r="K56" s="57"/>
      <c r="L56" s="57"/>
      <c r="M56" s="56"/>
      <c r="N56" s="57"/>
      <c r="O56" s="37"/>
      <c r="P56" s="38"/>
      <c r="Q56" s="38"/>
      <c r="R56" s="38"/>
      <c r="S56" s="38"/>
      <c r="T56" s="38"/>
      <c r="U56" s="38"/>
      <c r="V56" s="38"/>
    </row>
    <row r="57" spans="1:22" s="39" customFormat="1" ht="15.75" customHeight="1" x14ac:dyDescent="0.35">
      <c r="A57" s="42" t="s">
        <v>42</v>
      </c>
      <c r="B57" s="56">
        <f>SUM('Actual Cost per type'!D82:D83)</f>
        <v>0</v>
      </c>
      <c r="C57" s="56"/>
      <c r="D57" s="56"/>
      <c r="E57" s="56"/>
      <c r="F57" s="56"/>
      <c r="G57" s="57"/>
      <c r="H57" s="58"/>
      <c r="I57" s="57"/>
      <c r="J57" s="57"/>
      <c r="K57" s="57"/>
      <c r="L57" s="58"/>
      <c r="M57" s="56"/>
      <c r="N57" s="58"/>
      <c r="O57" s="37"/>
      <c r="P57" s="38"/>
      <c r="Q57" s="38"/>
      <c r="R57" s="38"/>
      <c r="S57" s="38"/>
      <c r="T57" s="38"/>
      <c r="U57" s="38"/>
      <c r="V57" s="38"/>
    </row>
    <row r="58" spans="1:22" s="39" customFormat="1" ht="15.75" customHeight="1" thickBot="1" x14ac:dyDescent="0.4">
      <c r="A58" s="44" t="s">
        <v>43</v>
      </c>
      <c r="B58" s="56">
        <f>'Actual Cost per type'!D94</f>
        <v>0</v>
      </c>
      <c r="C58" s="56"/>
      <c r="D58" s="56"/>
      <c r="E58" s="56"/>
      <c r="F58" s="56"/>
      <c r="G58" s="57"/>
      <c r="H58" s="59"/>
      <c r="I58" s="57"/>
      <c r="J58" s="57"/>
      <c r="K58" s="57"/>
      <c r="L58" s="59"/>
      <c r="M58" s="56"/>
      <c r="N58" s="59"/>
      <c r="O58" s="37"/>
      <c r="P58" s="38"/>
      <c r="Q58" s="38"/>
      <c r="R58" s="38"/>
      <c r="S58" s="38"/>
      <c r="T58" s="38"/>
      <c r="U58" s="38"/>
      <c r="V58" s="38"/>
    </row>
    <row r="59" spans="1:22" s="50" customFormat="1" ht="15.75" customHeight="1" thickBot="1" x14ac:dyDescent="0.4">
      <c r="A59" s="46" t="s">
        <v>30</v>
      </c>
      <c r="B59" s="60"/>
      <c r="C59" s="60"/>
      <c r="D59" s="60"/>
      <c r="E59" s="60"/>
      <c r="F59" s="60"/>
      <c r="G59" s="60">
        <f t="shared" ref="G59:I59" si="6">SUM(G50:G58)</f>
        <v>0</v>
      </c>
      <c r="H59" s="60">
        <f t="shared" si="6"/>
        <v>0</v>
      </c>
      <c r="I59" s="60">
        <f t="shared" si="6"/>
        <v>0</v>
      </c>
      <c r="J59" s="60">
        <f>SUM(J50:J58)</f>
        <v>0</v>
      </c>
      <c r="K59" s="60">
        <f>SUM(K50:K58)</f>
        <v>0</v>
      </c>
      <c r="L59" s="60">
        <f t="shared" ref="L59:N59" si="7">SUM(L50:L58)</f>
        <v>0</v>
      </c>
      <c r="M59" s="60">
        <f t="shared" si="7"/>
        <v>0</v>
      </c>
      <c r="N59" s="60">
        <f t="shared" si="7"/>
        <v>0</v>
      </c>
      <c r="O59" s="48"/>
      <c r="P59" s="49"/>
      <c r="Q59" s="49"/>
      <c r="R59" s="49"/>
      <c r="S59" s="49"/>
      <c r="T59" s="49"/>
      <c r="U59" s="49"/>
      <c r="V59" s="49"/>
    </row>
    <row r="60" spans="1:22" s="27" customFormat="1" ht="9.75" customHeight="1" x14ac:dyDescent="0.2">
      <c r="A60" s="51"/>
      <c r="B60" s="23"/>
      <c r="C60" s="23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25"/>
      <c r="P60" s="26"/>
      <c r="Q60" s="26"/>
      <c r="R60" s="26"/>
      <c r="S60" s="26"/>
      <c r="T60" s="26"/>
      <c r="U60" s="26"/>
      <c r="V60" s="26"/>
    </row>
    <row r="61" spans="1:22" s="27" customFormat="1" ht="17.5" customHeight="1" thickBot="1" x14ac:dyDescent="0.4">
      <c r="A61" s="29" t="s">
        <v>47</v>
      </c>
      <c r="B61" s="23"/>
      <c r="C61" s="23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25"/>
      <c r="P61" s="26"/>
      <c r="Q61" s="26"/>
      <c r="R61" s="26"/>
      <c r="S61" s="26"/>
      <c r="T61" s="26"/>
      <c r="U61" s="26"/>
      <c r="V61" s="26"/>
    </row>
    <row r="62" spans="1:22" s="34" customFormat="1" ht="15.75" customHeight="1" thickBot="1" x14ac:dyDescent="0.4">
      <c r="A62" s="31" t="s">
        <v>20</v>
      </c>
      <c r="B62" s="75">
        <v>44927</v>
      </c>
      <c r="C62" s="75">
        <v>44958</v>
      </c>
      <c r="D62" s="75">
        <v>44986</v>
      </c>
      <c r="E62" s="75">
        <v>45017</v>
      </c>
      <c r="F62" s="75">
        <v>45047</v>
      </c>
      <c r="G62" s="75">
        <v>45078</v>
      </c>
      <c r="H62" s="75">
        <v>45108</v>
      </c>
      <c r="I62" s="75">
        <v>45139</v>
      </c>
      <c r="J62" s="75">
        <v>45170</v>
      </c>
      <c r="K62" s="75">
        <v>45200</v>
      </c>
      <c r="L62" s="75">
        <v>45231</v>
      </c>
      <c r="M62" s="75">
        <v>45261</v>
      </c>
      <c r="N62" s="75" t="s">
        <v>30</v>
      </c>
      <c r="O62" s="32"/>
      <c r="P62" s="33"/>
      <c r="Q62" s="33"/>
      <c r="R62" s="33"/>
      <c r="S62" s="33"/>
      <c r="T62" s="33"/>
      <c r="U62" s="33"/>
      <c r="V62" s="33"/>
    </row>
    <row r="63" spans="1:22" s="39" customFormat="1" ht="15.75" customHeight="1" x14ac:dyDescent="0.35">
      <c r="A63" s="35" t="s">
        <v>35</v>
      </c>
      <c r="B63" s="69">
        <f>SUM('Actual Cost per type'!C67:C80)</f>
        <v>0</v>
      </c>
      <c r="C63" s="69"/>
      <c r="D63" s="69"/>
      <c r="E63" s="69"/>
      <c r="F63" s="69"/>
      <c r="G63" s="69"/>
      <c r="H63" s="69">
        <f>SUM('Actual Cost per type'!G67:G80)</f>
        <v>0</v>
      </c>
      <c r="I63" s="69"/>
      <c r="J63" s="69"/>
      <c r="K63" s="69"/>
      <c r="L63" s="69"/>
      <c r="M63" s="69"/>
      <c r="N63" s="69">
        <f>SUM(B63:M63)</f>
        <v>0</v>
      </c>
      <c r="O63" s="37"/>
      <c r="P63" s="38"/>
      <c r="Q63" s="38"/>
      <c r="R63" s="38"/>
      <c r="S63" s="38"/>
      <c r="T63" s="38"/>
      <c r="U63" s="38"/>
      <c r="V63" s="38"/>
    </row>
    <row r="64" spans="1:22" s="39" customFormat="1" ht="15.75" customHeight="1" x14ac:dyDescent="0.35">
      <c r="A64" s="40" t="s">
        <v>36</v>
      </c>
      <c r="B64" s="69">
        <f>'Actual Cost per type'!C87</f>
        <v>0</v>
      </c>
      <c r="C64" s="69"/>
      <c r="D64" s="69"/>
      <c r="E64" s="69"/>
      <c r="F64" s="69"/>
      <c r="G64" s="69"/>
      <c r="H64" s="69">
        <f>'Actual Cost per type'!G87</f>
        <v>0</v>
      </c>
      <c r="I64" s="69"/>
      <c r="J64" s="69"/>
      <c r="K64" s="69"/>
      <c r="L64" s="69"/>
      <c r="M64" s="69"/>
      <c r="N64" s="69">
        <f t="shared" ref="N64:N71" si="8">SUM(B64:M64)</f>
        <v>0</v>
      </c>
      <c r="O64" s="37"/>
      <c r="P64" s="38"/>
      <c r="Q64" s="38"/>
      <c r="R64" s="38"/>
      <c r="S64" s="38"/>
      <c r="T64" s="38"/>
      <c r="U64" s="38"/>
      <c r="V64" s="38"/>
    </row>
    <row r="65" spans="1:22" s="39" customFormat="1" ht="15.75" customHeight="1" x14ac:dyDescent="0.35">
      <c r="A65" s="40" t="s">
        <v>37</v>
      </c>
      <c r="B65" s="69">
        <f>'Actual Cost per type'!C88</f>
        <v>0</v>
      </c>
      <c r="C65" s="69"/>
      <c r="D65" s="69"/>
      <c r="E65" s="69"/>
      <c r="F65" s="69"/>
      <c r="G65" s="69"/>
      <c r="H65" s="69">
        <f>'Actual Cost per type'!G88</f>
        <v>0</v>
      </c>
      <c r="I65" s="69"/>
      <c r="J65" s="69"/>
      <c r="K65" s="69"/>
      <c r="L65" s="69"/>
      <c r="M65" s="69"/>
      <c r="N65" s="69">
        <f t="shared" si="8"/>
        <v>0</v>
      </c>
      <c r="O65" s="37"/>
      <c r="P65" s="38"/>
      <c r="Q65" s="38"/>
      <c r="R65" s="38"/>
      <c r="S65" s="38"/>
      <c r="T65" s="38"/>
      <c r="U65" s="38"/>
      <c r="V65" s="38"/>
    </row>
    <row r="66" spans="1:22" s="39" customFormat="1" ht="15.75" customHeight="1" x14ac:dyDescent="0.35">
      <c r="A66" s="40" t="s">
        <v>38</v>
      </c>
      <c r="B66" s="69">
        <f>'Actual Cost per type'!C89</f>
        <v>0</v>
      </c>
      <c r="C66" s="69"/>
      <c r="D66" s="69"/>
      <c r="E66" s="69"/>
      <c r="F66" s="69"/>
      <c r="G66" s="69"/>
      <c r="H66" s="69">
        <f>'Actual Cost per type'!G89</f>
        <v>0</v>
      </c>
      <c r="I66" s="69"/>
      <c r="J66" s="69"/>
      <c r="K66" s="69"/>
      <c r="L66" s="69"/>
      <c r="M66" s="69"/>
      <c r="N66" s="69">
        <f t="shared" si="8"/>
        <v>0</v>
      </c>
      <c r="O66" s="37"/>
      <c r="P66" s="38"/>
      <c r="Q66" s="38"/>
      <c r="R66" s="38"/>
      <c r="S66" s="38"/>
      <c r="T66" s="38"/>
      <c r="U66" s="38"/>
      <c r="V66" s="38"/>
    </row>
    <row r="67" spans="1:22" s="39" customFormat="1" ht="15.75" customHeight="1" x14ac:dyDescent="0.35">
      <c r="A67" s="40" t="s">
        <v>39</v>
      </c>
      <c r="B67" s="69">
        <f>'Actual Cost per type'!C90</f>
        <v>0</v>
      </c>
      <c r="C67" s="69"/>
      <c r="D67" s="69"/>
      <c r="E67" s="69"/>
      <c r="F67" s="69"/>
      <c r="G67" s="69"/>
      <c r="H67" s="69">
        <f>'Actual Cost per type'!G90</f>
        <v>0</v>
      </c>
      <c r="I67" s="69"/>
      <c r="J67" s="69"/>
      <c r="K67" s="69"/>
      <c r="L67" s="69"/>
      <c r="M67" s="69"/>
      <c r="N67" s="69">
        <f t="shared" si="8"/>
        <v>0</v>
      </c>
      <c r="O67" s="37"/>
      <c r="P67" s="38"/>
      <c r="Q67" s="38"/>
      <c r="R67" s="38"/>
      <c r="S67" s="38"/>
      <c r="T67" s="38"/>
      <c r="U67" s="38"/>
      <c r="V67" s="38"/>
    </row>
    <row r="68" spans="1:22" s="39" customFormat="1" ht="15.75" customHeight="1" x14ac:dyDescent="0.35">
      <c r="A68" s="40" t="s">
        <v>40</v>
      </c>
      <c r="B68" s="69">
        <f>'Actual Cost per type'!C92</f>
        <v>0</v>
      </c>
      <c r="C68" s="69"/>
      <c r="D68" s="69"/>
      <c r="E68" s="69"/>
      <c r="F68" s="69"/>
      <c r="G68" s="69"/>
      <c r="H68" s="69">
        <f>'Actual Cost per type'!G92</f>
        <v>0</v>
      </c>
      <c r="I68" s="69"/>
      <c r="J68" s="69"/>
      <c r="K68" s="69"/>
      <c r="L68" s="69"/>
      <c r="M68" s="69"/>
      <c r="N68" s="69">
        <f>SUM(B68:M68)</f>
        <v>0</v>
      </c>
      <c r="O68" s="37"/>
      <c r="P68" s="38"/>
      <c r="Q68" s="38"/>
      <c r="R68" s="38"/>
      <c r="S68" s="38"/>
      <c r="T68" s="38"/>
      <c r="U68" s="38"/>
      <c r="V68" s="38"/>
    </row>
    <row r="69" spans="1:22" s="39" customFormat="1" ht="15.75" customHeight="1" x14ac:dyDescent="0.35">
      <c r="A69" s="40" t="s">
        <v>41</v>
      </c>
      <c r="B69" s="69">
        <f>'Actual Cost per type'!C91</f>
        <v>0</v>
      </c>
      <c r="C69" s="69"/>
      <c r="D69" s="69"/>
      <c r="E69" s="69"/>
      <c r="F69" s="69"/>
      <c r="G69" s="69"/>
      <c r="H69" s="69">
        <f>'Actual Cost per type'!G91</f>
        <v>0</v>
      </c>
      <c r="I69" s="69"/>
      <c r="J69" s="69"/>
      <c r="K69" s="69"/>
      <c r="L69" s="69"/>
      <c r="M69" s="69"/>
      <c r="N69" s="69">
        <f t="shared" si="8"/>
        <v>0</v>
      </c>
      <c r="O69" s="37"/>
      <c r="P69" s="38"/>
      <c r="Q69" s="38"/>
      <c r="R69" s="38"/>
      <c r="S69" s="38"/>
      <c r="T69" s="38"/>
      <c r="U69" s="38"/>
      <c r="V69" s="38"/>
    </row>
    <row r="70" spans="1:22" s="39" customFormat="1" ht="15.75" customHeight="1" x14ac:dyDescent="0.35">
      <c r="A70" s="42" t="s">
        <v>42</v>
      </c>
      <c r="B70" s="69">
        <f>SUM('Actual Cost per type'!C82:C83)</f>
        <v>0</v>
      </c>
      <c r="C70" s="69"/>
      <c r="D70" s="69"/>
      <c r="E70" s="69"/>
      <c r="F70" s="69"/>
      <c r="G70" s="69"/>
      <c r="H70" s="69">
        <f>SUM('Actual Cost per type'!G82:G83)</f>
        <v>0</v>
      </c>
      <c r="I70" s="69"/>
      <c r="J70" s="69"/>
      <c r="K70" s="69"/>
      <c r="L70" s="69"/>
      <c r="M70" s="69"/>
      <c r="N70" s="69">
        <f t="shared" si="8"/>
        <v>0</v>
      </c>
      <c r="O70" s="37"/>
      <c r="P70" s="38"/>
      <c r="Q70" s="38"/>
      <c r="R70" s="38"/>
      <c r="S70" s="38"/>
      <c r="T70" s="38"/>
      <c r="U70" s="38"/>
      <c r="V70" s="38"/>
    </row>
    <row r="71" spans="1:22" s="39" customFormat="1" ht="15.75" customHeight="1" thickBot="1" x14ac:dyDescent="0.4">
      <c r="A71" s="44" t="s">
        <v>43</v>
      </c>
      <c r="B71" s="69">
        <f>'Actual Cost per type'!C94</f>
        <v>0</v>
      </c>
      <c r="C71" s="69"/>
      <c r="D71" s="69"/>
      <c r="E71" s="69"/>
      <c r="F71" s="69"/>
      <c r="G71" s="69"/>
      <c r="H71" s="69">
        <f>'Actual Cost Marine'!G15</f>
        <v>0</v>
      </c>
      <c r="I71" s="69"/>
      <c r="J71" s="69"/>
      <c r="K71" s="69"/>
      <c r="L71" s="69"/>
      <c r="M71" s="69"/>
      <c r="N71" s="69">
        <f t="shared" si="8"/>
        <v>0</v>
      </c>
      <c r="O71" s="37"/>
      <c r="P71" s="38"/>
      <c r="Q71" s="38"/>
      <c r="R71" s="38"/>
      <c r="S71" s="38"/>
      <c r="T71" s="38"/>
      <c r="U71" s="38"/>
      <c r="V71" s="38"/>
    </row>
    <row r="72" spans="1:22" s="50" customFormat="1" ht="15.75" customHeight="1" thickBot="1" x14ac:dyDescent="0.4">
      <c r="A72" s="46" t="s">
        <v>30</v>
      </c>
      <c r="B72" s="70"/>
      <c r="C72" s="70"/>
      <c r="D72" s="70"/>
      <c r="E72" s="70"/>
      <c r="F72" s="70"/>
      <c r="G72" s="70">
        <f t="shared" ref="G72" si="9">SUM(G63:G71)</f>
        <v>0</v>
      </c>
      <c r="H72" s="70">
        <f t="shared" ref="H72:I72" si="10">SUM(H63:H71)</f>
        <v>0</v>
      </c>
      <c r="I72" s="70">
        <f t="shared" si="10"/>
        <v>0</v>
      </c>
      <c r="J72" s="70">
        <f>SUM(J63:J71)</f>
        <v>0</v>
      </c>
      <c r="K72" s="70">
        <f>SUM(K63:K71)</f>
        <v>0</v>
      </c>
      <c r="L72" s="70">
        <f t="shared" ref="L72:N72" si="11">SUM(L63:L71)</f>
        <v>0</v>
      </c>
      <c r="M72" s="70">
        <f t="shared" si="11"/>
        <v>0</v>
      </c>
      <c r="N72" s="70">
        <f t="shared" si="11"/>
        <v>0</v>
      </c>
      <c r="O72" s="48"/>
      <c r="P72" s="49"/>
      <c r="Q72" s="49"/>
      <c r="R72" s="49"/>
      <c r="S72" s="49"/>
      <c r="T72" s="49"/>
      <c r="U72" s="49"/>
      <c r="V72" s="49"/>
    </row>
    <row r="73" spans="1:22" s="27" customFormat="1" ht="9.15" customHeight="1" x14ac:dyDescent="0.2">
      <c r="A73" s="5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5"/>
      <c r="P73" s="26"/>
      <c r="Q73" s="26"/>
      <c r="R73" s="26"/>
      <c r="S73" s="26"/>
      <c r="T73" s="26"/>
      <c r="U73" s="26"/>
      <c r="V73" s="26"/>
    </row>
    <row r="74" spans="1:22" s="27" customFormat="1" ht="9.15" customHeight="1" x14ac:dyDescent="0.2">
      <c r="A74" s="5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5"/>
      <c r="P74" s="26"/>
      <c r="Q74" s="26"/>
      <c r="R74" s="26"/>
      <c r="S74" s="26"/>
      <c r="T74" s="26"/>
      <c r="U74" s="26"/>
      <c r="V74" s="26"/>
    </row>
    <row r="75" spans="1:22" s="27" customFormat="1" ht="9.15" customHeight="1" x14ac:dyDescent="0.2">
      <c r="A75" s="5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5"/>
      <c r="P75" s="26"/>
      <c r="Q75" s="26"/>
      <c r="R75" s="26"/>
      <c r="S75" s="26"/>
      <c r="T75" s="26"/>
      <c r="U75" s="26"/>
      <c r="V75" s="26"/>
    </row>
    <row r="76" spans="1:22" s="27" customFormat="1" ht="9.15" customHeight="1" x14ac:dyDescent="0.2">
      <c r="A76" s="5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5"/>
      <c r="P76" s="26"/>
      <c r="Q76" s="26"/>
      <c r="R76" s="26"/>
      <c r="S76" s="26"/>
      <c r="T76" s="26"/>
      <c r="U76" s="26"/>
      <c r="V76" s="26"/>
    </row>
    <row r="77" spans="1:22" s="27" customFormat="1" ht="9.15" customHeight="1" x14ac:dyDescent="0.2">
      <c r="A77" s="5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5"/>
      <c r="P77" s="26"/>
      <c r="Q77" s="26"/>
      <c r="R77" s="26"/>
      <c r="S77" s="26"/>
      <c r="T77" s="26"/>
      <c r="U77" s="26"/>
      <c r="V77" s="26"/>
    </row>
    <row r="78" spans="1:22" s="27" customFormat="1" ht="9.15" customHeight="1" x14ac:dyDescent="0.2">
      <c r="A78" s="5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5"/>
      <c r="P78" s="26"/>
      <c r="Q78" s="26"/>
      <c r="R78" s="26"/>
      <c r="S78" s="26"/>
      <c r="T78" s="26"/>
      <c r="U78" s="26"/>
      <c r="V78" s="26"/>
    </row>
    <row r="79" spans="1:22" s="27" customFormat="1" ht="9.15" customHeight="1" x14ac:dyDescent="0.2">
      <c r="A79" s="5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5"/>
      <c r="P79" s="26"/>
      <c r="Q79" s="26"/>
      <c r="R79" s="26"/>
      <c r="S79" s="26"/>
      <c r="T79" s="26"/>
      <c r="U79" s="26"/>
      <c r="V79" s="26"/>
    </row>
    <row r="80" spans="1:22" s="27" customFormat="1" ht="9.15" customHeight="1" x14ac:dyDescent="0.2">
      <c r="A80" s="5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5"/>
      <c r="P80" s="26"/>
      <c r="Q80" s="26"/>
      <c r="R80" s="26"/>
      <c r="S80" s="26"/>
      <c r="T80" s="26"/>
      <c r="U80" s="26"/>
      <c r="V80" s="26"/>
    </row>
    <row r="81" spans="1:22" s="27" customFormat="1" ht="9.15" customHeight="1" x14ac:dyDescent="0.2">
      <c r="A81" s="5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5"/>
      <c r="P81" s="26"/>
      <c r="Q81" s="26"/>
      <c r="R81" s="26"/>
      <c r="S81" s="26"/>
      <c r="T81" s="26"/>
      <c r="U81" s="26"/>
      <c r="V81" s="26"/>
    </row>
    <row r="82" spans="1:22" ht="9.15" customHeight="1" x14ac:dyDescent="0.2">
      <c r="A82" s="5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5"/>
      <c r="P82" s="26"/>
      <c r="Q82" s="26"/>
      <c r="R82" s="26"/>
      <c r="S82" s="26"/>
      <c r="T82" s="26"/>
      <c r="U82" s="26"/>
      <c r="V82" s="26"/>
    </row>
    <row r="83" spans="1:22" ht="9.15" customHeight="1" x14ac:dyDescent="0.2">
      <c r="A83" s="5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5"/>
      <c r="P83" s="26"/>
      <c r="Q83" s="26"/>
      <c r="R83" s="26"/>
      <c r="S83" s="26"/>
      <c r="T83" s="26"/>
      <c r="U83" s="26"/>
      <c r="V83" s="26"/>
    </row>
    <row r="84" spans="1:22" ht="9.15" customHeight="1" x14ac:dyDescent="0.2">
      <c r="A84" s="5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5"/>
      <c r="P84" s="26"/>
      <c r="Q84" s="26"/>
      <c r="R84" s="26"/>
      <c r="S84" s="26"/>
      <c r="T84" s="26"/>
      <c r="U84" s="26"/>
      <c r="V84" s="26"/>
    </row>
    <row r="85" spans="1:22" ht="9.15" customHeight="1" x14ac:dyDescent="0.2">
      <c r="A85" s="5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5"/>
      <c r="P85" s="26"/>
      <c r="Q85" s="26"/>
      <c r="R85" s="26"/>
      <c r="S85" s="26"/>
      <c r="T85" s="26"/>
      <c r="U85" s="26"/>
      <c r="V85" s="26"/>
    </row>
    <row r="86" spans="1:22" ht="9.15" customHeight="1" x14ac:dyDescent="0.2">
      <c r="A86" s="5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5"/>
      <c r="P86" s="26"/>
      <c r="Q86" s="26"/>
      <c r="R86" s="26"/>
      <c r="S86" s="26"/>
      <c r="T86" s="26"/>
      <c r="U86" s="26"/>
      <c r="V86" s="26"/>
    </row>
    <row r="87" spans="1:22" ht="9.15" customHeight="1" x14ac:dyDescent="0.2">
      <c r="A87" s="5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5"/>
      <c r="P87" s="26"/>
      <c r="Q87" s="26"/>
      <c r="R87" s="26"/>
      <c r="S87" s="26"/>
      <c r="T87" s="26"/>
      <c r="U87" s="26"/>
      <c r="V87" s="26"/>
    </row>
    <row r="88" spans="1:22" ht="9.15" customHeight="1" x14ac:dyDescent="0.2">
      <c r="A88" s="5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5"/>
      <c r="P88" s="26"/>
      <c r="Q88" s="26"/>
      <c r="R88" s="26"/>
      <c r="S88" s="26"/>
      <c r="T88" s="26"/>
      <c r="U88" s="26"/>
      <c r="V88" s="26"/>
    </row>
    <row r="89" spans="1:22" ht="9.15" customHeight="1" x14ac:dyDescent="0.2">
      <c r="A89" s="5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5"/>
      <c r="P89" s="26"/>
      <c r="Q89" s="26"/>
      <c r="R89" s="26"/>
      <c r="S89" s="26"/>
      <c r="T89" s="26"/>
      <c r="U89" s="26"/>
      <c r="V89" s="26"/>
    </row>
    <row r="90" spans="1:22" ht="9.15" customHeight="1" x14ac:dyDescent="0.2">
      <c r="A90" s="5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5"/>
      <c r="P90" s="26"/>
      <c r="Q90" s="26"/>
      <c r="R90" s="26"/>
      <c r="S90" s="26"/>
      <c r="T90" s="26"/>
      <c r="U90" s="26"/>
      <c r="V90" s="26"/>
    </row>
    <row r="91" spans="1:22" x14ac:dyDescent="0.2">
      <c r="A91" s="5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5"/>
      <c r="P91" s="26"/>
      <c r="Q91" s="26"/>
      <c r="R91" s="26"/>
      <c r="S91" s="26"/>
      <c r="T91" s="26"/>
      <c r="U91" s="26"/>
      <c r="V91" s="26"/>
    </row>
    <row r="92" spans="1:22" x14ac:dyDescent="0.2">
      <c r="A92" s="5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5"/>
      <c r="P92" s="26"/>
      <c r="Q92" s="26"/>
      <c r="R92" s="26"/>
      <c r="S92" s="26"/>
      <c r="T92" s="26"/>
      <c r="U92" s="26"/>
      <c r="V92" s="26"/>
    </row>
    <row r="93" spans="1:22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5"/>
      <c r="P93" s="26"/>
      <c r="Q93" s="26"/>
      <c r="R93" s="26"/>
      <c r="S93" s="26"/>
      <c r="T93" s="26"/>
      <c r="U93" s="26"/>
      <c r="V93" s="26"/>
    </row>
    <row r="94" spans="1:22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6"/>
      <c r="Q94" s="26"/>
      <c r="R94" s="26"/>
      <c r="S94" s="26"/>
      <c r="T94" s="26"/>
      <c r="U94" s="26"/>
      <c r="V94" s="26"/>
    </row>
    <row r="95" spans="1:22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6"/>
      <c r="Q95" s="26"/>
      <c r="R95" s="26"/>
      <c r="S95" s="26"/>
      <c r="T95" s="26"/>
      <c r="U95" s="26"/>
      <c r="V95" s="26"/>
    </row>
    <row r="96" spans="1:22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6"/>
      <c r="Q96" s="26"/>
      <c r="R96" s="26"/>
      <c r="S96" s="26"/>
      <c r="T96" s="26"/>
      <c r="U96" s="26"/>
      <c r="V96" s="26"/>
    </row>
    <row r="97" spans="1:22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6"/>
      <c r="Q97" s="26"/>
      <c r="R97" s="26"/>
      <c r="S97" s="26"/>
      <c r="T97" s="26"/>
      <c r="U97" s="26"/>
      <c r="V97" s="26"/>
    </row>
    <row r="98" spans="1:22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 spans="1:22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</row>
    <row r="100" spans="1:22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</row>
    <row r="101" spans="1:22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 spans="1:22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</row>
    <row r="103" spans="1:22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 spans="1:22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</row>
    <row r="105" spans="1:22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</row>
    <row r="106" spans="1:22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 spans="1:22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</row>
    <row r="108" spans="1:22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 spans="1:22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 spans="1:22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</sheetData>
  <mergeCells count="3">
    <mergeCell ref="D3:N4"/>
    <mergeCell ref="D5:N5"/>
    <mergeCell ref="H7:J8"/>
  </mergeCells>
  <conditionalFormatting sqref="B19:D19">
    <cfRule type="cellIs" dxfId="103" priority="48" stopIfTrue="1" operator="equal">
      <formula>0</formula>
    </cfRule>
  </conditionalFormatting>
  <conditionalFormatting sqref="B46">
    <cfRule type="cellIs" dxfId="102" priority="47" stopIfTrue="1" operator="equal">
      <formula>0</formula>
    </cfRule>
  </conditionalFormatting>
  <conditionalFormatting sqref="B32:C32">
    <cfRule type="cellIs" dxfId="101" priority="46" stopIfTrue="1" operator="equal">
      <formula>0</formula>
    </cfRule>
  </conditionalFormatting>
  <conditionalFormatting sqref="B59">
    <cfRule type="cellIs" dxfId="100" priority="45" stopIfTrue="1" operator="equal">
      <formula>0</formula>
    </cfRule>
  </conditionalFormatting>
  <conditionalFormatting sqref="C46">
    <cfRule type="cellIs" dxfId="99" priority="44" stopIfTrue="1" operator="equal">
      <formula>0</formula>
    </cfRule>
  </conditionalFormatting>
  <conditionalFormatting sqref="C59">
    <cfRule type="cellIs" dxfId="98" priority="43" stopIfTrue="1" operator="equal">
      <formula>0</formula>
    </cfRule>
  </conditionalFormatting>
  <conditionalFormatting sqref="E19">
    <cfRule type="cellIs" dxfId="97" priority="42" stopIfTrue="1" operator="equal">
      <formula>0</formula>
    </cfRule>
  </conditionalFormatting>
  <conditionalFormatting sqref="D32:E32">
    <cfRule type="cellIs" dxfId="96" priority="41" stopIfTrue="1" operator="equal">
      <formula>0</formula>
    </cfRule>
  </conditionalFormatting>
  <conditionalFormatting sqref="D46">
    <cfRule type="cellIs" dxfId="95" priority="40" stopIfTrue="1" operator="equal">
      <formula>0</formula>
    </cfRule>
  </conditionalFormatting>
  <conditionalFormatting sqref="E46">
    <cfRule type="cellIs" dxfId="94" priority="39" stopIfTrue="1" operator="equal">
      <formula>0</formula>
    </cfRule>
  </conditionalFormatting>
  <conditionalFormatting sqref="D59">
    <cfRule type="cellIs" dxfId="93" priority="38" stopIfTrue="1" operator="equal">
      <formula>0</formula>
    </cfRule>
  </conditionalFormatting>
  <conditionalFormatting sqref="E59">
    <cfRule type="cellIs" dxfId="92" priority="37" stopIfTrue="1" operator="equal">
      <formula>0</formula>
    </cfRule>
  </conditionalFormatting>
  <conditionalFormatting sqref="G19">
    <cfRule type="cellIs" dxfId="91" priority="35" stopIfTrue="1" operator="equal">
      <formula>0</formula>
    </cfRule>
  </conditionalFormatting>
  <conditionalFormatting sqref="G32">
    <cfRule type="cellIs" dxfId="90" priority="34" stopIfTrue="1" operator="equal">
      <formula>0</formula>
    </cfRule>
  </conditionalFormatting>
  <conditionalFormatting sqref="G46">
    <cfRule type="cellIs" dxfId="89" priority="32" stopIfTrue="1" operator="equal">
      <formula>0</formula>
    </cfRule>
  </conditionalFormatting>
  <conditionalFormatting sqref="G59">
    <cfRule type="cellIs" dxfId="88" priority="30" stopIfTrue="1" operator="equal">
      <formula>0</formula>
    </cfRule>
  </conditionalFormatting>
  <conditionalFormatting sqref="H46">
    <cfRule type="cellIs" dxfId="87" priority="26" stopIfTrue="1" operator="equal">
      <formula>0</formula>
    </cfRule>
  </conditionalFormatting>
  <conditionalFormatting sqref="I46">
    <cfRule type="cellIs" dxfId="86" priority="25" stopIfTrue="1" operator="equal">
      <formula>0</formula>
    </cfRule>
  </conditionalFormatting>
  <conditionalFormatting sqref="H19">
    <cfRule type="cellIs" dxfId="85" priority="29" stopIfTrue="1" operator="equal">
      <formula>0</formula>
    </cfRule>
  </conditionalFormatting>
  <conditionalFormatting sqref="I19">
    <cfRule type="cellIs" dxfId="84" priority="28" stopIfTrue="1" operator="equal">
      <formula>0</formula>
    </cfRule>
  </conditionalFormatting>
  <conditionalFormatting sqref="H32:I32">
    <cfRule type="cellIs" dxfId="83" priority="27" stopIfTrue="1" operator="equal">
      <formula>0</formula>
    </cfRule>
  </conditionalFormatting>
  <conditionalFormatting sqref="H59">
    <cfRule type="cellIs" dxfId="82" priority="24" stopIfTrue="1" operator="equal">
      <formula>0</formula>
    </cfRule>
  </conditionalFormatting>
  <conditionalFormatting sqref="I59">
    <cfRule type="cellIs" dxfId="81" priority="23" stopIfTrue="1" operator="equal">
      <formula>0</formula>
    </cfRule>
  </conditionalFormatting>
  <conditionalFormatting sqref="J19">
    <cfRule type="cellIs" dxfId="80" priority="22" stopIfTrue="1" operator="equal">
      <formula>0</formula>
    </cfRule>
  </conditionalFormatting>
  <conditionalFormatting sqref="K19">
    <cfRule type="cellIs" dxfId="79" priority="21" stopIfTrue="1" operator="equal">
      <formula>0</formula>
    </cfRule>
  </conditionalFormatting>
  <conditionalFormatting sqref="J32">
    <cfRule type="cellIs" dxfId="78" priority="20" stopIfTrue="1" operator="equal">
      <formula>0</formula>
    </cfRule>
  </conditionalFormatting>
  <conditionalFormatting sqref="K32">
    <cfRule type="cellIs" dxfId="77" priority="19" stopIfTrue="1" operator="equal">
      <formula>0</formula>
    </cfRule>
  </conditionalFormatting>
  <conditionalFormatting sqref="J46">
    <cfRule type="cellIs" dxfId="76" priority="18" stopIfTrue="1" operator="equal">
      <formula>0</formula>
    </cfRule>
  </conditionalFormatting>
  <conditionalFormatting sqref="K46">
    <cfRule type="cellIs" dxfId="75" priority="17" stopIfTrue="1" operator="equal">
      <formula>0</formula>
    </cfRule>
  </conditionalFormatting>
  <conditionalFormatting sqref="J59">
    <cfRule type="cellIs" dxfId="74" priority="16" stopIfTrue="1" operator="equal">
      <formula>0</formula>
    </cfRule>
  </conditionalFormatting>
  <conditionalFormatting sqref="K59">
    <cfRule type="cellIs" dxfId="73" priority="15" stopIfTrue="1" operator="equal">
      <formula>0</formula>
    </cfRule>
  </conditionalFormatting>
  <conditionalFormatting sqref="L19:N19">
    <cfRule type="cellIs" dxfId="72" priority="14" stopIfTrue="1" operator="equal">
      <formula>0</formula>
    </cfRule>
  </conditionalFormatting>
  <conditionalFormatting sqref="L32:M32">
    <cfRule type="cellIs" dxfId="71" priority="13" stopIfTrue="1" operator="equal">
      <formula>0</formula>
    </cfRule>
  </conditionalFormatting>
  <conditionalFormatting sqref="L46">
    <cfRule type="cellIs" dxfId="70" priority="12" stopIfTrue="1" operator="equal">
      <formula>0</formula>
    </cfRule>
  </conditionalFormatting>
  <conditionalFormatting sqref="M46:N46">
    <cfRule type="cellIs" dxfId="69" priority="11" stopIfTrue="1" operator="equal">
      <formula>0</formula>
    </cfRule>
  </conditionalFormatting>
  <conditionalFormatting sqref="L59">
    <cfRule type="cellIs" dxfId="68" priority="10" stopIfTrue="1" operator="equal">
      <formula>0</formula>
    </cfRule>
  </conditionalFormatting>
  <conditionalFormatting sqref="M59:N59">
    <cfRule type="cellIs" dxfId="67" priority="9" stopIfTrue="1" operator="equal">
      <formula>0</formula>
    </cfRule>
  </conditionalFormatting>
  <conditionalFormatting sqref="N32">
    <cfRule type="cellIs" dxfId="66" priority="8" stopIfTrue="1" operator="equal">
      <formula>0</formula>
    </cfRule>
  </conditionalFormatting>
  <conditionalFormatting sqref="B72">
    <cfRule type="cellIs" dxfId="65" priority="7" stopIfTrue="1" operator="equal">
      <formula>0</formula>
    </cfRule>
  </conditionalFormatting>
  <conditionalFormatting sqref="C72:E72 G72:N72">
    <cfRule type="cellIs" dxfId="64" priority="6" stopIfTrue="1" operator="equal">
      <formula>0</formula>
    </cfRule>
  </conditionalFormatting>
  <conditionalFormatting sqref="F19">
    <cfRule type="cellIs" dxfId="63" priority="5" stopIfTrue="1" operator="equal">
      <formula>0</formula>
    </cfRule>
  </conditionalFormatting>
  <conditionalFormatting sqref="F32">
    <cfRule type="cellIs" dxfId="62" priority="4" stopIfTrue="1" operator="equal">
      <formula>0</formula>
    </cfRule>
  </conditionalFormatting>
  <conditionalFormatting sqref="F46">
    <cfRule type="cellIs" dxfId="61" priority="3" stopIfTrue="1" operator="equal">
      <formula>0</formula>
    </cfRule>
  </conditionalFormatting>
  <conditionalFormatting sqref="F59">
    <cfRule type="cellIs" dxfId="60" priority="2" stopIfTrue="1" operator="equal">
      <formula>0</formula>
    </cfRule>
  </conditionalFormatting>
  <conditionalFormatting sqref="F72">
    <cfRule type="cellIs" dxfId="59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N66"/>
  <sheetViews>
    <sheetView zoomScale="85" zoomScaleNormal="85" workbookViewId="0">
      <pane xSplit="2" ySplit="3" topLeftCell="C19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9.1796875" defaultRowHeight="14.5" x14ac:dyDescent="0.35"/>
  <cols>
    <col min="1" max="1" width="12.81640625" style="141" customWidth="1"/>
    <col min="2" max="2" width="1" style="141" customWidth="1"/>
    <col min="3" max="3" width="15.36328125" style="141" customWidth="1"/>
    <col min="4" max="4" width="13.08984375" style="141" customWidth="1"/>
    <col min="5" max="5" width="15.36328125" style="141" customWidth="1"/>
    <col min="6" max="6" width="12.90625" style="141" customWidth="1"/>
    <col min="7" max="8" width="15.36328125" style="141" customWidth="1"/>
    <col min="9" max="9" width="3.81640625" style="141" customWidth="1"/>
    <col min="10" max="10" width="3.1796875" style="141" customWidth="1"/>
    <col min="11" max="11" width="12.1796875" style="85" customWidth="1"/>
    <col min="12" max="12" width="1.1796875" style="85" customWidth="1"/>
    <col min="13" max="14" width="15.36328125" style="141" customWidth="1"/>
    <col min="15" max="15" width="18" style="141" customWidth="1"/>
    <col min="16" max="16" width="16.08984375" style="141" customWidth="1"/>
    <col min="17" max="17" width="17" style="141" customWidth="1"/>
    <col min="18" max="18" width="15.36328125" style="141" customWidth="1"/>
    <col min="19" max="19" width="5.1796875" style="85" customWidth="1"/>
    <col min="20" max="20" width="4.54296875" style="85" customWidth="1"/>
    <col min="21" max="66" width="9.1796875" style="85"/>
    <col min="67" max="225" width="9.1796875" style="141"/>
    <col min="226" max="226" width="12.81640625" style="141" customWidth="1"/>
    <col min="227" max="227" width="1" style="141" customWidth="1"/>
    <col min="228" max="229" width="12.81640625" style="141" customWidth="1"/>
    <col min="230" max="230" width="8.81640625" style="141" customWidth="1"/>
    <col min="231" max="232" width="12.81640625" style="141" customWidth="1"/>
    <col min="233" max="233" width="8.81640625" style="141" customWidth="1"/>
    <col min="234" max="235" width="12.81640625" style="141" customWidth="1"/>
    <col min="236" max="236" width="8.81640625" style="141" customWidth="1"/>
    <col min="237" max="238" width="12.81640625" style="141" customWidth="1"/>
    <col min="239" max="239" width="8.81640625" style="141" customWidth="1"/>
    <col min="240" max="241" width="12.81640625" style="141" customWidth="1"/>
    <col min="242" max="242" width="8.81640625" style="141" customWidth="1"/>
    <col min="243" max="244" width="12.81640625" style="141" customWidth="1"/>
    <col min="245" max="245" width="8.81640625" style="141" customWidth="1"/>
    <col min="246" max="247" width="12.81640625" style="141" customWidth="1"/>
    <col min="248" max="248" width="8.81640625" style="141" customWidth="1"/>
    <col min="249" max="249" width="3.81640625" style="141" customWidth="1"/>
    <col min="250" max="250" width="3.1796875" style="141" customWidth="1"/>
    <col min="251" max="251" width="9.1796875" style="141"/>
    <col min="252" max="252" width="12.1796875" style="141" customWidth="1"/>
    <col min="253" max="253" width="1.1796875" style="141" customWidth="1"/>
    <col min="254" max="255" width="12.81640625" style="141" customWidth="1"/>
    <col min="256" max="256" width="8.81640625" style="141" customWidth="1"/>
    <col min="257" max="258" width="12.81640625" style="141" customWidth="1"/>
    <col min="259" max="259" width="8.81640625" style="141" customWidth="1"/>
    <col min="260" max="261" width="12.81640625" style="141" customWidth="1"/>
    <col min="262" max="262" width="8.81640625" style="141" customWidth="1"/>
    <col min="263" max="264" width="12.81640625" style="141" customWidth="1"/>
    <col min="265" max="265" width="8.81640625" style="141" customWidth="1"/>
    <col min="266" max="267" width="12.81640625" style="141" customWidth="1"/>
    <col min="268" max="268" width="8.81640625" style="141" customWidth="1"/>
    <col min="269" max="269" width="14" style="141" bestFit="1" customWidth="1"/>
    <col min="270" max="270" width="12.81640625" style="141" customWidth="1"/>
    <col min="271" max="271" width="8.81640625" style="141" customWidth="1"/>
    <col min="272" max="273" width="12.81640625" style="141" customWidth="1"/>
    <col min="274" max="274" width="8.81640625" style="141" customWidth="1"/>
    <col min="275" max="275" width="5.1796875" style="141" customWidth="1"/>
    <col min="276" max="276" width="4.54296875" style="141" customWidth="1"/>
    <col min="277" max="481" width="9.1796875" style="141"/>
    <col min="482" max="482" width="12.81640625" style="141" customWidth="1"/>
    <col min="483" max="483" width="1" style="141" customWidth="1"/>
    <col min="484" max="485" width="12.81640625" style="141" customWidth="1"/>
    <col min="486" max="486" width="8.81640625" style="141" customWidth="1"/>
    <col min="487" max="488" width="12.81640625" style="141" customWidth="1"/>
    <col min="489" max="489" width="8.81640625" style="141" customWidth="1"/>
    <col min="490" max="491" width="12.81640625" style="141" customWidth="1"/>
    <col min="492" max="492" width="8.81640625" style="141" customWidth="1"/>
    <col min="493" max="494" width="12.81640625" style="141" customWidth="1"/>
    <col min="495" max="495" width="8.81640625" style="141" customWidth="1"/>
    <col min="496" max="497" width="12.81640625" style="141" customWidth="1"/>
    <col min="498" max="498" width="8.81640625" style="141" customWidth="1"/>
    <col min="499" max="500" width="12.81640625" style="141" customWidth="1"/>
    <col min="501" max="501" width="8.81640625" style="141" customWidth="1"/>
    <col min="502" max="503" width="12.81640625" style="141" customWidth="1"/>
    <col min="504" max="504" width="8.81640625" style="141" customWidth="1"/>
    <col min="505" max="505" width="3.81640625" style="141" customWidth="1"/>
    <col min="506" max="506" width="3.1796875" style="141" customWidth="1"/>
    <col min="507" max="507" width="9.1796875" style="141"/>
    <col min="508" max="508" width="12.1796875" style="141" customWidth="1"/>
    <col min="509" max="509" width="1.1796875" style="141" customWidth="1"/>
    <col min="510" max="511" width="12.81640625" style="141" customWidth="1"/>
    <col min="512" max="512" width="8.81640625" style="141" customWidth="1"/>
    <col min="513" max="514" width="12.81640625" style="141" customWidth="1"/>
    <col min="515" max="515" width="8.81640625" style="141" customWidth="1"/>
    <col min="516" max="517" width="12.81640625" style="141" customWidth="1"/>
    <col min="518" max="518" width="8.81640625" style="141" customWidth="1"/>
    <col min="519" max="520" width="12.81640625" style="141" customWidth="1"/>
    <col min="521" max="521" width="8.81640625" style="141" customWidth="1"/>
    <col min="522" max="523" width="12.81640625" style="141" customWidth="1"/>
    <col min="524" max="524" width="8.81640625" style="141" customWidth="1"/>
    <col min="525" max="525" width="14" style="141" bestFit="1" customWidth="1"/>
    <col min="526" max="526" width="12.81640625" style="141" customWidth="1"/>
    <col min="527" max="527" width="8.81640625" style="141" customWidth="1"/>
    <col min="528" max="529" width="12.81640625" style="141" customWidth="1"/>
    <col min="530" max="530" width="8.81640625" style="141" customWidth="1"/>
    <col min="531" max="531" width="5.1796875" style="141" customWidth="1"/>
    <col min="532" max="532" width="4.54296875" style="141" customWidth="1"/>
    <col min="533" max="737" width="9.1796875" style="141"/>
    <col min="738" max="738" width="12.81640625" style="141" customWidth="1"/>
    <col min="739" max="739" width="1" style="141" customWidth="1"/>
    <col min="740" max="741" width="12.81640625" style="141" customWidth="1"/>
    <col min="742" max="742" width="8.81640625" style="141" customWidth="1"/>
    <col min="743" max="744" width="12.81640625" style="141" customWidth="1"/>
    <col min="745" max="745" width="8.81640625" style="141" customWidth="1"/>
    <col min="746" max="747" width="12.81640625" style="141" customWidth="1"/>
    <col min="748" max="748" width="8.81640625" style="141" customWidth="1"/>
    <col min="749" max="750" width="12.81640625" style="141" customWidth="1"/>
    <col min="751" max="751" width="8.81640625" style="141" customWidth="1"/>
    <col min="752" max="753" width="12.81640625" style="141" customWidth="1"/>
    <col min="754" max="754" width="8.81640625" style="141" customWidth="1"/>
    <col min="755" max="756" width="12.81640625" style="141" customWidth="1"/>
    <col min="757" max="757" width="8.81640625" style="141" customWidth="1"/>
    <col min="758" max="759" width="12.81640625" style="141" customWidth="1"/>
    <col min="760" max="760" width="8.81640625" style="141" customWidth="1"/>
    <col min="761" max="761" width="3.81640625" style="141" customWidth="1"/>
    <col min="762" max="762" width="3.1796875" style="141" customWidth="1"/>
    <col min="763" max="763" width="9.1796875" style="141"/>
    <col min="764" max="764" width="12.1796875" style="141" customWidth="1"/>
    <col min="765" max="765" width="1.1796875" style="141" customWidth="1"/>
    <col min="766" max="767" width="12.81640625" style="141" customWidth="1"/>
    <col min="768" max="768" width="8.81640625" style="141" customWidth="1"/>
    <col min="769" max="770" width="12.81640625" style="141" customWidth="1"/>
    <col min="771" max="771" width="8.81640625" style="141" customWidth="1"/>
    <col min="772" max="773" width="12.81640625" style="141" customWidth="1"/>
    <col min="774" max="774" width="8.81640625" style="141" customWidth="1"/>
    <col min="775" max="776" width="12.81640625" style="141" customWidth="1"/>
    <col min="777" max="777" width="8.81640625" style="141" customWidth="1"/>
    <col min="778" max="779" width="12.81640625" style="141" customWidth="1"/>
    <col min="780" max="780" width="8.81640625" style="141" customWidth="1"/>
    <col min="781" max="781" width="14" style="141" bestFit="1" customWidth="1"/>
    <col min="782" max="782" width="12.81640625" style="141" customWidth="1"/>
    <col min="783" max="783" width="8.81640625" style="141" customWidth="1"/>
    <col min="784" max="785" width="12.81640625" style="141" customWidth="1"/>
    <col min="786" max="786" width="8.81640625" style="141" customWidth="1"/>
    <col min="787" max="787" width="5.1796875" style="141" customWidth="1"/>
    <col min="788" max="788" width="4.54296875" style="141" customWidth="1"/>
    <col min="789" max="993" width="9.1796875" style="141"/>
    <col min="994" max="994" width="12.81640625" style="141" customWidth="1"/>
    <col min="995" max="995" width="1" style="141" customWidth="1"/>
    <col min="996" max="997" width="12.81640625" style="141" customWidth="1"/>
    <col min="998" max="998" width="8.81640625" style="141" customWidth="1"/>
    <col min="999" max="1000" width="12.81640625" style="141" customWidth="1"/>
    <col min="1001" max="1001" width="8.81640625" style="141" customWidth="1"/>
    <col min="1002" max="1003" width="12.81640625" style="141" customWidth="1"/>
    <col min="1004" max="1004" width="8.81640625" style="141" customWidth="1"/>
    <col min="1005" max="1006" width="12.81640625" style="141" customWidth="1"/>
    <col min="1007" max="1007" width="8.81640625" style="141" customWidth="1"/>
    <col min="1008" max="1009" width="12.81640625" style="141" customWidth="1"/>
    <col min="1010" max="1010" width="8.81640625" style="141" customWidth="1"/>
    <col min="1011" max="1012" width="12.81640625" style="141" customWidth="1"/>
    <col min="1013" max="1013" width="8.81640625" style="141" customWidth="1"/>
    <col min="1014" max="1015" width="12.81640625" style="141" customWidth="1"/>
    <col min="1016" max="1016" width="8.81640625" style="141" customWidth="1"/>
    <col min="1017" max="1017" width="3.81640625" style="141" customWidth="1"/>
    <col min="1018" max="1018" width="3.1796875" style="141" customWidth="1"/>
    <col min="1019" max="1019" width="9.1796875" style="141"/>
    <col min="1020" max="1020" width="12.1796875" style="141" customWidth="1"/>
    <col min="1021" max="1021" width="1.1796875" style="141" customWidth="1"/>
    <col min="1022" max="1023" width="12.81640625" style="141" customWidth="1"/>
    <col min="1024" max="1024" width="8.81640625" style="141" customWidth="1"/>
    <col min="1025" max="1026" width="12.81640625" style="141" customWidth="1"/>
    <col min="1027" max="1027" width="8.81640625" style="141" customWidth="1"/>
    <col min="1028" max="1029" width="12.81640625" style="141" customWidth="1"/>
    <col min="1030" max="1030" width="8.81640625" style="141" customWidth="1"/>
    <col min="1031" max="1032" width="12.81640625" style="141" customWidth="1"/>
    <col min="1033" max="1033" width="8.81640625" style="141" customWidth="1"/>
    <col min="1034" max="1035" width="12.81640625" style="141" customWidth="1"/>
    <col min="1036" max="1036" width="8.81640625" style="141" customWidth="1"/>
    <col min="1037" max="1037" width="14" style="141" bestFit="1" customWidth="1"/>
    <col min="1038" max="1038" width="12.81640625" style="141" customWidth="1"/>
    <col min="1039" max="1039" width="8.81640625" style="141" customWidth="1"/>
    <col min="1040" max="1041" width="12.81640625" style="141" customWidth="1"/>
    <col min="1042" max="1042" width="8.81640625" style="141" customWidth="1"/>
    <col min="1043" max="1043" width="5.1796875" style="141" customWidth="1"/>
    <col min="1044" max="1044" width="4.54296875" style="141" customWidth="1"/>
    <col min="1045" max="1249" width="9.1796875" style="141"/>
    <col min="1250" max="1250" width="12.81640625" style="141" customWidth="1"/>
    <col min="1251" max="1251" width="1" style="141" customWidth="1"/>
    <col min="1252" max="1253" width="12.81640625" style="141" customWidth="1"/>
    <col min="1254" max="1254" width="8.81640625" style="141" customWidth="1"/>
    <col min="1255" max="1256" width="12.81640625" style="141" customWidth="1"/>
    <col min="1257" max="1257" width="8.81640625" style="141" customWidth="1"/>
    <col min="1258" max="1259" width="12.81640625" style="141" customWidth="1"/>
    <col min="1260" max="1260" width="8.81640625" style="141" customWidth="1"/>
    <col min="1261" max="1262" width="12.81640625" style="141" customWidth="1"/>
    <col min="1263" max="1263" width="8.81640625" style="141" customWidth="1"/>
    <col min="1264" max="1265" width="12.81640625" style="141" customWidth="1"/>
    <col min="1266" max="1266" width="8.81640625" style="141" customWidth="1"/>
    <col min="1267" max="1268" width="12.81640625" style="141" customWidth="1"/>
    <col min="1269" max="1269" width="8.81640625" style="141" customWidth="1"/>
    <col min="1270" max="1271" width="12.81640625" style="141" customWidth="1"/>
    <col min="1272" max="1272" width="8.81640625" style="141" customWidth="1"/>
    <col min="1273" max="1273" width="3.81640625" style="141" customWidth="1"/>
    <col min="1274" max="1274" width="3.1796875" style="141" customWidth="1"/>
    <col min="1275" max="1275" width="9.1796875" style="141"/>
    <col min="1276" max="1276" width="12.1796875" style="141" customWidth="1"/>
    <col min="1277" max="1277" width="1.1796875" style="141" customWidth="1"/>
    <col min="1278" max="1279" width="12.81640625" style="141" customWidth="1"/>
    <col min="1280" max="1280" width="8.81640625" style="141" customWidth="1"/>
    <col min="1281" max="1282" width="12.81640625" style="141" customWidth="1"/>
    <col min="1283" max="1283" width="8.81640625" style="141" customWidth="1"/>
    <col min="1284" max="1285" width="12.81640625" style="141" customWidth="1"/>
    <col min="1286" max="1286" width="8.81640625" style="141" customWidth="1"/>
    <col min="1287" max="1288" width="12.81640625" style="141" customWidth="1"/>
    <col min="1289" max="1289" width="8.81640625" style="141" customWidth="1"/>
    <col min="1290" max="1291" width="12.81640625" style="141" customWidth="1"/>
    <col min="1292" max="1292" width="8.81640625" style="141" customWidth="1"/>
    <col min="1293" max="1293" width="14" style="141" bestFit="1" customWidth="1"/>
    <col min="1294" max="1294" width="12.81640625" style="141" customWidth="1"/>
    <col min="1295" max="1295" width="8.81640625" style="141" customWidth="1"/>
    <col min="1296" max="1297" width="12.81640625" style="141" customWidth="1"/>
    <col min="1298" max="1298" width="8.81640625" style="141" customWidth="1"/>
    <col min="1299" max="1299" width="5.1796875" style="141" customWidth="1"/>
    <col min="1300" max="1300" width="4.54296875" style="141" customWidth="1"/>
    <col min="1301" max="1505" width="9.1796875" style="141"/>
    <col min="1506" max="1506" width="12.81640625" style="141" customWidth="1"/>
    <col min="1507" max="1507" width="1" style="141" customWidth="1"/>
    <col min="1508" max="1509" width="12.81640625" style="141" customWidth="1"/>
    <col min="1510" max="1510" width="8.81640625" style="141" customWidth="1"/>
    <col min="1511" max="1512" width="12.81640625" style="141" customWidth="1"/>
    <col min="1513" max="1513" width="8.81640625" style="141" customWidth="1"/>
    <col min="1514" max="1515" width="12.81640625" style="141" customWidth="1"/>
    <col min="1516" max="1516" width="8.81640625" style="141" customWidth="1"/>
    <col min="1517" max="1518" width="12.81640625" style="141" customWidth="1"/>
    <col min="1519" max="1519" width="8.81640625" style="141" customWidth="1"/>
    <col min="1520" max="1521" width="12.81640625" style="141" customWidth="1"/>
    <col min="1522" max="1522" width="8.81640625" style="141" customWidth="1"/>
    <col min="1523" max="1524" width="12.81640625" style="141" customWidth="1"/>
    <col min="1525" max="1525" width="8.81640625" style="141" customWidth="1"/>
    <col min="1526" max="1527" width="12.81640625" style="141" customWidth="1"/>
    <col min="1528" max="1528" width="8.81640625" style="141" customWidth="1"/>
    <col min="1529" max="1529" width="3.81640625" style="141" customWidth="1"/>
    <col min="1530" max="1530" width="3.1796875" style="141" customWidth="1"/>
    <col min="1531" max="1531" width="9.1796875" style="141"/>
    <col min="1532" max="1532" width="12.1796875" style="141" customWidth="1"/>
    <col min="1533" max="1533" width="1.1796875" style="141" customWidth="1"/>
    <col min="1534" max="1535" width="12.81640625" style="141" customWidth="1"/>
    <col min="1536" max="1536" width="8.81640625" style="141" customWidth="1"/>
    <col min="1537" max="1538" width="12.81640625" style="141" customWidth="1"/>
    <col min="1539" max="1539" width="8.81640625" style="141" customWidth="1"/>
    <col min="1540" max="1541" width="12.81640625" style="141" customWidth="1"/>
    <col min="1542" max="1542" width="8.81640625" style="141" customWidth="1"/>
    <col min="1543" max="1544" width="12.81640625" style="141" customWidth="1"/>
    <col min="1545" max="1545" width="8.81640625" style="141" customWidth="1"/>
    <col min="1546" max="1547" width="12.81640625" style="141" customWidth="1"/>
    <col min="1548" max="1548" width="8.81640625" style="141" customWidth="1"/>
    <col min="1549" max="1549" width="14" style="141" bestFit="1" customWidth="1"/>
    <col min="1550" max="1550" width="12.81640625" style="141" customWidth="1"/>
    <col min="1551" max="1551" width="8.81640625" style="141" customWidth="1"/>
    <col min="1552" max="1553" width="12.81640625" style="141" customWidth="1"/>
    <col min="1554" max="1554" width="8.81640625" style="141" customWidth="1"/>
    <col min="1555" max="1555" width="5.1796875" style="141" customWidth="1"/>
    <col min="1556" max="1556" width="4.54296875" style="141" customWidth="1"/>
    <col min="1557" max="1761" width="9.1796875" style="141"/>
    <col min="1762" max="1762" width="12.81640625" style="141" customWidth="1"/>
    <col min="1763" max="1763" width="1" style="141" customWidth="1"/>
    <col min="1764" max="1765" width="12.81640625" style="141" customWidth="1"/>
    <col min="1766" max="1766" width="8.81640625" style="141" customWidth="1"/>
    <col min="1767" max="1768" width="12.81640625" style="141" customWidth="1"/>
    <col min="1769" max="1769" width="8.81640625" style="141" customWidth="1"/>
    <col min="1770" max="1771" width="12.81640625" style="141" customWidth="1"/>
    <col min="1772" max="1772" width="8.81640625" style="141" customWidth="1"/>
    <col min="1773" max="1774" width="12.81640625" style="141" customWidth="1"/>
    <col min="1775" max="1775" width="8.81640625" style="141" customWidth="1"/>
    <col min="1776" max="1777" width="12.81640625" style="141" customWidth="1"/>
    <col min="1778" max="1778" width="8.81640625" style="141" customWidth="1"/>
    <col min="1779" max="1780" width="12.81640625" style="141" customWidth="1"/>
    <col min="1781" max="1781" width="8.81640625" style="141" customWidth="1"/>
    <col min="1782" max="1783" width="12.81640625" style="141" customWidth="1"/>
    <col min="1784" max="1784" width="8.81640625" style="141" customWidth="1"/>
    <col min="1785" max="1785" width="3.81640625" style="141" customWidth="1"/>
    <col min="1786" max="1786" width="3.1796875" style="141" customWidth="1"/>
    <col min="1787" max="1787" width="9.1796875" style="141"/>
    <col min="1788" max="1788" width="12.1796875" style="141" customWidth="1"/>
    <col min="1789" max="1789" width="1.1796875" style="141" customWidth="1"/>
    <col min="1790" max="1791" width="12.81640625" style="141" customWidth="1"/>
    <col min="1792" max="1792" width="8.81640625" style="141" customWidth="1"/>
    <col min="1793" max="1794" width="12.81640625" style="141" customWidth="1"/>
    <col min="1795" max="1795" width="8.81640625" style="141" customWidth="1"/>
    <col min="1796" max="1797" width="12.81640625" style="141" customWidth="1"/>
    <col min="1798" max="1798" width="8.81640625" style="141" customWidth="1"/>
    <col min="1799" max="1800" width="12.81640625" style="141" customWidth="1"/>
    <col min="1801" max="1801" width="8.81640625" style="141" customWidth="1"/>
    <col min="1802" max="1803" width="12.81640625" style="141" customWidth="1"/>
    <col min="1804" max="1804" width="8.81640625" style="141" customWidth="1"/>
    <col min="1805" max="1805" width="14" style="141" bestFit="1" customWidth="1"/>
    <col min="1806" max="1806" width="12.81640625" style="141" customWidth="1"/>
    <col min="1807" max="1807" width="8.81640625" style="141" customWidth="1"/>
    <col min="1808" max="1809" width="12.81640625" style="141" customWidth="1"/>
    <col min="1810" max="1810" width="8.81640625" style="141" customWidth="1"/>
    <col min="1811" max="1811" width="5.1796875" style="141" customWidth="1"/>
    <col min="1812" max="1812" width="4.54296875" style="141" customWidth="1"/>
    <col min="1813" max="2017" width="9.1796875" style="141"/>
    <col min="2018" max="2018" width="12.81640625" style="141" customWidth="1"/>
    <col min="2019" max="2019" width="1" style="141" customWidth="1"/>
    <col min="2020" max="2021" width="12.81640625" style="141" customWidth="1"/>
    <col min="2022" max="2022" width="8.81640625" style="141" customWidth="1"/>
    <col min="2023" max="2024" width="12.81640625" style="141" customWidth="1"/>
    <col min="2025" max="2025" width="8.81640625" style="141" customWidth="1"/>
    <col min="2026" max="2027" width="12.81640625" style="141" customWidth="1"/>
    <col min="2028" max="2028" width="8.81640625" style="141" customWidth="1"/>
    <col min="2029" max="2030" width="12.81640625" style="141" customWidth="1"/>
    <col min="2031" max="2031" width="8.81640625" style="141" customWidth="1"/>
    <col min="2032" max="2033" width="12.81640625" style="141" customWidth="1"/>
    <col min="2034" max="2034" width="8.81640625" style="141" customWidth="1"/>
    <col min="2035" max="2036" width="12.81640625" style="141" customWidth="1"/>
    <col min="2037" max="2037" width="8.81640625" style="141" customWidth="1"/>
    <col min="2038" max="2039" width="12.81640625" style="141" customWidth="1"/>
    <col min="2040" max="2040" width="8.81640625" style="141" customWidth="1"/>
    <col min="2041" max="2041" width="3.81640625" style="141" customWidth="1"/>
    <col min="2042" max="2042" width="3.1796875" style="141" customWidth="1"/>
    <col min="2043" max="2043" width="9.1796875" style="141"/>
    <col min="2044" max="2044" width="12.1796875" style="141" customWidth="1"/>
    <col min="2045" max="2045" width="1.1796875" style="141" customWidth="1"/>
    <col min="2046" max="2047" width="12.81640625" style="141" customWidth="1"/>
    <col min="2048" max="2048" width="8.81640625" style="141" customWidth="1"/>
    <col min="2049" max="2050" width="12.81640625" style="141" customWidth="1"/>
    <col min="2051" max="2051" width="8.81640625" style="141" customWidth="1"/>
    <col min="2052" max="2053" width="12.81640625" style="141" customWidth="1"/>
    <col min="2054" max="2054" width="8.81640625" style="141" customWidth="1"/>
    <col min="2055" max="2056" width="12.81640625" style="141" customWidth="1"/>
    <col min="2057" max="2057" width="8.81640625" style="141" customWidth="1"/>
    <col min="2058" max="2059" width="12.81640625" style="141" customWidth="1"/>
    <col min="2060" max="2060" width="8.81640625" style="141" customWidth="1"/>
    <col min="2061" max="2061" width="14" style="141" bestFit="1" customWidth="1"/>
    <col min="2062" max="2062" width="12.81640625" style="141" customWidth="1"/>
    <col min="2063" max="2063" width="8.81640625" style="141" customWidth="1"/>
    <col min="2064" max="2065" width="12.81640625" style="141" customWidth="1"/>
    <col min="2066" max="2066" width="8.81640625" style="141" customWidth="1"/>
    <col min="2067" max="2067" width="5.1796875" style="141" customWidth="1"/>
    <col min="2068" max="2068" width="4.54296875" style="141" customWidth="1"/>
    <col min="2069" max="2273" width="9.1796875" style="141"/>
    <col min="2274" max="2274" width="12.81640625" style="141" customWidth="1"/>
    <col min="2275" max="2275" width="1" style="141" customWidth="1"/>
    <col min="2276" max="2277" width="12.81640625" style="141" customWidth="1"/>
    <col min="2278" max="2278" width="8.81640625" style="141" customWidth="1"/>
    <col min="2279" max="2280" width="12.81640625" style="141" customWidth="1"/>
    <col min="2281" max="2281" width="8.81640625" style="141" customWidth="1"/>
    <col min="2282" max="2283" width="12.81640625" style="141" customWidth="1"/>
    <col min="2284" max="2284" width="8.81640625" style="141" customWidth="1"/>
    <col min="2285" max="2286" width="12.81640625" style="141" customWidth="1"/>
    <col min="2287" max="2287" width="8.81640625" style="141" customWidth="1"/>
    <col min="2288" max="2289" width="12.81640625" style="141" customWidth="1"/>
    <col min="2290" max="2290" width="8.81640625" style="141" customWidth="1"/>
    <col min="2291" max="2292" width="12.81640625" style="141" customWidth="1"/>
    <col min="2293" max="2293" width="8.81640625" style="141" customWidth="1"/>
    <col min="2294" max="2295" width="12.81640625" style="141" customWidth="1"/>
    <col min="2296" max="2296" width="8.81640625" style="141" customWidth="1"/>
    <col min="2297" max="2297" width="3.81640625" style="141" customWidth="1"/>
    <col min="2298" max="2298" width="3.1796875" style="141" customWidth="1"/>
    <col min="2299" max="2299" width="9.1796875" style="141"/>
    <col min="2300" max="2300" width="12.1796875" style="141" customWidth="1"/>
    <col min="2301" max="2301" width="1.1796875" style="141" customWidth="1"/>
    <col min="2302" max="2303" width="12.81640625" style="141" customWidth="1"/>
    <col min="2304" max="2304" width="8.81640625" style="141" customWidth="1"/>
    <col min="2305" max="2306" width="12.81640625" style="141" customWidth="1"/>
    <col min="2307" max="2307" width="8.81640625" style="141" customWidth="1"/>
    <col min="2308" max="2309" width="12.81640625" style="141" customWidth="1"/>
    <col min="2310" max="2310" width="8.81640625" style="141" customWidth="1"/>
    <col min="2311" max="2312" width="12.81640625" style="141" customWidth="1"/>
    <col min="2313" max="2313" width="8.81640625" style="141" customWidth="1"/>
    <col min="2314" max="2315" width="12.81640625" style="141" customWidth="1"/>
    <col min="2316" max="2316" width="8.81640625" style="141" customWidth="1"/>
    <col min="2317" max="2317" width="14" style="141" bestFit="1" customWidth="1"/>
    <col min="2318" max="2318" width="12.81640625" style="141" customWidth="1"/>
    <col min="2319" max="2319" width="8.81640625" style="141" customWidth="1"/>
    <col min="2320" max="2321" width="12.81640625" style="141" customWidth="1"/>
    <col min="2322" max="2322" width="8.81640625" style="141" customWidth="1"/>
    <col min="2323" max="2323" width="5.1796875" style="141" customWidth="1"/>
    <col min="2324" max="2324" width="4.54296875" style="141" customWidth="1"/>
    <col min="2325" max="2529" width="9.1796875" style="141"/>
    <col min="2530" max="2530" width="12.81640625" style="141" customWidth="1"/>
    <col min="2531" max="2531" width="1" style="141" customWidth="1"/>
    <col min="2532" max="2533" width="12.81640625" style="141" customWidth="1"/>
    <col min="2534" max="2534" width="8.81640625" style="141" customWidth="1"/>
    <col min="2535" max="2536" width="12.81640625" style="141" customWidth="1"/>
    <col min="2537" max="2537" width="8.81640625" style="141" customWidth="1"/>
    <col min="2538" max="2539" width="12.81640625" style="141" customWidth="1"/>
    <col min="2540" max="2540" width="8.81640625" style="141" customWidth="1"/>
    <col min="2541" max="2542" width="12.81640625" style="141" customWidth="1"/>
    <col min="2543" max="2543" width="8.81640625" style="141" customWidth="1"/>
    <col min="2544" max="2545" width="12.81640625" style="141" customWidth="1"/>
    <col min="2546" max="2546" width="8.81640625" style="141" customWidth="1"/>
    <col min="2547" max="2548" width="12.81640625" style="141" customWidth="1"/>
    <col min="2549" max="2549" width="8.81640625" style="141" customWidth="1"/>
    <col min="2550" max="2551" width="12.81640625" style="141" customWidth="1"/>
    <col min="2552" max="2552" width="8.81640625" style="141" customWidth="1"/>
    <col min="2553" max="2553" width="3.81640625" style="141" customWidth="1"/>
    <col min="2554" max="2554" width="3.1796875" style="141" customWidth="1"/>
    <col min="2555" max="2555" width="9.1796875" style="141"/>
    <col min="2556" max="2556" width="12.1796875" style="141" customWidth="1"/>
    <col min="2557" max="2557" width="1.1796875" style="141" customWidth="1"/>
    <col min="2558" max="2559" width="12.81640625" style="141" customWidth="1"/>
    <col min="2560" max="2560" width="8.81640625" style="141" customWidth="1"/>
    <col min="2561" max="2562" width="12.81640625" style="141" customWidth="1"/>
    <col min="2563" max="2563" width="8.81640625" style="141" customWidth="1"/>
    <col min="2564" max="2565" width="12.81640625" style="141" customWidth="1"/>
    <col min="2566" max="2566" width="8.81640625" style="141" customWidth="1"/>
    <col min="2567" max="2568" width="12.81640625" style="141" customWidth="1"/>
    <col min="2569" max="2569" width="8.81640625" style="141" customWidth="1"/>
    <col min="2570" max="2571" width="12.81640625" style="141" customWidth="1"/>
    <col min="2572" max="2572" width="8.81640625" style="141" customWidth="1"/>
    <col min="2573" max="2573" width="14" style="141" bestFit="1" customWidth="1"/>
    <col min="2574" max="2574" width="12.81640625" style="141" customWidth="1"/>
    <col min="2575" max="2575" width="8.81640625" style="141" customWidth="1"/>
    <col min="2576" max="2577" width="12.81640625" style="141" customWidth="1"/>
    <col min="2578" max="2578" width="8.81640625" style="141" customWidth="1"/>
    <col min="2579" max="2579" width="5.1796875" style="141" customWidth="1"/>
    <col min="2580" max="2580" width="4.54296875" style="141" customWidth="1"/>
    <col min="2581" max="2785" width="9.1796875" style="141"/>
    <col min="2786" max="2786" width="12.81640625" style="141" customWidth="1"/>
    <col min="2787" max="2787" width="1" style="141" customWidth="1"/>
    <col min="2788" max="2789" width="12.81640625" style="141" customWidth="1"/>
    <col min="2790" max="2790" width="8.81640625" style="141" customWidth="1"/>
    <col min="2791" max="2792" width="12.81640625" style="141" customWidth="1"/>
    <col min="2793" max="2793" width="8.81640625" style="141" customWidth="1"/>
    <col min="2794" max="2795" width="12.81640625" style="141" customWidth="1"/>
    <col min="2796" max="2796" width="8.81640625" style="141" customWidth="1"/>
    <col min="2797" max="2798" width="12.81640625" style="141" customWidth="1"/>
    <col min="2799" max="2799" width="8.81640625" style="141" customWidth="1"/>
    <col min="2800" max="2801" width="12.81640625" style="141" customWidth="1"/>
    <col min="2802" max="2802" width="8.81640625" style="141" customWidth="1"/>
    <col min="2803" max="2804" width="12.81640625" style="141" customWidth="1"/>
    <col min="2805" max="2805" width="8.81640625" style="141" customWidth="1"/>
    <col min="2806" max="2807" width="12.81640625" style="141" customWidth="1"/>
    <col min="2808" max="2808" width="8.81640625" style="141" customWidth="1"/>
    <col min="2809" max="2809" width="3.81640625" style="141" customWidth="1"/>
    <col min="2810" max="2810" width="3.1796875" style="141" customWidth="1"/>
    <col min="2811" max="2811" width="9.1796875" style="141"/>
    <col min="2812" max="2812" width="12.1796875" style="141" customWidth="1"/>
    <col min="2813" max="2813" width="1.1796875" style="141" customWidth="1"/>
    <col min="2814" max="2815" width="12.81640625" style="141" customWidth="1"/>
    <col min="2816" max="2816" width="8.81640625" style="141" customWidth="1"/>
    <col min="2817" max="2818" width="12.81640625" style="141" customWidth="1"/>
    <col min="2819" max="2819" width="8.81640625" style="141" customWidth="1"/>
    <col min="2820" max="2821" width="12.81640625" style="141" customWidth="1"/>
    <col min="2822" max="2822" width="8.81640625" style="141" customWidth="1"/>
    <col min="2823" max="2824" width="12.81640625" style="141" customWidth="1"/>
    <col min="2825" max="2825" width="8.81640625" style="141" customWidth="1"/>
    <col min="2826" max="2827" width="12.81640625" style="141" customWidth="1"/>
    <col min="2828" max="2828" width="8.81640625" style="141" customWidth="1"/>
    <col min="2829" max="2829" width="14" style="141" bestFit="1" customWidth="1"/>
    <col min="2830" max="2830" width="12.81640625" style="141" customWidth="1"/>
    <col min="2831" max="2831" width="8.81640625" style="141" customWidth="1"/>
    <col min="2832" max="2833" width="12.81640625" style="141" customWidth="1"/>
    <col min="2834" max="2834" width="8.81640625" style="141" customWidth="1"/>
    <col min="2835" max="2835" width="5.1796875" style="141" customWidth="1"/>
    <col min="2836" max="2836" width="4.54296875" style="141" customWidth="1"/>
    <col min="2837" max="3041" width="9.1796875" style="141"/>
    <col min="3042" max="3042" width="12.81640625" style="141" customWidth="1"/>
    <col min="3043" max="3043" width="1" style="141" customWidth="1"/>
    <col min="3044" max="3045" width="12.81640625" style="141" customWidth="1"/>
    <col min="3046" max="3046" width="8.81640625" style="141" customWidth="1"/>
    <col min="3047" max="3048" width="12.81640625" style="141" customWidth="1"/>
    <col min="3049" max="3049" width="8.81640625" style="141" customWidth="1"/>
    <col min="3050" max="3051" width="12.81640625" style="141" customWidth="1"/>
    <col min="3052" max="3052" width="8.81640625" style="141" customWidth="1"/>
    <col min="3053" max="3054" width="12.81640625" style="141" customWidth="1"/>
    <col min="3055" max="3055" width="8.81640625" style="141" customWidth="1"/>
    <col min="3056" max="3057" width="12.81640625" style="141" customWidth="1"/>
    <col min="3058" max="3058" width="8.81640625" style="141" customWidth="1"/>
    <col min="3059" max="3060" width="12.81640625" style="141" customWidth="1"/>
    <col min="3061" max="3061" width="8.81640625" style="141" customWidth="1"/>
    <col min="3062" max="3063" width="12.81640625" style="141" customWidth="1"/>
    <col min="3064" max="3064" width="8.81640625" style="141" customWidth="1"/>
    <col min="3065" max="3065" width="3.81640625" style="141" customWidth="1"/>
    <col min="3066" max="3066" width="3.1796875" style="141" customWidth="1"/>
    <col min="3067" max="3067" width="9.1796875" style="141"/>
    <col min="3068" max="3068" width="12.1796875" style="141" customWidth="1"/>
    <col min="3069" max="3069" width="1.1796875" style="141" customWidth="1"/>
    <col min="3070" max="3071" width="12.81640625" style="141" customWidth="1"/>
    <col min="3072" max="3072" width="8.81640625" style="141" customWidth="1"/>
    <col min="3073" max="3074" width="12.81640625" style="141" customWidth="1"/>
    <col min="3075" max="3075" width="8.81640625" style="141" customWidth="1"/>
    <col min="3076" max="3077" width="12.81640625" style="141" customWidth="1"/>
    <col min="3078" max="3078" width="8.81640625" style="141" customWidth="1"/>
    <col min="3079" max="3080" width="12.81640625" style="141" customWidth="1"/>
    <col min="3081" max="3081" width="8.81640625" style="141" customWidth="1"/>
    <col min="3082" max="3083" width="12.81640625" style="141" customWidth="1"/>
    <col min="3084" max="3084" width="8.81640625" style="141" customWidth="1"/>
    <col min="3085" max="3085" width="14" style="141" bestFit="1" customWidth="1"/>
    <col min="3086" max="3086" width="12.81640625" style="141" customWidth="1"/>
    <col min="3087" max="3087" width="8.81640625" style="141" customWidth="1"/>
    <col min="3088" max="3089" width="12.81640625" style="141" customWidth="1"/>
    <col min="3090" max="3090" width="8.81640625" style="141" customWidth="1"/>
    <col min="3091" max="3091" width="5.1796875" style="141" customWidth="1"/>
    <col min="3092" max="3092" width="4.54296875" style="141" customWidth="1"/>
    <col min="3093" max="3297" width="9.1796875" style="141"/>
    <col min="3298" max="3298" width="12.81640625" style="141" customWidth="1"/>
    <col min="3299" max="3299" width="1" style="141" customWidth="1"/>
    <col min="3300" max="3301" width="12.81640625" style="141" customWidth="1"/>
    <col min="3302" max="3302" width="8.81640625" style="141" customWidth="1"/>
    <col min="3303" max="3304" width="12.81640625" style="141" customWidth="1"/>
    <col min="3305" max="3305" width="8.81640625" style="141" customWidth="1"/>
    <col min="3306" max="3307" width="12.81640625" style="141" customWidth="1"/>
    <col min="3308" max="3308" width="8.81640625" style="141" customWidth="1"/>
    <col min="3309" max="3310" width="12.81640625" style="141" customWidth="1"/>
    <col min="3311" max="3311" width="8.81640625" style="141" customWidth="1"/>
    <col min="3312" max="3313" width="12.81640625" style="141" customWidth="1"/>
    <col min="3314" max="3314" width="8.81640625" style="141" customWidth="1"/>
    <col min="3315" max="3316" width="12.81640625" style="141" customWidth="1"/>
    <col min="3317" max="3317" width="8.81640625" style="141" customWidth="1"/>
    <col min="3318" max="3319" width="12.81640625" style="141" customWidth="1"/>
    <col min="3320" max="3320" width="8.81640625" style="141" customWidth="1"/>
    <col min="3321" max="3321" width="3.81640625" style="141" customWidth="1"/>
    <col min="3322" max="3322" width="3.1796875" style="141" customWidth="1"/>
    <col min="3323" max="3323" width="9.1796875" style="141"/>
    <col min="3324" max="3324" width="12.1796875" style="141" customWidth="1"/>
    <col min="3325" max="3325" width="1.1796875" style="141" customWidth="1"/>
    <col min="3326" max="3327" width="12.81640625" style="141" customWidth="1"/>
    <col min="3328" max="3328" width="8.81640625" style="141" customWidth="1"/>
    <col min="3329" max="3330" width="12.81640625" style="141" customWidth="1"/>
    <col min="3331" max="3331" width="8.81640625" style="141" customWidth="1"/>
    <col min="3332" max="3333" width="12.81640625" style="141" customWidth="1"/>
    <col min="3334" max="3334" width="8.81640625" style="141" customWidth="1"/>
    <col min="3335" max="3336" width="12.81640625" style="141" customWidth="1"/>
    <col min="3337" max="3337" width="8.81640625" style="141" customWidth="1"/>
    <col min="3338" max="3339" width="12.81640625" style="141" customWidth="1"/>
    <col min="3340" max="3340" width="8.81640625" style="141" customWidth="1"/>
    <col min="3341" max="3341" width="14" style="141" bestFit="1" customWidth="1"/>
    <col min="3342" max="3342" width="12.81640625" style="141" customWidth="1"/>
    <col min="3343" max="3343" width="8.81640625" style="141" customWidth="1"/>
    <col min="3344" max="3345" width="12.81640625" style="141" customWidth="1"/>
    <col min="3346" max="3346" width="8.81640625" style="141" customWidth="1"/>
    <col min="3347" max="3347" width="5.1796875" style="141" customWidth="1"/>
    <col min="3348" max="3348" width="4.54296875" style="141" customWidth="1"/>
    <col min="3349" max="3553" width="9.1796875" style="141"/>
    <col min="3554" max="3554" width="12.81640625" style="141" customWidth="1"/>
    <col min="3555" max="3555" width="1" style="141" customWidth="1"/>
    <col min="3556" max="3557" width="12.81640625" style="141" customWidth="1"/>
    <col min="3558" max="3558" width="8.81640625" style="141" customWidth="1"/>
    <col min="3559" max="3560" width="12.81640625" style="141" customWidth="1"/>
    <col min="3561" max="3561" width="8.81640625" style="141" customWidth="1"/>
    <col min="3562" max="3563" width="12.81640625" style="141" customWidth="1"/>
    <col min="3564" max="3564" width="8.81640625" style="141" customWidth="1"/>
    <col min="3565" max="3566" width="12.81640625" style="141" customWidth="1"/>
    <col min="3567" max="3567" width="8.81640625" style="141" customWidth="1"/>
    <col min="3568" max="3569" width="12.81640625" style="141" customWidth="1"/>
    <col min="3570" max="3570" width="8.81640625" style="141" customWidth="1"/>
    <col min="3571" max="3572" width="12.81640625" style="141" customWidth="1"/>
    <col min="3573" max="3573" width="8.81640625" style="141" customWidth="1"/>
    <col min="3574" max="3575" width="12.81640625" style="141" customWidth="1"/>
    <col min="3576" max="3576" width="8.81640625" style="141" customWidth="1"/>
    <col min="3577" max="3577" width="3.81640625" style="141" customWidth="1"/>
    <col min="3578" max="3578" width="3.1796875" style="141" customWidth="1"/>
    <col min="3579" max="3579" width="9.1796875" style="141"/>
    <col min="3580" max="3580" width="12.1796875" style="141" customWidth="1"/>
    <col min="3581" max="3581" width="1.1796875" style="141" customWidth="1"/>
    <col min="3582" max="3583" width="12.81640625" style="141" customWidth="1"/>
    <col min="3584" max="3584" width="8.81640625" style="141" customWidth="1"/>
    <col min="3585" max="3586" width="12.81640625" style="141" customWidth="1"/>
    <col min="3587" max="3587" width="8.81640625" style="141" customWidth="1"/>
    <col min="3588" max="3589" width="12.81640625" style="141" customWidth="1"/>
    <col min="3590" max="3590" width="8.81640625" style="141" customWidth="1"/>
    <col min="3591" max="3592" width="12.81640625" style="141" customWidth="1"/>
    <col min="3593" max="3593" width="8.81640625" style="141" customWidth="1"/>
    <col min="3594" max="3595" width="12.81640625" style="141" customWidth="1"/>
    <col min="3596" max="3596" width="8.81640625" style="141" customWidth="1"/>
    <col min="3597" max="3597" width="14" style="141" bestFit="1" customWidth="1"/>
    <col min="3598" max="3598" width="12.81640625" style="141" customWidth="1"/>
    <col min="3599" max="3599" width="8.81640625" style="141" customWidth="1"/>
    <col min="3600" max="3601" width="12.81640625" style="141" customWidth="1"/>
    <col min="3602" max="3602" width="8.81640625" style="141" customWidth="1"/>
    <col min="3603" max="3603" width="5.1796875" style="141" customWidth="1"/>
    <col min="3604" max="3604" width="4.54296875" style="141" customWidth="1"/>
    <col min="3605" max="3809" width="9.1796875" style="141"/>
    <col min="3810" max="3810" width="12.81640625" style="141" customWidth="1"/>
    <col min="3811" max="3811" width="1" style="141" customWidth="1"/>
    <col min="3812" max="3813" width="12.81640625" style="141" customWidth="1"/>
    <col min="3814" max="3814" width="8.81640625" style="141" customWidth="1"/>
    <col min="3815" max="3816" width="12.81640625" style="141" customWidth="1"/>
    <col min="3817" max="3817" width="8.81640625" style="141" customWidth="1"/>
    <col min="3818" max="3819" width="12.81640625" style="141" customWidth="1"/>
    <col min="3820" max="3820" width="8.81640625" style="141" customWidth="1"/>
    <col min="3821" max="3822" width="12.81640625" style="141" customWidth="1"/>
    <col min="3823" max="3823" width="8.81640625" style="141" customWidth="1"/>
    <col min="3824" max="3825" width="12.81640625" style="141" customWidth="1"/>
    <col min="3826" max="3826" width="8.81640625" style="141" customWidth="1"/>
    <col min="3827" max="3828" width="12.81640625" style="141" customWidth="1"/>
    <col min="3829" max="3829" width="8.81640625" style="141" customWidth="1"/>
    <col min="3830" max="3831" width="12.81640625" style="141" customWidth="1"/>
    <col min="3832" max="3832" width="8.81640625" style="141" customWidth="1"/>
    <col min="3833" max="3833" width="3.81640625" style="141" customWidth="1"/>
    <col min="3834" max="3834" width="3.1796875" style="141" customWidth="1"/>
    <col min="3835" max="3835" width="9.1796875" style="141"/>
    <col min="3836" max="3836" width="12.1796875" style="141" customWidth="1"/>
    <col min="3837" max="3837" width="1.1796875" style="141" customWidth="1"/>
    <col min="3838" max="3839" width="12.81640625" style="141" customWidth="1"/>
    <col min="3840" max="3840" width="8.81640625" style="141" customWidth="1"/>
    <col min="3841" max="3842" width="12.81640625" style="141" customWidth="1"/>
    <col min="3843" max="3843" width="8.81640625" style="141" customWidth="1"/>
    <col min="3844" max="3845" width="12.81640625" style="141" customWidth="1"/>
    <col min="3846" max="3846" width="8.81640625" style="141" customWidth="1"/>
    <col min="3847" max="3848" width="12.81640625" style="141" customWidth="1"/>
    <col min="3849" max="3849" width="8.81640625" style="141" customWidth="1"/>
    <col min="3850" max="3851" width="12.81640625" style="141" customWidth="1"/>
    <col min="3852" max="3852" width="8.81640625" style="141" customWidth="1"/>
    <col min="3853" max="3853" width="14" style="141" bestFit="1" customWidth="1"/>
    <col min="3854" max="3854" width="12.81640625" style="141" customWidth="1"/>
    <col min="3855" max="3855" width="8.81640625" style="141" customWidth="1"/>
    <col min="3856" max="3857" width="12.81640625" style="141" customWidth="1"/>
    <col min="3858" max="3858" width="8.81640625" style="141" customWidth="1"/>
    <col min="3859" max="3859" width="5.1796875" style="141" customWidth="1"/>
    <col min="3860" max="3860" width="4.54296875" style="141" customWidth="1"/>
    <col min="3861" max="4065" width="9.1796875" style="141"/>
    <col min="4066" max="4066" width="12.81640625" style="141" customWidth="1"/>
    <col min="4067" max="4067" width="1" style="141" customWidth="1"/>
    <col min="4068" max="4069" width="12.81640625" style="141" customWidth="1"/>
    <col min="4070" max="4070" width="8.81640625" style="141" customWidth="1"/>
    <col min="4071" max="4072" width="12.81640625" style="141" customWidth="1"/>
    <col min="4073" max="4073" width="8.81640625" style="141" customWidth="1"/>
    <col min="4074" max="4075" width="12.81640625" style="141" customWidth="1"/>
    <col min="4076" max="4076" width="8.81640625" style="141" customWidth="1"/>
    <col min="4077" max="4078" width="12.81640625" style="141" customWidth="1"/>
    <col min="4079" max="4079" width="8.81640625" style="141" customWidth="1"/>
    <col min="4080" max="4081" width="12.81640625" style="141" customWidth="1"/>
    <col min="4082" max="4082" width="8.81640625" style="141" customWidth="1"/>
    <col min="4083" max="4084" width="12.81640625" style="141" customWidth="1"/>
    <col min="4085" max="4085" width="8.81640625" style="141" customWidth="1"/>
    <col min="4086" max="4087" width="12.81640625" style="141" customWidth="1"/>
    <col min="4088" max="4088" width="8.81640625" style="141" customWidth="1"/>
    <col min="4089" max="4089" width="3.81640625" style="141" customWidth="1"/>
    <col min="4090" max="4090" width="3.1796875" style="141" customWidth="1"/>
    <col min="4091" max="4091" width="9.1796875" style="141"/>
    <col min="4092" max="4092" width="12.1796875" style="141" customWidth="1"/>
    <col min="4093" max="4093" width="1.1796875" style="141" customWidth="1"/>
    <col min="4094" max="4095" width="12.81640625" style="141" customWidth="1"/>
    <col min="4096" max="4096" width="8.81640625" style="141" customWidth="1"/>
    <col min="4097" max="4098" width="12.81640625" style="141" customWidth="1"/>
    <col min="4099" max="4099" width="8.81640625" style="141" customWidth="1"/>
    <col min="4100" max="4101" width="12.81640625" style="141" customWidth="1"/>
    <col min="4102" max="4102" width="8.81640625" style="141" customWidth="1"/>
    <col min="4103" max="4104" width="12.81640625" style="141" customWidth="1"/>
    <col min="4105" max="4105" width="8.81640625" style="141" customWidth="1"/>
    <col min="4106" max="4107" width="12.81640625" style="141" customWidth="1"/>
    <col min="4108" max="4108" width="8.81640625" style="141" customWidth="1"/>
    <col min="4109" max="4109" width="14" style="141" bestFit="1" customWidth="1"/>
    <col min="4110" max="4110" width="12.81640625" style="141" customWidth="1"/>
    <col min="4111" max="4111" width="8.81640625" style="141" customWidth="1"/>
    <col min="4112" max="4113" width="12.81640625" style="141" customWidth="1"/>
    <col min="4114" max="4114" width="8.81640625" style="141" customWidth="1"/>
    <col min="4115" max="4115" width="5.1796875" style="141" customWidth="1"/>
    <col min="4116" max="4116" width="4.54296875" style="141" customWidth="1"/>
    <col min="4117" max="4321" width="9.1796875" style="141"/>
    <col min="4322" max="4322" width="12.81640625" style="141" customWidth="1"/>
    <col min="4323" max="4323" width="1" style="141" customWidth="1"/>
    <col min="4324" max="4325" width="12.81640625" style="141" customWidth="1"/>
    <col min="4326" max="4326" width="8.81640625" style="141" customWidth="1"/>
    <col min="4327" max="4328" width="12.81640625" style="141" customWidth="1"/>
    <col min="4329" max="4329" width="8.81640625" style="141" customWidth="1"/>
    <col min="4330" max="4331" width="12.81640625" style="141" customWidth="1"/>
    <col min="4332" max="4332" width="8.81640625" style="141" customWidth="1"/>
    <col min="4333" max="4334" width="12.81640625" style="141" customWidth="1"/>
    <col min="4335" max="4335" width="8.81640625" style="141" customWidth="1"/>
    <col min="4336" max="4337" width="12.81640625" style="141" customWidth="1"/>
    <col min="4338" max="4338" width="8.81640625" style="141" customWidth="1"/>
    <col min="4339" max="4340" width="12.81640625" style="141" customWidth="1"/>
    <col min="4341" max="4341" width="8.81640625" style="141" customWidth="1"/>
    <col min="4342" max="4343" width="12.81640625" style="141" customWidth="1"/>
    <col min="4344" max="4344" width="8.81640625" style="141" customWidth="1"/>
    <col min="4345" max="4345" width="3.81640625" style="141" customWidth="1"/>
    <col min="4346" max="4346" width="3.1796875" style="141" customWidth="1"/>
    <col min="4347" max="4347" width="9.1796875" style="141"/>
    <col min="4348" max="4348" width="12.1796875" style="141" customWidth="1"/>
    <col min="4349" max="4349" width="1.1796875" style="141" customWidth="1"/>
    <col min="4350" max="4351" width="12.81640625" style="141" customWidth="1"/>
    <col min="4352" max="4352" width="8.81640625" style="141" customWidth="1"/>
    <col min="4353" max="4354" width="12.81640625" style="141" customWidth="1"/>
    <col min="4355" max="4355" width="8.81640625" style="141" customWidth="1"/>
    <col min="4356" max="4357" width="12.81640625" style="141" customWidth="1"/>
    <col min="4358" max="4358" width="8.81640625" style="141" customWidth="1"/>
    <col min="4359" max="4360" width="12.81640625" style="141" customWidth="1"/>
    <col min="4361" max="4361" width="8.81640625" style="141" customWidth="1"/>
    <col min="4362" max="4363" width="12.81640625" style="141" customWidth="1"/>
    <col min="4364" max="4364" width="8.81640625" style="141" customWidth="1"/>
    <col min="4365" max="4365" width="14" style="141" bestFit="1" customWidth="1"/>
    <col min="4366" max="4366" width="12.81640625" style="141" customWidth="1"/>
    <col min="4367" max="4367" width="8.81640625" style="141" customWidth="1"/>
    <col min="4368" max="4369" width="12.81640625" style="141" customWidth="1"/>
    <col min="4370" max="4370" width="8.81640625" style="141" customWidth="1"/>
    <col min="4371" max="4371" width="5.1796875" style="141" customWidth="1"/>
    <col min="4372" max="4372" width="4.54296875" style="141" customWidth="1"/>
    <col min="4373" max="4577" width="9.1796875" style="141"/>
    <col min="4578" max="4578" width="12.81640625" style="141" customWidth="1"/>
    <col min="4579" max="4579" width="1" style="141" customWidth="1"/>
    <col min="4580" max="4581" width="12.81640625" style="141" customWidth="1"/>
    <col min="4582" max="4582" width="8.81640625" style="141" customWidth="1"/>
    <col min="4583" max="4584" width="12.81640625" style="141" customWidth="1"/>
    <col min="4585" max="4585" width="8.81640625" style="141" customWidth="1"/>
    <col min="4586" max="4587" width="12.81640625" style="141" customWidth="1"/>
    <col min="4588" max="4588" width="8.81640625" style="141" customWidth="1"/>
    <col min="4589" max="4590" width="12.81640625" style="141" customWidth="1"/>
    <col min="4591" max="4591" width="8.81640625" style="141" customWidth="1"/>
    <col min="4592" max="4593" width="12.81640625" style="141" customWidth="1"/>
    <col min="4594" max="4594" width="8.81640625" style="141" customWidth="1"/>
    <col min="4595" max="4596" width="12.81640625" style="141" customWidth="1"/>
    <col min="4597" max="4597" width="8.81640625" style="141" customWidth="1"/>
    <col min="4598" max="4599" width="12.81640625" style="141" customWidth="1"/>
    <col min="4600" max="4600" width="8.81640625" style="141" customWidth="1"/>
    <col min="4601" max="4601" width="3.81640625" style="141" customWidth="1"/>
    <col min="4602" max="4602" width="3.1796875" style="141" customWidth="1"/>
    <col min="4603" max="4603" width="9.1796875" style="141"/>
    <col min="4604" max="4604" width="12.1796875" style="141" customWidth="1"/>
    <col min="4605" max="4605" width="1.1796875" style="141" customWidth="1"/>
    <col min="4606" max="4607" width="12.81640625" style="141" customWidth="1"/>
    <col min="4608" max="4608" width="8.81640625" style="141" customWidth="1"/>
    <col min="4609" max="4610" width="12.81640625" style="141" customWidth="1"/>
    <col min="4611" max="4611" width="8.81640625" style="141" customWidth="1"/>
    <col min="4612" max="4613" width="12.81640625" style="141" customWidth="1"/>
    <col min="4614" max="4614" width="8.81640625" style="141" customWidth="1"/>
    <col min="4615" max="4616" width="12.81640625" style="141" customWidth="1"/>
    <col min="4617" max="4617" width="8.81640625" style="141" customWidth="1"/>
    <col min="4618" max="4619" width="12.81640625" style="141" customWidth="1"/>
    <col min="4620" max="4620" width="8.81640625" style="141" customWidth="1"/>
    <col min="4621" max="4621" width="14" style="141" bestFit="1" customWidth="1"/>
    <col min="4622" max="4622" width="12.81640625" style="141" customWidth="1"/>
    <col min="4623" max="4623" width="8.81640625" style="141" customWidth="1"/>
    <col min="4624" max="4625" width="12.81640625" style="141" customWidth="1"/>
    <col min="4626" max="4626" width="8.81640625" style="141" customWidth="1"/>
    <col min="4627" max="4627" width="5.1796875" style="141" customWidth="1"/>
    <col min="4628" max="4628" width="4.54296875" style="141" customWidth="1"/>
    <col min="4629" max="4833" width="9.1796875" style="141"/>
    <col min="4834" max="4834" width="12.81640625" style="141" customWidth="1"/>
    <col min="4835" max="4835" width="1" style="141" customWidth="1"/>
    <col min="4836" max="4837" width="12.81640625" style="141" customWidth="1"/>
    <col min="4838" max="4838" width="8.81640625" style="141" customWidth="1"/>
    <col min="4839" max="4840" width="12.81640625" style="141" customWidth="1"/>
    <col min="4841" max="4841" width="8.81640625" style="141" customWidth="1"/>
    <col min="4842" max="4843" width="12.81640625" style="141" customWidth="1"/>
    <col min="4844" max="4844" width="8.81640625" style="141" customWidth="1"/>
    <col min="4845" max="4846" width="12.81640625" style="141" customWidth="1"/>
    <col min="4847" max="4847" width="8.81640625" style="141" customWidth="1"/>
    <col min="4848" max="4849" width="12.81640625" style="141" customWidth="1"/>
    <col min="4850" max="4850" width="8.81640625" style="141" customWidth="1"/>
    <col min="4851" max="4852" width="12.81640625" style="141" customWidth="1"/>
    <col min="4853" max="4853" width="8.81640625" style="141" customWidth="1"/>
    <col min="4854" max="4855" width="12.81640625" style="141" customWidth="1"/>
    <col min="4856" max="4856" width="8.81640625" style="141" customWidth="1"/>
    <col min="4857" max="4857" width="3.81640625" style="141" customWidth="1"/>
    <col min="4858" max="4858" width="3.1796875" style="141" customWidth="1"/>
    <col min="4859" max="4859" width="9.1796875" style="141"/>
    <col min="4860" max="4860" width="12.1796875" style="141" customWidth="1"/>
    <col min="4861" max="4861" width="1.1796875" style="141" customWidth="1"/>
    <col min="4862" max="4863" width="12.81640625" style="141" customWidth="1"/>
    <col min="4864" max="4864" width="8.81640625" style="141" customWidth="1"/>
    <col min="4865" max="4866" width="12.81640625" style="141" customWidth="1"/>
    <col min="4867" max="4867" width="8.81640625" style="141" customWidth="1"/>
    <col min="4868" max="4869" width="12.81640625" style="141" customWidth="1"/>
    <col min="4870" max="4870" width="8.81640625" style="141" customWidth="1"/>
    <col min="4871" max="4872" width="12.81640625" style="141" customWidth="1"/>
    <col min="4873" max="4873" width="8.81640625" style="141" customWidth="1"/>
    <col min="4874" max="4875" width="12.81640625" style="141" customWidth="1"/>
    <col min="4876" max="4876" width="8.81640625" style="141" customWidth="1"/>
    <col min="4877" max="4877" width="14" style="141" bestFit="1" customWidth="1"/>
    <col min="4878" max="4878" width="12.81640625" style="141" customWidth="1"/>
    <col min="4879" max="4879" width="8.81640625" style="141" customWidth="1"/>
    <col min="4880" max="4881" width="12.81640625" style="141" customWidth="1"/>
    <col min="4882" max="4882" width="8.81640625" style="141" customWidth="1"/>
    <col min="4883" max="4883" width="5.1796875" style="141" customWidth="1"/>
    <col min="4884" max="4884" width="4.54296875" style="141" customWidth="1"/>
    <col min="4885" max="5089" width="9.1796875" style="141"/>
    <col min="5090" max="5090" width="12.81640625" style="141" customWidth="1"/>
    <col min="5091" max="5091" width="1" style="141" customWidth="1"/>
    <col min="5092" max="5093" width="12.81640625" style="141" customWidth="1"/>
    <col min="5094" max="5094" width="8.81640625" style="141" customWidth="1"/>
    <col min="5095" max="5096" width="12.81640625" style="141" customWidth="1"/>
    <col min="5097" max="5097" width="8.81640625" style="141" customWidth="1"/>
    <col min="5098" max="5099" width="12.81640625" style="141" customWidth="1"/>
    <col min="5100" max="5100" width="8.81640625" style="141" customWidth="1"/>
    <col min="5101" max="5102" width="12.81640625" style="141" customWidth="1"/>
    <col min="5103" max="5103" width="8.81640625" style="141" customWidth="1"/>
    <col min="5104" max="5105" width="12.81640625" style="141" customWidth="1"/>
    <col min="5106" max="5106" width="8.81640625" style="141" customWidth="1"/>
    <col min="5107" max="5108" width="12.81640625" style="141" customWidth="1"/>
    <col min="5109" max="5109" width="8.81640625" style="141" customWidth="1"/>
    <col min="5110" max="5111" width="12.81640625" style="141" customWidth="1"/>
    <col min="5112" max="5112" width="8.81640625" style="141" customWidth="1"/>
    <col min="5113" max="5113" width="3.81640625" style="141" customWidth="1"/>
    <col min="5114" max="5114" width="3.1796875" style="141" customWidth="1"/>
    <col min="5115" max="5115" width="9.1796875" style="141"/>
    <col min="5116" max="5116" width="12.1796875" style="141" customWidth="1"/>
    <col min="5117" max="5117" width="1.1796875" style="141" customWidth="1"/>
    <col min="5118" max="5119" width="12.81640625" style="141" customWidth="1"/>
    <col min="5120" max="5120" width="8.81640625" style="141" customWidth="1"/>
    <col min="5121" max="5122" width="12.81640625" style="141" customWidth="1"/>
    <col min="5123" max="5123" width="8.81640625" style="141" customWidth="1"/>
    <col min="5124" max="5125" width="12.81640625" style="141" customWidth="1"/>
    <col min="5126" max="5126" width="8.81640625" style="141" customWidth="1"/>
    <col min="5127" max="5128" width="12.81640625" style="141" customWidth="1"/>
    <col min="5129" max="5129" width="8.81640625" style="141" customWidth="1"/>
    <col min="5130" max="5131" width="12.81640625" style="141" customWidth="1"/>
    <col min="5132" max="5132" width="8.81640625" style="141" customWidth="1"/>
    <col min="5133" max="5133" width="14" style="141" bestFit="1" customWidth="1"/>
    <col min="5134" max="5134" width="12.81640625" style="141" customWidth="1"/>
    <col min="5135" max="5135" width="8.81640625" style="141" customWidth="1"/>
    <col min="5136" max="5137" width="12.81640625" style="141" customWidth="1"/>
    <col min="5138" max="5138" width="8.81640625" style="141" customWidth="1"/>
    <col min="5139" max="5139" width="5.1796875" style="141" customWidth="1"/>
    <col min="5140" max="5140" width="4.54296875" style="141" customWidth="1"/>
    <col min="5141" max="5345" width="9.1796875" style="141"/>
    <col min="5346" max="5346" width="12.81640625" style="141" customWidth="1"/>
    <col min="5347" max="5347" width="1" style="141" customWidth="1"/>
    <col min="5348" max="5349" width="12.81640625" style="141" customWidth="1"/>
    <col min="5350" max="5350" width="8.81640625" style="141" customWidth="1"/>
    <col min="5351" max="5352" width="12.81640625" style="141" customWidth="1"/>
    <col min="5353" max="5353" width="8.81640625" style="141" customWidth="1"/>
    <col min="5354" max="5355" width="12.81640625" style="141" customWidth="1"/>
    <col min="5356" max="5356" width="8.81640625" style="141" customWidth="1"/>
    <col min="5357" max="5358" width="12.81640625" style="141" customWidth="1"/>
    <col min="5359" max="5359" width="8.81640625" style="141" customWidth="1"/>
    <col min="5360" max="5361" width="12.81640625" style="141" customWidth="1"/>
    <col min="5362" max="5362" width="8.81640625" style="141" customWidth="1"/>
    <col min="5363" max="5364" width="12.81640625" style="141" customWidth="1"/>
    <col min="5365" max="5365" width="8.81640625" style="141" customWidth="1"/>
    <col min="5366" max="5367" width="12.81640625" style="141" customWidth="1"/>
    <col min="5368" max="5368" width="8.81640625" style="141" customWidth="1"/>
    <col min="5369" max="5369" width="3.81640625" style="141" customWidth="1"/>
    <col min="5370" max="5370" width="3.1796875" style="141" customWidth="1"/>
    <col min="5371" max="5371" width="9.1796875" style="141"/>
    <col min="5372" max="5372" width="12.1796875" style="141" customWidth="1"/>
    <col min="5373" max="5373" width="1.1796875" style="141" customWidth="1"/>
    <col min="5374" max="5375" width="12.81640625" style="141" customWidth="1"/>
    <col min="5376" max="5376" width="8.81640625" style="141" customWidth="1"/>
    <col min="5377" max="5378" width="12.81640625" style="141" customWidth="1"/>
    <col min="5379" max="5379" width="8.81640625" style="141" customWidth="1"/>
    <col min="5380" max="5381" width="12.81640625" style="141" customWidth="1"/>
    <col min="5382" max="5382" width="8.81640625" style="141" customWidth="1"/>
    <col min="5383" max="5384" width="12.81640625" style="141" customWidth="1"/>
    <col min="5385" max="5385" width="8.81640625" style="141" customWidth="1"/>
    <col min="5386" max="5387" width="12.81640625" style="141" customWidth="1"/>
    <col min="5388" max="5388" width="8.81640625" style="141" customWidth="1"/>
    <col min="5389" max="5389" width="14" style="141" bestFit="1" customWidth="1"/>
    <col min="5390" max="5390" width="12.81640625" style="141" customWidth="1"/>
    <col min="5391" max="5391" width="8.81640625" style="141" customWidth="1"/>
    <col min="5392" max="5393" width="12.81640625" style="141" customWidth="1"/>
    <col min="5394" max="5394" width="8.81640625" style="141" customWidth="1"/>
    <col min="5395" max="5395" width="5.1796875" style="141" customWidth="1"/>
    <col min="5396" max="5396" width="4.54296875" style="141" customWidth="1"/>
    <col min="5397" max="5601" width="9.1796875" style="141"/>
    <col min="5602" max="5602" width="12.81640625" style="141" customWidth="1"/>
    <col min="5603" max="5603" width="1" style="141" customWidth="1"/>
    <col min="5604" max="5605" width="12.81640625" style="141" customWidth="1"/>
    <col min="5606" max="5606" width="8.81640625" style="141" customWidth="1"/>
    <col min="5607" max="5608" width="12.81640625" style="141" customWidth="1"/>
    <col min="5609" max="5609" width="8.81640625" style="141" customWidth="1"/>
    <col min="5610" max="5611" width="12.81640625" style="141" customWidth="1"/>
    <col min="5612" max="5612" width="8.81640625" style="141" customWidth="1"/>
    <col min="5613" max="5614" width="12.81640625" style="141" customWidth="1"/>
    <col min="5615" max="5615" width="8.81640625" style="141" customWidth="1"/>
    <col min="5616" max="5617" width="12.81640625" style="141" customWidth="1"/>
    <col min="5618" max="5618" width="8.81640625" style="141" customWidth="1"/>
    <col min="5619" max="5620" width="12.81640625" style="141" customWidth="1"/>
    <col min="5621" max="5621" width="8.81640625" style="141" customWidth="1"/>
    <col min="5622" max="5623" width="12.81640625" style="141" customWidth="1"/>
    <col min="5624" max="5624" width="8.81640625" style="141" customWidth="1"/>
    <col min="5625" max="5625" width="3.81640625" style="141" customWidth="1"/>
    <col min="5626" max="5626" width="3.1796875" style="141" customWidth="1"/>
    <col min="5627" max="5627" width="9.1796875" style="141"/>
    <col min="5628" max="5628" width="12.1796875" style="141" customWidth="1"/>
    <col min="5629" max="5629" width="1.1796875" style="141" customWidth="1"/>
    <col min="5630" max="5631" width="12.81640625" style="141" customWidth="1"/>
    <col min="5632" max="5632" width="8.81640625" style="141" customWidth="1"/>
    <col min="5633" max="5634" width="12.81640625" style="141" customWidth="1"/>
    <col min="5635" max="5635" width="8.81640625" style="141" customWidth="1"/>
    <col min="5636" max="5637" width="12.81640625" style="141" customWidth="1"/>
    <col min="5638" max="5638" width="8.81640625" style="141" customWidth="1"/>
    <col min="5639" max="5640" width="12.81640625" style="141" customWidth="1"/>
    <col min="5641" max="5641" width="8.81640625" style="141" customWidth="1"/>
    <col min="5642" max="5643" width="12.81640625" style="141" customWidth="1"/>
    <col min="5644" max="5644" width="8.81640625" style="141" customWidth="1"/>
    <col min="5645" max="5645" width="14" style="141" bestFit="1" customWidth="1"/>
    <col min="5646" max="5646" width="12.81640625" style="141" customWidth="1"/>
    <col min="5647" max="5647" width="8.81640625" style="141" customWidth="1"/>
    <col min="5648" max="5649" width="12.81640625" style="141" customWidth="1"/>
    <col min="5650" max="5650" width="8.81640625" style="141" customWidth="1"/>
    <col min="5651" max="5651" width="5.1796875" style="141" customWidth="1"/>
    <col min="5652" max="5652" width="4.54296875" style="141" customWidth="1"/>
    <col min="5653" max="5857" width="9.1796875" style="141"/>
    <col min="5858" max="5858" width="12.81640625" style="141" customWidth="1"/>
    <col min="5859" max="5859" width="1" style="141" customWidth="1"/>
    <col min="5860" max="5861" width="12.81640625" style="141" customWidth="1"/>
    <col min="5862" max="5862" width="8.81640625" style="141" customWidth="1"/>
    <col min="5863" max="5864" width="12.81640625" style="141" customWidth="1"/>
    <col min="5865" max="5865" width="8.81640625" style="141" customWidth="1"/>
    <col min="5866" max="5867" width="12.81640625" style="141" customWidth="1"/>
    <col min="5868" max="5868" width="8.81640625" style="141" customWidth="1"/>
    <col min="5869" max="5870" width="12.81640625" style="141" customWidth="1"/>
    <col min="5871" max="5871" width="8.81640625" style="141" customWidth="1"/>
    <col min="5872" max="5873" width="12.81640625" style="141" customWidth="1"/>
    <col min="5874" max="5874" width="8.81640625" style="141" customWidth="1"/>
    <col min="5875" max="5876" width="12.81640625" style="141" customWidth="1"/>
    <col min="5877" max="5877" width="8.81640625" style="141" customWidth="1"/>
    <col min="5878" max="5879" width="12.81640625" style="141" customWidth="1"/>
    <col min="5880" max="5880" width="8.81640625" style="141" customWidth="1"/>
    <col min="5881" max="5881" width="3.81640625" style="141" customWidth="1"/>
    <col min="5882" max="5882" width="3.1796875" style="141" customWidth="1"/>
    <col min="5883" max="5883" width="9.1796875" style="141"/>
    <col min="5884" max="5884" width="12.1796875" style="141" customWidth="1"/>
    <col min="5885" max="5885" width="1.1796875" style="141" customWidth="1"/>
    <col min="5886" max="5887" width="12.81640625" style="141" customWidth="1"/>
    <col min="5888" max="5888" width="8.81640625" style="141" customWidth="1"/>
    <col min="5889" max="5890" width="12.81640625" style="141" customWidth="1"/>
    <col min="5891" max="5891" width="8.81640625" style="141" customWidth="1"/>
    <col min="5892" max="5893" width="12.81640625" style="141" customWidth="1"/>
    <col min="5894" max="5894" width="8.81640625" style="141" customWidth="1"/>
    <col min="5895" max="5896" width="12.81640625" style="141" customWidth="1"/>
    <col min="5897" max="5897" width="8.81640625" style="141" customWidth="1"/>
    <col min="5898" max="5899" width="12.81640625" style="141" customWidth="1"/>
    <col min="5900" max="5900" width="8.81640625" style="141" customWidth="1"/>
    <col min="5901" max="5901" width="14" style="141" bestFit="1" customWidth="1"/>
    <col min="5902" max="5902" width="12.81640625" style="141" customWidth="1"/>
    <col min="5903" max="5903" width="8.81640625" style="141" customWidth="1"/>
    <col min="5904" max="5905" width="12.81640625" style="141" customWidth="1"/>
    <col min="5906" max="5906" width="8.81640625" style="141" customWidth="1"/>
    <col min="5907" max="5907" width="5.1796875" style="141" customWidth="1"/>
    <col min="5908" max="5908" width="4.54296875" style="141" customWidth="1"/>
    <col min="5909" max="6113" width="9.1796875" style="141"/>
    <col min="6114" max="6114" width="12.81640625" style="141" customWidth="1"/>
    <col min="6115" max="6115" width="1" style="141" customWidth="1"/>
    <col min="6116" max="6117" width="12.81640625" style="141" customWidth="1"/>
    <col min="6118" max="6118" width="8.81640625" style="141" customWidth="1"/>
    <col min="6119" max="6120" width="12.81640625" style="141" customWidth="1"/>
    <col min="6121" max="6121" width="8.81640625" style="141" customWidth="1"/>
    <col min="6122" max="6123" width="12.81640625" style="141" customWidth="1"/>
    <col min="6124" max="6124" width="8.81640625" style="141" customWidth="1"/>
    <col min="6125" max="6126" width="12.81640625" style="141" customWidth="1"/>
    <col min="6127" max="6127" width="8.81640625" style="141" customWidth="1"/>
    <col min="6128" max="6129" width="12.81640625" style="141" customWidth="1"/>
    <col min="6130" max="6130" width="8.81640625" style="141" customWidth="1"/>
    <col min="6131" max="6132" width="12.81640625" style="141" customWidth="1"/>
    <col min="6133" max="6133" width="8.81640625" style="141" customWidth="1"/>
    <col min="6134" max="6135" width="12.81640625" style="141" customWidth="1"/>
    <col min="6136" max="6136" width="8.81640625" style="141" customWidth="1"/>
    <col min="6137" max="6137" width="3.81640625" style="141" customWidth="1"/>
    <col min="6138" max="6138" width="3.1796875" style="141" customWidth="1"/>
    <col min="6139" max="6139" width="9.1796875" style="141"/>
    <col min="6140" max="6140" width="12.1796875" style="141" customWidth="1"/>
    <col min="6141" max="6141" width="1.1796875" style="141" customWidth="1"/>
    <col min="6142" max="6143" width="12.81640625" style="141" customWidth="1"/>
    <col min="6144" max="6144" width="8.81640625" style="141" customWidth="1"/>
    <col min="6145" max="6146" width="12.81640625" style="141" customWidth="1"/>
    <col min="6147" max="6147" width="8.81640625" style="141" customWidth="1"/>
    <col min="6148" max="6149" width="12.81640625" style="141" customWidth="1"/>
    <col min="6150" max="6150" width="8.81640625" style="141" customWidth="1"/>
    <col min="6151" max="6152" width="12.81640625" style="141" customWidth="1"/>
    <col min="6153" max="6153" width="8.81640625" style="141" customWidth="1"/>
    <col min="6154" max="6155" width="12.81640625" style="141" customWidth="1"/>
    <col min="6156" max="6156" width="8.81640625" style="141" customWidth="1"/>
    <col min="6157" max="6157" width="14" style="141" bestFit="1" customWidth="1"/>
    <col min="6158" max="6158" width="12.81640625" style="141" customWidth="1"/>
    <col min="6159" max="6159" width="8.81640625" style="141" customWidth="1"/>
    <col min="6160" max="6161" width="12.81640625" style="141" customWidth="1"/>
    <col min="6162" max="6162" width="8.81640625" style="141" customWidth="1"/>
    <col min="6163" max="6163" width="5.1796875" style="141" customWidth="1"/>
    <col min="6164" max="6164" width="4.54296875" style="141" customWidth="1"/>
    <col min="6165" max="6369" width="9.1796875" style="141"/>
    <col min="6370" max="6370" width="12.81640625" style="141" customWidth="1"/>
    <col min="6371" max="6371" width="1" style="141" customWidth="1"/>
    <col min="6372" max="6373" width="12.81640625" style="141" customWidth="1"/>
    <col min="6374" max="6374" width="8.81640625" style="141" customWidth="1"/>
    <col min="6375" max="6376" width="12.81640625" style="141" customWidth="1"/>
    <col min="6377" max="6377" width="8.81640625" style="141" customWidth="1"/>
    <col min="6378" max="6379" width="12.81640625" style="141" customWidth="1"/>
    <col min="6380" max="6380" width="8.81640625" style="141" customWidth="1"/>
    <col min="6381" max="6382" width="12.81640625" style="141" customWidth="1"/>
    <col min="6383" max="6383" width="8.81640625" style="141" customWidth="1"/>
    <col min="6384" max="6385" width="12.81640625" style="141" customWidth="1"/>
    <col min="6386" max="6386" width="8.81640625" style="141" customWidth="1"/>
    <col min="6387" max="6388" width="12.81640625" style="141" customWidth="1"/>
    <col min="6389" max="6389" width="8.81640625" style="141" customWidth="1"/>
    <col min="6390" max="6391" width="12.81640625" style="141" customWidth="1"/>
    <col min="6392" max="6392" width="8.81640625" style="141" customWidth="1"/>
    <col min="6393" max="6393" width="3.81640625" style="141" customWidth="1"/>
    <col min="6394" max="6394" width="3.1796875" style="141" customWidth="1"/>
    <col min="6395" max="6395" width="9.1796875" style="141"/>
    <col min="6396" max="6396" width="12.1796875" style="141" customWidth="1"/>
    <col min="6397" max="6397" width="1.1796875" style="141" customWidth="1"/>
    <col min="6398" max="6399" width="12.81640625" style="141" customWidth="1"/>
    <col min="6400" max="6400" width="8.81640625" style="141" customWidth="1"/>
    <col min="6401" max="6402" width="12.81640625" style="141" customWidth="1"/>
    <col min="6403" max="6403" width="8.81640625" style="141" customWidth="1"/>
    <col min="6404" max="6405" width="12.81640625" style="141" customWidth="1"/>
    <col min="6406" max="6406" width="8.81640625" style="141" customWidth="1"/>
    <col min="6407" max="6408" width="12.81640625" style="141" customWidth="1"/>
    <col min="6409" max="6409" width="8.81640625" style="141" customWidth="1"/>
    <col min="6410" max="6411" width="12.81640625" style="141" customWidth="1"/>
    <col min="6412" max="6412" width="8.81640625" style="141" customWidth="1"/>
    <col min="6413" max="6413" width="14" style="141" bestFit="1" customWidth="1"/>
    <col min="6414" max="6414" width="12.81640625" style="141" customWidth="1"/>
    <col min="6415" max="6415" width="8.81640625" style="141" customWidth="1"/>
    <col min="6416" max="6417" width="12.81640625" style="141" customWidth="1"/>
    <col min="6418" max="6418" width="8.81640625" style="141" customWidth="1"/>
    <col min="6419" max="6419" width="5.1796875" style="141" customWidth="1"/>
    <col min="6420" max="6420" width="4.54296875" style="141" customWidth="1"/>
    <col min="6421" max="6625" width="9.1796875" style="141"/>
    <col min="6626" max="6626" width="12.81640625" style="141" customWidth="1"/>
    <col min="6627" max="6627" width="1" style="141" customWidth="1"/>
    <col min="6628" max="6629" width="12.81640625" style="141" customWidth="1"/>
    <col min="6630" max="6630" width="8.81640625" style="141" customWidth="1"/>
    <col min="6631" max="6632" width="12.81640625" style="141" customWidth="1"/>
    <col min="6633" max="6633" width="8.81640625" style="141" customWidth="1"/>
    <col min="6634" max="6635" width="12.81640625" style="141" customWidth="1"/>
    <col min="6636" max="6636" width="8.81640625" style="141" customWidth="1"/>
    <col min="6637" max="6638" width="12.81640625" style="141" customWidth="1"/>
    <col min="6639" max="6639" width="8.81640625" style="141" customWidth="1"/>
    <col min="6640" max="6641" width="12.81640625" style="141" customWidth="1"/>
    <col min="6642" max="6642" width="8.81640625" style="141" customWidth="1"/>
    <col min="6643" max="6644" width="12.81640625" style="141" customWidth="1"/>
    <col min="6645" max="6645" width="8.81640625" style="141" customWidth="1"/>
    <col min="6646" max="6647" width="12.81640625" style="141" customWidth="1"/>
    <col min="6648" max="6648" width="8.81640625" style="141" customWidth="1"/>
    <col min="6649" max="6649" width="3.81640625" style="141" customWidth="1"/>
    <col min="6650" max="6650" width="3.1796875" style="141" customWidth="1"/>
    <col min="6651" max="6651" width="9.1796875" style="141"/>
    <col min="6652" max="6652" width="12.1796875" style="141" customWidth="1"/>
    <col min="6653" max="6653" width="1.1796875" style="141" customWidth="1"/>
    <col min="6654" max="6655" width="12.81640625" style="141" customWidth="1"/>
    <col min="6656" max="6656" width="8.81640625" style="141" customWidth="1"/>
    <col min="6657" max="6658" width="12.81640625" style="141" customWidth="1"/>
    <col min="6659" max="6659" width="8.81640625" style="141" customWidth="1"/>
    <col min="6660" max="6661" width="12.81640625" style="141" customWidth="1"/>
    <col min="6662" max="6662" width="8.81640625" style="141" customWidth="1"/>
    <col min="6663" max="6664" width="12.81640625" style="141" customWidth="1"/>
    <col min="6665" max="6665" width="8.81640625" style="141" customWidth="1"/>
    <col min="6666" max="6667" width="12.81640625" style="141" customWidth="1"/>
    <col min="6668" max="6668" width="8.81640625" style="141" customWidth="1"/>
    <col min="6669" max="6669" width="14" style="141" bestFit="1" customWidth="1"/>
    <col min="6670" max="6670" width="12.81640625" style="141" customWidth="1"/>
    <col min="6671" max="6671" width="8.81640625" style="141" customWidth="1"/>
    <col min="6672" max="6673" width="12.81640625" style="141" customWidth="1"/>
    <col min="6674" max="6674" width="8.81640625" style="141" customWidth="1"/>
    <col min="6675" max="6675" width="5.1796875" style="141" customWidth="1"/>
    <col min="6676" max="6676" width="4.54296875" style="141" customWidth="1"/>
    <col min="6677" max="6881" width="9.1796875" style="141"/>
    <col min="6882" max="6882" width="12.81640625" style="141" customWidth="1"/>
    <col min="6883" max="6883" width="1" style="141" customWidth="1"/>
    <col min="6884" max="6885" width="12.81640625" style="141" customWidth="1"/>
    <col min="6886" max="6886" width="8.81640625" style="141" customWidth="1"/>
    <col min="6887" max="6888" width="12.81640625" style="141" customWidth="1"/>
    <col min="6889" max="6889" width="8.81640625" style="141" customWidth="1"/>
    <col min="6890" max="6891" width="12.81640625" style="141" customWidth="1"/>
    <col min="6892" max="6892" width="8.81640625" style="141" customWidth="1"/>
    <col min="6893" max="6894" width="12.81640625" style="141" customWidth="1"/>
    <col min="6895" max="6895" width="8.81640625" style="141" customWidth="1"/>
    <col min="6896" max="6897" width="12.81640625" style="141" customWidth="1"/>
    <col min="6898" max="6898" width="8.81640625" style="141" customWidth="1"/>
    <col min="6899" max="6900" width="12.81640625" style="141" customWidth="1"/>
    <col min="6901" max="6901" width="8.81640625" style="141" customWidth="1"/>
    <col min="6902" max="6903" width="12.81640625" style="141" customWidth="1"/>
    <col min="6904" max="6904" width="8.81640625" style="141" customWidth="1"/>
    <col min="6905" max="6905" width="3.81640625" style="141" customWidth="1"/>
    <col min="6906" max="6906" width="3.1796875" style="141" customWidth="1"/>
    <col min="6907" max="6907" width="9.1796875" style="141"/>
    <col min="6908" max="6908" width="12.1796875" style="141" customWidth="1"/>
    <col min="6909" max="6909" width="1.1796875" style="141" customWidth="1"/>
    <col min="6910" max="6911" width="12.81640625" style="141" customWidth="1"/>
    <col min="6912" max="6912" width="8.81640625" style="141" customWidth="1"/>
    <col min="6913" max="6914" width="12.81640625" style="141" customWidth="1"/>
    <col min="6915" max="6915" width="8.81640625" style="141" customWidth="1"/>
    <col min="6916" max="6917" width="12.81640625" style="141" customWidth="1"/>
    <col min="6918" max="6918" width="8.81640625" style="141" customWidth="1"/>
    <col min="6919" max="6920" width="12.81640625" style="141" customWidth="1"/>
    <col min="6921" max="6921" width="8.81640625" style="141" customWidth="1"/>
    <col min="6922" max="6923" width="12.81640625" style="141" customWidth="1"/>
    <col min="6924" max="6924" width="8.81640625" style="141" customWidth="1"/>
    <col min="6925" max="6925" width="14" style="141" bestFit="1" customWidth="1"/>
    <col min="6926" max="6926" width="12.81640625" style="141" customWidth="1"/>
    <col min="6927" max="6927" width="8.81640625" style="141" customWidth="1"/>
    <col min="6928" max="6929" width="12.81640625" style="141" customWidth="1"/>
    <col min="6930" max="6930" width="8.81640625" style="141" customWidth="1"/>
    <col min="6931" max="6931" width="5.1796875" style="141" customWidth="1"/>
    <col min="6932" max="6932" width="4.54296875" style="141" customWidth="1"/>
    <col min="6933" max="7137" width="9.1796875" style="141"/>
    <col min="7138" max="7138" width="12.81640625" style="141" customWidth="1"/>
    <col min="7139" max="7139" width="1" style="141" customWidth="1"/>
    <col min="7140" max="7141" width="12.81640625" style="141" customWidth="1"/>
    <col min="7142" max="7142" width="8.81640625" style="141" customWidth="1"/>
    <col min="7143" max="7144" width="12.81640625" style="141" customWidth="1"/>
    <col min="7145" max="7145" width="8.81640625" style="141" customWidth="1"/>
    <col min="7146" max="7147" width="12.81640625" style="141" customWidth="1"/>
    <col min="7148" max="7148" width="8.81640625" style="141" customWidth="1"/>
    <col min="7149" max="7150" width="12.81640625" style="141" customWidth="1"/>
    <col min="7151" max="7151" width="8.81640625" style="141" customWidth="1"/>
    <col min="7152" max="7153" width="12.81640625" style="141" customWidth="1"/>
    <col min="7154" max="7154" width="8.81640625" style="141" customWidth="1"/>
    <col min="7155" max="7156" width="12.81640625" style="141" customWidth="1"/>
    <col min="7157" max="7157" width="8.81640625" style="141" customWidth="1"/>
    <col min="7158" max="7159" width="12.81640625" style="141" customWidth="1"/>
    <col min="7160" max="7160" width="8.81640625" style="141" customWidth="1"/>
    <col min="7161" max="7161" width="3.81640625" style="141" customWidth="1"/>
    <col min="7162" max="7162" width="3.1796875" style="141" customWidth="1"/>
    <col min="7163" max="7163" width="9.1796875" style="141"/>
    <col min="7164" max="7164" width="12.1796875" style="141" customWidth="1"/>
    <col min="7165" max="7165" width="1.1796875" style="141" customWidth="1"/>
    <col min="7166" max="7167" width="12.81640625" style="141" customWidth="1"/>
    <col min="7168" max="7168" width="8.81640625" style="141" customWidth="1"/>
    <col min="7169" max="7170" width="12.81640625" style="141" customWidth="1"/>
    <col min="7171" max="7171" width="8.81640625" style="141" customWidth="1"/>
    <col min="7172" max="7173" width="12.81640625" style="141" customWidth="1"/>
    <col min="7174" max="7174" width="8.81640625" style="141" customWidth="1"/>
    <col min="7175" max="7176" width="12.81640625" style="141" customWidth="1"/>
    <col min="7177" max="7177" width="8.81640625" style="141" customWidth="1"/>
    <col min="7178" max="7179" width="12.81640625" style="141" customWidth="1"/>
    <col min="7180" max="7180" width="8.81640625" style="141" customWidth="1"/>
    <col min="7181" max="7181" width="14" style="141" bestFit="1" customWidth="1"/>
    <col min="7182" max="7182" width="12.81640625" style="141" customWidth="1"/>
    <col min="7183" max="7183" width="8.81640625" style="141" customWidth="1"/>
    <col min="7184" max="7185" width="12.81640625" style="141" customWidth="1"/>
    <col min="7186" max="7186" width="8.81640625" style="141" customWidth="1"/>
    <col min="7187" max="7187" width="5.1796875" style="141" customWidth="1"/>
    <col min="7188" max="7188" width="4.54296875" style="141" customWidth="1"/>
    <col min="7189" max="7393" width="9.1796875" style="141"/>
    <col min="7394" max="7394" width="12.81640625" style="141" customWidth="1"/>
    <col min="7395" max="7395" width="1" style="141" customWidth="1"/>
    <col min="7396" max="7397" width="12.81640625" style="141" customWidth="1"/>
    <col min="7398" max="7398" width="8.81640625" style="141" customWidth="1"/>
    <col min="7399" max="7400" width="12.81640625" style="141" customWidth="1"/>
    <col min="7401" max="7401" width="8.81640625" style="141" customWidth="1"/>
    <col min="7402" max="7403" width="12.81640625" style="141" customWidth="1"/>
    <col min="7404" max="7404" width="8.81640625" style="141" customWidth="1"/>
    <col min="7405" max="7406" width="12.81640625" style="141" customWidth="1"/>
    <col min="7407" max="7407" width="8.81640625" style="141" customWidth="1"/>
    <col min="7408" max="7409" width="12.81640625" style="141" customWidth="1"/>
    <col min="7410" max="7410" width="8.81640625" style="141" customWidth="1"/>
    <col min="7411" max="7412" width="12.81640625" style="141" customWidth="1"/>
    <col min="7413" max="7413" width="8.81640625" style="141" customWidth="1"/>
    <col min="7414" max="7415" width="12.81640625" style="141" customWidth="1"/>
    <col min="7416" max="7416" width="8.81640625" style="141" customWidth="1"/>
    <col min="7417" max="7417" width="3.81640625" style="141" customWidth="1"/>
    <col min="7418" max="7418" width="3.1796875" style="141" customWidth="1"/>
    <col min="7419" max="7419" width="9.1796875" style="141"/>
    <col min="7420" max="7420" width="12.1796875" style="141" customWidth="1"/>
    <col min="7421" max="7421" width="1.1796875" style="141" customWidth="1"/>
    <col min="7422" max="7423" width="12.81640625" style="141" customWidth="1"/>
    <col min="7424" max="7424" width="8.81640625" style="141" customWidth="1"/>
    <col min="7425" max="7426" width="12.81640625" style="141" customWidth="1"/>
    <col min="7427" max="7427" width="8.81640625" style="141" customWidth="1"/>
    <col min="7428" max="7429" width="12.81640625" style="141" customWidth="1"/>
    <col min="7430" max="7430" width="8.81640625" style="141" customWidth="1"/>
    <col min="7431" max="7432" width="12.81640625" style="141" customWidth="1"/>
    <col min="7433" max="7433" width="8.81640625" style="141" customWidth="1"/>
    <col min="7434" max="7435" width="12.81640625" style="141" customWidth="1"/>
    <col min="7436" max="7436" width="8.81640625" style="141" customWidth="1"/>
    <col min="7437" max="7437" width="14" style="141" bestFit="1" customWidth="1"/>
    <col min="7438" max="7438" width="12.81640625" style="141" customWidth="1"/>
    <col min="7439" max="7439" width="8.81640625" style="141" customWidth="1"/>
    <col min="7440" max="7441" width="12.81640625" style="141" customWidth="1"/>
    <col min="7442" max="7442" width="8.81640625" style="141" customWidth="1"/>
    <col min="7443" max="7443" width="5.1796875" style="141" customWidth="1"/>
    <col min="7444" max="7444" width="4.54296875" style="141" customWidth="1"/>
    <col min="7445" max="7649" width="9.1796875" style="141"/>
    <col min="7650" max="7650" width="12.81640625" style="141" customWidth="1"/>
    <col min="7651" max="7651" width="1" style="141" customWidth="1"/>
    <col min="7652" max="7653" width="12.81640625" style="141" customWidth="1"/>
    <col min="7654" max="7654" width="8.81640625" style="141" customWidth="1"/>
    <col min="7655" max="7656" width="12.81640625" style="141" customWidth="1"/>
    <col min="7657" max="7657" width="8.81640625" style="141" customWidth="1"/>
    <col min="7658" max="7659" width="12.81640625" style="141" customWidth="1"/>
    <col min="7660" max="7660" width="8.81640625" style="141" customWidth="1"/>
    <col min="7661" max="7662" width="12.81640625" style="141" customWidth="1"/>
    <col min="7663" max="7663" width="8.81640625" style="141" customWidth="1"/>
    <col min="7664" max="7665" width="12.81640625" style="141" customWidth="1"/>
    <col min="7666" max="7666" width="8.81640625" style="141" customWidth="1"/>
    <col min="7667" max="7668" width="12.81640625" style="141" customWidth="1"/>
    <col min="7669" max="7669" width="8.81640625" style="141" customWidth="1"/>
    <col min="7670" max="7671" width="12.81640625" style="141" customWidth="1"/>
    <col min="7672" max="7672" width="8.81640625" style="141" customWidth="1"/>
    <col min="7673" max="7673" width="3.81640625" style="141" customWidth="1"/>
    <col min="7674" max="7674" width="3.1796875" style="141" customWidth="1"/>
    <col min="7675" max="7675" width="9.1796875" style="141"/>
    <col min="7676" max="7676" width="12.1796875" style="141" customWidth="1"/>
    <col min="7677" max="7677" width="1.1796875" style="141" customWidth="1"/>
    <col min="7678" max="7679" width="12.81640625" style="141" customWidth="1"/>
    <col min="7680" max="7680" width="8.81640625" style="141" customWidth="1"/>
    <col min="7681" max="7682" width="12.81640625" style="141" customWidth="1"/>
    <col min="7683" max="7683" width="8.81640625" style="141" customWidth="1"/>
    <col min="7684" max="7685" width="12.81640625" style="141" customWidth="1"/>
    <col min="7686" max="7686" width="8.81640625" style="141" customWidth="1"/>
    <col min="7687" max="7688" width="12.81640625" style="141" customWidth="1"/>
    <col min="7689" max="7689" width="8.81640625" style="141" customWidth="1"/>
    <col min="7690" max="7691" width="12.81640625" style="141" customWidth="1"/>
    <col min="7692" max="7692" width="8.81640625" style="141" customWidth="1"/>
    <col min="7693" max="7693" width="14" style="141" bestFit="1" customWidth="1"/>
    <col min="7694" max="7694" width="12.81640625" style="141" customWidth="1"/>
    <col min="7695" max="7695" width="8.81640625" style="141" customWidth="1"/>
    <col min="7696" max="7697" width="12.81640625" style="141" customWidth="1"/>
    <col min="7698" max="7698" width="8.81640625" style="141" customWidth="1"/>
    <col min="7699" max="7699" width="5.1796875" style="141" customWidth="1"/>
    <col min="7700" max="7700" width="4.54296875" style="141" customWidth="1"/>
    <col min="7701" max="7905" width="9.1796875" style="141"/>
    <col min="7906" max="7906" width="12.81640625" style="141" customWidth="1"/>
    <col min="7907" max="7907" width="1" style="141" customWidth="1"/>
    <col min="7908" max="7909" width="12.81640625" style="141" customWidth="1"/>
    <col min="7910" max="7910" width="8.81640625" style="141" customWidth="1"/>
    <col min="7911" max="7912" width="12.81640625" style="141" customWidth="1"/>
    <col min="7913" max="7913" width="8.81640625" style="141" customWidth="1"/>
    <col min="7914" max="7915" width="12.81640625" style="141" customWidth="1"/>
    <col min="7916" max="7916" width="8.81640625" style="141" customWidth="1"/>
    <col min="7917" max="7918" width="12.81640625" style="141" customWidth="1"/>
    <col min="7919" max="7919" width="8.81640625" style="141" customWidth="1"/>
    <col min="7920" max="7921" width="12.81640625" style="141" customWidth="1"/>
    <col min="7922" max="7922" width="8.81640625" style="141" customWidth="1"/>
    <col min="7923" max="7924" width="12.81640625" style="141" customWidth="1"/>
    <col min="7925" max="7925" width="8.81640625" style="141" customWidth="1"/>
    <col min="7926" max="7927" width="12.81640625" style="141" customWidth="1"/>
    <col min="7928" max="7928" width="8.81640625" style="141" customWidth="1"/>
    <col min="7929" max="7929" width="3.81640625" style="141" customWidth="1"/>
    <col min="7930" max="7930" width="3.1796875" style="141" customWidth="1"/>
    <col min="7931" max="7931" width="9.1796875" style="141"/>
    <col min="7932" max="7932" width="12.1796875" style="141" customWidth="1"/>
    <col min="7933" max="7933" width="1.1796875" style="141" customWidth="1"/>
    <col min="7934" max="7935" width="12.81640625" style="141" customWidth="1"/>
    <col min="7936" max="7936" width="8.81640625" style="141" customWidth="1"/>
    <col min="7937" max="7938" width="12.81640625" style="141" customWidth="1"/>
    <col min="7939" max="7939" width="8.81640625" style="141" customWidth="1"/>
    <col min="7940" max="7941" width="12.81640625" style="141" customWidth="1"/>
    <col min="7942" max="7942" width="8.81640625" style="141" customWidth="1"/>
    <col min="7943" max="7944" width="12.81640625" style="141" customWidth="1"/>
    <col min="7945" max="7945" width="8.81640625" style="141" customWidth="1"/>
    <col min="7946" max="7947" width="12.81640625" style="141" customWidth="1"/>
    <col min="7948" max="7948" width="8.81640625" style="141" customWidth="1"/>
    <col min="7949" max="7949" width="14" style="141" bestFit="1" customWidth="1"/>
    <col min="7950" max="7950" width="12.81640625" style="141" customWidth="1"/>
    <col min="7951" max="7951" width="8.81640625" style="141" customWidth="1"/>
    <col min="7952" max="7953" width="12.81640625" style="141" customWidth="1"/>
    <col min="7954" max="7954" width="8.81640625" style="141" customWidth="1"/>
    <col min="7955" max="7955" width="5.1796875" style="141" customWidth="1"/>
    <col min="7956" max="7956" width="4.54296875" style="141" customWidth="1"/>
    <col min="7957" max="8161" width="9.1796875" style="141"/>
    <col min="8162" max="8162" width="12.81640625" style="141" customWidth="1"/>
    <col min="8163" max="8163" width="1" style="141" customWidth="1"/>
    <col min="8164" max="8165" width="12.81640625" style="141" customWidth="1"/>
    <col min="8166" max="8166" width="8.81640625" style="141" customWidth="1"/>
    <col min="8167" max="8168" width="12.81640625" style="141" customWidth="1"/>
    <col min="8169" max="8169" width="8.81640625" style="141" customWidth="1"/>
    <col min="8170" max="8171" width="12.81640625" style="141" customWidth="1"/>
    <col min="8172" max="8172" width="8.81640625" style="141" customWidth="1"/>
    <col min="8173" max="8174" width="12.81640625" style="141" customWidth="1"/>
    <col min="8175" max="8175" width="8.81640625" style="141" customWidth="1"/>
    <col min="8176" max="8177" width="12.81640625" style="141" customWidth="1"/>
    <col min="8178" max="8178" width="8.81640625" style="141" customWidth="1"/>
    <col min="8179" max="8180" width="12.81640625" style="141" customWidth="1"/>
    <col min="8181" max="8181" width="8.81640625" style="141" customWidth="1"/>
    <col min="8182" max="8183" width="12.81640625" style="141" customWidth="1"/>
    <col min="8184" max="8184" width="8.81640625" style="141" customWidth="1"/>
    <col min="8185" max="8185" width="3.81640625" style="141" customWidth="1"/>
    <col min="8186" max="8186" width="3.1796875" style="141" customWidth="1"/>
    <col min="8187" max="8187" width="9.1796875" style="141"/>
    <col min="8188" max="8188" width="12.1796875" style="141" customWidth="1"/>
    <col min="8189" max="8189" width="1.1796875" style="141" customWidth="1"/>
    <col min="8190" max="8191" width="12.81640625" style="141" customWidth="1"/>
    <col min="8192" max="8192" width="8.81640625" style="141" customWidth="1"/>
    <col min="8193" max="8194" width="12.81640625" style="141" customWidth="1"/>
    <col min="8195" max="8195" width="8.81640625" style="141" customWidth="1"/>
    <col min="8196" max="8197" width="12.81640625" style="141" customWidth="1"/>
    <col min="8198" max="8198" width="8.81640625" style="141" customWidth="1"/>
    <col min="8199" max="8200" width="12.81640625" style="141" customWidth="1"/>
    <col min="8201" max="8201" width="8.81640625" style="141" customWidth="1"/>
    <col min="8202" max="8203" width="12.81640625" style="141" customWidth="1"/>
    <col min="8204" max="8204" width="8.81640625" style="141" customWidth="1"/>
    <col min="8205" max="8205" width="14" style="141" bestFit="1" customWidth="1"/>
    <col min="8206" max="8206" width="12.81640625" style="141" customWidth="1"/>
    <col min="8207" max="8207" width="8.81640625" style="141" customWidth="1"/>
    <col min="8208" max="8209" width="12.81640625" style="141" customWidth="1"/>
    <col min="8210" max="8210" width="8.81640625" style="141" customWidth="1"/>
    <col min="8211" max="8211" width="5.1796875" style="141" customWidth="1"/>
    <col min="8212" max="8212" width="4.54296875" style="141" customWidth="1"/>
    <col min="8213" max="8417" width="9.1796875" style="141"/>
    <col min="8418" max="8418" width="12.81640625" style="141" customWidth="1"/>
    <col min="8419" max="8419" width="1" style="141" customWidth="1"/>
    <col min="8420" max="8421" width="12.81640625" style="141" customWidth="1"/>
    <col min="8422" max="8422" width="8.81640625" style="141" customWidth="1"/>
    <col min="8423" max="8424" width="12.81640625" style="141" customWidth="1"/>
    <col min="8425" max="8425" width="8.81640625" style="141" customWidth="1"/>
    <col min="8426" max="8427" width="12.81640625" style="141" customWidth="1"/>
    <col min="8428" max="8428" width="8.81640625" style="141" customWidth="1"/>
    <col min="8429" max="8430" width="12.81640625" style="141" customWidth="1"/>
    <col min="8431" max="8431" width="8.81640625" style="141" customWidth="1"/>
    <col min="8432" max="8433" width="12.81640625" style="141" customWidth="1"/>
    <col min="8434" max="8434" width="8.81640625" style="141" customWidth="1"/>
    <col min="8435" max="8436" width="12.81640625" style="141" customWidth="1"/>
    <col min="8437" max="8437" width="8.81640625" style="141" customWidth="1"/>
    <col min="8438" max="8439" width="12.81640625" style="141" customWidth="1"/>
    <col min="8440" max="8440" width="8.81640625" style="141" customWidth="1"/>
    <col min="8441" max="8441" width="3.81640625" style="141" customWidth="1"/>
    <col min="8442" max="8442" width="3.1796875" style="141" customWidth="1"/>
    <col min="8443" max="8443" width="9.1796875" style="141"/>
    <col min="8444" max="8444" width="12.1796875" style="141" customWidth="1"/>
    <col min="8445" max="8445" width="1.1796875" style="141" customWidth="1"/>
    <col min="8446" max="8447" width="12.81640625" style="141" customWidth="1"/>
    <col min="8448" max="8448" width="8.81640625" style="141" customWidth="1"/>
    <col min="8449" max="8450" width="12.81640625" style="141" customWidth="1"/>
    <col min="8451" max="8451" width="8.81640625" style="141" customWidth="1"/>
    <col min="8452" max="8453" width="12.81640625" style="141" customWidth="1"/>
    <col min="8454" max="8454" width="8.81640625" style="141" customWidth="1"/>
    <col min="8455" max="8456" width="12.81640625" style="141" customWidth="1"/>
    <col min="8457" max="8457" width="8.81640625" style="141" customWidth="1"/>
    <col min="8458" max="8459" width="12.81640625" style="141" customWidth="1"/>
    <col min="8460" max="8460" width="8.81640625" style="141" customWidth="1"/>
    <col min="8461" max="8461" width="14" style="141" bestFit="1" customWidth="1"/>
    <col min="8462" max="8462" width="12.81640625" style="141" customWidth="1"/>
    <col min="8463" max="8463" width="8.81640625" style="141" customWidth="1"/>
    <col min="8464" max="8465" width="12.81640625" style="141" customWidth="1"/>
    <col min="8466" max="8466" width="8.81640625" style="141" customWidth="1"/>
    <col min="8467" max="8467" width="5.1796875" style="141" customWidth="1"/>
    <col min="8468" max="8468" width="4.54296875" style="141" customWidth="1"/>
    <col min="8469" max="8673" width="9.1796875" style="141"/>
    <col min="8674" max="8674" width="12.81640625" style="141" customWidth="1"/>
    <col min="8675" max="8675" width="1" style="141" customWidth="1"/>
    <col min="8676" max="8677" width="12.81640625" style="141" customWidth="1"/>
    <col min="8678" max="8678" width="8.81640625" style="141" customWidth="1"/>
    <col min="8679" max="8680" width="12.81640625" style="141" customWidth="1"/>
    <col min="8681" max="8681" width="8.81640625" style="141" customWidth="1"/>
    <col min="8682" max="8683" width="12.81640625" style="141" customWidth="1"/>
    <col min="8684" max="8684" width="8.81640625" style="141" customWidth="1"/>
    <col min="8685" max="8686" width="12.81640625" style="141" customWidth="1"/>
    <col min="8687" max="8687" width="8.81640625" style="141" customWidth="1"/>
    <col min="8688" max="8689" width="12.81640625" style="141" customWidth="1"/>
    <col min="8690" max="8690" width="8.81640625" style="141" customWidth="1"/>
    <col min="8691" max="8692" width="12.81640625" style="141" customWidth="1"/>
    <col min="8693" max="8693" width="8.81640625" style="141" customWidth="1"/>
    <col min="8694" max="8695" width="12.81640625" style="141" customWidth="1"/>
    <col min="8696" max="8696" width="8.81640625" style="141" customWidth="1"/>
    <col min="8697" max="8697" width="3.81640625" style="141" customWidth="1"/>
    <col min="8698" max="8698" width="3.1796875" style="141" customWidth="1"/>
    <col min="8699" max="8699" width="9.1796875" style="141"/>
    <col min="8700" max="8700" width="12.1796875" style="141" customWidth="1"/>
    <col min="8701" max="8701" width="1.1796875" style="141" customWidth="1"/>
    <col min="8702" max="8703" width="12.81640625" style="141" customWidth="1"/>
    <col min="8704" max="8704" width="8.81640625" style="141" customWidth="1"/>
    <col min="8705" max="8706" width="12.81640625" style="141" customWidth="1"/>
    <col min="8707" max="8707" width="8.81640625" style="141" customWidth="1"/>
    <col min="8708" max="8709" width="12.81640625" style="141" customWidth="1"/>
    <col min="8710" max="8710" width="8.81640625" style="141" customWidth="1"/>
    <col min="8711" max="8712" width="12.81640625" style="141" customWidth="1"/>
    <col min="8713" max="8713" width="8.81640625" style="141" customWidth="1"/>
    <col min="8714" max="8715" width="12.81640625" style="141" customWidth="1"/>
    <col min="8716" max="8716" width="8.81640625" style="141" customWidth="1"/>
    <col min="8717" max="8717" width="14" style="141" bestFit="1" customWidth="1"/>
    <col min="8718" max="8718" width="12.81640625" style="141" customWidth="1"/>
    <col min="8719" max="8719" width="8.81640625" style="141" customWidth="1"/>
    <col min="8720" max="8721" width="12.81640625" style="141" customWidth="1"/>
    <col min="8722" max="8722" width="8.81640625" style="141" customWidth="1"/>
    <col min="8723" max="8723" width="5.1796875" style="141" customWidth="1"/>
    <col min="8724" max="8724" width="4.54296875" style="141" customWidth="1"/>
    <col min="8725" max="8929" width="9.1796875" style="141"/>
    <col min="8930" max="8930" width="12.81640625" style="141" customWidth="1"/>
    <col min="8931" max="8931" width="1" style="141" customWidth="1"/>
    <col min="8932" max="8933" width="12.81640625" style="141" customWidth="1"/>
    <col min="8934" max="8934" width="8.81640625" style="141" customWidth="1"/>
    <col min="8935" max="8936" width="12.81640625" style="141" customWidth="1"/>
    <col min="8937" max="8937" width="8.81640625" style="141" customWidth="1"/>
    <col min="8938" max="8939" width="12.81640625" style="141" customWidth="1"/>
    <col min="8940" max="8940" width="8.81640625" style="141" customWidth="1"/>
    <col min="8941" max="8942" width="12.81640625" style="141" customWidth="1"/>
    <col min="8943" max="8943" width="8.81640625" style="141" customWidth="1"/>
    <col min="8944" max="8945" width="12.81640625" style="141" customWidth="1"/>
    <col min="8946" max="8946" width="8.81640625" style="141" customWidth="1"/>
    <col min="8947" max="8948" width="12.81640625" style="141" customWidth="1"/>
    <col min="8949" max="8949" width="8.81640625" style="141" customWidth="1"/>
    <col min="8950" max="8951" width="12.81640625" style="141" customWidth="1"/>
    <col min="8952" max="8952" width="8.81640625" style="141" customWidth="1"/>
    <col min="8953" max="8953" width="3.81640625" style="141" customWidth="1"/>
    <col min="8954" max="8954" width="3.1796875" style="141" customWidth="1"/>
    <col min="8955" max="8955" width="9.1796875" style="141"/>
    <col min="8956" max="8956" width="12.1796875" style="141" customWidth="1"/>
    <col min="8957" max="8957" width="1.1796875" style="141" customWidth="1"/>
    <col min="8958" max="8959" width="12.81640625" style="141" customWidth="1"/>
    <col min="8960" max="8960" width="8.81640625" style="141" customWidth="1"/>
    <col min="8961" max="8962" width="12.81640625" style="141" customWidth="1"/>
    <col min="8963" max="8963" width="8.81640625" style="141" customWidth="1"/>
    <col min="8964" max="8965" width="12.81640625" style="141" customWidth="1"/>
    <col min="8966" max="8966" width="8.81640625" style="141" customWidth="1"/>
    <col min="8967" max="8968" width="12.81640625" style="141" customWidth="1"/>
    <col min="8969" max="8969" width="8.81640625" style="141" customWidth="1"/>
    <col min="8970" max="8971" width="12.81640625" style="141" customWidth="1"/>
    <col min="8972" max="8972" width="8.81640625" style="141" customWidth="1"/>
    <col min="8973" max="8973" width="14" style="141" bestFit="1" customWidth="1"/>
    <col min="8974" max="8974" width="12.81640625" style="141" customWidth="1"/>
    <col min="8975" max="8975" width="8.81640625" style="141" customWidth="1"/>
    <col min="8976" max="8977" width="12.81640625" style="141" customWidth="1"/>
    <col min="8978" max="8978" width="8.81640625" style="141" customWidth="1"/>
    <col min="8979" max="8979" width="5.1796875" style="141" customWidth="1"/>
    <col min="8980" max="8980" width="4.54296875" style="141" customWidth="1"/>
    <col min="8981" max="9185" width="9.1796875" style="141"/>
    <col min="9186" max="9186" width="12.81640625" style="141" customWidth="1"/>
    <col min="9187" max="9187" width="1" style="141" customWidth="1"/>
    <col min="9188" max="9189" width="12.81640625" style="141" customWidth="1"/>
    <col min="9190" max="9190" width="8.81640625" style="141" customWidth="1"/>
    <col min="9191" max="9192" width="12.81640625" style="141" customWidth="1"/>
    <col min="9193" max="9193" width="8.81640625" style="141" customWidth="1"/>
    <col min="9194" max="9195" width="12.81640625" style="141" customWidth="1"/>
    <col min="9196" max="9196" width="8.81640625" style="141" customWidth="1"/>
    <col min="9197" max="9198" width="12.81640625" style="141" customWidth="1"/>
    <col min="9199" max="9199" width="8.81640625" style="141" customWidth="1"/>
    <col min="9200" max="9201" width="12.81640625" style="141" customWidth="1"/>
    <col min="9202" max="9202" width="8.81640625" style="141" customWidth="1"/>
    <col min="9203" max="9204" width="12.81640625" style="141" customWidth="1"/>
    <col min="9205" max="9205" width="8.81640625" style="141" customWidth="1"/>
    <col min="9206" max="9207" width="12.81640625" style="141" customWidth="1"/>
    <col min="9208" max="9208" width="8.81640625" style="141" customWidth="1"/>
    <col min="9209" max="9209" width="3.81640625" style="141" customWidth="1"/>
    <col min="9210" max="9210" width="3.1796875" style="141" customWidth="1"/>
    <col min="9211" max="9211" width="9.1796875" style="141"/>
    <col min="9212" max="9212" width="12.1796875" style="141" customWidth="1"/>
    <col min="9213" max="9213" width="1.1796875" style="141" customWidth="1"/>
    <col min="9214" max="9215" width="12.81640625" style="141" customWidth="1"/>
    <col min="9216" max="9216" width="8.81640625" style="141" customWidth="1"/>
    <col min="9217" max="9218" width="12.81640625" style="141" customWidth="1"/>
    <col min="9219" max="9219" width="8.81640625" style="141" customWidth="1"/>
    <col min="9220" max="9221" width="12.81640625" style="141" customWidth="1"/>
    <col min="9222" max="9222" width="8.81640625" style="141" customWidth="1"/>
    <col min="9223" max="9224" width="12.81640625" style="141" customWidth="1"/>
    <col min="9225" max="9225" width="8.81640625" style="141" customWidth="1"/>
    <col min="9226" max="9227" width="12.81640625" style="141" customWidth="1"/>
    <col min="9228" max="9228" width="8.81640625" style="141" customWidth="1"/>
    <col min="9229" max="9229" width="14" style="141" bestFit="1" customWidth="1"/>
    <col min="9230" max="9230" width="12.81640625" style="141" customWidth="1"/>
    <col min="9231" max="9231" width="8.81640625" style="141" customWidth="1"/>
    <col min="9232" max="9233" width="12.81640625" style="141" customWidth="1"/>
    <col min="9234" max="9234" width="8.81640625" style="141" customWidth="1"/>
    <col min="9235" max="9235" width="5.1796875" style="141" customWidth="1"/>
    <col min="9236" max="9236" width="4.54296875" style="141" customWidth="1"/>
    <col min="9237" max="9441" width="9.1796875" style="141"/>
    <col min="9442" max="9442" width="12.81640625" style="141" customWidth="1"/>
    <col min="9443" max="9443" width="1" style="141" customWidth="1"/>
    <col min="9444" max="9445" width="12.81640625" style="141" customWidth="1"/>
    <col min="9446" max="9446" width="8.81640625" style="141" customWidth="1"/>
    <col min="9447" max="9448" width="12.81640625" style="141" customWidth="1"/>
    <col min="9449" max="9449" width="8.81640625" style="141" customWidth="1"/>
    <col min="9450" max="9451" width="12.81640625" style="141" customWidth="1"/>
    <col min="9452" max="9452" width="8.81640625" style="141" customWidth="1"/>
    <col min="9453" max="9454" width="12.81640625" style="141" customWidth="1"/>
    <col min="9455" max="9455" width="8.81640625" style="141" customWidth="1"/>
    <col min="9456" max="9457" width="12.81640625" style="141" customWidth="1"/>
    <col min="9458" max="9458" width="8.81640625" style="141" customWidth="1"/>
    <col min="9459" max="9460" width="12.81640625" style="141" customWidth="1"/>
    <col min="9461" max="9461" width="8.81640625" style="141" customWidth="1"/>
    <col min="9462" max="9463" width="12.81640625" style="141" customWidth="1"/>
    <col min="9464" max="9464" width="8.81640625" style="141" customWidth="1"/>
    <col min="9465" max="9465" width="3.81640625" style="141" customWidth="1"/>
    <col min="9466" max="9466" width="3.1796875" style="141" customWidth="1"/>
    <col min="9467" max="9467" width="9.1796875" style="141"/>
    <col min="9468" max="9468" width="12.1796875" style="141" customWidth="1"/>
    <col min="9469" max="9469" width="1.1796875" style="141" customWidth="1"/>
    <col min="9470" max="9471" width="12.81640625" style="141" customWidth="1"/>
    <col min="9472" max="9472" width="8.81640625" style="141" customWidth="1"/>
    <col min="9473" max="9474" width="12.81640625" style="141" customWidth="1"/>
    <col min="9475" max="9475" width="8.81640625" style="141" customWidth="1"/>
    <col min="9476" max="9477" width="12.81640625" style="141" customWidth="1"/>
    <col min="9478" max="9478" width="8.81640625" style="141" customWidth="1"/>
    <col min="9479" max="9480" width="12.81640625" style="141" customWidth="1"/>
    <col min="9481" max="9481" width="8.81640625" style="141" customWidth="1"/>
    <col min="9482" max="9483" width="12.81640625" style="141" customWidth="1"/>
    <col min="9484" max="9484" width="8.81640625" style="141" customWidth="1"/>
    <col min="9485" max="9485" width="14" style="141" bestFit="1" customWidth="1"/>
    <col min="9486" max="9486" width="12.81640625" style="141" customWidth="1"/>
    <col min="9487" max="9487" width="8.81640625" style="141" customWidth="1"/>
    <col min="9488" max="9489" width="12.81640625" style="141" customWidth="1"/>
    <col min="9490" max="9490" width="8.81640625" style="141" customWidth="1"/>
    <col min="9491" max="9491" width="5.1796875" style="141" customWidth="1"/>
    <col min="9492" max="9492" width="4.54296875" style="141" customWidth="1"/>
    <col min="9493" max="9697" width="9.1796875" style="141"/>
    <col min="9698" max="9698" width="12.81640625" style="141" customWidth="1"/>
    <col min="9699" max="9699" width="1" style="141" customWidth="1"/>
    <col min="9700" max="9701" width="12.81640625" style="141" customWidth="1"/>
    <col min="9702" max="9702" width="8.81640625" style="141" customWidth="1"/>
    <col min="9703" max="9704" width="12.81640625" style="141" customWidth="1"/>
    <col min="9705" max="9705" width="8.81640625" style="141" customWidth="1"/>
    <col min="9706" max="9707" width="12.81640625" style="141" customWidth="1"/>
    <col min="9708" max="9708" width="8.81640625" style="141" customWidth="1"/>
    <col min="9709" max="9710" width="12.81640625" style="141" customWidth="1"/>
    <col min="9711" max="9711" width="8.81640625" style="141" customWidth="1"/>
    <col min="9712" max="9713" width="12.81640625" style="141" customWidth="1"/>
    <col min="9714" max="9714" width="8.81640625" style="141" customWidth="1"/>
    <col min="9715" max="9716" width="12.81640625" style="141" customWidth="1"/>
    <col min="9717" max="9717" width="8.81640625" style="141" customWidth="1"/>
    <col min="9718" max="9719" width="12.81640625" style="141" customWidth="1"/>
    <col min="9720" max="9720" width="8.81640625" style="141" customWidth="1"/>
    <col min="9721" max="9721" width="3.81640625" style="141" customWidth="1"/>
    <col min="9722" max="9722" width="3.1796875" style="141" customWidth="1"/>
    <col min="9723" max="9723" width="9.1796875" style="141"/>
    <col min="9724" max="9724" width="12.1796875" style="141" customWidth="1"/>
    <col min="9725" max="9725" width="1.1796875" style="141" customWidth="1"/>
    <col min="9726" max="9727" width="12.81640625" style="141" customWidth="1"/>
    <col min="9728" max="9728" width="8.81640625" style="141" customWidth="1"/>
    <col min="9729" max="9730" width="12.81640625" style="141" customWidth="1"/>
    <col min="9731" max="9731" width="8.81640625" style="141" customWidth="1"/>
    <col min="9732" max="9733" width="12.81640625" style="141" customWidth="1"/>
    <col min="9734" max="9734" width="8.81640625" style="141" customWidth="1"/>
    <col min="9735" max="9736" width="12.81640625" style="141" customWidth="1"/>
    <col min="9737" max="9737" width="8.81640625" style="141" customWidth="1"/>
    <col min="9738" max="9739" width="12.81640625" style="141" customWidth="1"/>
    <col min="9740" max="9740" width="8.81640625" style="141" customWidth="1"/>
    <col min="9741" max="9741" width="14" style="141" bestFit="1" customWidth="1"/>
    <col min="9742" max="9742" width="12.81640625" style="141" customWidth="1"/>
    <col min="9743" max="9743" width="8.81640625" style="141" customWidth="1"/>
    <col min="9744" max="9745" width="12.81640625" style="141" customWidth="1"/>
    <col min="9746" max="9746" width="8.81640625" style="141" customWidth="1"/>
    <col min="9747" max="9747" width="5.1796875" style="141" customWidth="1"/>
    <col min="9748" max="9748" width="4.54296875" style="141" customWidth="1"/>
    <col min="9749" max="9953" width="9.1796875" style="141"/>
    <col min="9954" max="9954" width="12.81640625" style="141" customWidth="1"/>
    <col min="9955" max="9955" width="1" style="141" customWidth="1"/>
    <col min="9956" max="9957" width="12.81640625" style="141" customWidth="1"/>
    <col min="9958" max="9958" width="8.81640625" style="141" customWidth="1"/>
    <col min="9959" max="9960" width="12.81640625" style="141" customWidth="1"/>
    <col min="9961" max="9961" width="8.81640625" style="141" customWidth="1"/>
    <col min="9962" max="9963" width="12.81640625" style="141" customWidth="1"/>
    <col min="9964" max="9964" width="8.81640625" style="141" customWidth="1"/>
    <col min="9965" max="9966" width="12.81640625" style="141" customWidth="1"/>
    <col min="9967" max="9967" width="8.81640625" style="141" customWidth="1"/>
    <col min="9968" max="9969" width="12.81640625" style="141" customWidth="1"/>
    <col min="9970" max="9970" width="8.81640625" style="141" customWidth="1"/>
    <col min="9971" max="9972" width="12.81640625" style="141" customWidth="1"/>
    <col min="9973" max="9973" width="8.81640625" style="141" customWidth="1"/>
    <col min="9974" max="9975" width="12.81640625" style="141" customWidth="1"/>
    <col min="9976" max="9976" width="8.81640625" style="141" customWidth="1"/>
    <col min="9977" max="9977" width="3.81640625" style="141" customWidth="1"/>
    <col min="9978" max="9978" width="3.1796875" style="141" customWidth="1"/>
    <col min="9979" max="9979" width="9.1796875" style="141"/>
    <col min="9980" max="9980" width="12.1796875" style="141" customWidth="1"/>
    <col min="9981" max="9981" width="1.1796875" style="141" customWidth="1"/>
    <col min="9982" max="9983" width="12.81640625" style="141" customWidth="1"/>
    <col min="9984" max="9984" width="8.81640625" style="141" customWidth="1"/>
    <col min="9985" max="9986" width="12.81640625" style="141" customWidth="1"/>
    <col min="9987" max="9987" width="8.81640625" style="141" customWidth="1"/>
    <col min="9988" max="9989" width="12.81640625" style="141" customWidth="1"/>
    <col min="9990" max="9990" width="8.81640625" style="141" customWidth="1"/>
    <col min="9991" max="9992" width="12.81640625" style="141" customWidth="1"/>
    <col min="9993" max="9993" width="8.81640625" style="141" customWidth="1"/>
    <col min="9994" max="9995" width="12.81640625" style="141" customWidth="1"/>
    <col min="9996" max="9996" width="8.81640625" style="141" customWidth="1"/>
    <col min="9997" max="9997" width="14" style="141" bestFit="1" customWidth="1"/>
    <col min="9998" max="9998" width="12.81640625" style="141" customWidth="1"/>
    <col min="9999" max="9999" width="8.81640625" style="141" customWidth="1"/>
    <col min="10000" max="10001" width="12.81640625" style="141" customWidth="1"/>
    <col min="10002" max="10002" width="8.81640625" style="141" customWidth="1"/>
    <col min="10003" max="10003" width="5.1796875" style="141" customWidth="1"/>
    <col min="10004" max="10004" width="4.54296875" style="141" customWidth="1"/>
    <col min="10005" max="10209" width="9.1796875" style="141"/>
    <col min="10210" max="10210" width="12.81640625" style="141" customWidth="1"/>
    <col min="10211" max="10211" width="1" style="141" customWidth="1"/>
    <col min="10212" max="10213" width="12.81640625" style="141" customWidth="1"/>
    <col min="10214" max="10214" width="8.81640625" style="141" customWidth="1"/>
    <col min="10215" max="10216" width="12.81640625" style="141" customWidth="1"/>
    <col min="10217" max="10217" width="8.81640625" style="141" customWidth="1"/>
    <col min="10218" max="10219" width="12.81640625" style="141" customWidth="1"/>
    <col min="10220" max="10220" width="8.81640625" style="141" customWidth="1"/>
    <col min="10221" max="10222" width="12.81640625" style="141" customWidth="1"/>
    <col min="10223" max="10223" width="8.81640625" style="141" customWidth="1"/>
    <col min="10224" max="10225" width="12.81640625" style="141" customWidth="1"/>
    <col min="10226" max="10226" width="8.81640625" style="141" customWidth="1"/>
    <col min="10227" max="10228" width="12.81640625" style="141" customWidth="1"/>
    <col min="10229" max="10229" width="8.81640625" style="141" customWidth="1"/>
    <col min="10230" max="10231" width="12.81640625" style="141" customWidth="1"/>
    <col min="10232" max="10232" width="8.81640625" style="141" customWidth="1"/>
    <col min="10233" max="10233" width="3.81640625" style="141" customWidth="1"/>
    <col min="10234" max="10234" width="3.1796875" style="141" customWidth="1"/>
    <col min="10235" max="10235" width="9.1796875" style="141"/>
    <col min="10236" max="10236" width="12.1796875" style="141" customWidth="1"/>
    <col min="10237" max="10237" width="1.1796875" style="141" customWidth="1"/>
    <col min="10238" max="10239" width="12.81640625" style="141" customWidth="1"/>
    <col min="10240" max="10240" width="8.81640625" style="141" customWidth="1"/>
    <col min="10241" max="10242" width="12.81640625" style="141" customWidth="1"/>
    <col min="10243" max="10243" width="8.81640625" style="141" customWidth="1"/>
    <col min="10244" max="10245" width="12.81640625" style="141" customWidth="1"/>
    <col min="10246" max="10246" width="8.81640625" style="141" customWidth="1"/>
    <col min="10247" max="10248" width="12.81640625" style="141" customWidth="1"/>
    <col min="10249" max="10249" width="8.81640625" style="141" customWidth="1"/>
    <col min="10250" max="10251" width="12.81640625" style="141" customWidth="1"/>
    <col min="10252" max="10252" width="8.81640625" style="141" customWidth="1"/>
    <col min="10253" max="10253" width="14" style="141" bestFit="1" customWidth="1"/>
    <col min="10254" max="10254" width="12.81640625" style="141" customWidth="1"/>
    <col min="10255" max="10255" width="8.81640625" style="141" customWidth="1"/>
    <col min="10256" max="10257" width="12.81640625" style="141" customWidth="1"/>
    <col min="10258" max="10258" width="8.81640625" style="141" customWidth="1"/>
    <col min="10259" max="10259" width="5.1796875" style="141" customWidth="1"/>
    <col min="10260" max="10260" width="4.54296875" style="141" customWidth="1"/>
    <col min="10261" max="10465" width="9.1796875" style="141"/>
    <col min="10466" max="10466" width="12.81640625" style="141" customWidth="1"/>
    <col min="10467" max="10467" width="1" style="141" customWidth="1"/>
    <col min="10468" max="10469" width="12.81640625" style="141" customWidth="1"/>
    <col min="10470" max="10470" width="8.81640625" style="141" customWidth="1"/>
    <col min="10471" max="10472" width="12.81640625" style="141" customWidth="1"/>
    <col min="10473" max="10473" width="8.81640625" style="141" customWidth="1"/>
    <col min="10474" max="10475" width="12.81640625" style="141" customWidth="1"/>
    <col min="10476" max="10476" width="8.81640625" style="141" customWidth="1"/>
    <col min="10477" max="10478" width="12.81640625" style="141" customWidth="1"/>
    <col min="10479" max="10479" width="8.81640625" style="141" customWidth="1"/>
    <col min="10480" max="10481" width="12.81640625" style="141" customWidth="1"/>
    <col min="10482" max="10482" width="8.81640625" style="141" customWidth="1"/>
    <col min="10483" max="10484" width="12.81640625" style="141" customWidth="1"/>
    <col min="10485" max="10485" width="8.81640625" style="141" customWidth="1"/>
    <col min="10486" max="10487" width="12.81640625" style="141" customWidth="1"/>
    <col min="10488" max="10488" width="8.81640625" style="141" customWidth="1"/>
    <col min="10489" max="10489" width="3.81640625" style="141" customWidth="1"/>
    <col min="10490" max="10490" width="3.1796875" style="141" customWidth="1"/>
    <col min="10491" max="10491" width="9.1796875" style="141"/>
    <col min="10492" max="10492" width="12.1796875" style="141" customWidth="1"/>
    <col min="10493" max="10493" width="1.1796875" style="141" customWidth="1"/>
    <col min="10494" max="10495" width="12.81640625" style="141" customWidth="1"/>
    <col min="10496" max="10496" width="8.81640625" style="141" customWidth="1"/>
    <col min="10497" max="10498" width="12.81640625" style="141" customWidth="1"/>
    <col min="10499" max="10499" width="8.81640625" style="141" customWidth="1"/>
    <col min="10500" max="10501" width="12.81640625" style="141" customWidth="1"/>
    <col min="10502" max="10502" width="8.81640625" style="141" customWidth="1"/>
    <col min="10503" max="10504" width="12.81640625" style="141" customWidth="1"/>
    <col min="10505" max="10505" width="8.81640625" style="141" customWidth="1"/>
    <col min="10506" max="10507" width="12.81640625" style="141" customWidth="1"/>
    <col min="10508" max="10508" width="8.81640625" style="141" customWidth="1"/>
    <col min="10509" max="10509" width="14" style="141" bestFit="1" customWidth="1"/>
    <col min="10510" max="10510" width="12.81640625" style="141" customWidth="1"/>
    <col min="10511" max="10511" width="8.81640625" style="141" customWidth="1"/>
    <col min="10512" max="10513" width="12.81640625" style="141" customWidth="1"/>
    <col min="10514" max="10514" width="8.81640625" style="141" customWidth="1"/>
    <col min="10515" max="10515" width="5.1796875" style="141" customWidth="1"/>
    <col min="10516" max="10516" width="4.54296875" style="141" customWidth="1"/>
    <col min="10517" max="10721" width="9.1796875" style="141"/>
    <col min="10722" max="10722" width="12.81640625" style="141" customWidth="1"/>
    <col min="10723" max="10723" width="1" style="141" customWidth="1"/>
    <col min="10724" max="10725" width="12.81640625" style="141" customWidth="1"/>
    <col min="10726" max="10726" width="8.81640625" style="141" customWidth="1"/>
    <col min="10727" max="10728" width="12.81640625" style="141" customWidth="1"/>
    <col min="10729" max="10729" width="8.81640625" style="141" customWidth="1"/>
    <col min="10730" max="10731" width="12.81640625" style="141" customWidth="1"/>
    <col min="10732" max="10732" width="8.81640625" style="141" customWidth="1"/>
    <col min="10733" max="10734" width="12.81640625" style="141" customWidth="1"/>
    <col min="10735" max="10735" width="8.81640625" style="141" customWidth="1"/>
    <col min="10736" max="10737" width="12.81640625" style="141" customWidth="1"/>
    <col min="10738" max="10738" width="8.81640625" style="141" customWidth="1"/>
    <col min="10739" max="10740" width="12.81640625" style="141" customWidth="1"/>
    <col min="10741" max="10741" width="8.81640625" style="141" customWidth="1"/>
    <col min="10742" max="10743" width="12.81640625" style="141" customWidth="1"/>
    <col min="10744" max="10744" width="8.81640625" style="141" customWidth="1"/>
    <col min="10745" max="10745" width="3.81640625" style="141" customWidth="1"/>
    <col min="10746" max="10746" width="3.1796875" style="141" customWidth="1"/>
    <col min="10747" max="10747" width="9.1796875" style="141"/>
    <col min="10748" max="10748" width="12.1796875" style="141" customWidth="1"/>
    <col min="10749" max="10749" width="1.1796875" style="141" customWidth="1"/>
    <col min="10750" max="10751" width="12.81640625" style="141" customWidth="1"/>
    <col min="10752" max="10752" width="8.81640625" style="141" customWidth="1"/>
    <col min="10753" max="10754" width="12.81640625" style="141" customWidth="1"/>
    <col min="10755" max="10755" width="8.81640625" style="141" customWidth="1"/>
    <col min="10756" max="10757" width="12.81640625" style="141" customWidth="1"/>
    <col min="10758" max="10758" width="8.81640625" style="141" customWidth="1"/>
    <col min="10759" max="10760" width="12.81640625" style="141" customWidth="1"/>
    <col min="10761" max="10761" width="8.81640625" style="141" customWidth="1"/>
    <col min="10762" max="10763" width="12.81640625" style="141" customWidth="1"/>
    <col min="10764" max="10764" width="8.81640625" style="141" customWidth="1"/>
    <col min="10765" max="10765" width="14" style="141" bestFit="1" customWidth="1"/>
    <col min="10766" max="10766" width="12.81640625" style="141" customWidth="1"/>
    <col min="10767" max="10767" width="8.81640625" style="141" customWidth="1"/>
    <col min="10768" max="10769" width="12.81640625" style="141" customWidth="1"/>
    <col min="10770" max="10770" width="8.81640625" style="141" customWidth="1"/>
    <col min="10771" max="10771" width="5.1796875" style="141" customWidth="1"/>
    <col min="10772" max="10772" width="4.54296875" style="141" customWidth="1"/>
    <col min="10773" max="10977" width="9.1796875" style="141"/>
    <col min="10978" max="10978" width="12.81640625" style="141" customWidth="1"/>
    <col min="10979" max="10979" width="1" style="141" customWidth="1"/>
    <col min="10980" max="10981" width="12.81640625" style="141" customWidth="1"/>
    <col min="10982" max="10982" width="8.81640625" style="141" customWidth="1"/>
    <col min="10983" max="10984" width="12.81640625" style="141" customWidth="1"/>
    <col min="10985" max="10985" width="8.81640625" style="141" customWidth="1"/>
    <col min="10986" max="10987" width="12.81640625" style="141" customWidth="1"/>
    <col min="10988" max="10988" width="8.81640625" style="141" customWidth="1"/>
    <col min="10989" max="10990" width="12.81640625" style="141" customWidth="1"/>
    <col min="10991" max="10991" width="8.81640625" style="141" customWidth="1"/>
    <col min="10992" max="10993" width="12.81640625" style="141" customWidth="1"/>
    <col min="10994" max="10994" width="8.81640625" style="141" customWidth="1"/>
    <col min="10995" max="10996" width="12.81640625" style="141" customWidth="1"/>
    <col min="10997" max="10997" width="8.81640625" style="141" customWidth="1"/>
    <col min="10998" max="10999" width="12.81640625" style="141" customWidth="1"/>
    <col min="11000" max="11000" width="8.81640625" style="141" customWidth="1"/>
    <col min="11001" max="11001" width="3.81640625" style="141" customWidth="1"/>
    <col min="11002" max="11002" width="3.1796875" style="141" customWidth="1"/>
    <col min="11003" max="11003" width="9.1796875" style="141"/>
    <col min="11004" max="11004" width="12.1796875" style="141" customWidth="1"/>
    <col min="11005" max="11005" width="1.1796875" style="141" customWidth="1"/>
    <col min="11006" max="11007" width="12.81640625" style="141" customWidth="1"/>
    <col min="11008" max="11008" width="8.81640625" style="141" customWidth="1"/>
    <col min="11009" max="11010" width="12.81640625" style="141" customWidth="1"/>
    <col min="11011" max="11011" width="8.81640625" style="141" customWidth="1"/>
    <col min="11012" max="11013" width="12.81640625" style="141" customWidth="1"/>
    <col min="11014" max="11014" width="8.81640625" style="141" customWidth="1"/>
    <col min="11015" max="11016" width="12.81640625" style="141" customWidth="1"/>
    <col min="11017" max="11017" width="8.81640625" style="141" customWidth="1"/>
    <col min="11018" max="11019" width="12.81640625" style="141" customWidth="1"/>
    <col min="11020" max="11020" width="8.81640625" style="141" customWidth="1"/>
    <col min="11021" max="11021" width="14" style="141" bestFit="1" customWidth="1"/>
    <col min="11022" max="11022" width="12.81640625" style="141" customWidth="1"/>
    <col min="11023" max="11023" width="8.81640625" style="141" customWidth="1"/>
    <col min="11024" max="11025" width="12.81640625" style="141" customWidth="1"/>
    <col min="11026" max="11026" width="8.81640625" style="141" customWidth="1"/>
    <col min="11027" max="11027" width="5.1796875" style="141" customWidth="1"/>
    <col min="11028" max="11028" width="4.54296875" style="141" customWidth="1"/>
    <col min="11029" max="11233" width="9.1796875" style="141"/>
    <col min="11234" max="11234" width="12.81640625" style="141" customWidth="1"/>
    <col min="11235" max="11235" width="1" style="141" customWidth="1"/>
    <col min="11236" max="11237" width="12.81640625" style="141" customWidth="1"/>
    <col min="11238" max="11238" width="8.81640625" style="141" customWidth="1"/>
    <col min="11239" max="11240" width="12.81640625" style="141" customWidth="1"/>
    <col min="11241" max="11241" width="8.81640625" style="141" customWidth="1"/>
    <col min="11242" max="11243" width="12.81640625" style="141" customWidth="1"/>
    <col min="11244" max="11244" width="8.81640625" style="141" customWidth="1"/>
    <col min="11245" max="11246" width="12.81640625" style="141" customWidth="1"/>
    <col min="11247" max="11247" width="8.81640625" style="141" customWidth="1"/>
    <col min="11248" max="11249" width="12.81640625" style="141" customWidth="1"/>
    <col min="11250" max="11250" width="8.81640625" style="141" customWidth="1"/>
    <col min="11251" max="11252" width="12.81640625" style="141" customWidth="1"/>
    <col min="11253" max="11253" width="8.81640625" style="141" customWidth="1"/>
    <col min="11254" max="11255" width="12.81640625" style="141" customWidth="1"/>
    <col min="11256" max="11256" width="8.81640625" style="141" customWidth="1"/>
    <col min="11257" max="11257" width="3.81640625" style="141" customWidth="1"/>
    <col min="11258" max="11258" width="3.1796875" style="141" customWidth="1"/>
    <col min="11259" max="11259" width="9.1796875" style="141"/>
    <col min="11260" max="11260" width="12.1796875" style="141" customWidth="1"/>
    <col min="11261" max="11261" width="1.1796875" style="141" customWidth="1"/>
    <col min="11262" max="11263" width="12.81640625" style="141" customWidth="1"/>
    <col min="11264" max="11264" width="8.81640625" style="141" customWidth="1"/>
    <col min="11265" max="11266" width="12.81640625" style="141" customWidth="1"/>
    <col min="11267" max="11267" width="8.81640625" style="141" customWidth="1"/>
    <col min="11268" max="11269" width="12.81640625" style="141" customWidth="1"/>
    <col min="11270" max="11270" width="8.81640625" style="141" customWidth="1"/>
    <col min="11271" max="11272" width="12.81640625" style="141" customWidth="1"/>
    <col min="11273" max="11273" width="8.81640625" style="141" customWidth="1"/>
    <col min="11274" max="11275" width="12.81640625" style="141" customWidth="1"/>
    <col min="11276" max="11276" width="8.81640625" style="141" customWidth="1"/>
    <col min="11277" max="11277" width="14" style="141" bestFit="1" customWidth="1"/>
    <col min="11278" max="11278" width="12.81640625" style="141" customWidth="1"/>
    <col min="11279" max="11279" width="8.81640625" style="141" customWidth="1"/>
    <col min="11280" max="11281" width="12.81640625" style="141" customWidth="1"/>
    <col min="11282" max="11282" width="8.81640625" style="141" customWidth="1"/>
    <col min="11283" max="11283" width="5.1796875" style="141" customWidth="1"/>
    <col min="11284" max="11284" width="4.54296875" style="141" customWidth="1"/>
    <col min="11285" max="11489" width="9.1796875" style="141"/>
    <col min="11490" max="11490" width="12.81640625" style="141" customWidth="1"/>
    <col min="11491" max="11491" width="1" style="141" customWidth="1"/>
    <col min="11492" max="11493" width="12.81640625" style="141" customWidth="1"/>
    <col min="11494" max="11494" width="8.81640625" style="141" customWidth="1"/>
    <col min="11495" max="11496" width="12.81640625" style="141" customWidth="1"/>
    <col min="11497" max="11497" width="8.81640625" style="141" customWidth="1"/>
    <col min="11498" max="11499" width="12.81640625" style="141" customWidth="1"/>
    <col min="11500" max="11500" width="8.81640625" style="141" customWidth="1"/>
    <col min="11501" max="11502" width="12.81640625" style="141" customWidth="1"/>
    <col min="11503" max="11503" width="8.81640625" style="141" customWidth="1"/>
    <col min="11504" max="11505" width="12.81640625" style="141" customWidth="1"/>
    <col min="11506" max="11506" width="8.81640625" style="141" customWidth="1"/>
    <col min="11507" max="11508" width="12.81640625" style="141" customWidth="1"/>
    <col min="11509" max="11509" width="8.81640625" style="141" customWidth="1"/>
    <col min="11510" max="11511" width="12.81640625" style="141" customWidth="1"/>
    <col min="11512" max="11512" width="8.81640625" style="141" customWidth="1"/>
    <col min="11513" max="11513" width="3.81640625" style="141" customWidth="1"/>
    <col min="11514" max="11514" width="3.1796875" style="141" customWidth="1"/>
    <col min="11515" max="11515" width="9.1796875" style="141"/>
    <col min="11516" max="11516" width="12.1796875" style="141" customWidth="1"/>
    <col min="11517" max="11517" width="1.1796875" style="141" customWidth="1"/>
    <col min="11518" max="11519" width="12.81640625" style="141" customWidth="1"/>
    <col min="11520" max="11520" width="8.81640625" style="141" customWidth="1"/>
    <col min="11521" max="11522" width="12.81640625" style="141" customWidth="1"/>
    <col min="11523" max="11523" width="8.81640625" style="141" customWidth="1"/>
    <col min="11524" max="11525" width="12.81640625" style="141" customWidth="1"/>
    <col min="11526" max="11526" width="8.81640625" style="141" customWidth="1"/>
    <col min="11527" max="11528" width="12.81640625" style="141" customWidth="1"/>
    <col min="11529" max="11529" width="8.81640625" style="141" customWidth="1"/>
    <col min="11530" max="11531" width="12.81640625" style="141" customWidth="1"/>
    <col min="11532" max="11532" width="8.81640625" style="141" customWidth="1"/>
    <col min="11533" max="11533" width="14" style="141" bestFit="1" customWidth="1"/>
    <col min="11534" max="11534" width="12.81640625" style="141" customWidth="1"/>
    <col min="11535" max="11535" width="8.81640625" style="141" customWidth="1"/>
    <col min="11536" max="11537" width="12.81640625" style="141" customWidth="1"/>
    <col min="11538" max="11538" width="8.81640625" style="141" customWidth="1"/>
    <col min="11539" max="11539" width="5.1796875" style="141" customWidth="1"/>
    <col min="11540" max="11540" width="4.54296875" style="141" customWidth="1"/>
    <col min="11541" max="11745" width="9.1796875" style="141"/>
    <col min="11746" max="11746" width="12.81640625" style="141" customWidth="1"/>
    <col min="11747" max="11747" width="1" style="141" customWidth="1"/>
    <col min="11748" max="11749" width="12.81640625" style="141" customWidth="1"/>
    <col min="11750" max="11750" width="8.81640625" style="141" customWidth="1"/>
    <col min="11751" max="11752" width="12.81640625" style="141" customWidth="1"/>
    <col min="11753" max="11753" width="8.81640625" style="141" customWidth="1"/>
    <col min="11754" max="11755" width="12.81640625" style="141" customWidth="1"/>
    <col min="11756" max="11756" width="8.81640625" style="141" customWidth="1"/>
    <col min="11757" max="11758" width="12.81640625" style="141" customWidth="1"/>
    <col min="11759" max="11759" width="8.81640625" style="141" customWidth="1"/>
    <col min="11760" max="11761" width="12.81640625" style="141" customWidth="1"/>
    <col min="11762" max="11762" width="8.81640625" style="141" customWidth="1"/>
    <col min="11763" max="11764" width="12.81640625" style="141" customWidth="1"/>
    <col min="11765" max="11765" width="8.81640625" style="141" customWidth="1"/>
    <col min="11766" max="11767" width="12.81640625" style="141" customWidth="1"/>
    <col min="11768" max="11768" width="8.81640625" style="141" customWidth="1"/>
    <col min="11769" max="11769" width="3.81640625" style="141" customWidth="1"/>
    <col min="11770" max="11770" width="3.1796875" style="141" customWidth="1"/>
    <col min="11771" max="11771" width="9.1796875" style="141"/>
    <col min="11772" max="11772" width="12.1796875" style="141" customWidth="1"/>
    <col min="11773" max="11773" width="1.1796875" style="141" customWidth="1"/>
    <col min="11774" max="11775" width="12.81640625" style="141" customWidth="1"/>
    <col min="11776" max="11776" width="8.81640625" style="141" customWidth="1"/>
    <col min="11777" max="11778" width="12.81640625" style="141" customWidth="1"/>
    <col min="11779" max="11779" width="8.81640625" style="141" customWidth="1"/>
    <col min="11780" max="11781" width="12.81640625" style="141" customWidth="1"/>
    <col min="11782" max="11782" width="8.81640625" style="141" customWidth="1"/>
    <col min="11783" max="11784" width="12.81640625" style="141" customWidth="1"/>
    <col min="11785" max="11785" width="8.81640625" style="141" customWidth="1"/>
    <col min="11786" max="11787" width="12.81640625" style="141" customWidth="1"/>
    <col min="11788" max="11788" width="8.81640625" style="141" customWidth="1"/>
    <col min="11789" max="11789" width="14" style="141" bestFit="1" customWidth="1"/>
    <col min="11790" max="11790" width="12.81640625" style="141" customWidth="1"/>
    <col min="11791" max="11791" width="8.81640625" style="141" customWidth="1"/>
    <col min="11792" max="11793" width="12.81640625" style="141" customWidth="1"/>
    <col min="11794" max="11794" width="8.81640625" style="141" customWidth="1"/>
    <col min="11795" max="11795" width="5.1796875" style="141" customWidth="1"/>
    <col min="11796" max="11796" width="4.54296875" style="141" customWidth="1"/>
    <col min="11797" max="12001" width="9.1796875" style="141"/>
    <col min="12002" max="12002" width="12.81640625" style="141" customWidth="1"/>
    <col min="12003" max="12003" width="1" style="141" customWidth="1"/>
    <col min="12004" max="12005" width="12.81640625" style="141" customWidth="1"/>
    <col min="12006" max="12006" width="8.81640625" style="141" customWidth="1"/>
    <col min="12007" max="12008" width="12.81640625" style="141" customWidth="1"/>
    <col min="12009" max="12009" width="8.81640625" style="141" customWidth="1"/>
    <col min="12010" max="12011" width="12.81640625" style="141" customWidth="1"/>
    <col min="12012" max="12012" width="8.81640625" style="141" customWidth="1"/>
    <col min="12013" max="12014" width="12.81640625" style="141" customWidth="1"/>
    <col min="12015" max="12015" width="8.81640625" style="141" customWidth="1"/>
    <col min="12016" max="12017" width="12.81640625" style="141" customWidth="1"/>
    <col min="12018" max="12018" width="8.81640625" style="141" customWidth="1"/>
    <col min="12019" max="12020" width="12.81640625" style="141" customWidth="1"/>
    <col min="12021" max="12021" width="8.81640625" style="141" customWidth="1"/>
    <col min="12022" max="12023" width="12.81640625" style="141" customWidth="1"/>
    <col min="12024" max="12024" width="8.81640625" style="141" customWidth="1"/>
    <col min="12025" max="12025" width="3.81640625" style="141" customWidth="1"/>
    <col min="12026" max="12026" width="3.1796875" style="141" customWidth="1"/>
    <col min="12027" max="12027" width="9.1796875" style="141"/>
    <col min="12028" max="12028" width="12.1796875" style="141" customWidth="1"/>
    <col min="12029" max="12029" width="1.1796875" style="141" customWidth="1"/>
    <col min="12030" max="12031" width="12.81640625" style="141" customWidth="1"/>
    <col min="12032" max="12032" width="8.81640625" style="141" customWidth="1"/>
    <col min="12033" max="12034" width="12.81640625" style="141" customWidth="1"/>
    <col min="12035" max="12035" width="8.81640625" style="141" customWidth="1"/>
    <col min="12036" max="12037" width="12.81640625" style="141" customWidth="1"/>
    <col min="12038" max="12038" width="8.81640625" style="141" customWidth="1"/>
    <col min="12039" max="12040" width="12.81640625" style="141" customWidth="1"/>
    <col min="12041" max="12041" width="8.81640625" style="141" customWidth="1"/>
    <col min="12042" max="12043" width="12.81640625" style="141" customWidth="1"/>
    <col min="12044" max="12044" width="8.81640625" style="141" customWidth="1"/>
    <col min="12045" max="12045" width="14" style="141" bestFit="1" customWidth="1"/>
    <col min="12046" max="12046" width="12.81640625" style="141" customWidth="1"/>
    <col min="12047" max="12047" width="8.81640625" style="141" customWidth="1"/>
    <col min="12048" max="12049" width="12.81640625" style="141" customWidth="1"/>
    <col min="12050" max="12050" width="8.81640625" style="141" customWidth="1"/>
    <col min="12051" max="12051" width="5.1796875" style="141" customWidth="1"/>
    <col min="12052" max="12052" width="4.54296875" style="141" customWidth="1"/>
    <col min="12053" max="12257" width="9.1796875" style="141"/>
    <col min="12258" max="12258" width="12.81640625" style="141" customWidth="1"/>
    <col min="12259" max="12259" width="1" style="141" customWidth="1"/>
    <col min="12260" max="12261" width="12.81640625" style="141" customWidth="1"/>
    <col min="12262" max="12262" width="8.81640625" style="141" customWidth="1"/>
    <col min="12263" max="12264" width="12.81640625" style="141" customWidth="1"/>
    <col min="12265" max="12265" width="8.81640625" style="141" customWidth="1"/>
    <col min="12266" max="12267" width="12.81640625" style="141" customWidth="1"/>
    <col min="12268" max="12268" width="8.81640625" style="141" customWidth="1"/>
    <col min="12269" max="12270" width="12.81640625" style="141" customWidth="1"/>
    <col min="12271" max="12271" width="8.81640625" style="141" customWidth="1"/>
    <col min="12272" max="12273" width="12.81640625" style="141" customWidth="1"/>
    <col min="12274" max="12274" width="8.81640625" style="141" customWidth="1"/>
    <col min="12275" max="12276" width="12.81640625" style="141" customWidth="1"/>
    <col min="12277" max="12277" width="8.81640625" style="141" customWidth="1"/>
    <col min="12278" max="12279" width="12.81640625" style="141" customWidth="1"/>
    <col min="12280" max="12280" width="8.81640625" style="141" customWidth="1"/>
    <col min="12281" max="12281" width="3.81640625" style="141" customWidth="1"/>
    <col min="12282" max="12282" width="3.1796875" style="141" customWidth="1"/>
    <col min="12283" max="12283" width="9.1796875" style="141"/>
    <col min="12284" max="12284" width="12.1796875" style="141" customWidth="1"/>
    <col min="12285" max="12285" width="1.1796875" style="141" customWidth="1"/>
    <col min="12286" max="12287" width="12.81640625" style="141" customWidth="1"/>
    <col min="12288" max="12288" width="8.81640625" style="141" customWidth="1"/>
    <col min="12289" max="12290" width="12.81640625" style="141" customWidth="1"/>
    <col min="12291" max="12291" width="8.81640625" style="141" customWidth="1"/>
    <col min="12292" max="12293" width="12.81640625" style="141" customWidth="1"/>
    <col min="12294" max="12294" width="8.81640625" style="141" customWidth="1"/>
    <col min="12295" max="12296" width="12.81640625" style="141" customWidth="1"/>
    <col min="12297" max="12297" width="8.81640625" style="141" customWidth="1"/>
    <col min="12298" max="12299" width="12.81640625" style="141" customWidth="1"/>
    <col min="12300" max="12300" width="8.81640625" style="141" customWidth="1"/>
    <col min="12301" max="12301" width="14" style="141" bestFit="1" customWidth="1"/>
    <col min="12302" max="12302" width="12.81640625" style="141" customWidth="1"/>
    <col min="12303" max="12303" width="8.81640625" style="141" customWidth="1"/>
    <col min="12304" max="12305" width="12.81640625" style="141" customWidth="1"/>
    <col min="12306" max="12306" width="8.81640625" style="141" customWidth="1"/>
    <col min="12307" max="12307" width="5.1796875" style="141" customWidth="1"/>
    <col min="12308" max="12308" width="4.54296875" style="141" customWidth="1"/>
    <col min="12309" max="12513" width="9.1796875" style="141"/>
    <col min="12514" max="12514" width="12.81640625" style="141" customWidth="1"/>
    <col min="12515" max="12515" width="1" style="141" customWidth="1"/>
    <col min="12516" max="12517" width="12.81640625" style="141" customWidth="1"/>
    <col min="12518" max="12518" width="8.81640625" style="141" customWidth="1"/>
    <col min="12519" max="12520" width="12.81640625" style="141" customWidth="1"/>
    <col min="12521" max="12521" width="8.81640625" style="141" customWidth="1"/>
    <col min="12522" max="12523" width="12.81640625" style="141" customWidth="1"/>
    <col min="12524" max="12524" width="8.81640625" style="141" customWidth="1"/>
    <col min="12525" max="12526" width="12.81640625" style="141" customWidth="1"/>
    <col min="12527" max="12527" width="8.81640625" style="141" customWidth="1"/>
    <col min="12528" max="12529" width="12.81640625" style="141" customWidth="1"/>
    <col min="12530" max="12530" width="8.81640625" style="141" customWidth="1"/>
    <col min="12531" max="12532" width="12.81640625" style="141" customWidth="1"/>
    <col min="12533" max="12533" width="8.81640625" style="141" customWidth="1"/>
    <col min="12534" max="12535" width="12.81640625" style="141" customWidth="1"/>
    <col min="12536" max="12536" width="8.81640625" style="141" customWidth="1"/>
    <col min="12537" max="12537" width="3.81640625" style="141" customWidth="1"/>
    <col min="12538" max="12538" width="3.1796875" style="141" customWidth="1"/>
    <col min="12539" max="12539" width="9.1796875" style="141"/>
    <col min="12540" max="12540" width="12.1796875" style="141" customWidth="1"/>
    <col min="12541" max="12541" width="1.1796875" style="141" customWidth="1"/>
    <col min="12542" max="12543" width="12.81640625" style="141" customWidth="1"/>
    <col min="12544" max="12544" width="8.81640625" style="141" customWidth="1"/>
    <col min="12545" max="12546" width="12.81640625" style="141" customWidth="1"/>
    <col min="12547" max="12547" width="8.81640625" style="141" customWidth="1"/>
    <col min="12548" max="12549" width="12.81640625" style="141" customWidth="1"/>
    <col min="12550" max="12550" width="8.81640625" style="141" customWidth="1"/>
    <col min="12551" max="12552" width="12.81640625" style="141" customWidth="1"/>
    <col min="12553" max="12553" width="8.81640625" style="141" customWidth="1"/>
    <col min="12554" max="12555" width="12.81640625" style="141" customWidth="1"/>
    <col min="12556" max="12556" width="8.81640625" style="141" customWidth="1"/>
    <col min="12557" max="12557" width="14" style="141" bestFit="1" customWidth="1"/>
    <col min="12558" max="12558" width="12.81640625" style="141" customWidth="1"/>
    <col min="12559" max="12559" width="8.81640625" style="141" customWidth="1"/>
    <col min="12560" max="12561" width="12.81640625" style="141" customWidth="1"/>
    <col min="12562" max="12562" width="8.81640625" style="141" customWidth="1"/>
    <col min="12563" max="12563" width="5.1796875" style="141" customWidth="1"/>
    <col min="12564" max="12564" width="4.54296875" style="141" customWidth="1"/>
    <col min="12565" max="12769" width="9.1796875" style="141"/>
    <col min="12770" max="12770" width="12.81640625" style="141" customWidth="1"/>
    <col min="12771" max="12771" width="1" style="141" customWidth="1"/>
    <col min="12772" max="12773" width="12.81640625" style="141" customWidth="1"/>
    <col min="12774" max="12774" width="8.81640625" style="141" customWidth="1"/>
    <col min="12775" max="12776" width="12.81640625" style="141" customWidth="1"/>
    <col min="12777" max="12777" width="8.81640625" style="141" customWidth="1"/>
    <col min="12778" max="12779" width="12.81640625" style="141" customWidth="1"/>
    <col min="12780" max="12780" width="8.81640625" style="141" customWidth="1"/>
    <col min="12781" max="12782" width="12.81640625" style="141" customWidth="1"/>
    <col min="12783" max="12783" width="8.81640625" style="141" customWidth="1"/>
    <col min="12784" max="12785" width="12.81640625" style="141" customWidth="1"/>
    <col min="12786" max="12786" width="8.81640625" style="141" customWidth="1"/>
    <col min="12787" max="12788" width="12.81640625" style="141" customWidth="1"/>
    <col min="12789" max="12789" width="8.81640625" style="141" customWidth="1"/>
    <col min="12790" max="12791" width="12.81640625" style="141" customWidth="1"/>
    <col min="12792" max="12792" width="8.81640625" style="141" customWidth="1"/>
    <col min="12793" max="12793" width="3.81640625" style="141" customWidth="1"/>
    <col min="12794" max="12794" width="3.1796875" style="141" customWidth="1"/>
    <col min="12795" max="12795" width="9.1796875" style="141"/>
    <col min="12796" max="12796" width="12.1796875" style="141" customWidth="1"/>
    <col min="12797" max="12797" width="1.1796875" style="141" customWidth="1"/>
    <col min="12798" max="12799" width="12.81640625" style="141" customWidth="1"/>
    <col min="12800" max="12800" width="8.81640625" style="141" customWidth="1"/>
    <col min="12801" max="12802" width="12.81640625" style="141" customWidth="1"/>
    <col min="12803" max="12803" width="8.81640625" style="141" customWidth="1"/>
    <col min="12804" max="12805" width="12.81640625" style="141" customWidth="1"/>
    <col min="12806" max="12806" width="8.81640625" style="141" customWidth="1"/>
    <col min="12807" max="12808" width="12.81640625" style="141" customWidth="1"/>
    <col min="12809" max="12809" width="8.81640625" style="141" customWidth="1"/>
    <col min="12810" max="12811" width="12.81640625" style="141" customWidth="1"/>
    <col min="12812" max="12812" width="8.81640625" style="141" customWidth="1"/>
    <col min="12813" max="12813" width="14" style="141" bestFit="1" customWidth="1"/>
    <col min="12814" max="12814" width="12.81640625" style="141" customWidth="1"/>
    <col min="12815" max="12815" width="8.81640625" style="141" customWidth="1"/>
    <col min="12816" max="12817" width="12.81640625" style="141" customWidth="1"/>
    <col min="12818" max="12818" width="8.81640625" style="141" customWidth="1"/>
    <col min="12819" max="12819" width="5.1796875" style="141" customWidth="1"/>
    <col min="12820" max="12820" width="4.54296875" style="141" customWidth="1"/>
    <col min="12821" max="13025" width="9.1796875" style="141"/>
    <col min="13026" max="13026" width="12.81640625" style="141" customWidth="1"/>
    <col min="13027" max="13027" width="1" style="141" customWidth="1"/>
    <col min="13028" max="13029" width="12.81640625" style="141" customWidth="1"/>
    <col min="13030" max="13030" width="8.81640625" style="141" customWidth="1"/>
    <col min="13031" max="13032" width="12.81640625" style="141" customWidth="1"/>
    <col min="13033" max="13033" width="8.81640625" style="141" customWidth="1"/>
    <col min="13034" max="13035" width="12.81640625" style="141" customWidth="1"/>
    <col min="13036" max="13036" width="8.81640625" style="141" customWidth="1"/>
    <col min="13037" max="13038" width="12.81640625" style="141" customWidth="1"/>
    <col min="13039" max="13039" width="8.81640625" style="141" customWidth="1"/>
    <col min="13040" max="13041" width="12.81640625" style="141" customWidth="1"/>
    <col min="13042" max="13042" width="8.81640625" style="141" customWidth="1"/>
    <col min="13043" max="13044" width="12.81640625" style="141" customWidth="1"/>
    <col min="13045" max="13045" width="8.81640625" style="141" customWidth="1"/>
    <col min="13046" max="13047" width="12.81640625" style="141" customWidth="1"/>
    <col min="13048" max="13048" width="8.81640625" style="141" customWidth="1"/>
    <col min="13049" max="13049" width="3.81640625" style="141" customWidth="1"/>
    <col min="13050" max="13050" width="3.1796875" style="141" customWidth="1"/>
    <col min="13051" max="13051" width="9.1796875" style="141"/>
    <col min="13052" max="13052" width="12.1796875" style="141" customWidth="1"/>
    <col min="13053" max="13053" width="1.1796875" style="141" customWidth="1"/>
    <col min="13054" max="13055" width="12.81640625" style="141" customWidth="1"/>
    <col min="13056" max="13056" width="8.81640625" style="141" customWidth="1"/>
    <col min="13057" max="13058" width="12.81640625" style="141" customWidth="1"/>
    <col min="13059" max="13059" width="8.81640625" style="141" customWidth="1"/>
    <col min="13060" max="13061" width="12.81640625" style="141" customWidth="1"/>
    <col min="13062" max="13062" width="8.81640625" style="141" customWidth="1"/>
    <col min="13063" max="13064" width="12.81640625" style="141" customWidth="1"/>
    <col min="13065" max="13065" width="8.81640625" style="141" customWidth="1"/>
    <col min="13066" max="13067" width="12.81640625" style="141" customWidth="1"/>
    <col min="13068" max="13068" width="8.81640625" style="141" customWidth="1"/>
    <col min="13069" max="13069" width="14" style="141" bestFit="1" customWidth="1"/>
    <col min="13070" max="13070" width="12.81640625" style="141" customWidth="1"/>
    <col min="13071" max="13071" width="8.81640625" style="141" customWidth="1"/>
    <col min="13072" max="13073" width="12.81640625" style="141" customWidth="1"/>
    <col min="13074" max="13074" width="8.81640625" style="141" customWidth="1"/>
    <col min="13075" max="13075" width="5.1796875" style="141" customWidth="1"/>
    <col min="13076" max="13076" width="4.54296875" style="141" customWidth="1"/>
    <col min="13077" max="13281" width="9.1796875" style="141"/>
    <col min="13282" max="13282" width="12.81640625" style="141" customWidth="1"/>
    <col min="13283" max="13283" width="1" style="141" customWidth="1"/>
    <col min="13284" max="13285" width="12.81640625" style="141" customWidth="1"/>
    <col min="13286" max="13286" width="8.81640625" style="141" customWidth="1"/>
    <col min="13287" max="13288" width="12.81640625" style="141" customWidth="1"/>
    <col min="13289" max="13289" width="8.81640625" style="141" customWidth="1"/>
    <col min="13290" max="13291" width="12.81640625" style="141" customWidth="1"/>
    <col min="13292" max="13292" width="8.81640625" style="141" customWidth="1"/>
    <col min="13293" max="13294" width="12.81640625" style="141" customWidth="1"/>
    <col min="13295" max="13295" width="8.81640625" style="141" customWidth="1"/>
    <col min="13296" max="13297" width="12.81640625" style="141" customWidth="1"/>
    <col min="13298" max="13298" width="8.81640625" style="141" customWidth="1"/>
    <col min="13299" max="13300" width="12.81640625" style="141" customWidth="1"/>
    <col min="13301" max="13301" width="8.81640625" style="141" customWidth="1"/>
    <col min="13302" max="13303" width="12.81640625" style="141" customWidth="1"/>
    <col min="13304" max="13304" width="8.81640625" style="141" customWidth="1"/>
    <col min="13305" max="13305" width="3.81640625" style="141" customWidth="1"/>
    <col min="13306" max="13306" width="3.1796875" style="141" customWidth="1"/>
    <col min="13307" max="13307" width="9.1796875" style="141"/>
    <col min="13308" max="13308" width="12.1796875" style="141" customWidth="1"/>
    <col min="13309" max="13309" width="1.1796875" style="141" customWidth="1"/>
    <col min="13310" max="13311" width="12.81640625" style="141" customWidth="1"/>
    <col min="13312" max="13312" width="8.81640625" style="141" customWidth="1"/>
    <col min="13313" max="13314" width="12.81640625" style="141" customWidth="1"/>
    <col min="13315" max="13315" width="8.81640625" style="141" customWidth="1"/>
    <col min="13316" max="13317" width="12.81640625" style="141" customWidth="1"/>
    <col min="13318" max="13318" width="8.81640625" style="141" customWidth="1"/>
    <col min="13319" max="13320" width="12.81640625" style="141" customWidth="1"/>
    <col min="13321" max="13321" width="8.81640625" style="141" customWidth="1"/>
    <col min="13322" max="13323" width="12.81640625" style="141" customWidth="1"/>
    <col min="13324" max="13324" width="8.81640625" style="141" customWidth="1"/>
    <col min="13325" max="13325" width="14" style="141" bestFit="1" customWidth="1"/>
    <col min="13326" max="13326" width="12.81640625" style="141" customWidth="1"/>
    <col min="13327" max="13327" width="8.81640625" style="141" customWidth="1"/>
    <col min="13328" max="13329" width="12.81640625" style="141" customWidth="1"/>
    <col min="13330" max="13330" width="8.81640625" style="141" customWidth="1"/>
    <col min="13331" max="13331" width="5.1796875" style="141" customWidth="1"/>
    <col min="13332" max="13332" width="4.54296875" style="141" customWidth="1"/>
    <col min="13333" max="13537" width="9.1796875" style="141"/>
    <col min="13538" max="13538" width="12.81640625" style="141" customWidth="1"/>
    <col min="13539" max="13539" width="1" style="141" customWidth="1"/>
    <col min="13540" max="13541" width="12.81640625" style="141" customWidth="1"/>
    <col min="13542" max="13542" width="8.81640625" style="141" customWidth="1"/>
    <col min="13543" max="13544" width="12.81640625" style="141" customWidth="1"/>
    <col min="13545" max="13545" width="8.81640625" style="141" customWidth="1"/>
    <col min="13546" max="13547" width="12.81640625" style="141" customWidth="1"/>
    <col min="13548" max="13548" width="8.81640625" style="141" customWidth="1"/>
    <col min="13549" max="13550" width="12.81640625" style="141" customWidth="1"/>
    <col min="13551" max="13551" width="8.81640625" style="141" customWidth="1"/>
    <col min="13552" max="13553" width="12.81640625" style="141" customWidth="1"/>
    <col min="13554" max="13554" width="8.81640625" style="141" customWidth="1"/>
    <col min="13555" max="13556" width="12.81640625" style="141" customWidth="1"/>
    <col min="13557" max="13557" width="8.81640625" style="141" customWidth="1"/>
    <col min="13558" max="13559" width="12.81640625" style="141" customWidth="1"/>
    <col min="13560" max="13560" width="8.81640625" style="141" customWidth="1"/>
    <col min="13561" max="13561" width="3.81640625" style="141" customWidth="1"/>
    <col min="13562" max="13562" width="3.1796875" style="141" customWidth="1"/>
    <col min="13563" max="13563" width="9.1796875" style="141"/>
    <col min="13564" max="13564" width="12.1796875" style="141" customWidth="1"/>
    <col min="13565" max="13565" width="1.1796875" style="141" customWidth="1"/>
    <col min="13566" max="13567" width="12.81640625" style="141" customWidth="1"/>
    <col min="13568" max="13568" width="8.81640625" style="141" customWidth="1"/>
    <col min="13569" max="13570" width="12.81640625" style="141" customWidth="1"/>
    <col min="13571" max="13571" width="8.81640625" style="141" customWidth="1"/>
    <col min="13572" max="13573" width="12.81640625" style="141" customWidth="1"/>
    <col min="13574" max="13574" width="8.81640625" style="141" customWidth="1"/>
    <col min="13575" max="13576" width="12.81640625" style="141" customWidth="1"/>
    <col min="13577" max="13577" width="8.81640625" style="141" customWidth="1"/>
    <col min="13578" max="13579" width="12.81640625" style="141" customWidth="1"/>
    <col min="13580" max="13580" width="8.81640625" style="141" customWidth="1"/>
    <col min="13581" max="13581" width="14" style="141" bestFit="1" customWidth="1"/>
    <col min="13582" max="13582" width="12.81640625" style="141" customWidth="1"/>
    <col min="13583" max="13583" width="8.81640625" style="141" customWidth="1"/>
    <col min="13584" max="13585" width="12.81640625" style="141" customWidth="1"/>
    <col min="13586" max="13586" width="8.81640625" style="141" customWidth="1"/>
    <col min="13587" max="13587" width="5.1796875" style="141" customWidth="1"/>
    <col min="13588" max="13588" width="4.54296875" style="141" customWidth="1"/>
    <col min="13589" max="13793" width="9.1796875" style="141"/>
    <col min="13794" max="13794" width="12.81640625" style="141" customWidth="1"/>
    <col min="13795" max="13795" width="1" style="141" customWidth="1"/>
    <col min="13796" max="13797" width="12.81640625" style="141" customWidth="1"/>
    <col min="13798" max="13798" width="8.81640625" style="141" customWidth="1"/>
    <col min="13799" max="13800" width="12.81640625" style="141" customWidth="1"/>
    <col min="13801" max="13801" width="8.81640625" style="141" customWidth="1"/>
    <col min="13802" max="13803" width="12.81640625" style="141" customWidth="1"/>
    <col min="13804" max="13804" width="8.81640625" style="141" customWidth="1"/>
    <col min="13805" max="13806" width="12.81640625" style="141" customWidth="1"/>
    <col min="13807" max="13807" width="8.81640625" style="141" customWidth="1"/>
    <col min="13808" max="13809" width="12.81640625" style="141" customWidth="1"/>
    <col min="13810" max="13810" width="8.81640625" style="141" customWidth="1"/>
    <col min="13811" max="13812" width="12.81640625" style="141" customWidth="1"/>
    <col min="13813" max="13813" width="8.81640625" style="141" customWidth="1"/>
    <col min="13814" max="13815" width="12.81640625" style="141" customWidth="1"/>
    <col min="13816" max="13816" width="8.81640625" style="141" customWidth="1"/>
    <col min="13817" max="13817" width="3.81640625" style="141" customWidth="1"/>
    <col min="13818" max="13818" width="3.1796875" style="141" customWidth="1"/>
    <col min="13819" max="13819" width="9.1796875" style="141"/>
    <col min="13820" max="13820" width="12.1796875" style="141" customWidth="1"/>
    <col min="13821" max="13821" width="1.1796875" style="141" customWidth="1"/>
    <col min="13822" max="13823" width="12.81640625" style="141" customWidth="1"/>
    <col min="13824" max="13824" width="8.81640625" style="141" customWidth="1"/>
    <col min="13825" max="13826" width="12.81640625" style="141" customWidth="1"/>
    <col min="13827" max="13827" width="8.81640625" style="141" customWidth="1"/>
    <col min="13828" max="13829" width="12.81640625" style="141" customWidth="1"/>
    <col min="13830" max="13830" width="8.81640625" style="141" customWidth="1"/>
    <col min="13831" max="13832" width="12.81640625" style="141" customWidth="1"/>
    <col min="13833" max="13833" width="8.81640625" style="141" customWidth="1"/>
    <col min="13834" max="13835" width="12.81640625" style="141" customWidth="1"/>
    <col min="13836" max="13836" width="8.81640625" style="141" customWidth="1"/>
    <col min="13837" max="13837" width="14" style="141" bestFit="1" customWidth="1"/>
    <col min="13838" max="13838" width="12.81640625" style="141" customWidth="1"/>
    <col min="13839" max="13839" width="8.81640625" style="141" customWidth="1"/>
    <col min="13840" max="13841" width="12.81640625" style="141" customWidth="1"/>
    <col min="13842" max="13842" width="8.81640625" style="141" customWidth="1"/>
    <col min="13843" max="13843" width="5.1796875" style="141" customWidth="1"/>
    <col min="13844" max="13844" width="4.54296875" style="141" customWidth="1"/>
    <col min="13845" max="14049" width="9.1796875" style="141"/>
    <col min="14050" max="14050" width="12.81640625" style="141" customWidth="1"/>
    <col min="14051" max="14051" width="1" style="141" customWidth="1"/>
    <col min="14052" max="14053" width="12.81640625" style="141" customWidth="1"/>
    <col min="14054" max="14054" width="8.81640625" style="141" customWidth="1"/>
    <col min="14055" max="14056" width="12.81640625" style="141" customWidth="1"/>
    <col min="14057" max="14057" width="8.81640625" style="141" customWidth="1"/>
    <col min="14058" max="14059" width="12.81640625" style="141" customWidth="1"/>
    <col min="14060" max="14060" width="8.81640625" style="141" customWidth="1"/>
    <col min="14061" max="14062" width="12.81640625" style="141" customWidth="1"/>
    <col min="14063" max="14063" width="8.81640625" style="141" customWidth="1"/>
    <col min="14064" max="14065" width="12.81640625" style="141" customWidth="1"/>
    <col min="14066" max="14066" width="8.81640625" style="141" customWidth="1"/>
    <col min="14067" max="14068" width="12.81640625" style="141" customWidth="1"/>
    <col min="14069" max="14069" width="8.81640625" style="141" customWidth="1"/>
    <col min="14070" max="14071" width="12.81640625" style="141" customWidth="1"/>
    <col min="14072" max="14072" width="8.81640625" style="141" customWidth="1"/>
    <col min="14073" max="14073" width="3.81640625" style="141" customWidth="1"/>
    <col min="14074" max="14074" width="3.1796875" style="141" customWidth="1"/>
    <col min="14075" max="14075" width="9.1796875" style="141"/>
    <col min="14076" max="14076" width="12.1796875" style="141" customWidth="1"/>
    <col min="14077" max="14077" width="1.1796875" style="141" customWidth="1"/>
    <col min="14078" max="14079" width="12.81640625" style="141" customWidth="1"/>
    <col min="14080" max="14080" width="8.81640625" style="141" customWidth="1"/>
    <col min="14081" max="14082" width="12.81640625" style="141" customWidth="1"/>
    <col min="14083" max="14083" width="8.81640625" style="141" customWidth="1"/>
    <col min="14084" max="14085" width="12.81640625" style="141" customWidth="1"/>
    <col min="14086" max="14086" width="8.81640625" style="141" customWidth="1"/>
    <col min="14087" max="14088" width="12.81640625" style="141" customWidth="1"/>
    <col min="14089" max="14089" width="8.81640625" style="141" customWidth="1"/>
    <col min="14090" max="14091" width="12.81640625" style="141" customWidth="1"/>
    <col min="14092" max="14092" width="8.81640625" style="141" customWidth="1"/>
    <col min="14093" max="14093" width="14" style="141" bestFit="1" customWidth="1"/>
    <col min="14094" max="14094" width="12.81640625" style="141" customWidth="1"/>
    <col min="14095" max="14095" width="8.81640625" style="141" customWidth="1"/>
    <col min="14096" max="14097" width="12.81640625" style="141" customWidth="1"/>
    <col min="14098" max="14098" width="8.81640625" style="141" customWidth="1"/>
    <col min="14099" max="14099" width="5.1796875" style="141" customWidth="1"/>
    <col min="14100" max="14100" width="4.54296875" style="141" customWidth="1"/>
    <col min="14101" max="14305" width="9.1796875" style="141"/>
    <col min="14306" max="14306" width="12.81640625" style="141" customWidth="1"/>
    <col min="14307" max="14307" width="1" style="141" customWidth="1"/>
    <col min="14308" max="14309" width="12.81640625" style="141" customWidth="1"/>
    <col min="14310" max="14310" width="8.81640625" style="141" customWidth="1"/>
    <col min="14311" max="14312" width="12.81640625" style="141" customWidth="1"/>
    <col min="14313" max="14313" width="8.81640625" style="141" customWidth="1"/>
    <col min="14314" max="14315" width="12.81640625" style="141" customWidth="1"/>
    <col min="14316" max="14316" width="8.81640625" style="141" customWidth="1"/>
    <col min="14317" max="14318" width="12.81640625" style="141" customWidth="1"/>
    <col min="14319" max="14319" width="8.81640625" style="141" customWidth="1"/>
    <col min="14320" max="14321" width="12.81640625" style="141" customWidth="1"/>
    <col min="14322" max="14322" width="8.81640625" style="141" customWidth="1"/>
    <col min="14323" max="14324" width="12.81640625" style="141" customWidth="1"/>
    <col min="14325" max="14325" width="8.81640625" style="141" customWidth="1"/>
    <col min="14326" max="14327" width="12.81640625" style="141" customWidth="1"/>
    <col min="14328" max="14328" width="8.81640625" style="141" customWidth="1"/>
    <col min="14329" max="14329" width="3.81640625" style="141" customWidth="1"/>
    <col min="14330" max="14330" width="3.1796875" style="141" customWidth="1"/>
    <col min="14331" max="14331" width="9.1796875" style="141"/>
    <col min="14332" max="14332" width="12.1796875" style="141" customWidth="1"/>
    <col min="14333" max="14333" width="1.1796875" style="141" customWidth="1"/>
    <col min="14334" max="14335" width="12.81640625" style="141" customWidth="1"/>
    <col min="14336" max="14336" width="8.81640625" style="141" customWidth="1"/>
    <col min="14337" max="14338" width="12.81640625" style="141" customWidth="1"/>
    <col min="14339" max="14339" width="8.81640625" style="141" customWidth="1"/>
    <col min="14340" max="14341" width="12.81640625" style="141" customWidth="1"/>
    <col min="14342" max="14342" width="8.81640625" style="141" customWidth="1"/>
    <col min="14343" max="14344" width="12.81640625" style="141" customWidth="1"/>
    <col min="14345" max="14345" width="8.81640625" style="141" customWidth="1"/>
    <col min="14346" max="14347" width="12.81640625" style="141" customWidth="1"/>
    <col min="14348" max="14348" width="8.81640625" style="141" customWidth="1"/>
    <col min="14349" max="14349" width="14" style="141" bestFit="1" customWidth="1"/>
    <col min="14350" max="14350" width="12.81640625" style="141" customWidth="1"/>
    <col min="14351" max="14351" width="8.81640625" style="141" customWidth="1"/>
    <col min="14352" max="14353" width="12.81640625" style="141" customWidth="1"/>
    <col min="14354" max="14354" width="8.81640625" style="141" customWidth="1"/>
    <col min="14355" max="14355" width="5.1796875" style="141" customWidth="1"/>
    <col min="14356" max="14356" width="4.54296875" style="141" customWidth="1"/>
    <col min="14357" max="14561" width="9.1796875" style="141"/>
    <col min="14562" max="14562" width="12.81640625" style="141" customWidth="1"/>
    <col min="14563" max="14563" width="1" style="141" customWidth="1"/>
    <col min="14564" max="14565" width="12.81640625" style="141" customWidth="1"/>
    <col min="14566" max="14566" width="8.81640625" style="141" customWidth="1"/>
    <col min="14567" max="14568" width="12.81640625" style="141" customWidth="1"/>
    <col min="14569" max="14569" width="8.81640625" style="141" customWidth="1"/>
    <col min="14570" max="14571" width="12.81640625" style="141" customWidth="1"/>
    <col min="14572" max="14572" width="8.81640625" style="141" customWidth="1"/>
    <col min="14573" max="14574" width="12.81640625" style="141" customWidth="1"/>
    <col min="14575" max="14575" width="8.81640625" style="141" customWidth="1"/>
    <col min="14576" max="14577" width="12.81640625" style="141" customWidth="1"/>
    <col min="14578" max="14578" width="8.81640625" style="141" customWidth="1"/>
    <col min="14579" max="14580" width="12.81640625" style="141" customWidth="1"/>
    <col min="14581" max="14581" width="8.81640625" style="141" customWidth="1"/>
    <col min="14582" max="14583" width="12.81640625" style="141" customWidth="1"/>
    <col min="14584" max="14584" width="8.81640625" style="141" customWidth="1"/>
    <col min="14585" max="14585" width="3.81640625" style="141" customWidth="1"/>
    <col min="14586" max="14586" width="3.1796875" style="141" customWidth="1"/>
    <col min="14587" max="14587" width="9.1796875" style="141"/>
    <col min="14588" max="14588" width="12.1796875" style="141" customWidth="1"/>
    <col min="14589" max="14589" width="1.1796875" style="141" customWidth="1"/>
    <col min="14590" max="14591" width="12.81640625" style="141" customWidth="1"/>
    <col min="14592" max="14592" width="8.81640625" style="141" customWidth="1"/>
    <col min="14593" max="14594" width="12.81640625" style="141" customWidth="1"/>
    <col min="14595" max="14595" width="8.81640625" style="141" customWidth="1"/>
    <col min="14596" max="14597" width="12.81640625" style="141" customWidth="1"/>
    <col min="14598" max="14598" width="8.81640625" style="141" customWidth="1"/>
    <col min="14599" max="14600" width="12.81640625" style="141" customWidth="1"/>
    <col min="14601" max="14601" width="8.81640625" style="141" customWidth="1"/>
    <col min="14602" max="14603" width="12.81640625" style="141" customWidth="1"/>
    <col min="14604" max="14604" width="8.81640625" style="141" customWidth="1"/>
    <col min="14605" max="14605" width="14" style="141" bestFit="1" customWidth="1"/>
    <col min="14606" max="14606" width="12.81640625" style="141" customWidth="1"/>
    <col min="14607" max="14607" width="8.81640625" style="141" customWidth="1"/>
    <col min="14608" max="14609" width="12.81640625" style="141" customWidth="1"/>
    <col min="14610" max="14610" width="8.81640625" style="141" customWidth="1"/>
    <col min="14611" max="14611" width="5.1796875" style="141" customWidth="1"/>
    <col min="14612" max="14612" width="4.54296875" style="141" customWidth="1"/>
    <col min="14613" max="14817" width="9.1796875" style="141"/>
    <col min="14818" max="14818" width="12.81640625" style="141" customWidth="1"/>
    <col min="14819" max="14819" width="1" style="141" customWidth="1"/>
    <col min="14820" max="14821" width="12.81640625" style="141" customWidth="1"/>
    <col min="14822" max="14822" width="8.81640625" style="141" customWidth="1"/>
    <col min="14823" max="14824" width="12.81640625" style="141" customWidth="1"/>
    <col min="14825" max="14825" width="8.81640625" style="141" customWidth="1"/>
    <col min="14826" max="14827" width="12.81640625" style="141" customWidth="1"/>
    <col min="14828" max="14828" width="8.81640625" style="141" customWidth="1"/>
    <col min="14829" max="14830" width="12.81640625" style="141" customWidth="1"/>
    <col min="14831" max="14831" width="8.81640625" style="141" customWidth="1"/>
    <col min="14832" max="14833" width="12.81640625" style="141" customWidth="1"/>
    <col min="14834" max="14834" width="8.81640625" style="141" customWidth="1"/>
    <col min="14835" max="14836" width="12.81640625" style="141" customWidth="1"/>
    <col min="14837" max="14837" width="8.81640625" style="141" customWidth="1"/>
    <col min="14838" max="14839" width="12.81640625" style="141" customWidth="1"/>
    <col min="14840" max="14840" width="8.81640625" style="141" customWidth="1"/>
    <col min="14841" max="14841" width="3.81640625" style="141" customWidth="1"/>
    <col min="14842" max="14842" width="3.1796875" style="141" customWidth="1"/>
    <col min="14843" max="14843" width="9.1796875" style="141"/>
    <col min="14844" max="14844" width="12.1796875" style="141" customWidth="1"/>
    <col min="14845" max="14845" width="1.1796875" style="141" customWidth="1"/>
    <col min="14846" max="14847" width="12.81640625" style="141" customWidth="1"/>
    <col min="14848" max="14848" width="8.81640625" style="141" customWidth="1"/>
    <col min="14849" max="14850" width="12.81640625" style="141" customWidth="1"/>
    <col min="14851" max="14851" width="8.81640625" style="141" customWidth="1"/>
    <col min="14852" max="14853" width="12.81640625" style="141" customWidth="1"/>
    <col min="14854" max="14854" width="8.81640625" style="141" customWidth="1"/>
    <col min="14855" max="14856" width="12.81640625" style="141" customWidth="1"/>
    <col min="14857" max="14857" width="8.81640625" style="141" customWidth="1"/>
    <col min="14858" max="14859" width="12.81640625" style="141" customWidth="1"/>
    <col min="14860" max="14860" width="8.81640625" style="141" customWidth="1"/>
    <col min="14861" max="14861" width="14" style="141" bestFit="1" customWidth="1"/>
    <col min="14862" max="14862" width="12.81640625" style="141" customWidth="1"/>
    <col min="14863" max="14863" width="8.81640625" style="141" customWidth="1"/>
    <col min="14864" max="14865" width="12.81640625" style="141" customWidth="1"/>
    <col min="14866" max="14866" width="8.81640625" style="141" customWidth="1"/>
    <col min="14867" max="14867" width="5.1796875" style="141" customWidth="1"/>
    <col min="14868" max="14868" width="4.54296875" style="141" customWidth="1"/>
    <col min="14869" max="15073" width="9.1796875" style="141"/>
    <col min="15074" max="15074" width="12.81640625" style="141" customWidth="1"/>
    <col min="15075" max="15075" width="1" style="141" customWidth="1"/>
    <col min="15076" max="15077" width="12.81640625" style="141" customWidth="1"/>
    <col min="15078" max="15078" width="8.81640625" style="141" customWidth="1"/>
    <col min="15079" max="15080" width="12.81640625" style="141" customWidth="1"/>
    <col min="15081" max="15081" width="8.81640625" style="141" customWidth="1"/>
    <col min="15082" max="15083" width="12.81640625" style="141" customWidth="1"/>
    <col min="15084" max="15084" width="8.81640625" style="141" customWidth="1"/>
    <col min="15085" max="15086" width="12.81640625" style="141" customWidth="1"/>
    <col min="15087" max="15087" width="8.81640625" style="141" customWidth="1"/>
    <col min="15088" max="15089" width="12.81640625" style="141" customWidth="1"/>
    <col min="15090" max="15090" width="8.81640625" style="141" customWidth="1"/>
    <col min="15091" max="15092" width="12.81640625" style="141" customWidth="1"/>
    <col min="15093" max="15093" width="8.81640625" style="141" customWidth="1"/>
    <col min="15094" max="15095" width="12.81640625" style="141" customWidth="1"/>
    <col min="15096" max="15096" width="8.81640625" style="141" customWidth="1"/>
    <col min="15097" max="15097" width="3.81640625" style="141" customWidth="1"/>
    <col min="15098" max="15098" width="3.1796875" style="141" customWidth="1"/>
    <col min="15099" max="15099" width="9.1796875" style="141"/>
    <col min="15100" max="15100" width="12.1796875" style="141" customWidth="1"/>
    <col min="15101" max="15101" width="1.1796875" style="141" customWidth="1"/>
    <col min="15102" max="15103" width="12.81640625" style="141" customWidth="1"/>
    <col min="15104" max="15104" width="8.81640625" style="141" customWidth="1"/>
    <col min="15105" max="15106" width="12.81640625" style="141" customWidth="1"/>
    <col min="15107" max="15107" width="8.81640625" style="141" customWidth="1"/>
    <col min="15108" max="15109" width="12.81640625" style="141" customWidth="1"/>
    <col min="15110" max="15110" width="8.81640625" style="141" customWidth="1"/>
    <col min="15111" max="15112" width="12.81640625" style="141" customWidth="1"/>
    <col min="15113" max="15113" width="8.81640625" style="141" customWidth="1"/>
    <col min="15114" max="15115" width="12.81640625" style="141" customWidth="1"/>
    <col min="15116" max="15116" width="8.81640625" style="141" customWidth="1"/>
    <col min="15117" max="15117" width="14" style="141" bestFit="1" customWidth="1"/>
    <col min="15118" max="15118" width="12.81640625" style="141" customWidth="1"/>
    <col min="15119" max="15119" width="8.81640625" style="141" customWidth="1"/>
    <col min="15120" max="15121" width="12.81640625" style="141" customWidth="1"/>
    <col min="15122" max="15122" width="8.81640625" style="141" customWidth="1"/>
    <col min="15123" max="15123" width="5.1796875" style="141" customWidth="1"/>
    <col min="15124" max="15124" width="4.54296875" style="141" customWidth="1"/>
    <col min="15125" max="15329" width="9.1796875" style="141"/>
    <col min="15330" max="15330" width="12.81640625" style="141" customWidth="1"/>
    <col min="15331" max="15331" width="1" style="141" customWidth="1"/>
    <col min="15332" max="15333" width="12.81640625" style="141" customWidth="1"/>
    <col min="15334" max="15334" width="8.81640625" style="141" customWidth="1"/>
    <col min="15335" max="15336" width="12.81640625" style="141" customWidth="1"/>
    <col min="15337" max="15337" width="8.81640625" style="141" customWidth="1"/>
    <col min="15338" max="15339" width="12.81640625" style="141" customWidth="1"/>
    <col min="15340" max="15340" width="8.81640625" style="141" customWidth="1"/>
    <col min="15341" max="15342" width="12.81640625" style="141" customWidth="1"/>
    <col min="15343" max="15343" width="8.81640625" style="141" customWidth="1"/>
    <col min="15344" max="15345" width="12.81640625" style="141" customWidth="1"/>
    <col min="15346" max="15346" width="8.81640625" style="141" customWidth="1"/>
    <col min="15347" max="15348" width="12.81640625" style="141" customWidth="1"/>
    <col min="15349" max="15349" width="8.81640625" style="141" customWidth="1"/>
    <col min="15350" max="15351" width="12.81640625" style="141" customWidth="1"/>
    <col min="15352" max="15352" width="8.81640625" style="141" customWidth="1"/>
    <col min="15353" max="15353" width="3.81640625" style="141" customWidth="1"/>
    <col min="15354" max="15354" width="3.1796875" style="141" customWidth="1"/>
    <col min="15355" max="15355" width="9.1796875" style="141"/>
    <col min="15356" max="15356" width="12.1796875" style="141" customWidth="1"/>
    <col min="15357" max="15357" width="1.1796875" style="141" customWidth="1"/>
    <col min="15358" max="15359" width="12.81640625" style="141" customWidth="1"/>
    <col min="15360" max="15360" width="8.81640625" style="141" customWidth="1"/>
    <col min="15361" max="15362" width="12.81640625" style="141" customWidth="1"/>
    <col min="15363" max="15363" width="8.81640625" style="141" customWidth="1"/>
    <col min="15364" max="15365" width="12.81640625" style="141" customWidth="1"/>
    <col min="15366" max="15366" width="8.81640625" style="141" customWidth="1"/>
    <col min="15367" max="15368" width="12.81640625" style="141" customWidth="1"/>
    <col min="15369" max="15369" width="8.81640625" style="141" customWidth="1"/>
    <col min="15370" max="15371" width="12.81640625" style="141" customWidth="1"/>
    <col min="15372" max="15372" width="8.81640625" style="141" customWidth="1"/>
    <col min="15373" max="15373" width="14" style="141" bestFit="1" customWidth="1"/>
    <col min="15374" max="15374" width="12.81640625" style="141" customWidth="1"/>
    <col min="15375" max="15375" width="8.81640625" style="141" customWidth="1"/>
    <col min="15376" max="15377" width="12.81640625" style="141" customWidth="1"/>
    <col min="15378" max="15378" width="8.81640625" style="141" customWidth="1"/>
    <col min="15379" max="15379" width="5.1796875" style="141" customWidth="1"/>
    <col min="15380" max="15380" width="4.54296875" style="141" customWidth="1"/>
    <col min="15381" max="15585" width="9.1796875" style="141"/>
    <col min="15586" max="15586" width="12.81640625" style="141" customWidth="1"/>
    <col min="15587" max="15587" width="1" style="141" customWidth="1"/>
    <col min="15588" max="15589" width="12.81640625" style="141" customWidth="1"/>
    <col min="15590" max="15590" width="8.81640625" style="141" customWidth="1"/>
    <col min="15591" max="15592" width="12.81640625" style="141" customWidth="1"/>
    <col min="15593" max="15593" width="8.81640625" style="141" customWidth="1"/>
    <col min="15594" max="15595" width="12.81640625" style="141" customWidth="1"/>
    <col min="15596" max="15596" width="8.81640625" style="141" customWidth="1"/>
    <col min="15597" max="15598" width="12.81640625" style="141" customWidth="1"/>
    <col min="15599" max="15599" width="8.81640625" style="141" customWidth="1"/>
    <col min="15600" max="15601" width="12.81640625" style="141" customWidth="1"/>
    <col min="15602" max="15602" width="8.81640625" style="141" customWidth="1"/>
    <col min="15603" max="15604" width="12.81640625" style="141" customWidth="1"/>
    <col min="15605" max="15605" width="8.81640625" style="141" customWidth="1"/>
    <col min="15606" max="15607" width="12.81640625" style="141" customWidth="1"/>
    <col min="15608" max="15608" width="8.81640625" style="141" customWidth="1"/>
    <col min="15609" max="15609" width="3.81640625" style="141" customWidth="1"/>
    <col min="15610" max="15610" width="3.1796875" style="141" customWidth="1"/>
    <col min="15611" max="15611" width="9.1796875" style="141"/>
    <col min="15612" max="15612" width="12.1796875" style="141" customWidth="1"/>
    <col min="15613" max="15613" width="1.1796875" style="141" customWidth="1"/>
    <col min="15614" max="15615" width="12.81640625" style="141" customWidth="1"/>
    <col min="15616" max="15616" width="8.81640625" style="141" customWidth="1"/>
    <col min="15617" max="15618" width="12.81640625" style="141" customWidth="1"/>
    <col min="15619" max="15619" width="8.81640625" style="141" customWidth="1"/>
    <col min="15620" max="15621" width="12.81640625" style="141" customWidth="1"/>
    <col min="15622" max="15622" width="8.81640625" style="141" customWidth="1"/>
    <col min="15623" max="15624" width="12.81640625" style="141" customWidth="1"/>
    <col min="15625" max="15625" width="8.81640625" style="141" customWidth="1"/>
    <col min="15626" max="15627" width="12.81640625" style="141" customWidth="1"/>
    <col min="15628" max="15628" width="8.81640625" style="141" customWidth="1"/>
    <col min="15629" max="15629" width="14" style="141" bestFit="1" customWidth="1"/>
    <col min="15630" max="15630" width="12.81640625" style="141" customWidth="1"/>
    <col min="15631" max="15631" width="8.81640625" style="141" customWidth="1"/>
    <col min="15632" max="15633" width="12.81640625" style="141" customWidth="1"/>
    <col min="15634" max="15634" width="8.81640625" style="141" customWidth="1"/>
    <col min="15635" max="15635" width="5.1796875" style="141" customWidth="1"/>
    <col min="15636" max="15636" width="4.54296875" style="141" customWidth="1"/>
    <col min="15637" max="15841" width="9.1796875" style="141"/>
    <col min="15842" max="15842" width="12.81640625" style="141" customWidth="1"/>
    <col min="15843" max="15843" width="1" style="141" customWidth="1"/>
    <col min="15844" max="15845" width="12.81640625" style="141" customWidth="1"/>
    <col min="15846" max="15846" width="8.81640625" style="141" customWidth="1"/>
    <col min="15847" max="15848" width="12.81640625" style="141" customWidth="1"/>
    <col min="15849" max="15849" width="8.81640625" style="141" customWidth="1"/>
    <col min="15850" max="15851" width="12.81640625" style="141" customWidth="1"/>
    <col min="15852" max="15852" width="8.81640625" style="141" customWidth="1"/>
    <col min="15853" max="15854" width="12.81640625" style="141" customWidth="1"/>
    <col min="15855" max="15855" width="8.81640625" style="141" customWidth="1"/>
    <col min="15856" max="15857" width="12.81640625" style="141" customWidth="1"/>
    <col min="15858" max="15858" width="8.81640625" style="141" customWidth="1"/>
    <col min="15859" max="15860" width="12.81640625" style="141" customWidth="1"/>
    <col min="15861" max="15861" width="8.81640625" style="141" customWidth="1"/>
    <col min="15862" max="15863" width="12.81640625" style="141" customWidth="1"/>
    <col min="15864" max="15864" width="8.81640625" style="141" customWidth="1"/>
    <col min="15865" max="15865" width="3.81640625" style="141" customWidth="1"/>
    <col min="15866" max="15866" width="3.1796875" style="141" customWidth="1"/>
    <col min="15867" max="15867" width="9.1796875" style="141"/>
    <col min="15868" max="15868" width="12.1796875" style="141" customWidth="1"/>
    <col min="15869" max="15869" width="1.1796875" style="141" customWidth="1"/>
    <col min="15870" max="15871" width="12.81640625" style="141" customWidth="1"/>
    <col min="15872" max="15872" width="8.81640625" style="141" customWidth="1"/>
    <col min="15873" max="15874" width="12.81640625" style="141" customWidth="1"/>
    <col min="15875" max="15875" width="8.81640625" style="141" customWidth="1"/>
    <col min="15876" max="15877" width="12.81640625" style="141" customWidth="1"/>
    <col min="15878" max="15878" width="8.81640625" style="141" customWidth="1"/>
    <col min="15879" max="15880" width="12.81640625" style="141" customWidth="1"/>
    <col min="15881" max="15881" width="8.81640625" style="141" customWidth="1"/>
    <col min="15882" max="15883" width="12.81640625" style="141" customWidth="1"/>
    <col min="15884" max="15884" width="8.81640625" style="141" customWidth="1"/>
    <col min="15885" max="15885" width="14" style="141" bestFit="1" customWidth="1"/>
    <col min="15886" max="15886" width="12.81640625" style="141" customWidth="1"/>
    <col min="15887" max="15887" width="8.81640625" style="141" customWidth="1"/>
    <col min="15888" max="15889" width="12.81640625" style="141" customWidth="1"/>
    <col min="15890" max="15890" width="8.81640625" style="141" customWidth="1"/>
    <col min="15891" max="15891" width="5.1796875" style="141" customWidth="1"/>
    <col min="15892" max="15892" width="4.54296875" style="141" customWidth="1"/>
    <col min="15893" max="16097" width="9.1796875" style="141"/>
    <col min="16098" max="16098" width="12.81640625" style="141" customWidth="1"/>
    <col min="16099" max="16099" width="1" style="141" customWidth="1"/>
    <col min="16100" max="16101" width="12.81640625" style="141" customWidth="1"/>
    <col min="16102" max="16102" width="8.81640625" style="141" customWidth="1"/>
    <col min="16103" max="16104" width="12.81640625" style="141" customWidth="1"/>
    <col min="16105" max="16105" width="8.81640625" style="141" customWidth="1"/>
    <col min="16106" max="16107" width="12.81640625" style="141" customWidth="1"/>
    <col min="16108" max="16108" width="8.81640625" style="141" customWidth="1"/>
    <col min="16109" max="16110" width="12.81640625" style="141" customWidth="1"/>
    <col min="16111" max="16111" width="8.81640625" style="141" customWidth="1"/>
    <col min="16112" max="16113" width="12.81640625" style="141" customWidth="1"/>
    <col min="16114" max="16114" width="8.81640625" style="141" customWidth="1"/>
    <col min="16115" max="16116" width="12.81640625" style="141" customWidth="1"/>
    <col min="16117" max="16117" width="8.81640625" style="141" customWidth="1"/>
    <col min="16118" max="16119" width="12.81640625" style="141" customWidth="1"/>
    <col min="16120" max="16120" width="8.81640625" style="141" customWidth="1"/>
    <col min="16121" max="16121" width="3.81640625" style="141" customWidth="1"/>
    <col min="16122" max="16122" width="3.1796875" style="141" customWidth="1"/>
    <col min="16123" max="16123" width="9.1796875" style="141"/>
    <col min="16124" max="16124" width="12.1796875" style="141" customWidth="1"/>
    <col min="16125" max="16125" width="1.1796875" style="141" customWidth="1"/>
    <col min="16126" max="16127" width="12.81640625" style="141" customWidth="1"/>
    <col min="16128" max="16128" width="8.81640625" style="141" customWidth="1"/>
    <col min="16129" max="16130" width="12.81640625" style="141" customWidth="1"/>
    <col min="16131" max="16131" width="8.81640625" style="141" customWidth="1"/>
    <col min="16132" max="16133" width="12.81640625" style="141" customWidth="1"/>
    <col min="16134" max="16134" width="8.81640625" style="141" customWidth="1"/>
    <col min="16135" max="16136" width="12.81640625" style="141" customWidth="1"/>
    <col min="16137" max="16137" width="8.81640625" style="141" customWidth="1"/>
    <col min="16138" max="16139" width="12.81640625" style="141" customWidth="1"/>
    <col min="16140" max="16140" width="8.81640625" style="141" customWidth="1"/>
    <col min="16141" max="16141" width="14" style="141" bestFit="1" customWidth="1"/>
    <col min="16142" max="16142" width="12.81640625" style="141" customWidth="1"/>
    <col min="16143" max="16143" width="8.81640625" style="141" customWidth="1"/>
    <col min="16144" max="16145" width="12.81640625" style="141" customWidth="1"/>
    <col min="16146" max="16146" width="8.81640625" style="141" customWidth="1"/>
    <col min="16147" max="16147" width="5.1796875" style="141" customWidth="1"/>
    <col min="16148" max="16148" width="4.54296875" style="141" customWidth="1"/>
    <col min="16149" max="16384" width="9.1796875" style="141"/>
  </cols>
  <sheetData>
    <row r="1" spans="1:66" s="85" customFormat="1" ht="24.9" customHeight="1" thickBot="1" x14ac:dyDescent="0.4"/>
    <row r="2" spans="1:66" s="90" customFormat="1" ht="54" customHeight="1" thickBot="1" x14ac:dyDescent="0.4">
      <c r="A2" s="86"/>
      <c r="B2" s="87"/>
      <c r="C2" s="190" t="s">
        <v>78</v>
      </c>
      <c r="D2" s="191"/>
      <c r="E2" s="191"/>
      <c r="F2" s="191"/>
      <c r="G2" s="191"/>
      <c r="H2" s="192"/>
      <c r="I2" s="88"/>
      <c r="J2" s="88"/>
      <c r="K2" s="86"/>
      <c r="L2" s="87"/>
      <c r="M2" s="190" t="s">
        <v>78</v>
      </c>
      <c r="N2" s="191"/>
      <c r="O2" s="191"/>
      <c r="P2" s="191"/>
      <c r="Q2" s="191"/>
      <c r="R2" s="192"/>
      <c r="S2" s="88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</row>
    <row r="3" spans="1:66" s="97" customFormat="1" ht="35.25" customHeight="1" thickBot="1" x14ac:dyDescent="0.4">
      <c r="A3" s="91" t="s">
        <v>51</v>
      </c>
      <c r="B3" s="92"/>
      <c r="C3" s="93" t="s">
        <v>52</v>
      </c>
      <c r="D3" s="93" t="s">
        <v>53</v>
      </c>
      <c r="E3" s="93" t="s">
        <v>3</v>
      </c>
      <c r="F3" s="93" t="s">
        <v>4</v>
      </c>
      <c r="G3" s="94" t="s">
        <v>1</v>
      </c>
      <c r="H3" s="94" t="s">
        <v>2</v>
      </c>
      <c r="I3" s="95"/>
      <c r="J3" s="95"/>
      <c r="K3" s="91" t="s">
        <v>51</v>
      </c>
      <c r="L3" s="92"/>
      <c r="M3" s="93" t="s">
        <v>52</v>
      </c>
      <c r="N3" s="93" t="s">
        <v>53</v>
      </c>
      <c r="O3" s="93" t="s">
        <v>54</v>
      </c>
      <c r="P3" s="93" t="s">
        <v>56</v>
      </c>
      <c r="Q3" s="94" t="s">
        <v>55</v>
      </c>
      <c r="R3" s="94" t="s">
        <v>57</v>
      </c>
      <c r="S3" s="95"/>
      <c r="T3" s="95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</row>
    <row r="4" spans="1:66" s="107" customFormat="1" ht="14.25" customHeight="1" x14ac:dyDescent="0.35">
      <c r="A4" s="98">
        <f>[1]Control!$AX$11</f>
        <v>45986</v>
      </c>
      <c r="B4" s="99"/>
      <c r="C4" s="100">
        <f>[2]Distribute!F51+[2]Distribute!I51+[2]Distribute!R51+[3]Sheet1!C11</f>
        <v>0</v>
      </c>
      <c r="D4" s="100">
        <v>23022.805682394719</v>
      </c>
      <c r="E4" s="101">
        <f>[2]Distribute!F11+[2]Distribute!I11+[2]Distribute!R11+[3]Sheet1!D11</f>
        <v>0</v>
      </c>
      <c r="F4" s="101">
        <v>12432.315068493152</v>
      </c>
      <c r="G4" s="102">
        <f>[2]Distribute!G11+[2]Distribute!J11+[2]Distribute!S11+[3]Sheet1!E11</f>
        <v>0</v>
      </c>
      <c r="H4" s="102">
        <v>14597.983561643799</v>
      </c>
      <c r="I4" s="103"/>
      <c r="J4" s="103"/>
      <c r="K4" s="98">
        <f t="shared" ref="K4:K34" si="0">A4</f>
        <v>45986</v>
      </c>
      <c r="L4" s="99"/>
      <c r="M4" s="100">
        <f>[2]Distribute!F51+[2]Distribute!I51+[2]Distribute!R51+[3]Sheet1!H11</f>
        <v>0</v>
      </c>
      <c r="N4" s="100">
        <f t="shared" ref="N4:N33" si="1">D4</f>
        <v>23022.805682394719</v>
      </c>
      <c r="O4" s="105">
        <f>[2]Distribute!AF11+[2]Distribute!AI11+[2]Distribute!AR11+[3]Sheet1!I11</f>
        <v>0</v>
      </c>
      <c r="P4" s="105">
        <v>193944115.06849316</v>
      </c>
      <c r="Q4" s="106">
        <f>[2]Distribute!AG11+[2]Distribute!AJ11+[2]Distribute!AS11+[3]Sheet1!J11</f>
        <v>0</v>
      </c>
      <c r="R4" s="106">
        <v>227728543.56164384</v>
      </c>
      <c r="S4" s="103"/>
      <c r="T4" s="10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</row>
    <row r="5" spans="1:66" s="107" customFormat="1" ht="14.25" customHeight="1" x14ac:dyDescent="0.35">
      <c r="A5" s="108">
        <f>[1]Control!AX12</f>
        <v>45987</v>
      </c>
      <c r="B5" s="99"/>
      <c r="C5" s="100">
        <f>[2]Distribute!F52+[2]Distribute!I52+[2]Distribute!R52+[3]Sheet1!C12</f>
        <v>0</v>
      </c>
      <c r="D5" s="100">
        <v>23022.805682394719</v>
      </c>
      <c r="E5" s="101">
        <f>[2]Distribute!F12+[2]Distribute!I12+[2]Distribute!R12+[3]Sheet1!D12</f>
        <v>0</v>
      </c>
      <c r="F5" s="101">
        <v>12432.315068493152</v>
      </c>
      <c r="G5" s="102">
        <f>[2]Distribute!G12+[2]Distribute!J12+[2]Distribute!S12+[3]Sheet1!E12</f>
        <v>0</v>
      </c>
      <c r="H5" s="102">
        <v>14597.983561643799</v>
      </c>
      <c r="I5" s="103"/>
      <c r="J5" s="103"/>
      <c r="K5" s="108">
        <f t="shared" si="0"/>
        <v>45987</v>
      </c>
      <c r="L5" s="99"/>
      <c r="M5" s="100">
        <f>[2]Distribute!F52+[2]Distribute!I52+[2]Distribute!R52+[3]Sheet1!H12</f>
        <v>0</v>
      </c>
      <c r="N5" s="100">
        <f t="shared" si="1"/>
        <v>23022.805682394719</v>
      </c>
      <c r="O5" s="105">
        <f>[2]Distribute!AF12+[2]Distribute!AI12+[2]Distribute!AR12+[3]Sheet1!I12</f>
        <v>0</v>
      </c>
      <c r="P5" s="105">
        <v>193944115.06849316</v>
      </c>
      <c r="Q5" s="106">
        <f>[2]Distribute!AG12+[2]Distribute!AJ12+[2]Distribute!AS12+[3]Sheet1!J12</f>
        <v>0</v>
      </c>
      <c r="R5" s="106">
        <v>227728543.56164384</v>
      </c>
      <c r="S5" s="103"/>
      <c r="T5" s="103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</row>
    <row r="6" spans="1:66" s="107" customFormat="1" ht="14.25" customHeight="1" x14ac:dyDescent="0.35">
      <c r="A6" s="108">
        <f>[1]Control!AX13</f>
        <v>45988</v>
      </c>
      <c r="B6" s="99"/>
      <c r="C6" s="100">
        <f>[2]Distribute!F53+[2]Distribute!I53+[2]Distribute!R53+[3]Sheet1!C13</f>
        <v>0</v>
      </c>
      <c r="D6" s="100">
        <v>23022.805682394719</v>
      </c>
      <c r="E6" s="101">
        <f>[2]Distribute!F13+[2]Distribute!I13+[2]Distribute!R13+[3]Sheet1!D13</f>
        <v>0</v>
      </c>
      <c r="F6" s="101">
        <v>12432.315068493152</v>
      </c>
      <c r="G6" s="102">
        <f>[2]Distribute!G13+[2]Distribute!J13+[2]Distribute!S13+[3]Sheet1!E13</f>
        <v>0</v>
      </c>
      <c r="H6" s="102">
        <v>14597.983561643799</v>
      </c>
      <c r="I6" s="103"/>
      <c r="J6" s="103"/>
      <c r="K6" s="108">
        <f t="shared" si="0"/>
        <v>45988</v>
      </c>
      <c r="L6" s="99"/>
      <c r="M6" s="100">
        <f>[2]Distribute!F53+[2]Distribute!I53+[2]Distribute!R53+[3]Sheet1!H13</f>
        <v>0</v>
      </c>
      <c r="N6" s="100">
        <f t="shared" si="1"/>
        <v>23022.805682394719</v>
      </c>
      <c r="O6" s="105">
        <f>[2]Distribute!AF13+[2]Distribute!AI13+[2]Distribute!AR13+[3]Sheet1!I13</f>
        <v>0</v>
      </c>
      <c r="P6" s="105">
        <v>193944115.06849316</v>
      </c>
      <c r="Q6" s="106">
        <f>[2]Distribute!AG13+[2]Distribute!AJ13+[2]Distribute!AS13+[3]Sheet1!J13</f>
        <v>0</v>
      </c>
      <c r="R6" s="106">
        <v>227728543.56164384</v>
      </c>
      <c r="S6" s="103"/>
      <c r="T6" s="10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</row>
    <row r="7" spans="1:66" s="107" customFormat="1" ht="14.25" customHeight="1" x14ac:dyDescent="0.35">
      <c r="A7" s="108">
        <f>[1]Control!AX14</f>
        <v>45989</v>
      </c>
      <c r="B7" s="99"/>
      <c r="C7" s="100">
        <f>[2]Distribute!F54+[2]Distribute!I54+[2]Distribute!R54+[3]Sheet1!C14</f>
        <v>0</v>
      </c>
      <c r="D7" s="100">
        <v>23022.805682394719</v>
      </c>
      <c r="E7" s="101">
        <f>[2]Distribute!F14+[2]Distribute!I14+[2]Distribute!R14+[3]Sheet1!D14</f>
        <v>0</v>
      </c>
      <c r="F7" s="101">
        <v>12432.315068493152</v>
      </c>
      <c r="G7" s="102">
        <f>[2]Distribute!G14+[2]Distribute!J14+[2]Distribute!S14+[3]Sheet1!E14</f>
        <v>0</v>
      </c>
      <c r="H7" s="102">
        <v>14597.983561643799</v>
      </c>
      <c r="I7" s="103"/>
      <c r="J7" s="103"/>
      <c r="K7" s="108">
        <f t="shared" si="0"/>
        <v>45989</v>
      </c>
      <c r="L7" s="99"/>
      <c r="M7" s="100">
        <f>[2]Distribute!F54+[2]Distribute!I54+[2]Distribute!R54+[3]Sheet1!H14</f>
        <v>0</v>
      </c>
      <c r="N7" s="100">
        <f t="shared" si="1"/>
        <v>23022.805682394719</v>
      </c>
      <c r="O7" s="105">
        <f>[2]Distribute!AF14+[2]Distribute!AI14+[2]Distribute!AR14+[3]Sheet1!I14</f>
        <v>0</v>
      </c>
      <c r="P7" s="105">
        <v>193944115.06849316</v>
      </c>
      <c r="Q7" s="106">
        <f>[2]Distribute!AG14+[2]Distribute!AJ14+[2]Distribute!AS14+[3]Sheet1!J14</f>
        <v>0</v>
      </c>
      <c r="R7" s="106">
        <v>227728543.56164384</v>
      </c>
      <c r="S7" s="103"/>
      <c r="T7" s="103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</row>
    <row r="8" spans="1:66" s="107" customFormat="1" ht="14.25" customHeight="1" x14ac:dyDescent="0.35">
      <c r="A8" s="108">
        <f>[1]Control!AX15</f>
        <v>45990</v>
      </c>
      <c r="B8" s="99"/>
      <c r="C8" s="100">
        <f>[2]Distribute!F55+[2]Distribute!I55+[2]Distribute!R55+[3]Sheet1!C15</f>
        <v>0</v>
      </c>
      <c r="D8" s="100">
        <v>23022.805682394719</v>
      </c>
      <c r="E8" s="101">
        <f>[2]Distribute!F15+[2]Distribute!I15+[2]Distribute!R15+[3]Sheet1!D15</f>
        <v>0</v>
      </c>
      <c r="F8" s="101">
        <v>12432.315068493152</v>
      </c>
      <c r="G8" s="102">
        <f>[2]Distribute!G15+[2]Distribute!J15+[2]Distribute!S15+[3]Sheet1!E15</f>
        <v>0</v>
      </c>
      <c r="H8" s="102">
        <v>14597.983561643799</v>
      </c>
      <c r="I8" s="103"/>
      <c r="J8" s="103"/>
      <c r="K8" s="108">
        <f t="shared" si="0"/>
        <v>45990</v>
      </c>
      <c r="L8" s="99"/>
      <c r="M8" s="100">
        <f>[2]Distribute!F55+[2]Distribute!I55+[2]Distribute!R55+[3]Sheet1!H15</f>
        <v>0</v>
      </c>
      <c r="N8" s="100">
        <f t="shared" si="1"/>
        <v>23022.805682394719</v>
      </c>
      <c r="O8" s="105">
        <f>[2]Distribute!AF15+[2]Distribute!AI15+[2]Distribute!AR15+[3]Sheet1!I15</f>
        <v>0</v>
      </c>
      <c r="P8" s="105">
        <v>193944115.06849316</v>
      </c>
      <c r="Q8" s="106">
        <f>[2]Distribute!AG15+[2]Distribute!AJ15+[2]Distribute!AS15+[3]Sheet1!J15</f>
        <v>0</v>
      </c>
      <c r="R8" s="106">
        <v>227728543.56164384</v>
      </c>
      <c r="S8" s="103"/>
      <c r="T8" s="10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</row>
    <row r="9" spans="1:66" s="107" customFormat="1" ht="14.25" customHeight="1" x14ac:dyDescent="0.35">
      <c r="A9" s="108">
        <f>[1]Control!AX16</f>
        <v>45991</v>
      </c>
      <c r="B9" s="99"/>
      <c r="C9" s="100">
        <f>[2]Distribute!F56+[2]Distribute!I56+[2]Distribute!R56+[3]Sheet1!C16</f>
        <v>0</v>
      </c>
      <c r="D9" s="100">
        <v>23022.805682394719</v>
      </c>
      <c r="E9" s="101">
        <f>[2]Distribute!F16+[2]Distribute!I16+[2]Distribute!R16+[3]Sheet1!D16</f>
        <v>0</v>
      </c>
      <c r="F9" s="101">
        <v>12432.315068493152</v>
      </c>
      <c r="G9" s="102">
        <f>[2]Distribute!G16+[2]Distribute!J16+[2]Distribute!S16+[3]Sheet1!E16</f>
        <v>0</v>
      </c>
      <c r="H9" s="102">
        <v>14597.983561643799</v>
      </c>
      <c r="I9" s="103"/>
      <c r="J9" s="103"/>
      <c r="K9" s="108">
        <f t="shared" si="0"/>
        <v>45991</v>
      </c>
      <c r="L9" s="99"/>
      <c r="M9" s="100">
        <f>[2]Distribute!F56+[2]Distribute!I56+[2]Distribute!R56+[3]Sheet1!H16</f>
        <v>0</v>
      </c>
      <c r="N9" s="100">
        <f t="shared" si="1"/>
        <v>23022.805682394719</v>
      </c>
      <c r="O9" s="105">
        <f>[2]Distribute!AF16+[2]Distribute!AI16+[2]Distribute!AR16+[3]Sheet1!I16</f>
        <v>0</v>
      </c>
      <c r="P9" s="105">
        <v>193944115.06849316</v>
      </c>
      <c r="Q9" s="106">
        <f>[2]Distribute!AG16+[2]Distribute!AJ16+[2]Distribute!AS16+[3]Sheet1!J16</f>
        <v>0</v>
      </c>
      <c r="R9" s="106">
        <v>227728543.56164384</v>
      </c>
      <c r="S9" s="103"/>
      <c r="T9" s="103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</row>
    <row r="10" spans="1:66" s="107" customFormat="1" ht="14.25" customHeight="1" x14ac:dyDescent="0.35">
      <c r="A10" s="108">
        <f>[1]Control!AX17</f>
        <v>45992</v>
      </c>
      <c r="B10" s="99"/>
      <c r="C10" s="100">
        <f>[2]Distribute!F57+[2]Distribute!I57+[2]Distribute!R57+[3]Sheet1!C17</f>
        <v>0</v>
      </c>
      <c r="D10" s="100">
        <v>23022.805682394719</v>
      </c>
      <c r="E10" s="101">
        <f>[2]Distribute!F17+[2]Distribute!I17+[2]Distribute!R17+[3]Sheet1!D17</f>
        <v>0</v>
      </c>
      <c r="F10" s="101">
        <v>12432.315068493152</v>
      </c>
      <c r="G10" s="102">
        <f>[2]Distribute!G17+[2]Distribute!J17+[2]Distribute!S17+[3]Sheet1!E17</f>
        <v>0</v>
      </c>
      <c r="H10" s="102">
        <v>14597.983561643836</v>
      </c>
      <c r="I10" s="103"/>
      <c r="J10" s="103"/>
      <c r="K10" s="108">
        <f t="shared" si="0"/>
        <v>45992</v>
      </c>
      <c r="L10" s="99"/>
      <c r="M10" s="100">
        <f>[2]Distribute!F57+[2]Distribute!I57+[2]Distribute!R57+[3]Sheet1!H17</f>
        <v>0</v>
      </c>
      <c r="N10" s="100">
        <f t="shared" si="1"/>
        <v>23022.805682394719</v>
      </c>
      <c r="O10" s="105">
        <f>[2]Distribute!AF17+[2]Distribute!AI17+[2]Distribute!AR17+[3]Sheet1!I17</f>
        <v>0</v>
      </c>
      <c r="P10" s="105">
        <v>193944115.06849316</v>
      </c>
      <c r="Q10" s="106">
        <f>[2]Distribute!AG17+[2]Distribute!AJ17+[2]Distribute!AS17+[3]Sheet1!J17</f>
        <v>0</v>
      </c>
      <c r="R10" s="106">
        <v>227728543.56164384</v>
      </c>
      <c r="S10" s="103"/>
      <c r="T10" s="10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</row>
    <row r="11" spans="1:66" s="107" customFormat="1" ht="14.25" customHeight="1" x14ac:dyDescent="0.35">
      <c r="A11" s="108">
        <f>[1]Control!AX18</f>
        <v>45993</v>
      </c>
      <c r="B11" s="99"/>
      <c r="C11" s="100">
        <f>[2]Distribute!F58+[2]Distribute!I58+[2]Distribute!R58+[3]Sheet1!C18</f>
        <v>0</v>
      </c>
      <c r="D11" s="100">
        <v>23022.805682394719</v>
      </c>
      <c r="E11" s="101">
        <f>[2]Distribute!F18+[2]Distribute!I18+[2]Distribute!R18+[3]Sheet1!D18</f>
        <v>0</v>
      </c>
      <c r="F11" s="101">
        <v>12432.315068493152</v>
      </c>
      <c r="G11" s="102">
        <f>[2]Distribute!G18+[2]Distribute!J18+[2]Distribute!S18+[3]Sheet1!E18</f>
        <v>0</v>
      </c>
      <c r="H11" s="102">
        <v>14597.983561643836</v>
      </c>
      <c r="I11" s="103"/>
      <c r="J11" s="103"/>
      <c r="K11" s="108">
        <f t="shared" si="0"/>
        <v>45993</v>
      </c>
      <c r="L11" s="99"/>
      <c r="M11" s="100">
        <f>[2]Distribute!F58+[2]Distribute!I58+[2]Distribute!R58+[3]Sheet1!H18</f>
        <v>0</v>
      </c>
      <c r="N11" s="100">
        <f t="shared" si="1"/>
        <v>23022.805682394719</v>
      </c>
      <c r="O11" s="105">
        <f>[2]Distribute!AF18+[2]Distribute!AI18+[2]Distribute!AR18+[3]Sheet1!I18</f>
        <v>0</v>
      </c>
      <c r="P11" s="105">
        <v>193944115.06849316</v>
      </c>
      <c r="Q11" s="106">
        <f>[2]Distribute!AG18+[2]Distribute!AJ18+[2]Distribute!AS18+[3]Sheet1!J18</f>
        <v>0</v>
      </c>
      <c r="R11" s="106">
        <v>227728543.56164384</v>
      </c>
      <c r="S11" s="103"/>
      <c r="T11" s="103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</row>
    <row r="12" spans="1:66" s="107" customFormat="1" ht="14.25" customHeight="1" x14ac:dyDescent="0.35">
      <c r="A12" s="108">
        <f>[1]Control!AX19</f>
        <v>45994</v>
      </c>
      <c r="B12" s="99"/>
      <c r="C12" s="100">
        <f>[2]Distribute!F59+[2]Distribute!I59+[2]Distribute!R59+[3]Sheet1!C19</f>
        <v>0</v>
      </c>
      <c r="D12" s="100">
        <v>23022.805682394719</v>
      </c>
      <c r="E12" s="101">
        <f>[2]Distribute!F19+[2]Distribute!I19+[2]Distribute!R19+[3]Sheet1!D19</f>
        <v>0</v>
      </c>
      <c r="F12" s="101">
        <v>12432.315068493152</v>
      </c>
      <c r="G12" s="102">
        <f>[2]Distribute!G19+[2]Distribute!J19+[2]Distribute!S19+[3]Sheet1!E19</f>
        <v>0</v>
      </c>
      <c r="H12" s="102">
        <v>14597.983561643836</v>
      </c>
      <c r="I12" s="103"/>
      <c r="J12" s="103"/>
      <c r="K12" s="108">
        <f t="shared" si="0"/>
        <v>45994</v>
      </c>
      <c r="L12" s="99"/>
      <c r="M12" s="100">
        <f>[2]Distribute!F59+[2]Distribute!I59+[2]Distribute!R59+[3]Sheet1!H19</f>
        <v>0</v>
      </c>
      <c r="N12" s="100">
        <f t="shared" si="1"/>
        <v>23022.805682394719</v>
      </c>
      <c r="O12" s="105">
        <f>[2]Distribute!AF19+[2]Distribute!AI19+[2]Distribute!AR19+[3]Sheet1!I19</f>
        <v>0</v>
      </c>
      <c r="P12" s="105">
        <v>193944115.06849316</v>
      </c>
      <c r="Q12" s="106">
        <f>[2]Distribute!AG19+[2]Distribute!AJ19+[2]Distribute!AS19+[3]Sheet1!J19</f>
        <v>0</v>
      </c>
      <c r="R12" s="106">
        <v>227728543.56164384</v>
      </c>
      <c r="S12" s="103"/>
      <c r="T12" s="10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</row>
    <row r="13" spans="1:66" s="107" customFormat="1" ht="14.25" customHeight="1" x14ac:dyDescent="0.35">
      <c r="A13" s="108">
        <f>[1]Control!AX20</f>
        <v>45995</v>
      </c>
      <c r="B13" s="99"/>
      <c r="C13" s="100">
        <f>[2]Distribute!F60+[2]Distribute!I60+[2]Distribute!R60+[3]Sheet1!C20</f>
        <v>0</v>
      </c>
      <c r="D13" s="100">
        <v>23022.805682394719</v>
      </c>
      <c r="E13" s="101">
        <f>[2]Distribute!F20+[2]Distribute!I20+[2]Distribute!R20+[3]Sheet1!D20</f>
        <v>0</v>
      </c>
      <c r="F13" s="101">
        <v>12432.315068493152</v>
      </c>
      <c r="G13" s="102">
        <f>[2]Distribute!G20+[2]Distribute!J20+[2]Distribute!S20+[3]Sheet1!E20</f>
        <v>0</v>
      </c>
      <c r="H13" s="102">
        <v>14597.983561643836</v>
      </c>
      <c r="I13" s="103"/>
      <c r="J13" s="103"/>
      <c r="K13" s="108">
        <f t="shared" si="0"/>
        <v>45995</v>
      </c>
      <c r="L13" s="99"/>
      <c r="M13" s="100">
        <f>[2]Distribute!F60+[2]Distribute!I60+[2]Distribute!R60+[3]Sheet1!H20</f>
        <v>0</v>
      </c>
      <c r="N13" s="100">
        <f t="shared" si="1"/>
        <v>23022.805682394719</v>
      </c>
      <c r="O13" s="105">
        <f>[2]Distribute!AF20+[2]Distribute!AI20+[2]Distribute!AR20+[3]Sheet1!I20</f>
        <v>0</v>
      </c>
      <c r="P13" s="105">
        <v>193944115.06849316</v>
      </c>
      <c r="Q13" s="106">
        <f>[2]Distribute!AG20+[2]Distribute!AJ20+[2]Distribute!AS20+[3]Sheet1!J20</f>
        <v>0</v>
      </c>
      <c r="R13" s="106">
        <v>227728543.56164384</v>
      </c>
      <c r="S13" s="103"/>
      <c r="T13" s="103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</row>
    <row r="14" spans="1:66" s="107" customFormat="1" ht="14.25" customHeight="1" x14ac:dyDescent="0.35">
      <c r="A14" s="108">
        <f>[1]Control!AX21</f>
        <v>45996</v>
      </c>
      <c r="B14" s="99"/>
      <c r="C14" s="100">
        <f>[2]Distribute!F61+[2]Distribute!I61+[2]Distribute!R61+[3]Sheet1!C21</f>
        <v>0</v>
      </c>
      <c r="D14" s="100">
        <v>23022.805682394719</v>
      </c>
      <c r="E14" s="101">
        <f>[2]Distribute!F21+[2]Distribute!I21+[2]Distribute!R21+[3]Sheet1!D21</f>
        <v>0</v>
      </c>
      <c r="F14" s="101">
        <v>12432.315068493152</v>
      </c>
      <c r="G14" s="102">
        <f>[2]Distribute!G21+[2]Distribute!J21+[2]Distribute!S21+[3]Sheet1!E21</f>
        <v>0</v>
      </c>
      <c r="H14" s="102">
        <v>14597.983561643836</v>
      </c>
      <c r="I14" s="103"/>
      <c r="J14" s="103"/>
      <c r="K14" s="108">
        <f t="shared" si="0"/>
        <v>45996</v>
      </c>
      <c r="L14" s="99"/>
      <c r="M14" s="100">
        <f>[2]Distribute!F61+[2]Distribute!I61+[2]Distribute!R61+[3]Sheet1!H21</f>
        <v>0</v>
      </c>
      <c r="N14" s="100">
        <f t="shared" si="1"/>
        <v>23022.805682394719</v>
      </c>
      <c r="O14" s="105">
        <f>[2]Distribute!AF21+[2]Distribute!AI21+[2]Distribute!AR21+[3]Sheet1!I21</f>
        <v>0</v>
      </c>
      <c r="P14" s="105">
        <v>193944115.06849316</v>
      </c>
      <c r="Q14" s="106">
        <f>[2]Distribute!AG21+[2]Distribute!AJ21+[2]Distribute!AS21+[3]Sheet1!J21</f>
        <v>0</v>
      </c>
      <c r="R14" s="106">
        <v>227728543.56164384</v>
      </c>
      <c r="S14" s="103"/>
      <c r="T14" s="10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</row>
    <row r="15" spans="1:66" s="107" customFormat="1" ht="14.25" customHeight="1" x14ac:dyDescent="0.35">
      <c r="A15" s="108">
        <f>[1]Control!AX22</f>
        <v>45997</v>
      </c>
      <c r="B15" s="99"/>
      <c r="C15" s="100">
        <f>[2]Distribute!F62+[2]Distribute!I62+[2]Distribute!R62+[3]Sheet1!C22</f>
        <v>0</v>
      </c>
      <c r="D15" s="100">
        <v>23022.805682394719</v>
      </c>
      <c r="E15" s="101">
        <f>[2]Distribute!F22+[2]Distribute!I22+[2]Distribute!R22+[3]Sheet1!D22</f>
        <v>0</v>
      </c>
      <c r="F15" s="101">
        <v>12432.315068493152</v>
      </c>
      <c r="G15" s="102">
        <f>[2]Distribute!G22+[2]Distribute!J22+[2]Distribute!S22+[3]Sheet1!E22</f>
        <v>0</v>
      </c>
      <c r="H15" s="102">
        <v>14597.983561643836</v>
      </c>
      <c r="I15" s="103"/>
      <c r="J15" s="103"/>
      <c r="K15" s="108">
        <f t="shared" si="0"/>
        <v>45997</v>
      </c>
      <c r="L15" s="99"/>
      <c r="M15" s="100">
        <f>[2]Distribute!F62+[2]Distribute!I62+[2]Distribute!R62+[3]Sheet1!H22</f>
        <v>0</v>
      </c>
      <c r="N15" s="100">
        <f t="shared" si="1"/>
        <v>23022.805682394719</v>
      </c>
      <c r="O15" s="105">
        <f>[2]Distribute!AF22+[2]Distribute!AI22+[2]Distribute!AR22+[3]Sheet1!I22</f>
        <v>0</v>
      </c>
      <c r="P15" s="105">
        <v>193944115.06849316</v>
      </c>
      <c r="Q15" s="106">
        <f>[2]Distribute!AG22+[2]Distribute!AJ22+[2]Distribute!AS22+[3]Sheet1!J22</f>
        <v>0</v>
      </c>
      <c r="R15" s="106">
        <v>227728543.56164384</v>
      </c>
      <c r="S15" s="103"/>
      <c r="T15" s="103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</row>
    <row r="16" spans="1:66" s="107" customFormat="1" ht="14.25" customHeight="1" x14ac:dyDescent="0.35">
      <c r="A16" s="108">
        <f>[1]Control!AX23</f>
        <v>45998</v>
      </c>
      <c r="B16" s="99"/>
      <c r="C16" s="100">
        <f>[2]Distribute!F63+[2]Distribute!I63+[2]Distribute!R63+[3]Sheet1!C23</f>
        <v>0</v>
      </c>
      <c r="D16" s="100">
        <v>23022.805682394719</v>
      </c>
      <c r="E16" s="101">
        <f>[2]Distribute!F23+[2]Distribute!I23+[2]Distribute!R23+[3]Sheet1!D23</f>
        <v>0</v>
      </c>
      <c r="F16" s="101">
        <v>12432.315068493152</v>
      </c>
      <c r="G16" s="102">
        <f>[2]Distribute!G23+[2]Distribute!J23+[2]Distribute!S23+[3]Sheet1!E23</f>
        <v>0</v>
      </c>
      <c r="H16" s="102">
        <v>14597.983561643836</v>
      </c>
      <c r="I16" s="103"/>
      <c r="J16" s="103"/>
      <c r="K16" s="108">
        <f t="shared" si="0"/>
        <v>45998</v>
      </c>
      <c r="L16" s="99"/>
      <c r="M16" s="100">
        <f>[2]Distribute!F63+[2]Distribute!I63+[2]Distribute!R63+[3]Sheet1!H23</f>
        <v>0</v>
      </c>
      <c r="N16" s="100">
        <f t="shared" si="1"/>
        <v>23022.805682394719</v>
      </c>
      <c r="O16" s="105">
        <f>[2]Distribute!AF23+[2]Distribute!AI23+[2]Distribute!AR23+[3]Sheet1!I23</f>
        <v>0</v>
      </c>
      <c r="P16" s="105">
        <v>193944115.06849316</v>
      </c>
      <c r="Q16" s="106">
        <f>[2]Distribute!AG23+[2]Distribute!AJ23+[2]Distribute!AS23+[3]Sheet1!J23</f>
        <v>0</v>
      </c>
      <c r="R16" s="106">
        <v>227728543.56164384</v>
      </c>
      <c r="S16" s="103"/>
      <c r="T16" s="10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</row>
    <row r="17" spans="1:66" s="107" customFormat="1" ht="14.25" customHeight="1" x14ac:dyDescent="0.35">
      <c r="A17" s="108">
        <f>[1]Control!AX24</f>
        <v>45999</v>
      </c>
      <c r="B17" s="99"/>
      <c r="C17" s="100">
        <f>[2]Distribute!F64+[2]Distribute!I64+[2]Distribute!R64+[3]Sheet1!C24</f>
        <v>0</v>
      </c>
      <c r="D17" s="100">
        <v>23022.805682394719</v>
      </c>
      <c r="E17" s="101">
        <f>[2]Distribute!F24+[2]Distribute!I24+[2]Distribute!R24+[3]Sheet1!D24</f>
        <v>0</v>
      </c>
      <c r="F17" s="101">
        <v>12432.315068493152</v>
      </c>
      <c r="G17" s="102">
        <f>[2]Distribute!G24+[2]Distribute!J24+[2]Distribute!S24+[3]Sheet1!E24</f>
        <v>0</v>
      </c>
      <c r="H17" s="102">
        <v>14597.983561643836</v>
      </c>
      <c r="I17" s="103"/>
      <c r="J17" s="103"/>
      <c r="K17" s="108">
        <f t="shared" si="0"/>
        <v>45999</v>
      </c>
      <c r="L17" s="99"/>
      <c r="M17" s="100">
        <f>[2]Distribute!F64+[2]Distribute!I64+[2]Distribute!R64+[3]Sheet1!H24</f>
        <v>0</v>
      </c>
      <c r="N17" s="100">
        <f t="shared" si="1"/>
        <v>23022.805682394719</v>
      </c>
      <c r="O17" s="105">
        <f>[2]Distribute!AF24+[2]Distribute!AI24+[2]Distribute!AR24+[3]Sheet1!I24</f>
        <v>0</v>
      </c>
      <c r="P17" s="105">
        <v>193944115.06849316</v>
      </c>
      <c r="Q17" s="106">
        <f>[2]Distribute!AG24+[2]Distribute!AJ24+[2]Distribute!AS24+[3]Sheet1!J24</f>
        <v>0</v>
      </c>
      <c r="R17" s="106">
        <v>227728543.56164384</v>
      </c>
      <c r="S17" s="103"/>
      <c r="T17" s="103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</row>
    <row r="18" spans="1:66" s="107" customFormat="1" ht="14.25" customHeight="1" x14ac:dyDescent="0.35">
      <c r="A18" s="108">
        <f>[1]Control!AX25</f>
        <v>46000</v>
      </c>
      <c r="B18" s="99"/>
      <c r="C18" s="100">
        <f>[2]Distribute!F65+[2]Distribute!I65+[2]Distribute!R65+[3]Sheet1!C25</f>
        <v>0</v>
      </c>
      <c r="D18" s="100">
        <v>23022.805682394719</v>
      </c>
      <c r="E18" s="101">
        <f>[2]Distribute!F25+[2]Distribute!I25+[2]Distribute!R25+[3]Sheet1!D25</f>
        <v>0</v>
      </c>
      <c r="F18" s="101">
        <v>12432.315068493152</v>
      </c>
      <c r="G18" s="102">
        <f>[2]Distribute!G25+[2]Distribute!J25+[2]Distribute!S25+[3]Sheet1!E25</f>
        <v>0</v>
      </c>
      <c r="H18" s="102">
        <v>14597.983561643836</v>
      </c>
      <c r="I18" s="103"/>
      <c r="J18" s="103"/>
      <c r="K18" s="108">
        <f t="shared" si="0"/>
        <v>46000</v>
      </c>
      <c r="L18" s="99"/>
      <c r="M18" s="100">
        <f>[2]Distribute!F65+[2]Distribute!I65+[2]Distribute!R65+[3]Sheet1!H25</f>
        <v>0</v>
      </c>
      <c r="N18" s="100">
        <f t="shared" si="1"/>
        <v>23022.805682394719</v>
      </c>
      <c r="O18" s="105">
        <f>[2]Distribute!AF25+[2]Distribute!AI25+[2]Distribute!AR25+[3]Sheet1!I25</f>
        <v>0</v>
      </c>
      <c r="P18" s="105">
        <v>193944115.06849316</v>
      </c>
      <c r="Q18" s="106">
        <f>[2]Distribute!AG25+[2]Distribute!AJ25+[2]Distribute!AS25+[3]Sheet1!J25</f>
        <v>0</v>
      </c>
      <c r="R18" s="106">
        <v>227728543.56164384</v>
      </c>
      <c r="S18" s="103"/>
      <c r="T18" s="10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</row>
    <row r="19" spans="1:66" s="107" customFormat="1" ht="14.25" customHeight="1" x14ac:dyDescent="0.35">
      <c r="A19" s="108">
        <f>[1]Control!AX26</f>
        <v>46001</v>
      </c>
      <c r="B19" s="99"/>
      <c r="C19" s="100">
        <f>[2]Distribute!F66+[2]Distribute!I66+[2]Distribute!R66+[3]Sheet1!C26</f>
        <v>0</v>
      </c>
      <c r="D19" s="100">
        <v>23022.805682394719</v>
      </c>
      <c r="E19" s="101">
        <f>[2]Distribute!F26+[2]Distribute!I26+[2]Distribute!R26+[3]Sheet1!D26</f>
        <v>0</v>
      </c>
      <c r="F19" s="101">
        <v>12432.315068493152</v>
      </c>
      <c r="G19" s="102">
        <f>[2]Distribute!G26+[2]Distribute!J26+[2]Distribute!S26+[3]Sheet1!E26</f>
        <v>0</v>
      </c>
      <c r="H19" s="102">
        <v>14597.983561643836</v>
      </c>
      <c r="I19" s="103"/>
      <c r="J19" s="103"/>
      <c r="K19" s="108">
        <f t="shared" si="0"/>
        <v>46001</v>
      </c>
      <c r="L19" s="99"/>
      <c r="M19" s="100">
        <f>[2]Distribute!F66+[2]Distribute!I66+[2]Distribute!R66+[3]Sheet1!H26</f>
        <v>0</v>
      </c>
      <c r="N19" s="100">
        <f t="shared" si="1"/>
        <v>23022.805682394719</v>
      </c>
      <c r="O19" s="105">
        <f>[2]Distribute!AF26+[2]Distribute!AI26+[2]Distribute!AR26+[3]Sheet1!I26</f>
        <v>0</v>
      </c>
      <c r="P19" s="105">
        <v>193944115.06849316</v>
      </c>
      <c r="Q19" s="106">
        <f>[2]Distribute!AG26+[2]Distribute!AJ26+[2]Distribute!AS26+[3]Sheet1!J26</f>
        <v>0</v>
      </c>
      <c r="R19" s="106">
        <v>227728543.56164384</v>
      </c>
      <c r="S19" s="103"/>
      <c r="T19" s="103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</row>
    <row r="20" spans="1:66" s="107" customFormat="1" ht="14.25" customHeight="1" x14ac:dyDescent="0.35">
      <c r="A20" s="108">
        <f>[1]Control!AX27</f>
        <v>46002</v>
      </c>
      <c r="B20" s="99"/>
      <c r="C20" s="100">
        <f>[2]Distribute!F67+[2]Distribute!I67+[2]Distribute!R67+[3]Sheet1!C27</f>
        <v>0</v>
      </c>
      <c r="D20" s="100">
        <v>23022.805682394719</v>
      </c>
      <c r="E20" s="101">
        <f>[2]Distribute!F27+[2]Distribute!I27+[2]Distribute!R27+[3]Sheet1!D27</f>
        <v>0</v>
      </c>
      <c r="F20" s="101">
        <v>12432.315068493152</v>
      </c>
      <c r="G20" s="102">
        <f>[2]Distribute!G27+[2]Distribute!J27+[2]Distribute!S27+[3]Sheet1!E27</f>
        <v>0</v>
      </c>
      <c r="H20" s="102">
        <v>14597.983561643836</v>
      </c>
      <c r="I20" s="103"/>
      <c r="J20" s="103"/>
      <c r="K20" s="108">
        <f t="shared" si="0"/>
        <v>46002</v>
      </c>
      <c r="L20" s="99"/>
      <c r="M20" s="100">
        <f>[2]Distribute!F67+[2]Distribute!I67+[2]Distribute!R67+[3]Sheet1!H27</f>
        <v>0</v>
      </c>
      <c r="N20" s="100">
        <f t="shared" si="1"/>
        <v>23022.805682394719</v>
      </c>
      <c r="O20" s="105">
        <f>[2]Distribute!AF27+[2]Distribute!AI27+[2]Distribute!AR27+[3]Sheet1!I27</f>
        <v>0</v>
      </c>
      <c r="P20" s="105">
        <v>193944115.06849316</v>
      </c>
      <c r="Q20" s="106">
        <f>[2]Distribute!AG27+[2]Distribute!AJ27+[2]Distribute!AS27+[3]Sheet1!J27</f>
        <v>0</v>
      </c>
      <c r="R20" s="106">
        <v>227728543.56164384</v>
      </c>
      <c r="S20" s="103"/>
      <c r="T20" s="10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</row>
    <row r="21" spans="1:66" s="107" customFormat="1" ht="14.25" customHeight="1" x14ac:dyDescent="0.35">
      <c r="A21" s="108">
        <f>[1]Control!AX28</f>
        <v>46003</v>
      </c>
      <c r="B21" s="99"/>
      <c r="C21" s="100">
        <f>[2]Distribute!F68+[2]Distribute!I68+[2]Distribute!R68+[3]Sheet1!C28</f>
        <v>0</v>
      </c>
      <c r="D21" s="100">
        <v>23022.805682394719</v>
      </c>
      <c r="E21" s="101">
        <f>[2]Distribute!F28+[2]Distribute!I28+[2]Distribute!R28+[3]Sheet1!D28</f>
        <v>0</v>
      </c>
      <c r="F21" s="101">
        <v>12432.315068493152</v>
      </c>
      <c r="G21" s="102">
        <f>[2]Distribute!G28+[2]Distribute!J28+[2]Distribute!S28+[3]Sheet1!E28</f>
        <v>0</v>
      </c>
      <c r="H21" s="102">
        <v>14597.983561643836</v>
      </c>
      <c r="I21" s="103"/>
      <c r="J21" s="103"/>
      <c r="K21" s="108">
        <f t="shared" si="0"/>
        <v>46003</v>
      </c>
      <c r="L21" s="99"/>
      <c r="M21" s="100">
        <f>[2]Distribute!F68+[2]Distribute!I68+[2]Distribute!R68+[3]Sheet1!H28</f>
        <v>0</v>
      </c>
      <c r="N21" s="100">
        <f t="shared" si="1"/>
        <v>23022.805682394719</v>
      </c>
      <c r="O21" s="105">
        <f>[2]Distribute!AF28+[2]Distribute!AI28+[2]Distribute!AR28+[3]Sheet1!I28</f>
        <v>0</v>
      </c>
      <c r="P21" s="105">
        <v>193944115.06849316</v>
      </c>
      <c r="Q21" s="106">
        <f>[2]Distribute!AG28+[2]Distribute!AJ28+[2]Distribute!AS28+[3]Sheet1!J28</f>
        <v>0</v>
      </c>
      <c r="R21" s="106">
        <v>227728543.56164384</v>
      </c>
      <c r="S21" s="103"/>
      <c r="T21" s="103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</row>
    <row r="22" spans="1:66" s="107" customFormat="1" ht="14.25" customHeight="1" x14ac:dyDescent="0.35">
      <c r="A22" s="108">
        <f>[1]Control!AX29</f>
        <v>46004</v>
      </c>
      <c r="B22" s="99"/>
      <c r="C22" s="100">
        <f>[2]Distribute!F69+[2]Distribute!I69+[2]Distribute!R69+[3]Sheet1!C29</f>
        <v>0</v>
      </c>
      <c r="D22" s="100">
        <v>23022.805682394719</v>
      </c>
      <c r="E22" s="101">
        <f>[2]Distribute!F29+[2]Distribute!I29+[2]Distribute!R29+[3]Sheet1!D29</f>
        <v>0</v>
      </c>
      <c r="F22" s="101">
        <v>12432.315068493152</v>
      </c>
      <c r="G22" s="102">
        <f>[2]Distribute!G29+[2]Distribute!J29+[2]Distribute!S29+[3]Sheet1!E29</f>
        <v>0</v>
      </c>
      <c r="H22" s="102">
        <v>14597.983561643836</v>
      </c>
      <c r="I22" s="103"/>
      <c r="J22" s="103"/>
      <c r="K22" s="108">
        <f t="shared" si="0"/>
        <v>46004</v>
      </c>
      <c r="L22" s="99"/>
      <c r="M22" s="100">
        <f>[2]Distribute!F69+[2]Distribute!I69+[2]Distribute!R69+[3]Sheet1!H29</f>
        <v>0</v>
      </c>
      <c r="N22" s="100">
        <f t="shared" si="1"/>
        <v>23022.805682394719</v>
      </c>
      <c r="O22" s="105">
        <f>[2]Distribute!AF29+[2]Distribute!AI29+[2]Distribute!AR29+[3]Sheet1!I29</f>
        <v>0</v>
      </c>
      <c r="P22" s="105">
        <v>193944115.06849316</v>
      </c>
      <c r="Q22" s="106">
        <f>[2]Distribute!AG29+[2]Distribute!AJ29+[2]Distribute!AS29+[3]Sheet1!J29</f>
        <v>0</v>
      </c>
      <c r="R22" s="106">
        <v>227728543.56164384</v>
      </c>
      <c r="S22" s="103"/>
      <c r="T22" s="10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</row>
    <row r="23" spans="1:66" s="107" customFormat="1" ht="14.25" customHeight="1" x14ac:dyDescent="0.35">
      <c r="A23" s="108">
        <f>[1]Control!AX30</f>
        <v>46005</v>
      </c>
      <c r="B23" s="99"/>
      <c r="C23" s="100">
        <f>[2]Distribute!F70+[2]Distribute!I70+[2]Distribute!R70+[3]Sheet1!C30</f>
        <v>0</v>
      </c>
      <c r="D23" s="100">
        <v>23022.805682394719</v>
      </c>
      <c r="E23" s="101">
        <f>[2]Distribute!F30+[2]Distribute!I30+[2]Distribute!R30+[3]Sheet1!D30</f>
        <v>0</v>
      </c>
      <c r="F23" s="101">
        <v>12432.315068493152</v>
      </c>
      <c r="G23" s="102">
        <f>[2]Distribute!G30+[2]Distribute!J30+[2]Distribute!S30+[3]Sheet1!E30</f>
        <v>0</v>
      </c>
      <c r="H23" s="102">
        <v>14597.983561643836</v>
      </c>
      <c r="I23" s="103"/>
      <c r="J23" s="103"/>
      <c r="K23" s="108">
        <f t="shared" si="0"/>
        <v>46005</v>
      </c>
      <c r="L23" s="99"/>
      <c r="M23" s="100">
        <f>[2]Distribute!F70+[2]Distribute!I70+[2]Distribute!R70+[3]Sheet1!H30</f>
        <v>0</v>
      </c>
      <c r="N23" s="100">
        <f t="shared" si="1"/>
        <v>23022.805682394719</v>
      </c>
      <c r="O23" s="105">
        <f>[2]Distribute!AF30+[2]Distribute!AI30+[2]Distribute!AR30+[3]Sheet1!I30</f>
        <v>0</v>
      </c>
      <c r="P23" s="105">
        <v>193944115.06849316</v>
      </c>
      <c r="Q23" s="106">
        <f>[2]Distribute!AG30+[2]Distribute!AJ30+[2]Distribute!AS30+[3]Sheet1!J30</f>
        <v>0</v>
      </c>
      <c r="R23" s="106">
        <v>227728543.56164384</v>
      </c>
      <c r="S23" s="103"/>
      <c r="T23" s="103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</row>
    <row r="24" spans="1:66" s="107" customFormat="1" ht="14.25" customHeight="1" x14ac:dyDescent="0.35">
      <c r="A24" s="108">
        <f>[1]Control!AX31</f>
        <v>46006</v>
      </c>
      <c r="B24" s="99"/>
      <c r="C24" s="100">
        <f>[2]Distribute!F71+[2]Distribute!I71+[2]Distribute!R71+[3]Sheet1!C31</f>
        <v>0</v>
      </c>
      <c r="D24" s="100">
        <v>23022.805682394719</v>
      </c>
      <c r="E24" s="101">
        <f>[2]Distribute!F31+[2]Distribute!I31+[2]Distribute!R31+[3]Sheet1!D31</f>
        <v>0</v>
      </c>
      <c r="F24" s="101">
        <v>12432.315068493152</v>
      </c>
      <c r="G24" s="102">
        <f>[2]Distribute!G31+[2]Distribute!J31+[2]Distribute!S31+[3]Sheet1!E31</f>
        <v>0</v>
      </c>
      <c r="H24" s="102">
        <v>14597.983561643836</v>
      </c>
      <c r="I24" s="103"/>
      <c r="J24" s="103"/>
      <c r="K24" s="108">
        <f t="shared" si="0"/>
        <v>46006</v>
      </c>
      <c r="L24" s="99"/>
      <c r="M24" s="100">
        <f>[2]Distribute!F71+[2]Distribute!I71+[2]Distribute!R71+[3]Sheet1!H31</f>
        <v>0</v>
      </c>
      <c r="N24" s="100">
        <f t="shared" si="1"/>
        <v>23022.805682394719</v>
      </c>
      <c r="O24" s="105">
        <f>[2]Distribute!AF31+[2]Distribute!AI31+[2]Distribute!AR31+[3]Sheet1!I31</f>
        <v>0</v>
      </c>
      <c r="P24" s="105">
        <v>193944115.06849316</v>
      </c>
      <c r="Q24" s="106">
        <f>[2]Distribute!AG31+[2]Distribute!AJ31+[2]Distribute!AS31+[3]Sheet1!J31</f>
        <v>0</v>
      </c>
      <c r="R24" s="106">
        <v>227728543.56164384</v>
      </c>
      <c r="S24" s="103"/>
      <c r="T24" s="10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</row>
    <row r="25" spans="1:66" s="107" customFormat="1" ht="14.25" customHeight="1" x14ac:dyDescent="0.35">
      <c r="A25" s="108">
        <f>[1]Control!AX32</f>
        <v>46007</v>
      </c>
      <c r="B25" s="99"/>
      <c r="C25" s="100">
        <f>[2]Distribute!F72+[2]Distribute!I72+[2]Distribute!R72+[3]Sheet1!C32</f>
        <v>0</v>
      </c>
      <c r="D25" s="100">
        <v>23022.805682394719</v>
      </c>
      <c r="E25" s="101">
        <f>[2]Distribute!F32+[2]Distribute!I32+[2]Distribute!R32+[3]Sheet1!D32</f>
        <v>0</v>
      </c>
      <c r="F25" s="101">
        <v>12432.315068493152</v>
      </c>
      <c r="G25" s="102">
        <f>[2]Distribute!G32+[2]Distribute!J32+[2]Distribute!S32+[3]Sheet1!E32</f>
        <v>0</v>
      </c>
      <c r="H25" s="102">
        <v>14597.983561643836</v>
      </c>
      <c r="I25" s="103"/>
      <c r="J25" s="103"/>
      <c r="K25" s="108">
        <f t="shared" si="0"/>
        <v>46007</v>
      </c>
      <c r="L25" s="99"/>
      <c r="M25" s="100">
        <f>[2]Distribute!F72+[2]Distribute!I72+[2]Distribute!R72+[3]Sheet1!H32</f>
        <v>0</v>
      </c>
      <c r="N25" s="100">
        <f t="shared" si="1"/>
        <v>23022.805682394719</v>
      </c>
      <c r="O25" s="105">
        <f>[2]Distribute!AF32+[2]Distribute!AI32+[2]Distribute!AR32+[3]Sheet1!I32</f>
        <v>0</v>
      </c>
      <c r="P25" s="105">
        <v>193944115.06849316</v>
      </c>
      <c r="Q25" s="106">
        <f>[2]Distribute!AG32+[2]Distribute!AJ32+[2]Distribute!AS32+[3]Sheet1!J32</f>
        <v>0</v>
      </c>
      <c r="R25" s="106">
        <v>227728543.56164384</v>
      </c>
      <c r="S25" s="103"/>
      <c r="T25" s="103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</row>
    <row r="26" spans="1:66" s="107" customFormat="1" ht="14.25" customHeight="1" x14ac:dyDescent="0.35">
      <c r="A26" s="108">
        <f>[1]Control!AX33</f>
        <v>46008</v>
      </c>
      <c r="B26" s="99"/>
      <c r="C26" s="100">
        <f>[2]Distribute!F73+[2]Distribute!I73+[2]Distribute!R73+[3]Sheet1!C33</f>
        <v>0</v>
      </c>
      <c r="D26" s="100">
        <v>23022.805682394719</v>
      </c>
      <c r="E26" s="101">
        <f>[2]Distribute!F33+[2]Distribute!I33+[2]Distribute!R33+[3]Sheet1!D33</f>
        <v>0</v>
      </c>
      <c r="F26" s="101">
        <v>12432.315068493152</v>
      </c>
      <c r="G26" s="102">
        <f>[2]Distribute!G33+[2]Distribute!J33+[2]Distribute!S33+[3]Sheet1!E33</f>
        <v>0</v>
      </c>
      <c r="H26" s="102">
        <v>14597.983561643836</v>
      </c>
      <c r="I26" s="103"/>
      <c r="J26" s="103"/>
      <c r="K26" s="108">
        <f t="shared" si="0"/>
        <v>46008</v>
      </c>
      <c r="L26" s="99"/>
      <c r="M26" s="100">
        <f>[2]Distribute!F73+[2]Distribute!I73+[2]Distribute!R73+[3]Sheet1!H33</f>
        <v>0</v>
      </c>
      <c r="N26" s="100">
        <f t="shared" si="1"/>
        <v>23022.805682394719</v>
      </c>
      <c r="O26" s="105">
        <f>[2]Distribute!AF33+[2]Distribute!AI33+[2]Distribute!AR33+[3]Sheet1!I33</f>
        <v>0</v>
      </c>
      <c r="P26" s="105">
        <v>193944115.06849316</v>
      </c>
      <c r="Q26" s="106">
        <f>[2]Distribute!AG33+[2]Distribute!AJ33+[2]Distribute!AS33+[3]Sheet1!J33</f>
        <v>0</v>
      </c>
      <c r="R26" s="106">
        <v>227728543.56164384</v>
      </c>
      <c r="S26" s="103"/>
      <c r="T26" s="10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</row>
    <row r="27" spans="1:66" s="107" customFormat="1" ht="14.25" customHeight="1" x14ac:dyDescent="0.35">
      <c r="A27" s="108">
        <f>[1]Control!AX34</f>
        <v>46009</v>
      </c>
      <c r="B27" s="99"/>
      <c r="C27" s="100">
        <f>[2]Distribute!F74+[2]Distribute!I74+[2]Distribute!R74+[3]Sheet1!C34</f>
        <v>0</v>
      </c>
      <c r="D27" s="100">
        <v>23022.805682394719</v>
      </c>
      <c r="E27" s="101">
        <f>[2]Distribute!F34+[2]Distribute!I34+[2]Distribute!R34+[3]Sheet1!D34</f>
        <v>0</v>
      </c>
      <c r="F27" s="101">
        <v>12432.315068493152</v>
      </c>
      <c r="G27" s="102">
        <f>[2]Distribute!G34+[2]Distribute!J34+[2]Distribute!S34+[3]Sheet1!E34</f>
        <v>0</v>
      </c>
      <c r="H27" s="102">
        <v>14597.983561643836</v>
      </c>
      <c r="I27" s="103"/>
      <c r="J27" s="103"/>
      <c r="K27" s="108">
        <f t="shared" si="0"/>
        <v>46009</v>
      </c>
      <c r="L27" s="99"/>
      <c r="M27" s="100">
        <f>[2]Distribute!F74+[2]Distribute!I74+[2]Distribute!R74+[3]Sheet1!H34</f>
        <v>0</v>
      </c>
      <c r="N27" s="100">
        <f t="shared" si="1"/>
        <v>23022.805682394719</v>
      </c>
      <c r="O27" s="105">
        <f>[2]Distribute!AF34+[2]Distribute!AI34+[2]Distribute!AR34+[3]Sheet1!I34</f>
        <v>0</v>
      </c>
      <c r="P27" s="105">
        <v>193944115.06849316</v>
      </c>
      <c r="Q27" s="106">
        <f>[2]Distribute!AG34+[2]Distribute!AJ34+[2]Distribute!AS34+[3]Sheet1!J34</f>
        <v>0</v>
      </c>
      <c r="R27" s="106">
        <v>227728543.56164384</v>
      </c>
      <c r="S27" s="103"/>
      <c r="T27" s="103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</row>
    <row r="28" spans="1:66" s="107" customFormat="1" ht="14.25" customHeight="1" x14ac:dyDescent="0.35">
      <c r="A28" s="108">
        <f>[1]Control!AX35</f>
        <v>46010</v>
      </c>
      <c r="B28" s="99"/>
      <c r="C28" s="100">
        <f>[2]Distribute!F75+[2]Distribute!I75+[2]Distribute!R75+[3]Sheet1!C35</f>
        <v>0</v>
      </c>
      <c r="D28" s="100">
        <v>23022.805682394719</v>
      </c>
      <c r="E28" s="101">
        <f>[2]Distribute!F35+[2]Distribute!I35+[2]Distribute!R35+[3]Sheet1!D35</f>
        <v>0</v>
      </c>
      <c r="F28" s="101">
        <v>12432.315068493152</v>
      </c>
      <c r="G28" s="102">
        <f>[2]Distribute!G35+[2]Distribute!J35+[2]Distribute!S35+[3]Sheet1!E35</f>
        <v>0</v>
      </c>
      <c r="H28" s="102">
        <v>14597.983561643836</v>
      </c>
      <c r="I28" s="103"/>
      <c r="J28" s="103"/>
      <c r="K28" s="108">
        <f t="shared" si="0"/>
        <v>46010</v>
      </c>
      <c r="L28" s="99"/>
      <c r="M28" s="100">
        <f>[2]Distribute!F75+[2]Distribute!I75+[2]Distribute!R75+[3]Sheet1!H35</f>
        <v>0</v>
      </c>
      <c r="N28" s="100">
        <f t="shared" si="1"/>
        <v>23022.805682394719</v>
      </c>
      <c r="O28" s="105">
        <f>[2]Distribute!AF35+[2]Distribute!AI35+[2]Distribute!AR35+[3]Sheet1!I35</f>
        <v>0</v>
      </c>
      <c r="P28" s="105">
        <v>193944115.06849316</v>
      </c>
      <c r="Q28" s="106">
        <f>[2]Distribute!AG35+[2]Distribute!AJ35+[2]Distribute!AS35+[3]Sheet1!J35</f>
        <v>0</v>
      </c>
      <c r="R28" s="106">
        <v>227728543.56164384</v>
      </c>
      <c r="S28" s="103"/>
      <c r="T28" s="10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</row>
    <row r="29" spans="1:66" s="107" customFormat="1" ht="14.25" customHeight="1" x14ac:dyDescent="0.35">
      <c r="A29" s="108">
        <f>[1]Control!AX36</f>
        <v>46011</v>
      </c>
      <c r="B29" s="99"/>
      <c r="C29" s="100">
        <f>[2]Distribute!F76+[2]Distribute!I76+[2]Distribute!R76+[3]Sheet1!C36</f>
        <v>0</v>
      </c>
      <c r="D29" s="100">
        <v>23022.805682394719</v>
      </c>
      <c r="E29" s="101">
        <f>[2]Distribute!F36+[2]Distribute!I36+[2]Distribute!R36+[3]Sheet1!D36</f>
        <v>0</v>
      </c>
      <c r="F29" s="101">
        <v>12432.315068493152</v>
      </c>
      <c r="G29" s="102">
        <f>[2]Distribute!G36+[2]Distribute!J36+[2]Distribute!S36+[3]Sheet1!E36</f>
        <v>0</v>
      </c>
      <c r="H29" s="102">
        <v>14597.983561643836</v>
      </c>
      <c r="I29" s="103"/>
      <c r="J29" s="103"/>
      <c r="K29" s="108">
        <f t="shared" si="0"/>
        <v>46011</v>
      </c>
      <c r="L29" s="99"/>
      <c r="M29" s="100">
        <f>[2]Distribute!F76+[2]Distribute!I76+[2]Distribute!R76+[3]Sheet1!H36</f>
        <v>0</v>
      </c>
      <c r="N29" s="100">
        <f t="shared" si="1"/>
        <v>23022.805682394719</v>
      </c>
      <c r="O29" s="105">
        <f>[2]Distribute!AF36+[2]Distribute!AI36+[2]Distribute!AR36+[3]Sheet1!I36</f>
        <v>0</v>
      </c>
      <c r="P29" s="105">
        <v>193944115.06849316</v>
      </c>
      <c r="Q29" s="106">
        <f>[2]Distribute!AG36+[2]Distribute!AJ36+[2]Distribute!AS36+[3]Sheet1!J36</f>
        <v>0</v>
      </c>
      <c r="R29" s="106">
        <v>227728543.56164384</v>
      </c>
      <c r="S29" s="103"/>
      <c r="T29" s="103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</row>
    <row r="30" spans="1:66" s="107" customFormat="1" ht="14.25" customHeight="1" x14ac:dyDescent="0.35">
      <c r="A30" s="108">
        <f>[1]Control!AX37</f>
        <v>46012</v>
      </c>
      <c r="B30" s="99"/>
      <c r="C30" s="100">
        <f>[2]Distribute!F77+[2]Distribute!I77+[2]Distribute!R77+[3]Sheet1!C37</f>
        <v>0</v>
      </c>
      <c r="D30" s="100">
        <v>23022.805682394719</v>
      </c>
      <c r="E30" s="101">
        <f>[2]Distribute!F37+[2]Distribute!I37+[2]Distribute!R37+[3]Sheet1!D37</f>
        <v>0</v>
      </c>
      <c r="F30" s="101">
        <v>12432.315068493152</v>
      </c>
      <c r="G30" s="102">
        <f>[2]Distribute!G37+[2]Distribute!J37+[2]Distribute!S37+[3]Sheet1!E37</f>
        <v>0</v>
      </c>
      <c r="H30" s="102">
        <v>14597.983561643836</v>
      </c>
      <c r="I30" s="103"/>
      <c r="J30" s="103"/>
      <c r="K30" s="108">
        <f t="shared" si="0"/>
        <v>46012</v>
      </c>
      <c r="L30" s="99"/>
      <c r="M30" s="100">
        <f>[2]Distribute!F77+[2]Distribute!I77+[2]Distribute!R77+[3]Sheet1!H37</f>
        <v>0</v>
      </c>
      <c r="N30" s="100">
        <f t="shared" si="1"/>
        <v>23022.805682394719</v>
      </c>
      <c r="O30" s="105">
        <f>[2]Distribute!AF37+[2]Distribute!AI37+[2]Distribute!AR37+[3]Sheet1!I37</f>
        <v>0</v>
      </c>
      <c r="P30" s="105">
        <v>193944115.06849316</v>
      </c>
      <c r="Q30" s="106">
        <f>[2]Distribute!AG37+[2]Distribute!AJ37+[2]Distribute!AS37+[3]Sheet1!J37</f>
        <v>0</v>
      </c>
      <c r="R30" s="106">
        <v>227728543.56164384</v>
      </c>
      <c r="S30" s="103"/>
      <c r="T30" s="10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</row>
    <row r="31" spans="1:66" s="107" customFormat="1" ht="14.25" customHeight="1" x14ac:dyDescent="0.35">
      <c r="A31" s="108">
        <f>[1]Control!AX38</f>
        <v>46013</v>
      </c>
      <c r="B31" s="99"/>
      <c r="C31" s="100">
        <f>[2]Distribute!F78+[2]Distribute!I78+[2]Distribute!R78+[3]Sheet1!C38</f>
        <v>0</v>
      </c>
      <c r="D31" s="100">
        <v>23022.805682394719</v>
      </c>
      <c r="E31" s="101">
        <f>[2]Distribute!F38+[2]Distribute!I38+[2]Distribute!R38+[3]Sheet1!D38</f>
        <v>0</v>
      </c>
      <c r="F31" s="101">
        <v>12432.315068493152</v>
      </c>
      <c r="G31" s="102">
        <f>[2]Distribute!G38+[2]Distribute!J38+[2]Distribute!S38+[3]Sheet1!E38</f>
        <v>0</v>
      </c>
      <c r="H31" s="102">
        <v>14597.983561643836</v>
      </c>
      <c r="I31" s="103"/>
      <c r="J31" s="103"/>
      <c r="K31" s="108">
        <f t="shared" si="0"/>
        <v>46013</v>
      </c>
      <c r="L31" s="99"/>
      <c r="M31" s="100">
        <f>[2]Distribute!F78+[2]Distribute!I78+[2]Distribute!R78+[3]Sheet1!H38</f>
        <v>0</v>
      </c>
      <c r="N31" s="100">
        <f t="shared" si="1"/>
        <v>23022.805682394719</v>
      </c>
      <c r="O31" s="105">
        <f>[2]Distribute!AF38+[2]Distribute!AI38+[2]Distribute!AR38+[3]Sheet1!I38</f>
        <v>0</v>
      </c>
      <c r="P31" s="105">
        <v>193944115.06849316</v>
      </c>
      <c r="Q31" s="106">
        <f>[2]Distribute!AG38+[2]Distribute!AJ38+[2]Distribute!AS38+[3]Sheet1!J38</f>
        <v>0</v>
      </c>
      <c r="R31" s="106">
        <v>227728543.56164384</v>
      </c>
      <c r="S31" s="103"/>
      <c r="T31" s="103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</row>
    <row r="32" spans="1:66" s="107" customFormat="1" ht="14.25" customHeight="1" x14ac:dyDescent="0.35">
      <c r="A32" s="108">
        <f>[1]Control!AX39</f>
        <v>46014</v>
      </c>
      <c r="B32" s="99"/>
      <c r="C32" s="100">
        <f>[2]Distribute!F79+[2]Distribute!I79+[2]Distribute!R79+[3]Sheet1!C39</f>
        <v>0</v>
      </c>
      <c r="D32" s="100">
        <v>23022.805682394719</v>
      </c>
      <c r="E32" s="101">
        <f>[2]Distribute!F39+[2]Distribute!I39+[2]Distribute!R39+[3]Sheet1!D39</f>
        <v>0</v>
      </c>
      <c r="F32" s="101">
        <v>12432.315068493152</v>
      </c>
      <c r="G32" s="102">
        <f>[2]Distribute!G39+[2]Distribute!J39+[2]Distribute!S39+[3]Sheet1!E39</f>
        <v>0</v>
      </c>
      <c r="H32" s="102">
        <v>14597.983561643836</v>
      </c>
      <c r="I32" s="103"/>
      <c r="J32" s="103"/>
      <c r="K32" s="108">
        <f t="shared" si="0"/>
        <v>46014</v>
      </c>
      <c r="L32" s="99"/>
      <c r="M32" s="100">
        <f>[2]Distribute!F79+[2]Distribute!I79+[2]Distribute!R79+[3]Sheet1!H39</f>
        <v>0</v>
      </c>
      <c r="N32" s="100">
        <f t="shared" si="1"/>
        <v>23022.805682394719</v>
      </c>
      <c r="O32" s="105">
        <f>[2]Distribute!AF39+[2]Distribute!AI39+[2]Distribute!AR39+[3]Sheet1!I39</f>
        <v>0</v>
      </c>
      <c r="P32" s="105">
        <v>193944115.06849316</v>
      </c>
      <c r="Q32" s="106">
        <f>[2]Distribute!AG39+[2]Distribute!AJ39+[2]Distribute!AS39+[3]Sheet1!J39</f>
        <v>0</v>
      </c>
      <c r="R32" s="106">
        <v>227728543.56164384</v>
      </c>
      <c r="S32" s="103"/>
      <c r="T32" s="10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</row>
    <row r="33" spans="1:66" s="107" customFormat="1" ht="14.25" customHeight="1" x14ac:dyDescent="0.35">
      <c r="A33" s="108">
        <f>[1]Control!AX40</f>
        <v>46015</v>
      </c>
      <c r="B33" s="99"/>
      <c r="C33" s="100">
        <f>[2]Distribute!F80+[2]Distribute!I80+[2]Distribute!R80+[3]Sheet1!C40</f>
        <v>0</v>
      </c>
      <c r="D33" s="100">
        <v>23022.805682394719</v>
      </c>
      <c r="E33" s="101">
        <f>[2]Distribute!F40+[2]Distribute!I40+[2]Distribute!R40+[3]Sheet1!D40</f>
        <v>0</v>
      </c>
      <c r="F33" s="101">
        <v>12432.315068493152</v>
      </c>
      <c r="G33" s="102">
        <f>[2]Distribute!G40+[2]Distribute!J40+[2]Distribute!S40+[3]Sheet1!E40</f>
        <v>0</v>
      </c>
      <c r="H33" s="102">
        <v>14597.983561643836</v>
      </c>
      <c r="I33" s="103"/>
      <c r="J33" s="103"/>
      <c r="K33" s="108">
        <f t="shared" si="0"/>
        <v>46015</v>
      </c>
      <c r="L33" s="99"/>
      <c r="M33" s="100">
        <f>[2]Distribute!F80+[2]Distribute!I80+[2]Distribute!R80+[3]Sheet1!H40</f>
        <v>0</v>
      </c>
      <c r="N33" s="100">
        <f t="shared" si="1"/>
        <v>23022.805682394719</v>
      </c>
      <c r="O33" s="105">
        <f>[2]Distribute!AF40+[2]Distribute!AI40+[2]Distribute!AR40+[3]Sheet1!I40</f>
        <v>0</v>
      </c>
      <c r="P33" s="105">
        <v>193944115.06849316</v>
      </c>
      <c r="Q33" s="106">
        <f>[2]Distribute!AG40+[2]Distribute!AJ40+[2]Distribute!AS40+[3]Sheet1!J40</f>
        <v>0</v>
      </c>
      <c r="R33" s="106">
        <v>227728543.56164384</v>
      </c>
      <c r="S33" s="103"/>
      <c r="T33" s="103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</row>
    <row r="34" spans="1:66" s="107" customFormat="1" ht="14.25" customHeight="1" thickBot="1" x14ac:dyDescent="0.4">
      <c r="A34" s="108" t="str">
        <f>[1]Control!AX41</f>
        <v>-</v>
      </c>
      <c r="B34" s="99"/>
      <c r="C34" s="100">
        <f>[2]Distribute!F81+[2]Distribute!I81+[2]Distribute!R81+[3]Sheet1!C41</f>
        <v>0</v>
      </c>
      <c r="D34" s="100"/>
      <c r="E34" s="101">
        <f>[2]Distribute!F41+[2]Distribute!I41+[2]Distribute!R41+[3]Sheet1!D41</f>
        <v>0</v>
      </c>
      <c r="F34" s="101"/>
      <c r="G34" s="102">
        <f>[2]Distribute!G41+[2]Distribute!J41+[2]Distribute!S41+[3]Sheet1!E41</f>
        <v>0</v>
      </c>
      <c r="H34" s="102"/>
      <c r="I34" s="103"/>
      <c r="J34" s="103"/>
      <c r="K34" s="108" t="str">
        <f t="shared" si="0"/>
        <v>-</v>
      </c>
      <c r="L34" s="99"/>
      <c r="M34" s="100">
        <f>[2]Distribute!F81+[2]Distribute!I81+[2]Distribute!R81+[3]Sheet1!H41</f>
        <v>0</v>
      </c>
      <c r="N34" s="100"/>
      <c r="O34" s="105">
        <f>[2]Distribute!AF41+[2]Distribute!AI41+[2]Distribute!AR41+[3]Sheet1!I41</f>
        <v>0</v>
      </c>
      <c r="P34" s="105"/>
      <c r="Q34" s="106">
        <f>[2]Distribute!AG41+[2]Distribute!AJ41+[2]Distribute!AS41+[3]Sheet1!J41</f>
        <v>0</v>
      </c>
      <c r="R34" s="106"/>
      <c r="S34" s="103"/>
      <c r="T34" s="10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</row>
    <row r="35" spans="1:66" s="116" customFormat="1" ht="27.75" customHeight="1" thickBot="1" x14ac:dyDescent="0.4">
      <c r="A35" s="109" t="s">
        <v>58</v>
      </c>
      <c r="B35" s="110"/>
      <c r="C35" s="111">
        <f t="shared" ref="C35:H35" si="2">SUM(C4:C34)</f>
        <v>0</v>
      </c>
      <c r="D35" s="111">
        <f>SUM(D4:D34)</f>
        <v>690684.17047184182</v>
      </c>
      <c r="E35" s="112">
        <f t="shared" si="2"/>
        <v>0</v>
      </c>
      <c r="F35" s="112">
        <f>SUM(F4:F34)</f>
        <v>372969.45205479447</v>
      </c>
      <c r="G35" s="112">
        <f t="shared" si="2"/>
        <v>0</v>
      </c>
      <c r="H35" s="112">
        <f t="shared" si="2"/>
        <v>437939.50684931525</v>
      </c>
      <c r="I35" s="113"/>
      <c r="J35" s="113"/>
      <c r="K35" s="109" t="s">
        <v>59</v>
      </c>
      <c r="L35" s="110"/>
      <c r="M35" s="111">
        <f t="shared" ref="M35:R35" si="3">SUM(M4:M34)</f>
        <v>0</v>
      </c>
      <c r="N35" s="111">
        <f>SUM(N4:N34)</f>
        <v>690684.17047184182</v>
      </c>
      <c r="O35" s="115">
        <f t="shared" si="3"/>
        <v>0</v>
      </c>
      <c r="P35" s="115">
        <f>SUM(P4:P34)</f>
        <v>5818323452.0547953</v>
      </c>
      <c r="Q35" s="115">
        <f t="shared" si="3"/>
        <v>0</v>
      </c>
      <c r="R35" s="115">
        <f t="shared" si="3"/>
        <v>6831856306.8493109</v>
      </c>
      <c r="S35" s="113"/>
      <c r="T35" s="113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</row>
    <row r="36" spans="1:66" s="116" customFormat="1" ht="27.75" customHeight="1" thickBot="1" x14ac:dyDescent="0.4">
      <c r="A36" s="117" t="s">
        <v>60</v>
      </c>
      <c r="B36" s="110"/>
      <c r="C36" s="118">
        <f>AVERAGE(C4:C34)</f>
        <v>0</v>
      </c>
      <c r="D36" s="118">
        <f>AVERAGE(D4:D34)</f>
        <v>23022.805682394726</v>
      </c>
      <c r="E36" s="119">
        <f t="shared" ref="E36:H36" si="4">AVERAGE(E4:E34)</f>
        <v>0</v>
      </c>
      <c r="F36" s="119">
        <f>AVERAGE(F4:F34)</f>
        <v>12432.31506849315</v>
      </c>
      <c r="G36" s="119">
        <f t="shared" si="4"/>
        <v>0</v>
      </c>
      <c r="H36" s="119">
        <f t="shared" si="4"/>
        <v>14597.983561643841</v>
      </c>
      <c r="I36" s="113"/>
      <c r="J36" s="113"/>
      <c r="K36" s="117" t="s">
        <v>61</v>
      </c>
      <c r="L36" s="110"/>
      <c r="M36" s="118">
        <f>AVERAGE(M4:M34)</f>
        <v>0</v>
      </c>
      <c r="N36" s="118">
        <f>AVERAGE(N4:N34)</f>
        <v>23022.805682394726</v>
      </c>
      <c r="O36" s="120">
        <f>AVERAGE(O4:O34)</f>
        <v>0</v>
      </c>
      <c r="P36" s="120">
        <f>AVERAGE(P4:P34)</f>
        <v>193944115.06849319</v>
      </c>
      <c r="Q36" s="120">
        <f t="shared" ref="Q36:R36" si="5">AVERAGE(Q4:Q34)</f>
        <v>0</v>
      </c>
      <c r="R36" s="120">
        <f t="shared" si="5"/>
        <v>227728543.56164369</v>
      </c>
      <c r="S36" s="113"/>
      <c r="T36" s="113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</row>
    <row r="37" spans="1:66" s="116" customFormat="1" ht="27.75" customHeight="1" thickBot="1" x14ac:dyDescent="0.4">
      <c r="A37" s="121"/>
      <c r="B37" s="157"/>
      <c r="C37" s="193" t="s">
        <v>62</v>
      </c>
      <c r="D37" s="189"/>
      <c r="E37" s="188" t="s">
        <v>76</v>
      </c>
      <c r="F37" s="189"/>
      <c r="G37" s="188" t="s">
        <v>77</v>
      </c>
      <c r="H37" s="189"/>
      <c r="I37" s="113"/>
      <c r="J37" s="113"/>
      <c r="K37" s="121"/>
      <c r="L37" s="157"/>
      <c r="M37" s="193" t="s">
        <v>62</v>
      </c>
      <c r="N37" s="189"/>
      <c r="O37" s="188" t="s">
        <v>74</v>
      </c>
      <c r="P37" s="189"/>
      <c r="Q37" s="188" t="s">
        <v>75</v>
      </c>
      <c r="R37" s="189"/>
      <c r="S37" s="113"/>
      <c r="T37" s="113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</row>
    <row r="38" spans="1:66" s="116" customFormat="1" ht="27.75" customHeight="1" thickBot="1" x14ac:dyDescent="0.4">
      <c r="A38" s="117" t="s">
        <v>67</v>
      </c>
      <c r="B38" s="110"/>
      <c r="C38" s="202">
        <f>D35-C35</f>
        <v>690684.17047184182</v>
      </c>
      <c r="D38" s="203"/>
      <c r="E38" s="204">
        <f>F35-E35</f>
        <v>372969.45205479447</v>
      </c>
      <c r="F38" s="205"/>
      <c r="G38" s="204">
        <f>H35-G35</f>
        <v>437939.50684931525</v>
      </c>
      <c r="H38" s="205"/>
      <c r="I38" s="113"/>
      <c r="J38" s="113"/>
      <c r="K38" s="117" t="s">
        <v>0</v>
      </c>
      <c r="L38" s="110"/>
      <c r="M38" s="202">
        <f>N35-M35</f>
        <v>690684.17047184182</v>
      </c>
      <c r="N38" s="203"/>
      <c r="O38" s="198">
        <f>P35-O35</f>
        <v>5818323452.0547953</v>
      </c>
      <c r="P38" s="199"/>
      <c r="Q38" s="198">
        <f>R35-Q35</f>
        <v>6831856306.8493109</v>
      </c>
      <c r="R38" s="199"/>
      <c r="S38" s="113"/>
      <c r="T38" s="113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</row>
    <row r="39" spans="1:66" s="126" customFormat="1" ht="17.25" customHeight="1" x14ac:dyDescent="0.35">
      <c r="A39" s="122"/>
      <c r="B39" s="123"/>
      <c r="C39" s="123"/>
      <c r="D39" s="123"/>
      <c r="E39" s="123"/>
      <c r="F39" s="123"/>
      <c r="G39" s="123"/>
      <c r="H39" s="123"/>
      <c r="I39" s="124"/>
      <c r="J39" s="124"/>
      <c r="K39" s="122"/>
      <c r="L39" s="123"/>
      <c r="M39" s="123"/>
      <c r="N39" s="123"/>
      <c r="O39" s="123"/>
      <c r="P39" s="123"/>
      <c r="Q39" s="123"/>
      <c r="R39" s="123"/>
      <c r="S39" s="124"/>
      <c r="T39" s="124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</row>
    <row r="40" spans="1:66" s="126" customFormat="1" ht="17.25" customHeight="1" x14ac:dyDescent="0.35">
      <c r="A40" s="121"/>
      <c r="B40" s="123"/>
      <c r="C40" s="156"/>
      <c r="D40" s="127"/>
      <c r="E40" s="156"/>
      <c r="F40" s="127"/>
      <c r="G40" s="127"/>
      <c r="H40" s="127"/>
      <c r="I40" s="124"/>
      <c r="J40" s="124"/>
      <c r="K40" s="121"/>
      <c r="L40" s="123"/>
      <c r="M40" s="123"/>
      <c r="N40" s="123"/>
      <c r="O40" s="123"/>
      <c r="P40" s="123"/>
      <c r="Q40" s="123"/>
      <c r="R40" s="123"/>
      <c r="S40" s="124"/>
      <c r="T40" s="124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</row>
    <row r="41" spans="1:66" s="126" customFormat="1" ht="17.25" customHeight="1" x14ac:dyDescent="0.35">
      <c r="A41" s="128"/>
      <c r="B41" s="129"/>
      <c r="C41" s="130"/>
      <c r="D41" s="130"/>
      <c r="E41" s="130"/>
      <c r="F41" s="130"/>
      <c r="G41" s="130"/>
      <c r="H41" s="130"/>
      <c r="I41" s="124"/>
      <c r="J41" s="124"/>
      <c r="K41" s="128"/>
      <c r="L41" s="129"/>
      <c r="M41" s="130"/>
      <c r="N41" s="130"/>
      <c r="O41" s="130"/>
      <c r="P41" s="130"/>
      <c r="Q41" s="130"/>
      <c r="R41" s="130"/>
      <c r="S41" s="124"/>
      <c r="T41" s="124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</row>
    <row r="42" spans="1:66" s="126" customFormat="1" ht="17.25" customHeight="1" thickBot="1" x14ac:dyDescent="0.4">
      <c r="A42" s="131"/>
      <c r="B42" s="132"/>
      <c r="C42" s="132"/>
      <c r="D42" s="132"/>
      <c r="E42" s="132"/>
      <c r="F42" s="132"/>
      <c r="G42" s="132"/>
      <c r="H42" s="132"/>
      <c r="I42" s="124"/>
      <c r="J42" s="124"/>
      <c r="K42" s="131"/>
      <c r="L42" s="132"/>
      <c r="M42" s="132"/>
      <c r="N42" s="132"/>
      <c r="O42" s="132"/>
      <c r="P42" s="132"/>
      <c r="Q42" s="132"/>
      <c r="R42" s="132"/>
      <c r="S42" s="124"/>
      <c r="T42" s="124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</row>
    <row r="43" spans="1:66" s="133" customFormat="1" ht="17.25" customHeight="1" x14ac:dyDescent="0.35">
      <c r="I43" s="134"/>
      <c r="J43" s="134"/>
    </row>
    <row r="44" spans="1:66" s="136" customFormat="1" ht="17.25" customHeight="1" x14ac:dyDescent="0.35">
      <c r="A44" s="135"/>
      <c r="B44" s="134"/>
      <c r="C44" s="134"/>
      <c r="D44" s="134"/>
      <c r="E44" s="134"/>
      <c r="F44" s="134"/>
      <c r="G44" s="134"/>
      <c r="H44" s="134"/>
      <c r="I44" s="134"/>
      <c r="J44" s="134"/>
      <c r="K44" s="133"/>
      <c r="L44" s="133"/>
      <c r="M44" s="134"/>
      <c r="N44" s="134"/>
      <c r="O44" s="134"/>
      <c r="P44" s="134"/>
      <c r="Q44" s="134"/>
      <c r="R44" s="134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</row>
    <row r="45" spans="1:66" s="136" customFormat="1" ht="17.25" customHeight="1" x14ac:dyDescent="0.35">
      <c r="A45" s="135"/>
      <c r="B45" s="134"/>
      <c r="C45" s="134"/>
      <c r="D45" s="134"/>
      <c r="E45" s="134"/>
      <c r="F45" s="134"/>
      <c r="G45" s="134"/>
      <c r="H45" s="134"/>
      <c r="I45" s="134"/>
      <c r="J45" s="134"/>
      <c r="K45" s="133"/>
      <c r="L45" s="133"/>
      <c r="M45" s="134"/>
      <c r="N45" s="134"/>
      <c r="O45" s="134"/>
      <c r="P45" s="134"/>
      <c r="Q45" s="134"/>
      <c r="R45" s="134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</row>
    <row r="46" spans="1:66" s="136" customFormat="1" ht="17.25" customHeight="1" x14ac:dyDescent="0.35">
      <c r="A46" s="135"/>
      <c r="B46" s="134"/>
      <c r="C46" s="134"/>
      <c r="D46" s="134"/>
      <c r="E46" s="134"/>
      <c r="F46" s="134"/>
      <c r="G46" s="134"/>
      <c r="H46" s="134"/>
      <c r="I46" s="134"/>
      <c r="J46" s="134"/>
      <c r="K46" s="133"/>
      <c r="L46" s="133"/>
      <c r="M46" s="134"/>
      <c r="N46" s="134"/>
      <c r="O46" s="134"/>
      <c r="P46" s="134"/>
      <c r="Q46" s="134"/>
      <c r="R46" s="134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</row>
    <row r="47" spans="1:66" s="136" customFormat="1" ht="17.25" customHeight="1" x14ac:dyDescent="0.35">
      <c r="A47" s="135"/>
      <c r="B47" s="134"/>
      <c r="C47" s="134"/>
      <c r="D47" s="134"/>
      <c r="E47" s="134"/>
      <c r="F47" s="134"/>
      <c r="G47" s="134"/>
      <c r="H47" s="134"/>
      <c r="I47" s="134"/>
      <c r="J47" s="134"/>
      <c r="K47" s="133"/>
      <c r="L47" s="133"/>
      <c r="M47" s="134"/>
      <c r="N47" s="134"/>
      <c r="O47" s="134"/>
      <c r="P47" s="134"/>
      <c r="Q47" s="134"/>
      <c r="R47" s="134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</row>
    <row r="48" spans="1:66" s="136" customFormat="1" ht="17.25" customHeight="1" x14ac:dyDescent="0.35">
      <c r="A48" s="135"/>
      <c r="B48" s="134"/>
      <c r="C48" s="134"/>
      <c r="D48" s="134"/>
      <c r="E48" s="134"/>
      <c r="F48" s="134"/>
      <c r="G48" s="134"/>
      <c r="H48" s="134"/>
      <c r="I48" s="134"/>
      <c r="J48" s="134"/>
      <c r="K48" s="133"/>
      <c r="L48" s="133"/>
      <c r="M48" s="134"/>
      <c r="N48" s="134"/>
      <c r="O48" s="134"/>
      <c r="P48" s="134"/>
      <c r="Q48" s="134"/>
      <c r="R48" s="134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</row>
    <row r="49" spans="1:66" s="136" customFormat="1" ht="17.25" customHeight="1" x14ac:dyDescent="0.35">
      <c r="A49" s="135"/>
      <c r="B49" s="134"/>
      <c r="C49" s="134"/>
      <c r="D49" s="134"/>
      <c r="E49" s="134"/>
      <c r="F49" s="134"/>
      <c r="G49" s="134"/>
      <c r="H49" s="134"/>
      <c r="I49" s="134"/>
      <c r="J49" s="134"/>
      <c r="K49" s="133"/>
      <c r="L49" s="133"/>
      <c r="M49" s="134"/>
      <c r="N49" s="134"/>
      <c r="O49" s="134"/>
      <c r="P49" s="134"/>
      <c r="Q49" s="134"/>
      <c r="R49" s="134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</row>
    <row r="50" spans="1:66" s="136" customFormat="1" ht="17.25" customHeight="1" x14ac:dyDescent="0.35">
      <c r="A50" s="135"/>
      <c r="B50" s="134"/>
      <c r="C50" s="134"/>
      <c r="D50" s="134"/>
      <c r="E50" s="134"/>
      <c r="F50" s="134"/>
      <c r="G50" s="134"/>
      <c r="H50" s="134"/>
      <c r="I50" s="134"/>
      <c r="J50" s="134"/>
      <c r="K50" s="133"/>
      <c r="L50" s="133"/>
      <c r="M50" s="134"/>
      <c r="N50" s="134"/>
      <c r="O50" s="134"/>
      <c r="P50" s="134"/>
      <c r="Q50" s="134"/>
      <c r="R50" s="134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</row>
    <row r="51" spans="1:66" s="136" customFormat="1" ht="17.25" customHeight="1" x14ac:dyDescent="0.35">
      <c r="A51" s="135"/>
      <c r="B51" s="134"/>
      <c r="C51" s="134"/>
      <c r="D51" s="134"/>
      <c r="E51" s="134"/>
      <c r="F51" s="134"/>
      <c r="G51" s="134"/>
      <c r="H51" s="134"/>
      <c r="I51" s="134"/>
      <c r="J51" s="134"/>
      <c r="K51" s="133"/>
      <c r="L51" s="133"/>
      <c r="M51" s="134"/>
      <c r="N51" s="134"/>
      <c r="O51" s="134"/>
      <c r="P51" s="134"/>
      <c r="Q51" s="134"/>
      <c r="R51" s="134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</row>
    <row r="52" spans="1:66" s="136" customFormat="1" ht="17.25" customHeight="1" x14ac:dyDescent="0.35">
      <c r="A52" s="135"/>
      <c r="B52" s="134"/>
      <c r="C52" s="134"/>
      <c r="D52" s="134"/>
      <c r="E52" s="134"/>
      <c r="F52" s="134"/>
      <c r="G52" s="134"/>
      <c r="H52" s="134"/>
      <c r="I52" s="134"/>
      <c r="J52" s="134"/>
      <c r="K52" s="133"/>
      <c r="L52" s="133"/>
      <c r="M52" s="134"/>
      <c r="N52" s="134"/>
      <c r="O52" s="134"/>
      <c r="P52" s="134"/>
      <c r="Q52" s="134"/>
      <c r="R52" s="134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</row>
    <row r="53" spans="1:66" s="136" customFormat="1" ht="17.25" customHeight="1" x14ac:dyDescent="0.35">
      <c r="A53" s="135"/>
      <c r="B53" s="134"/>
      <c r="C53" s="134"/>
      <c r="D53" s="134"/>
      <c r="E53" s="134"/>
      <c r="F53" s="134"/>
      <c r="G53" s="134"/>
      <c r="H53" s="134"/>
      <c r="I53" s="134"/>
      <c r="J53" s="134"/>
      <c r="K53" s="133"/>
      <c r="L53" s="133"/>
      <c r="M53" s="134"/>
      <c r="N53" s="134"/>
      <c r="O53" s="134"/>
      <c r="P53" s="134"/>
      <c r="Q53" s="134"/>
      <c r="R53" s="134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</row>
    <row r="54" spans="1:66" s="136" customFormat="1" ht="17.25" customHeight="1" x14ac:dyDescent="0.35">
      <c r="A54" s="135"/>
      <c r="B54" s="134"/>
      <c r="C54" s="134"/>
      <c r="D54" s="134"/>
      <c r="E54" s="134"/>
      <c r="F54" s="134"/>
      <c r="G54" s="134"/>
      <c r="H54" s="134"/>
      <c r="I54" s="134"/>
      <c r="J54" s="134"/>
      <c r="K54" s="133"/>
      <c r="L54" s="133"/>
      <c r="M54" s="134"/>
      <c r="N54" s="134"/>
      <c r="O54" s="134"/>
      <c r="P54" s="134"/>
      <c r="Q54" s="134"/>
      <c r="R54" s="134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</row>
    <row r="55" spans="1:66" s="136" customFormat="1" ht="17.25" customHeight="1" x14ac:dyDescent="0.35">
      <c r="A55" s="134"/>
      <c r="B55" s="134"/>
      <c r="C55" s="134"/>
      <c r="D55" s="134"/>
      <c r="E55" s="134"/>
      <c r="F55" s="134"/>
      <c r="G55" s="134"/>
      <c r="H55" s="134"/>
      <c r="I55" s="134"/>
      <c r="J55" s="134"/>
      <c r="K55" s="133"/>
      <c r="L55" s="133"/>
      <c r="M55" s="134"/>
      <c r="N55" s="134"/>
      <c r="O55" s="134"/>
      <c r="P55" s="134"/>
      <c r="Q55" s="134"/>
      <c r="R55" s="134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</row>
    <row r="56" spans="1:66" s="136" customFormat="1" ht="17.25" customHeight="1" x14ac:dyDescent="0.35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3"/>
      <c r="L56" s="133"/>
      <c r="M56" s="134"/>
      <c r="N56" s="134"/>
      <c r="O56" s="134"/>
      <c r="P56" s="134"/>
      <c r="Q56" s="134"/>
      <c r="R56" s="134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</row>
    <row r="57" spans="1:66" s="136" customFormat="1" ht="17.25" customHeight="1" x14ac:dyDescent="0.35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3"/>
      <c r="L57" s="133"/>
      <c r="M57" s="134"/>
      <c r="N57" s="134"/>
      <c r="O57" s="134"/>
      <c r="P57" s="134"/>
      <c r="Q57" s="134"/>
      <c r="R57" s="134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</row>
    <row r="58" spans="1:66" s="136" customFormat="1" ht="17.25" customHeight="1" x14ac:dyDescent="0.35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3"/>
      <c r="L58" s="133"/>
      <c r="M58" s="134"/>
      <c r="N58" s="134"/>
      <c r="O58" s="134"/>
      <c r="P58" s="134"/>
      <c r="Q58" s="134"/>
      <c r="R58" s="134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</row>
    <row r="59" spans="1:66" s="136" customFormat="1" ht="17.25" customHeight="1" x14ac:dyDescent="0.35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3"/>
      <c r="L59" s="133"/>
      <c r="M59" s="134"/>
      <c r="N59" s="134"/>
      <c r="O59" s="134"/>
      <c r="P59" s="134"/>
      <c r="Q59" s="134"/>
      <c r="R59" s="134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</row>
    <row r="60" spans="1:66" s="139" customFormat="1" ht="12.5" x14ac:dyDescent="0.25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8"/>
      <c r="L60" s="138"/>
      <c r="M60" s="137"/>
      <c r="N60" s="137"/>
      <c r="O60" s="137"/>
      <c r="P60" s="137"/>
      <c r="Q60" s="137"/>
      <c r="R60" s="137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</row>
    <row r="61" spans="1:66" s="139" customFormat="1" ht="12.5" x14ac:dyDescent="0.25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8"/>
      <c r="L61" s="138"/>
      <c r="M61" s="137"/>
      <c r="N61" s="137"/>
      <c r="O61" s="137"/>
      <c r="P61" s="137"/>
      <c r="Q61" s="137"/>
      <c r="R61" s="137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  <c r="AM61" s="138"/>
      <c r="AN61" s="138"/>
      <c r="AO61" s="138"/>
      <c r="AP61" s="138"/>
      <c r="AQ61" s="138"/>
      <c r="AR61" s="138"/>
      <c r="AS61" s="138"/>
      <c r="AT61" s="138"/>
      <c r="AU61" s="138"/>
      <c r="AV61" s="138"/>
      <c r="AW61" s="138"/>
      <c r="AX61" s="138"/>
      <c r="AY61" s="138"/>
      <c r="AZ61" s="138"/>
      <c r="BA61" s="138"/>
      <c r="BB61" s="138"/>
      <c r="BC61" s="138"/>
      <c r="BD61" s="138"/>
      <c r="BE61" s="138"/>
      <c r="BF61" s="138"/>
      <c r="BG61" s="138"/>
      <c r="BH61" s="138"/>
      <c r="BI61" s="138"/>
      <c r="BJ61" s="138"/>
      <c r="BK61" s="138"/>
      <c r="BL61" s="138"/>
      <c r="BM61" s="138"/>
      <c r="BN61" s="138"/>
    </row>
    <row r="62" spans="1:66" s="139" customFormat="1" ht="12.5" x14ac:dyDescent="0.25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8"/>
      <c r="L62" s="138"/>
      <c r="M62" s="137"/>
      <c r="N62" s="137"/>
      <c r="O62" s="137"/>
      <c r="P62" s="137"/>
      <c r="Q62" s="137"/>
      <c r="R62" s="137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</row>
    <row r="63" spans="1:66" x14ac:dyDescent="0.35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M63" s="140"/>
      <c r="N63" s="140"/>
      <c r="O63" s="140"/>
      <c r="P63" s="140"/>
      <c r="Q63" s="140"/>
      <c r="R63" s="140"/>
    </row>
    <row r="64" spans="1:66" x14ac:dyDescent="0.35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M64" s="140"/>
      <c r="N64" s="140"/>
      <c r="O64" s="140"/>
      <c r="P64" s="140"/>
      <c r="Q64" s="140"/>
      <c r="R64" s="140"/>
    </row>
    <row r="65" spans="1:18" x14ac:dyDescent="0.35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M65" s="140"/>
      <c r="N65" s="140"/>
      <c r="O65" s="140"/>
      <c r="P65" s="140"/>
      <c r="Q65" s="140"/>
      <c r="R65" s="140"/>
    </row>
    <row r="66" spans="1:18" x14ac:dyDescent="0.35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M66" s="140"/>
      <c r="N66" s="140"/>
      <c r="O66" s="140"/>
      <c r="P66" s="140"/>
      <c r="Q66" s="140"/>
      <c r="R66" s="140"/>
    </row>
  </sheetData>
  <mergeCells count="14">
    <mergeCell ref="C38:D38"/>
    <mergeCell ref="E38:F38"/>
    <mergeCell ref="G38:H38"/>
    <mergeCell ref="O38:P38"/>
    <mergeCell ref="Q38:R38"/>
    <mergeCell ref="M38:N38"/>
    <mergeCell ref="C2:H2"/>
    <mergeCell ref="M2:R2"/>
    <mergeCell ref="C37:D37"/>
    <mergeCell ref="E37:F37"/>
    <mergeCell ref="G37:H37"/>
    <mergeCell ref="M37:N37"/>
    <mergeCell ref="O37:P37"/>
    <mergeCell ref="Q37:R37"/>
  </mergeCells>
  <conditionalFormatting sqref="C4:C34 G4:G34">
    <cfRule type="cellIs" dxfId="58" priority="23" stopIfTrue="1" operator="lessThanOrEqual">
      <formula>0</formula>
    </cfRule>
  </conditionalFormatting>
  <conditionalFormatting sqref="P36:R36 C36:H36 G38 E38">
    <cfRule type="cellIs" dxfId="57" priority="22" stopIfTrue="1" operator="equal">
      <formula>#DIV/0!</formula>
    </cfRule>
  </conditionalFormatting>
  <conditionalFormatting sqref="D4:D34 H4:H34">
    <cfRule type="cellIs" dxfId="56" priority="21" stopIfTrue="1" operator="lessThanOrEqual">
      <formula>0</formula>
    </cfRule>
  </conditionalFormatting>
  <conditionalFormatting sqref="M4:M34 Q4:Q34">
    <cfRule type="cellIs" dxfId="55" priority="20" stopIfTrue="1" operator="lessThanOrEqual">
      <formula>0</formula>
    </cfRule>
  </conditionalFormatting>
  <conditionalFormatting sqref="M36">
    <cfRule type="cellIs" dxfId="54" priority="19" stopIfTrue="1" operator="equal">
      <formula>#DIV/0!</formula>
    </cfRule>
  </conditionalFormatting>
  <conditionalFormatting sqref="N4:N34 R4:R34">
    <cfRule type="cellIs" dxfId="53" priority="18" stopIfTrue="1" operator="lessThanOrEqual">
      <formula>0</formula>
    </cfRule>
  </conditionalFormatting>
  <conditionalFormatting sqref="F4:F34">
    <cfRule type="cellIs" dxfId="52" priority="16" stopIfTrue="1" operator="lessThanOrEqual">
      <formula>0</formula>
    </cfRule>
  </conditionalFormatting>
  <conditionalFormatting sqref="O36">
    <cfRule type="cellIs" dxfId="51" priority="14" stopIfTrue="1" operator="equal">
      <formula>#DIV/0!</formula>
    </cfRule>
  </conditionalFormatting>
  <conditionalFormatting sqref="P4:P34">
    <cfRule type="cellIs" dxfId="50" priority="13" stopIfTrue="1" operator="lessThanOrEqual">
      <formula>0</formula>
    </cfRule>
  </conditionalFormatting>
  <conditionalFormatting sqref="D4:D34">
    <cfRule type="cellIs" dxfId="49" priority="12" operator="greaterThan">
      <formula>23022.81</formula>
    </cfRule>
  </conditionalFormatting>
  <conditionalFormatting sqref="G4:G34">
    <cfRule type="cellIs" dxfId="48" priority="9" operator="greaterThan">
      <formula>$H$20</formula>
    </cfRule>
  </conditionalFormatting>
  <conditionalFormatting sqref="Q4:Q34">
    <cfRule type="cellIs" dxfId="47" priority="6" operator="greaterThan">
      <formula>$R$24</formula>
    </cfRule>
  </conditionalFormatting>
  <conditionalFormatting sqref="C38">
    <cfRule type="cellIs" dxfId="46" priority="5" stopIfTrue="1" operator="equal">
      <formula>#DIV/0!</formula>
    </cfRule>
  </conditionalFormatting>
  <conditionalFormatting sqref="M38">
    <cfRule type="cellIs" dxfId="45" priority="4" stopIfTrue="1" operator="equal">
      <formula>#DIV/0!</formula>
    </cfRule>
  </conditionalFormatting>
  <conditionalFormatting sqref="O38">
    <cfRule type="cellIs" dxfId="44" priority="3" stopIfTrue="1" operator="equal">
      <formula>#DIV/0!</formula>
    </cfRule>
  </conditionalFormatting>
  <conditionalFormatting sqref="Q38">
    <cfRule type="cellIs" dxfId="43" priority="2" stopIfTrue="1" operator="equal">
      <formula>#DIV/0!</formula>
    </cfRule>
  </conditionalFormatting>
  <conditionalFormatting sqref="N36">
    <cfRule type="cellIs" dxfId="42" priority="1" stopIfTrue="1" operator="equal">
      <formula>#DIV/0!</formula>
    </cfRule>
  </conditionalFormatting>
  <conditionalFormatting sqref="M4:M34">
    <cfRule type="cellIs" dxfId="41" priority="87" operator="greaterThan">
      <formula>$N$24</formula>
    </cfRule>
  </conditionalFormatting>
  <conditionalFormatting sqref="O4:O34">
    <cfRule type="cellIs" dxfId="40" priority="88" operator="greaterThan">
      <formula>$P$22</formula>
    </cfRule>
    <cfRule type="cellIs" dxfId="39" priority="89" stopIfTrue="1" operator="lessThanOrEqual">
      <formula>0</formula>
    </cfRule>
  </conditionalFormatting>
  <conditionalFormatting sqref="C4:C34">
    <cfRule type="cellIs" dxfId="38" priority="92" operator="greaterThan">
      <formula>$D$28</formula>
    </cfRule>
  </conditionalFormatting>
  <conditionalFormatting sqref="E4:E34">
    <cfRule type="cellIs" dxfId="37" priority="95" operator="greaterThan">
      <formula>$F$21</formula>
    </cfRule>
    <cfRule type="cellIs" dxfId="36" priority="96" stopIfTrue="1" operator="lessThanOr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O44"/>
  <sheetViews>
    <sheetView zoomScale="77" zoomScaleNormal="77" workbookViewId="0">
      <pane xSplit="2" ySplit="3" topLeftCell="C20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9.1796875" defaultRowHeight="14.5" x14ac:dyDescent="0.35"/>
  <cols>
    <col min="1" max="1" width="12.81640625" style="141" customWidth="1"/>
    <col min="2" max="2" width="1" style="141" customWidth="1"/>
    <col min="3" max="3" width="12.81640625" style="141" customWidth="1"/>
    <col min="4" max="4" width="14.81640625" style="141" customWidth="1"/>
    <col min="5" max="5" width="12.81640625" style="141" customWidth="1"/>
    <col min="6" max="6" width="14.81640625" style="141" customWidth="1"/>
    <col min="7" max="8" width="15" style="141" customWidth="1"/>
    <col min="9" max="9" width="3.81640625" style="141" customWidth="1"/>
    <col min="10" max="10" width="3.1796875" style="141" customWidth="1"/>
    <col min="11" max="11" width="9.1796875" style="85"/>
    <col min="12" max="12" width="12.1796875" style="85" customWidth="1"/>
    <col min="13" max="13" width="1.1796875" style="85" customWidth="1"/>
    <col min="14" max="14" width="12.81640625" style="141" customWidth="1"/>
    <col min="15" max="15" width="15.453125" style="141" customWidth="1"/>
    <col min="16" max="16" width="12.81640625" style="141" customWidth="1"/>
    <col min="17" max="17" width="15.453125" style="141" customWidth="1"/>
    <col min="18" max="19" width="15" style="141" customWidth="1"/>
    <col min="20" max="20" width="5.1796875" style="85" customWidth="1"/>
    <col min="21" max="21" width="4.54296875" style="85" customWidth="1"/>
    <col min="22" max="67" width="9.1796875" style="85"/>
    <col min="68" max="226" width="9.1796875" style="141"/>
    <col min="227" max="227" width="12.81640625" style="141" customWidth="1"/>
    <col min="228" max="228" width="1" style="141" customWidth="1"/>
    <col min="229" max="230" width="12.81640625" style="141" customWidth="1"/>
    <col min="231" max="231" width="8.81640625" style="141" customWidth="1"/>
    <col min="232" max="233" width="12.81640625" style="141" customWidth="1"/>
    <col min="234" max="234" width="8.81640625" style="141" customWidth="1"/>
    <col min="235" max="236" width="12.81640625" style="141" customWidth="1"/>
    <col min="237" max="237" width="8.81640625" style="141" customWidth="1"/>
    <col min="238" max="239" width="12.81640625" style="141" customWidth="1"/>
    <col min="240" max="240" width="8.81640625" style="141" customWidth="1"/>
    <col min="241" max="242" width="12.81640625" style="141" customWidth="1"/>
    <col min="243" max="243" width="8.81640625" style="141" customWidth="1"/>
    <col min="244" max="245" width="12.81640625" style="141" customWidth="1"/>
    <col min="246" max="246" width="8.81640625" style="141" customWidth="1"/>
    <col min="247" max="248" width="12.81640625" style="141" customWidth="1"/>
    <col min="249" max="249" width="8.81640625" style="141" customWidth="1"/>
    <col min="250" max="250" width="3.81640625" style="141" customWidth="1"/>
    <col min="251" max="251" width="3.1796875" style="141" customWidth="1"/>
    <col min="252" max="252" width="9.1796875" style="141"/>
    <col min="253" max="253" width="12.1796875" style="141" customWidth="1"/>
    <col min="254" max="254" width="1.1796875" style="141" customWidth="1"/>
    <col min="255" max="256" width="12.81640625" style="141" customWidth="1"/>
    <col min="257" max="257" width="8.81640625" style="141" customWidth="1"/>
    <col min="258" max="259" width="12.81640625" style="141" customWidth="1"/>
    <col min="260" max="260" width="8.81640625" style="141" customWidth="1"/>
    <col min="261" max="262" width="12.81640625" style="141" customWidth="1"/>
    <col min="263" max="263" width="8.81640625" style="141" customWidth="1"/>
    <col min="264" max="265" width="12.81640625" style="141" customWidth="1"/>
    <col min="266" max="266" width="8.81640625" style="141" customWidth="1"/>
    <col min="267" max="268" width="12.81640625" style="141" customWidth="1"/>
    <col min="269" max="269" width="8.81640625" style="141" customWidth="1"/>
    <col min="270" max="270" width="14" style="141" bestFit="1" customWidth="1"/>
    <col min="271" max="271" width="12.81640625" style="141" customWidth="1"/>
    <col min="272" max="272" width="8.81640625" style="141" customWidth="1"/>
    <col min="273" max="274" width="12.81640625" style="141" customWidth="1"/>
    <col min="275" max="275" width="8.81640625" style="141" customWidth="1"/>
    <col min="276" max="276" width="5.1796875" style="141" customWidth="1"/>
    <col min="277" max="277" width="4.54296875" style="141" customWidth="1"/>
    <col min="278" max="482" width="9.1796875" style="141"/>
    <col min="483" max="483" width="12.81640625" style="141" customWidth="1"/>
    <col min="484" max="484" width="1" style="141" customWidth="1"/>
    <col min="485" max="486" width="12.81640625" style="141" customWidth="1"/>
    <col min="487" max="487" width="8.81640625" style="141" customWidth="1"/>
    <col min="488" max="489" width="12.81640625" style="141" customWidth="1"/>
    <col min="490" max="490" width="8.81640625" style="141" customWidth="1"/>
    <col min="491" max="492" width="12.81640625" style="141" customWidth="1"/>
    <col min="493" max="493" width="8.81640625" style="141" customWidth="1"/>
    <col min="494" max="495" width="12.81640625" style="141" customWidth="1"/>
    <col min="496" max="496" width="8.81640625" style="141" customWidth="1"/>
    <col min="497" max="498" width="12.81640625" style="141" customWidth="1"/>
    <col min="499" max="499" width="8.81640625" style="141" customWidth="1"/>
    <col min="500" max="501" width="12.81640625" style="141" customWidth="1"/>
    <col min="502" max="502" width="8.81640625" style="141" customWidth="1"/>
    <col min="503" max="504" width="12.81640625" style="141" customWidth="1"/>
    <col min="505" max="505" width="8.81640625" style="141" customWidth="1"/>
    <col min="506" max="506" width="3.81640625" style="141" customWidth="1"/>
    <col min="507" max="507" width="3.1796875" style="141" customWidth="1"/>
    <col min="508" max="508" width="9.1796875" style="141"/>
    <col min="509" max="509" width="12.1796875" style="141" customWidth="1"/>
    <col min="510" max="510" width="1.1796875" style="141" customWidth="1"/>
    <col min="511" max="512" width="12.81640625" style="141" customWidth="1"/>
    <col min="513" max="513" width="8.81640625" style="141" customWidth="1"/>
    <col min="514" max="515" width="12.81640625" style="141" customWidth="1"/>
    <col min="516" max="516" width="8.81640625" style="141" customWidth="1"/>
    <col min="517" max="518" width="12.81640625" style="141" customWidth="1"/>
    <col min="519" max="519" width="8.81640625" style="141" customWidth="1"/>
    <col min="520" max="521" width="12.81640625" style="141" customWidth="1"/>
    <col min="522" max="522" width="8.81640625" style="141" customWidth="1"/>
    <col min="523" max="524" width="12.81640625" style="141" customWidth="1"/>
    <col min="525" max="525" width="8.81640625" style="141" customWidth="1"/>
    <col min="526" max="526" width="14" style="141" bestFit="1" customWidth="1"/>
    <col min="527" max="527" width="12.81640625" style="141" customWidth="1"/>
    <col min="528" max="528" width="8.81640625" style="141" customWidth="1"/>
    <col min="529" max="530" width="12.81640625" style="141" customWidth="1"/>
    <col min="531" max="531" width="8.81640625" style="141" customWidth="1"/>
    <col min="532" max="532" width="5.1796875" style="141" customWidth="1"/>
    <col min="533" max="533" width="4.54296875" style="141" customWidth="1"/>
    <col min="534" max="738" width="9.1796875" style="141"/>
    <col min="739" max="739" width="12.81640625" style="141" customWidth="1"/>
    <col min="740" max="740" width="1" style="141" customWidth="1"/>
    <col min="741" max="742" width="12.81640625" style="141" customWidth="1"/>
    <col min="743" max="743" width="8.81640625" style="141" customWidth="1"/>
    <col min="744" max="745" width="12.81640625" style="141" customWidth="1"/>
    <col min="746" max="746" width="8.81640625" style="141" customWidth="1"/>
    <col min="747" max="748" width="12.81640625" style="141" customWidth="1"/>
    <col min="749" max="749" width="8.81640625" style="141" customWidth="1"/>
    <col min="750" max="751" width="12.81640625" style="141" customWidth="1"/>
    <col min="752" max="752" width="8.81640625" style="141" customWidth="1"/>
    <col min="753" max="754" width="12.81640625" style="141" customWidth="1"/>
    <col min="755" max="755" width="8.81640625" style="141" customWidth="1"/>
    <col min="756" max="757" width="12.81640625" style="141" customWidth="1"/>
    <col min="758" max="758" width="8.81640625" style="141" customWidth="1"/>
    <col min="759" max="760" width="12.81640625" style="141" customWidth="1"/>
    <col min="761" max="761" width="8.81640625" style="141" customWidth="1"/>
    <col min="762" max="762" width="3.81640625" style="141" customWidth="1"/>
    <col min="763" max="763" width="3.1796875" style="141" customWidth="1"/>
    <col min="764" max="764" width="9.1796875" style="141"/>
    <col min="765" max="765" width="12.1796875" style="141" customWidth="1"/>
    <col min="766" max="766" width="1.1796875" style="141" customWidth="1"/>
    <col min="767" max="768" width="12.81640625" style="141" customWidth="1"/>
    <col min="769" max="769" width="8.81640625" style="141" customWidth="1"/>
    <col min="770" max="771" width="12.81640625" style="141" customWidth="1"/>
    <col min="772" max="772" width="8.81640625" style="141" customWidth="1"/>
    <col min="773" max="774" width="12.81640625" style="141" customWidth="1"/>
    <col min="775" max="775" width="8.81640625" style="141" customWidth="1"/>
    <col min="776" max="777" width="12.81640625" style="141" customWidth="1"/>
    <col min="778" max="778" width="8.81640625" style="141" customWidth="1"/>
    <col min="779" max="780" width="12.81640625" style="141" customWidth="1"/>
    <col min="781" max="781" width="8.81640625" style="141" customWidth="1"/>
    <col min="782" max="782" width="14" style="141" bestFit="1" customWidth="1"/>
    <col min="783" max="783" width="12.81640625" style="141" customWidth="1"/>
    <col min="784" max="784" width="8.81640625" style="141" customWidth="1"/>
    <col min="785" max="786" width="12.81640625" style="141" customWidth="1"/>
    <col min="787" max="787" width="8.81640625" style="141" customWidth="1"/>
    <col min="788" max="788" width="5.1796875" style="141" customWidth="1"/>
    <col min="789" max="789" width="4.54296875" style="141" customWidth="1"/>
    <col min="790" max="994" width="9.1796875" style="141"/>
    <col min="995" max="995" width="12.81640625" style="141" customWidth="1"/>
    <col min="996" max="996" width="1" style="141" customWidth="1"/>
    <col min="997" max="998" width="12.81640625" style="141" customWidth="1"/>
    <col min="999" max="999" width="8.81640625" style="141" customWidth="1"/>
    <col min="1000" max="1001" width="12.81640625" style="141" customWidth="1"/>
    <col min="1002" max="1002" width="8.81640625" style="141" customWidth="1"/>
    <col min="1003" max="1004" width="12.81640625" style="141" customWidth="1"/>
    <col min="1005" max="1005" width="8.81640625" style="141" customWidth="1"/>
    <col min="1006" max="1007" width="12.81640625" style="141" customWidth="1"/>
    <col min="1008" max="1008" width="8.81640625" style="141" customWidth="1"/>
    <col min="1009" max="1010" width="12.81640625" style="141" customWidth="1"/>
    <col min="1011" max="1011" width="8.81640625" style="141" customWidth="1"/>
    <col min="1012" max="1013" width="12.81640625" style="141" customWidth="1"/>
    <col min="1014" max="1014" width="8.81640625" style="141" customWidth="1"/>
    <col min="1015" max="1016" width="12.81640625" style="141" customWidth="1"/>
    <col min="1017" max="1017" width="8.81640625" style="141" customWidth="1"/>
    <col min="1018" max="1018" width="3.81640625" style="141" customWidth="1"/>
    <col min="1019" max="1019" width="3.1796875" style="141" customWidth="1"/>
    <col min="1020" max="1020" width="9.1796875" style="141"/>
    <col min="1021" max="1021" width="12.1796875" style="141" customWidth="1"/>
    <col min="1022" max="1022" width="1.1796875" style="141" customWidth="1"/>
    <col min="1023" max="1024" width="12.81640625" style="141" customWidth="1"/>
    <col min="1025" max="1025" width="8.81640625" style="141" customWidth="1"/>
    <col min="1026" max="1027" width="12.81640625" style="141" customWidth="1"/>
    <col min="1028" max="1028" width="8.81640625" style="141" customWidth="1"/>
    <col min="1029" max="1030" width="12.81640625" style="141" customWidth="1"/>
    <col min="1031" max="1031" width="8.81640625" style="141" customWidth="1"/>
    <col min="1032" max="1033" width="12.81640625" style="141" customWidth="1"/>
    <col min="1034" max="1034" width="8.81640625" style="141" customWidth="1"/>
    <col min="1035" max="1036" width="12.81640625" style="141" customWidth="1"/>
    <col min="1037" max="1037" width="8.81640625" style="141" customWidth="1"/>
    <col min="1038" max="1038" width="14" style="141" bestFit="1" customWidth="1"/>
    <col min="1039" max="1039" width="12.81640625" style="141" customWidth="1"/>
    <col min="1040" max="1040" width="8.81640625" style="141" customWidth="1"/>
    <col min="1041" max="1042" width="12.81640625" style="141" customWidth="1"/>
    <col min="1043" max="1043" width="8.81640625" style="141" customWidth="1"/>
    <col min="1044" max="1044" width="5.1796875" style="141" customWidth="1"/>
    <col min="1045" max="1045" width="4.54296875" style="141" customWidth="1"/>
    <col min="1046" max="1250" width="9.1796875" style="141"/>
    <col min="1251" max="1251" width="12.81640625" style="141" customWidth="1"/>
    <col min="1252" max="1252" width="1" style="141" customWidth="1"/>
    <col min="1253" max="1254" width="12.81640625" style="141" customWidth="1"/>
    <col min="1255" max="1255" width="8.81640625" style="141" customWidth="1"/>
    <col min="1256" max="1257" width="12.81640625" style="141" customWidth="1"/>
    <col min="1258" max="1258" width="8.81640625" style="141" customWidth="1"/>
    <col min="1259" max="1260" width="12.81640625" style="141" customWidth="1"/>
    <col min="1261" max="1261" width="8.81640625" style="141" customWidth="1"/>
    <col min="1262" max="1263" width="12.81640625" style="141" customWidth="1"/>
    <col min="1264" max="1264" width="8.81640625" style="141" customWidth="1"/>
    <col min="1265" max="1266" width="12.81640625" style="141" customWidth="1"/>
    <col min="1267" max="1267" width="8.81640625" style="141" customWidth="1"/>
    <col min="1268" max="1269" width="12.81640625" style="141" customWidth="1"/>
    <col min="1270" max="1270" width="8.81640625" style="141" customWidth="1"/>
    <col min="1271" max="1272" width="12.81640625" style="141" customWidth="1"/>
    <col min="1273" max="1273" width="8.81640625" style="141" customWidth="1"/>
    <col min="1274" max="1274" width="3.81640625" style="141" customWidth="1"/>
    <col min="1275" max="1275" width="3.1796875" style="141" customWidth="1"/>
    <col min="1276" max="1276" width="9.1796875" style="141"/>
    <col min="1277" max="1277" width="12.1796875" style="141" customWidth="1"/>
    <col min="1278" max="1278" width="1.1796875" style="141" customWidth="1"/>
    <col min="1279" max="1280" width="12.81640625" style="141" customWidth="1"/>
    <col min="1281" max="1281" width="8.81640625" style="141" customWidth="1"/>
    <col min="1282" max="1283" width="12.81640625" style="141" customWidth="1"/>
    <col min="1284" max="1284" width="8.81640625" style="141" customWidth="1"/>
    <col min="1285" max="1286" width="12.81640625" style="141" customWidth="1"/>
    <col min="1287" max="1287" width="8.81640625" style="141" customWidth="1"/>
    <col min="1288" max="1289" width="12.81640625" style="141" customWidth="1"/>
    <col min="1290" max="1290" width="8.81640625" style="141" customWidth="1"/>
    <col min="1291" max="1292" width="12.81640625" style="141" customWidth="1"/>
    <col min="1293" max="1293" width="8.81640625" style="141" customWidth="1"/>
    <col min="1294" max="1294" width="14" style="141" bestFit="1" customWidth="1"/>
    <col min="1295" max="1295" width="12.81640625" style="141" customWidth="1"/>
    <col min="1296" max="1296" width="8.81640625" style="141" customWidth="1"/>
    <col min="1297" max="1298" width="12.81640625" style="141" customWidth="1"/>
    <col min="1299" max="1299" width="8.81640625" style="141" customWidth="1"/>
    <col min="1300" max="1300" width="5.1796875" style="141" customWidth="1"/>
    <col min="1301" max="1301" width="4.54296875" style="141" customWidth="1"/>
    <col min="1302" max="1506" width="9.1796875" style="141"/>
    <col min="1507" max="1507" width="12.81640625" style="141" customWidth="1"/>
    <col min="1508" max="1508" width="1" style="141" customWidth="1"/>
    <col min="1509" max="1510" width="12.81640625" style="141" customWidth="1"/>
    <col min="1511" max="1511" width="8.81640625" style="141" customWidth="1"/>
    <col min="1512" max="1513" width="12.81640625" style="141" customWidth="1"/>
    <col min="1514" max="1514" width="8.81640625" style="141" customWidth="1"/>
    <col min="1515" max="1516" width="12.81640625" style="141" customWidth="1"/>
    <col min="1517" max="1517" width="8.81640625" style="141" customWidth="1"/>
    <col min="1518" max="1519" width="12.81640625" style="141" customWidth="1"/>
    <col min="1520" max="1520" width="8.81640625" style="141" customWidth="1"/>
    <col min="1521" max="1522" width="12.81640625" style="141" customWidth="1"/>
    <col min="1523" max="1523" width="8.81640625" style="141" customWidth="1"/>
    <col min="1524" max="1525" width="12.81640625" style="141" customWidth="1"/>
    <col min="1526" max="1526" width="8.81640625" style="141" customWidth="1"/>
    <col min="1527" max="1528" width="12.81640625" style="141" customWidth="1"/>
    <col min="1529" max="1529" width="8.81640625" style="141" customWidth="1"/>
    <col min="1530" max="1530" width="3.81640625" style="141" customWidth="1"/>
    <col min="1531" max="1531" width="3.1796875" style="141" customWidth="1"/>
    <col min="1532" max="1532" width="9.1796875" style="141"/>
    <col min="1533" max="1533" width="12.1796875" style="141" customWidth="1"/>
    <col min="1534" max="1534" width="1.1796875" style="141" customWidth="1"/>
    <col min="1535" max="1536" width="12.81640625" style="141" customWidth="1"/>
    <col min="1537" max="1537" width="8.81640625" style="141" customWidth="1"/>
    <col min="1538" max="1539" width="12.81640625" style="141" customWidth="1"/>
    <col min="1540" max="1540" width="8.81640625" style="141" customWidth="1"/>
    <col min="1541" max="1542" width="12.81640625" style="141" customWidth="1"/>
    <col min="1543" max="1543" width="8.81640625" style="141" customWidth="1"/>
    <col min="1544" max="1545" width="12.81640625" style="141" customWidth="1"/>
    <col min="1546" max="1546" width="8.81640625" style="141" customWidth="1"/>
    <col min="1547" max="1548" width="12.81640625" style="141" customWidth="1"/>
    <col min="1549" max="1549" width="8.81640625" style="141" customWidth="1"/>
    <col min="1550" max="1550" width="14" style="141" bestFit="1" customWidth="1"/>
    <col min="1551" max="1551" width="12.81640625" style="141" customWidth="1"/>
    <col min="1552" max="1552" width="8.81640625" style="141" customWidth="1"/>
    <col min="1553" max="1554" width="12.81640625" style="141" customWidth="1"/>
    <col min="1555" max="1555" width="8.81640625" style="141" customWidth="1"/>
    <col min="1556" max="1556" width="5.1796875" style="141" customWidth="1"/>
    <col min="1557" max="1557" width="4.54296875" style="141" customWidth="1"/>
    <col min="1558" max="1762" width="9.1796875" style="141"/>
    <col min="1763" max="1763" width="12.81640625" style="141" customWidth="1"/>
    <col min="1764" max="1764" width="1" style="141" customWidth="1"/>
    <col min="1765" max="1766" width="12.81640625" style="141" customWidth="1"/>
    <col min="1767" max="1767" width="8.81640625" style="141" customWidth="1"/>
    <col min="1768" max="1769" width="12.81640625" style="141" customWidth="1"/>
    <col min="1770" max="1770" width="8.81640625" style="141" customWidth="1"/>
    <col min="1771" max="1772" width="12.81640625" style="141" customWidth="1"/>
    <col min="1773" max="1773" width="8.81640625" style="141" customWidth="1"/>
    <col min="1774" max="1775" width="12.81640625" style="141" customWidth="1"/>
    <col min="1776" max="1776" width="8.81640625" style="141" customWidth="1"/>
    <col min="1777" max="1778" width="12.81640625" style="141" customWidth="1"/>
    <col min="1779" max="1779" width="8.81640625" style="141" customWidth="1"/>
    <col min="1780" max="1781" width="12.81640625" style="141" customWidth="1"/>
    <col min="1782" max="1782" width="8.81640625" style="141" customWidth="1"/>
    <col min="1783" max="1784" width="12.81640625" style="141" customWidth="1"/>
    <col min="1785" max="1785" width="8.81640625" style="141" customWidth="1"/>
    <col min="1786" max="1786" width="3.81640625" style="141" customWidth="1"/>
    <col min="1787" max="1787" width="3.1796875" style="141" customWidth="1"/>
    <col min="1788" max="1788" width="9.1796875" style="141"/>
    <col min="1789" max="1789" width="12.1796875" style="141" customWidth="1"/>
    <col min="1790" max="1790" width="1.1796875" style="141" customWidth="1"/>
    <col min="1791" max="1792" width="12.81640625" style="141" customWidth="1"/>
    <col min="1793" max="1793" width="8.81640625" style="141" customWidth="1"/>
    <col min="1794" max="1795" width="12.81640625" style="141" customWidth="1"/>
    <col min="1796" max="1796" width="8.81640625" style="141" customWidth="1"/>
    <col min="1797" max="1798" width="12.81640625" style="141" customWidth="1"/>
    <col min="1799" max="1799" width="8.81640625" style="141" customWidth="1"/>
    <col min="1800" max="1801" width="12.81640625" style="141" customWidth="1"/>
    <col min="1802" max="1802" width="8.81640625" style="141" customWidth="1"/>
    <col min="1803" max="1804" width="12.81640625" style="141" customWidth="1"/>
    <col min="1805" max="1805" width="8.81640625" style="141" customWidth="1"/>
    <col min="1806" max="1806" width="14" style="141" bestFit="1" customWidth="1"/>
    <col min="1807" max="1807" width="12.81640625" style="141" customWidth="1"/>
    <col min="1808" max="1808" width="8.81640625" style="141" customWidth="1"/>
    <col min="1809" max="1810" width="12.81640625" style="141" customWidth="1"/>
    <col min="1811" max="1811" width="8.81640625" style="141" customWidth="1"/>
    <col min="1812" max="1812" width="5.1796875" style="141" customWidth="1"/>
    <col min="1813" max="1813" width="4.54296875" style="141" customWidth="1"/>
    <col min="1814" max="2018" width="9.1796875" style="141"/>
    <col min="2019" max="2019" width="12.81640625" style="141" customWidth="1"/>
    <col min="2020" max="2020" width="1" style="141" customWidth="1"/>
    <col min="2021" max="2022" width="12.81640625" style="141" customWidth="1"/>
    <col min="2023" max="2023" width="8.81640625" style="141" customWidth="1"/>
    <col min="2024" max="2025" width="12.81640625" style="141" customWidth="1"/>
    <col min="2026" max="2026" width="8.81640625" style="141" customWidth="1"/>
    <col min="2027" max="2028" width="12.81640625" style="141" customWidth="1"/>
    <col min="2029" max="2029" width="8.81640625" style="141" customWidth="1"/>
    <col min="2030" max="2031" width="12.81640625" style="141" customWidth="1"/>
    <col min="2032" max="2032" width="8.81640625" style="141" customWidth="1"/>
    <col min="2033" max="2034" width="12.81640625" style="141" customWidth="1"/>
    <col min="2035" max="2035" width="8.81640625" style="141" customWidth="1"/>
    <col min="2036" max="2037" width="12.81640625" style="141" customWidth="1"/>
    <col min="2038" max="2038" width="8.81640625" style="141" customWidth="1"/>
    <col min="2039" max="2040" width="12.81640625" style="141" customWidth="1"/>
    <col min="2041" max="2041" width="8.81640625" style="141" customWidth="1"/>
    <col min="2042" max="2042" width="3.81640625" style="141" customWidth="1"/>
    <col min="2043" max="2043" width="3.1796875" style="141" customWidth="1"/>
    <col min="2044" max="2044" width="9.1796875" style="141"/>
    <col min="2045" max="2045" width="12.1796875" style="141" customWidth="1"/>
    <col min="2046" max="2046" width="1.1796875" style="141" customWidth="1"/>
    <col min="2047" max="2048" width="12.81640625" style="141" customWidth="1"/>
    <col min="2049" max="2049" width="8.81640625" style="141" customWidth="1"/>
    <col min="2050" max="2051" width="12.81640625" style="141" customWidth="1"/>
    <col min="2052" max="2052" width="8.81640625" style="141" customWidth="1"/>
    <col min="2053" max="2054" width="12.81640625" style="141" customWidth="1"/>
    <col min="2055" max="2055" width="8.81640625" style="141" customWidth="1"/>
    <col min="2056" max="2057" width="12.81640625" style="141" customWidth="1"/>
    <col min="2058" max="2058" width="8.81640625" style="141" customWidth="1"/>
    <col min="2059" max="2060" width="12.81640625" style="141" customWidth="1"/>
    <col min="2061" max="2061" width="8.81640625" style="141" customWidth="1"/>
    <col min="2062" max="2062" width="14" style="141" bestFit="1" customWidth="1"/>
    <col min="2063" max="2063" width="12.81640625" style="141" customWidth="1"/>
    <col min="2064" max="2064" width="8.81640625" style="141" customWidth="1"/>
    <col min="2065" max="2066" width="12.81640625" style="141" customWidth="1"/>
    <col min="2067" max="2067" width="8.81640625" style="141" customWidth="1"/>
    <col min="2068" max="2068" width="5.1796875" style="141" customWidth="1"/>
    <col min="2069" max="2069" width="4.54296875" style="141" customWidth="1"/>
    <col min="2070" max="2274" width="9.1796875" style="141"/>
    <col min="2275" max="2275" width="12.81640625" style="141" customWidth="1"/>
    <col min="2276" max="2276" width="1" style="141" customWidth="1"/>
    <col min="2277" max="2278" width="12.81640625" style="141" customWidth="1"/>
    <col min="2279" max="2279" width="8.81640625" style="141" customWidth="1"/>
    <col min="2280" max="2281" width="12.81640625" style="141" customWidth="1"/>
    <col min="2282" max="2282" width="8.81640625" style="141" customWidth="1"/>
    <col min="2283" max="2284" width="12.81640625" style="141" customWidth="1"/>
    <col min="2285" max="2285" width="8.81640625" style="141" customWidth="1"/>
    <col min="2286" max="2287" width="12.81640625" style="141" customWidth="1"/>
    <col min="2288" max="2288" width="8.81640625" style="141" customWidth="1"/>
    <col min="2289" max="2290" width="12.81640625" style="141" customWidth="1"/>
    <col min="2291" max="2291" width="8.81640625" style="141" customWidth="1"/>
    <col min="2292" max="2293" width="12.81640625" style="141" customWidth="1"/>
    <col min="2294" max="2294" width="8.81640625" style="141" customWidth="1"/>
    <col min="2295" max="2296" width="12.81640625" style="141" customWidth="1"/>
    <col min="2297" max="2297" width="8.81640625" style="141" customWidth="1"/>
    <col min="2298" max="2298" width="3.81640625" style="141" customWidth="1"/>
    <col min="2299" max="2299" width="3.1796875" style="141" customWidth="1"/>
    <col min="2300" max="2300" width="9.1796875" style="141"/>
    <col min="2301" max="2301" width="12.1796875" style="141" customWidth="1"/>
    <col min="2302" max="2302" width="1.1796875" style="141" customWidth="1"/>
    <col min="2303" max="2304" width="12.81640625" style="141" customWidth="1"/>
    <col min="2305" max="2305" width="8.81640625" style="141" customWidth="1"/>
    <col min="2306" max="2307" width="12.81640625" style="141" customWidth="1"/>
    <col min="2308" max="2308" width="8.81640625" style="141" customWidth="1"/>
    <col min="2309" max="2310" width="12.81640625" style="141" customWidth="1"/>
    <col min="2311" max="2311" width="8.81640625" style="141" customWidth="1"/>
    <col min="2312" max="2313" width="12.81640625" style="141" customWidth="1"/>
    <col min="2314" max="2314" width="8.81640625" style="141" customWidth="1"/>
    <col min="2315" max="2316" width="12.81640625" style="141" customWidth="1"/>
    <col min="2317" max="2317" width="8.81640625" style="141" customWidth="1"/>
    <col min="2318" max="2318" width="14" style="141" bestFit="1" customWidth="1"/>
    <col min="2319" max="2319" width="12.81640625" style="141" customWidth="1"/>
    <col min="2320" max="2320" width="8.81640625" style="141" customWidth="1"/>
    <col min="2321" max="2322" width="12.81640625" style="141" customWidth="1"/>
    <col min="2323" max="2323" width="8.81640625" style="141" customWidth="1"/>
    <col min="2324" max="2324" width="5.1796875" style="141" customWidth="1"/>
    <col min="2325" max="2325" width="4.54296875" style="141" customWidth="1"/>
    <col min="2326" max="2530" width="9.1796875" style="141"/>
    <col min="2531" max="2531" width="12.81640625" style="141" customWidth="1"/>
    <col min="2532" max="2532" width="1" style="141" customWidth="1"/>
    <col min="2533" max="2534" width="12.81640625" style="141" customWidth="1"/>
    <col min="2535" max="2535" width="8.81640625" style="141" customWidth="1"/>
    <col min="2536" max="2537" width="12.81640625" style="141" customWidth="1"/>
    <col min="2538" max="2538" width="8.81640625" style="141" customWidth="1"/>
    <col min="2539" max="2540" width="12.81640625" style="141" customWidth="1"/>
    <col min="2541" max="2541" width="8.81640625" style="141" customWidth="1"/>
    <col min="2542" max="2543" width="12.81640625" style="141" customWidth="1"/>
    <col min="2544" max="2544" width="8.81640625" style="141" customWidth="1"/>
    <col min="2545" max="2546" width="12.81640625" style="141" customWidth="1"/>
    <col min="2547" max="2547" width="8.81640625" style="141" customWidth="1"/>
    <col min="2548" max="2549" width="12.81640625" style="141" customWidth="1"/>
    <col min="2550" max="2550" width="8.81640625" style="141" customWidth="1"/>
    <col min="2551" max="2552" width="12.81640625" style="141" customWidth="1"/>
    <col min="2553" max="2553" width="8.81640625" style="141" customWidth="1"/>
    <col min="2554" max="2554" width="3.81640625" style="141" customWidth="1"/>
    <col min="2555" max="2555" width="3.1796875" style="141" customWidth="1"/>
    <col min="2556" max="2556" width="9.1796875" style="141"/>
    <col min="2557" max="2557" width="12.1796875" style="141" customWidth="1"/>
    <col min="2558" max="2558" width="1.1796875" style="141" customWidth="1"/>
    <col min="2559" max="2560" width="12.81640625" style="141" customWidth="1"/>
    <col min="2561" max="2561" width="8.81640625" style="141" customWidth="1"/>
    <col min="2562" max="2563" width="12.81640625" style="141" customWidth="1"/>
    <col min="2564" max="2564" width="8.81640625" style="141" customWidth="1"/>
    <col min="2565" max="2566" width="12.81640625" style="141" customWidth="1"/>
    <col min="2567" max="2567" width="8.81640625" style="141" customWidth="1"/>
    <col min="2568" max="2569" width="12.81640625" style="141" customWidth="1"/>
    <col min="2570" max="2570" width="8.81640625" style="141" customWidth="1"/>
    <col min="2571" max="2572" width="12.81640625" style="141" customWidth="1"/>
    <col min="2573" max="2573" width="8.81640625" style="141" customWidth="1"/>
    <col min="2574" max="2574" width="14" style="141" bestFit="1" customWidth="1"/>
    <col min="2575" max="2575" width="12.81640625" style="141" customWidth="1"/>
    <col min="2576" max="2576" width="8.81640625" style="141" customWidth="1"/>
    <col min="2577" max="2578" width="12.81640625" style="141" customWidth="1"/>
    <col min="2579" max="2579" width="8.81640625" style="141" customWidth="1"/>
    <col min="2580" max="2580" width="5.1796875" style="141" customWidth="1"/>
    <col min="2581" max="2581" width="4.54296875" style="141" customWidth="1"/>
    <col min="2582" max="2786" width="9.1796875" style="141"/>
    <col min="2787" max="2787" width="12.81640625" style="141" customWidth="1"/>
    <col min="2788" max="2788" width="1" style="141" customWidth="1"/>
    <col min="2789" max="2790" width="12.81640625" style="141" customWidth="1"/>
    <col min="2791" max="2791" width="8.81640625" style="141" customWidth="1"/>
    <col min="2792" max="2793" width="12.81640625" style="141" customWidth="1"/>
    <col min="2794" max="2794" width="8.81640625" style="141" customWidth="1"/>
    <col min="2795" max="2796" width="12.81640625" style="141" customWidth="1"/>
    <col min="2797" max="2797" width="8.81640625" style="141" customWidth="1"/>
    <col min="2798" max="2799" width="12.81640625" style="141" customWidth="1"/>
    <col min="2800" max="2800" width="8.81640625" style="141" customWidth="1"/>
    <col min="2801" max="2802" width="12.81640625" style="141" customWidth="1"/>
    <col min="2803" max="2803" width="8.81640625" style="141" customWidth="1"/>
    <col min="2804" max="2805" width="12.81640625" style="141" customWidth="1"/>
    <col min="2806" max="2806" width="8.81640625" style="141" customWidth="1"/>
    <col min="2807" max="2808" width="12.81640625" style="141" customWidth="1"/>
    <col min="2809" max="2809" width="8.81640625" style="141" customWidth="1"/>
    <col min="2810" max="2810" width="3.81640625" style="141" customWidth="1"/>
    <col min="2811" max="2811" width="3.1796875" style="141" customWidth="1"/>
    <col min="2812" max="2812" width="9.1796875" style="141"/>
    <col min="2813" max="2813" width="12.1796875" style="141" customWidth="1"/>
    <col min="2814" max="2814" width="1.1796875" style="141" customWidth="1"/>
    <col min="2815" max="2816" width="12.81640625" style="141" customWidth="1"/>
    <col min="2817" max="2817" width="8.81640625" style="141" customWidth="1"/>
    <col min="2818" max="2819" width="12.81640625" style="141" customWidth="1"/>
    <col min="2820" max="2820" width="8.81640625" style="141" customWidth="1"/>
    <col min="2821" max="2822" width="12.81640625" style="141" customWidth="1"/>
    <col min="2823" max="2823" width="8.81640625" style="141" customWidth="1"/>
    <col min="2824" max="2825" width="12.81640625" style="141" customWidth="1"/>
    <col min="2826" max="2826" width="8.81640625" style="141" customWidth="1"/>
    <col min="2827" max="2828" width="12.81640625" style="141" customWidth="1"/>
    <col min="2829" max="2829" width="8.81640625" style="141" customWidth="1"/>
    <col min="2830" max="2830" width="14" style="141" bestFit="1" customWidth="1"/>
    <col min="2831" max="2831" width="12.81640625" style="141" customWidth="1"/>
    <col min="2832" max="2832" width="8.81640625" style="141" customWidth="1"/>
    <col min="2833" max="2834" width="12.81640625" style="141" customWidth="1"/>
    <col min="2835" max="2835" width="8.81640625" style="141" customWidth="1"/>
    <col min="2836" max="2836" width="5.1796875" style="141" customWidth="1"/>
    <col min="2837" max="2837" width="4.54296875" style="141" customWidth="1"/>
    <col min="2838" max="3042" width="9.1796875" style="141"/>
    <col min="3043" max="3043" width="12.81640625" style="141" customWidth="1"/>
    <col min="3044" max="3044" width="1" style="141" customWidth="1"/>
    <col min="3045" max="3046" width="12.81640625" style="141" customWidth="1"/>
    <col min="3047" max="3047" width="8.81640625" style="141" customWidth="1"/>
    <col min="3048" max="3049" width="12.81640625" style="141" customWidth="1"/>
    <col min="3050" max="3050" width="8.81640625" style="141" customWidth="1"/>
    <col min="3051" max="3052" width="12.81640625" style="141" customWidth="1"/>
    <col min="3053" max="3053" width="8.81640625" style="141" customWidth="1"/>
    <col min="3054" max="3055" width="12.81640625" style="141" customWidth="1"/>
    <col min="3056" max="3056" width="8.81640625" style="141" customWidth="1"/>
    <col min="3057" max="3058" width="12.81640625" style="141" customWidth="1"/>
    <col min="3059" max="3059" width="8.81640625" style="141" customWidth="1"/>
    <col min="3060" max="3061" width="12.81640625" style="141" customWidth="1"/>
    <col min="3062" max="3062" width="8.81640625" style="141" customWidth="1"/>
    <col min="3063" max="3064" width="12.81640625" style="141" customWidth="1"/>
    <col min="3065" max="3065" width="8.81640625" style="141" customWidth="1"/>
    <col min="3066" max="3066" width="3.81640625" style="141" customWidth="1"/>
    <col min="3067" max="3067" width="3.1796875" style="141" customWidth="1"/>
    <col min="3068" max="3068" width="9.1796875" style="141"/>
    <col min="3069" max="3069" width="12.1796875" style="141" customWidth="1"/>
    <col min="3070" max="3070" width="1.1796875" style="141" customWidth="1"/>
    <col min="3071" max="3072" width="12.81640625" style="141" customWidth="1"/>
    <col min="3073" max="3073" width="8.81640625" style="141" customWidth="1"/>
    <col min="3074" max="3075" width="12.81640625" style="141" customWidth="1"/>
    <col min="3076" max="3076" width="8.81640625" style="141" customWidth="1"/>
    <col min="3077" max="3078" width="12.81640625" style="141" customWidth="1"/>
    <col min="3079" max="3079" width="8.81640625" style="141" customWidth="1"/>
    <col min="3080" max="3081" width="12.81640625" style="141" customWidth="1"/>
    <col min="3082" max="3082" width="8.81640625" style="141" customWidth="1"/>
    <col min="3083" max="3084" width="12.81640625" style="141" customWidth="1"/>
    <col min="3085" max="3085" width="8.81640625" style="141" customWidth="1"/>
    <col min="3086" max="3086" width="14" style="141" bestFit="1" customWidth="1"/>
    <col min="3087" max="3087" width="12.81640625" style="141" customWidth="1"/>
    <col min="3088" max="3088" width="8.81640625" style="141" customWidth="1"/>
    <col min="3089" max="3090" width="12.81640625" style="141" customWidth="1"/>
    <col min="3091" max="3091" width="8.81640625" style="141" customWidth="1"/>
    <col min="3092" max="3092" width="5.1796875" style="141" customWidth="1"/>
    <col min="3093" max="3093" width="4.54296875" style="141" customWidth="1"/>
    <col min="3094" max="3298" width="9.1796875" style="141"/>
    <col min="3299" max="3299" width="12.81640625" style="141" customWidth="1"/>
    <col min="3300" max="3300" width="1" style="141" customWidth="1"/>
    <col min="3301" max="3302" width="12.81640625" style="141" customWidth="1"/>
    <col min="3303" max="3303" width="8.81640625" style="141" customWidth="1"/>
    <col min="3304" max="3305" width="12.81640625" style="141" customWidth="1"/>
    <col min="3306" max="3306" width="8.81640625" style="141" customWidth="1"/>
    <col min="3307" max="3308" width="12.81640625" style="141" customWidth="1"/>
    <col min="3309" max="3309" width="8.81640625" style="141" customWidth="1"/>
    <col min="3310" max="3311" width="12.81640625" style="141" customWidth="1"/>
    <col min="3312" max="3312" width="8.81640625" style="141" customWidth="1"/>
    <col min="3313" max="3314" width="12.81640625" style="141" customWidth="1"/>
    <col min="3315" max="3315" width="8.81640625" style="141" customWidth="1"/>
    <col min="3316" max="3317" width="12.81640625" style="141" customWidth="1"/>
    <col min="3318" max="3318" width="8.81640625" style="141" customWidth="1"/>
    <col min="3319" max="3320" width="12.81640625" style="141" customWidth="1"/>
    <col min="3321" max="3321" width="8.81640625" style="141" customWidth="1"/>
    <col min="3322" max="3322" width="3.81640625" style="141" customWidth="1"/>
    <col min="3323" max="3323" width="3.1796875" style="141" customWidth="1"/>
    <col min="3324" max="3324" width="9.1796875" style="141"/>
    <col min="3325" max="3325" width="12.1796875" style="141" customWidth="1"/>
    <col min="3326" max="3326" width="1.1796875" style="141" customWidth="1"/>
    <col min="3327" max="3328" width="12.81640625" style="141" customWidth="1"/>
    <col min="3329" max="3329" width="8.81640625" style="141" customWidth="1"/>
    <col min="3330" max="3331" width="12.81640625" style="141" customWidth="1"/>
    <col min="3332" max="3332" width="8.81640625" style="141" customWidth="1"/>
    <col min="3333" max="3334" width="12.81640625" style="141" customWidth="1"/>
    <col min="3335" max="3335" width="8.81640625" style="141" customWidth="1"/>
    <col min="3336" max="3337" width="12.81640625" style="141" customWidth="1"/>
    <col min="3338" max="3338" width="8.81640625" style="141" customWidth="1"/>
    <col min="3339" max="3340" width="12.81640625" style="141" customWidth="1"/>
    <col min="3341" max="3341" width="8.81640625" style="141" customWidth="1"/>
    <col min="3342" max="3342" width="14" style="141" bestFit="1" customWidth="1"/>
    <col min="3343" max="3343" width="12.81640625" style="141" customWidth="1"/>
    <col min="3344" max="3344" width="8.81640625" style="141" customWidth="1"/>
    <col min="3345" max="3346" width="12.81640625" style="141" customWidth="1"/>
    <col min="3347" max="3347" width="8.81640625" style="141" customWidth="1"/>
    <col min="3348" max="3348" width="5.1796875" style="141" customWidth="1"/>
    <col min="3349" max="3349" width="4.54296875" style="141" customWidth="1"/>
    <col min="3350" max="3554" width="9.1796875" style="141"/>
    <col min="3555" max="3555" width="12.81640625" style="141" customWidth="1"/>
    <col min="3556" max="3556" width="1" style="141" customWidth="1"/>
    <col min="3557" max="3558" width="12.81640625" style="141" customWidth="1"/>
    <col min="3559" max="3559" width="8.81640625" style="141" customWidth="1"/>
    <col min="3560" max="3561" width="12.81640625" style="141" customWidth="1"/>
    <col min="3562" max="3562" width="8.81640625" style="141" customWidth="1"/>
    <col min="3563" max="3564" width="12.81640625" style="141" customWidth="1"/>
    <col min="3565" max="3565" width="8.81640625" style="141" customWidth="1"/>
    <col min="3566" max="3567" width="12.81640625" style="141" customWidth="1"/>
    <col min="3568" max="3568" width="8.81640625" style="141" customWidth="1"/>
    <col min="3569" max="3570" width="12.81640625" style="141" customWidth="1"/>
    <col min="3571" max="3571" width="8.81640625" style="141" customWidth="1"/>
    <col min="3572" max="3573" width="12.81640625" style="141" customWidth="1"/>
    <col min="3574" max="3574" width="8.81640625" style="141" customWidth="1"/>
    <col min="3575" max="3576" width="12.81640625" style="141" customWidth="1"/>
    <col min="3577" max="3577" width="8.81640625" style="141" customWidth="1"/>
    <col min="3578" max="3578" width="3.81640625" style="141" customWidth="1"/>
    <col min="3579" max="3579" width="3.1796875" style="141" customWidth="1"/>
    <col min="3580" max="3580" width="9.1796875" style="141"/>
    <col min="3581" max="3581" width="12.1796875" style="141" customWidth="1"/>
    <col min="3582" max="3582" width="1.1796875" style="141" customWidth="1"/>
    <col min="3583" max="3584" width="12.81640625" style="141" customWidth="1"/>
    <col min="3585" max="3585" width="8.81640625" style="141" customWidth="1"/>
    <col min="3586" max="3587" width="12.81640625" style="141" customWidth="1"/>
    <col min="3588" max="3588" width="8.81640625" style="141" customWidth="1"/>
    <col min="3589" max="3590" width="12.81640625" style="141" customWidth="1"/>
    <col min="3591" max="3591" width="8.81640625" style="141" customWidth="1"/>
    <col min="3592" max="3593" width="12.81640625" style="141" customWidth="1"/>
    <col min="3594" max="3594" width="8.81640625" style="141" customWidth="1"/>
    <col min="3595" max="3596" width="12.81640625" style="141" customWidth="1"/>
    <col min="3597" max="3597" width="8.81640625" style="141" customWidth="1"/>
    <col min="3598" max="3598" width="14" style="141" bestFit="1" customWidth="1"/>
    <col min="3599" max="3599" width="12.81640625" style="141" customWidth="1"/>
    <col min="3600" max="3600" width="8.81640625" style="141" customWidth="1"/>
    <col min="3601" max="3602" width="12.81640625" style="141" customWidth="1"/>
    <col min="3603" max="3603" width="8.81640625" style="141" customWidth="1"/>
    <col min="3604" max="3604" width="5.1796875" style="141" customWidth="1"/>
    <col min="3605" max="3605" width="4.54296875" style="141" customWidth="1"/>
    <col min="3606" max="3810" width="9.1796875" style="141"/>
    <col min="3811" max="3811" width="12.81640625" style="141" customWidth="1"/>
    <col min="3812" max="3812" width="1" style="141" customWidth="1"/>
    <col min="3813" max="3814" width="12.81640625" style="141" customWidth="1"/>
    <col min="3815" max="3815" width="8.81640625" style="141" customWidth="1"/>
    <col min="3816" max="3817" width="12.81640625" style="141" customWidth="1"/>
    <col min="3818" max="3818" width="8.81640625" style="141" customWidth="1"/>
    <col min="3819" max="3820" width="12.81640625" style="141" customWidth="1"/>
    <col min="3821" max="3821" width="8.81640625" style="141" customWidth="1"/>
    <col min="3822" max="3823" width="12.81640625" style="141" customWidth="1"/>
    <col min="3824" max="3824" width="8.81640625" style="141" customWidth="1"/>
    <col min="3825" max="3826" width="12.81640625" style="141" customWidth="1"/>
    <col min="3827" max="3827" width="8.81640625" style="141" customWidth="1"/>
    <col min="3828" max="3829" width="12.81640625" style="141" customWidth="1"/>
    <col min="3830" max="3830" width="8.81640625" style="141" customWidth="1"/>
    <col min="3831" max="3832" width="12.81640625" style="141" customWidth="1"/>
    <col min="3833" max="3833" width="8.81640625" style="141" customWidth="1"/>
    <col min="3834" max="3834" width="3.81640625" style="141" customWidth="1"/>
    <col min="3835" max="3835" width="3.1796875" style="141" customWidth="1"/>
    <col min="3836" max="3836" width="9.1796875" style="141"/>
    <col min="3837" max="3837" width="12.1796875" style="141" customWidth="1"/>
    <col min="3838" max="3838" width="1.1796875" style="141" customWidth="1"/>
    <col min="3839" max="3840" width="12.81640625" style="141" customWidth="1"/>
    <col min="3841" max="3841" width="8.81640625" style="141" customWidth="1"/>
    <col min="3842" max="3843" width="12.81640625" style="141" customWidth="1"/>
    <col min="3844" max="3844" width="8.81640625" style="141" customWidth="1"/>
    <col min="3845" max="3846" width="12.81640625" style="141" customWidth="1"/>
    <col min="3847" max="3847" width="8.81640625" style="141" customWidth="1"/>
    <col min="3848" max="3849" width="12.81640625" style="141" customWidth="1"/>
    <col min="3850" max="3850" width="8.81640625" style="141" customWidth="1"/>
    <col min="3851" max="3852" width="12.81640625" style="141" customWidth="1"/>
    <col min="3853" max="3853" width="8.81640625" style="141" customWidth="1"/>
    <col min="3854" max="3854" width="14" style="141" bestFit="1" customWidth="1"/>
    <col min="3855" max="3855" width="12.81640625" style="141" customWidth="1"/>
    <col min="3856" max="3856" width="8.81640625" style="141" customWidth="1"/>
    <col min="3857" max="3858" width="12.81640625" style="141" customWidth="1"/>
    <col min="3859" max="3859" width="8.81640625" style="141" customWidth="1"/>
    <col min="3860" max="3860" width="5.1796875" style="141" customWidth="1"/>
    <col min="3861" max="3861" width="4.54296875" style="141" customWidth="1"/>
    <col min="3862" max="4066" width="9.1796875" style="141"/>
    <col min="4067" max="4067" width="12.81640625" style="141" customWidth="1"/>
    <col min="4068" max="4068" width="1" style="141" customWidth="1"/>
    <col min="4069" max="4070" width="12.81640625" style="141" customWidth="1"/>
    <col min="4071" max="4071" width="8.81640625" style="141" customWidth="1"/>
    <col min="4072" max="4073" width="12.81640625" style="141" customWidth="1"/>
    <col min="4074" max="4074" width="8.81640625" style="141" customWidth="1"/>
    <col min="4075" max="4076" width="12.81640625" style="141" customWidth="1"/>
    <col min="4077" max="4077" width="8.81640625" style="141" customWidth="1"/>
    <col min="4078" max="4079" width="12.81640625" style="141" customWidth="1"/>
    <col min="4080" max="4080" width="8.81640625" style="141" customWidth="1"/>
    <col min="4081" max="4082" width="12.81640625" style="141" customWidth="1"/>
    <col min="4083" max="4083" width="8.81640625" style="141" customWidth="1"/>
    <col min="4084" max="4085" width="12.81640625" style="141" customWidth="1"/>
    <col min="4086" max="4086" width="8.81640625" style="141" customWidth="1"/>
    <col min="4087" max="4088" width="12.81640625" style="141" customWidth="1"/>
    <col min="4089" max="4089" width="8.81640625" style="141" customWidth="1"/>
    <col min="4090" max="4090" width="3.81640625" style="141" customWidth="1"/>
    <col min="4091" max="4091" width="3.1796875" style="141" customWidth="1"/>
    <col min="4092" max="4092" width="9.1796875" style="141"/>
    <col min="4093" max="4093" width="12.1796875" style="141" customWidth="1"/>
    <col min="4094" max="4094" width="1.1796875" style="141" customWidth="1"/>
    <col min="4095" max="4096" width="12.81640625" style="141" customWidth="1"/>
    <col min="4097" max="4097" width="8.81640625" style="141" customWidth="1"/>
    <col min="4098" max="4099" width="12.81640625" style="141" customWidth="1"/>
    <col min="4100" max="4100" width="8.81640625" style="141" customWidth="1"/>
    <col min="4101" max="4102" width="12.81640625" style="141" customWidth="1"/>
    <col min="4103" max="4103" width="8.81640625" style="141" customWidth="1"/>
    <col min="4104" max="4105" width="12.81640625" style="141" customWidth="1"/>
    <col min="4106" max="4106" width="8.81640625" style="141" customWidth="1"/>
    <col min="4107" max="4108" width="12.81640625" style="141" customWidth="1"/>
    <col min="4109" max="4109" width="8.81640625" style="141" customWidth="1"/>
    <col min="4110" max="4110" width="14" style="141" bestFit="1" customWidth="1"/>
    <col min="4111" max="4111" width="12.81640625" style="141" customWidth="1"/>
    <col min="4112" max="4112" width="8.81640625" style="141" customWidth="1"/>
    <col min="4113" max="4114" width="12.81640625" style="141" customWidth="1"/>
    <col min="4115" max="4115" width="8.81640625" style="141" customWidth="1"/>
    <col min="4116" max="4116" width="5.1796875" style="141" customWidth="1"/>
    <col min="4117" max="4117" width="4.54296875" style="141" customWidth="1"/>
    <col min="4118" max="4322" width="9.1796875" style="141"/>
    <col min="4323" max="4323" width="12.81640625" style="141" customWidth="1"/>
    <col min="4324" max="4324" width="1" style="141" customWidth="1"/>
    <col min="4325" max="4326" width="12.81640625" style="141" customWidth="1"/>
    <col min="4327" max="4327" width="8.81640625" style="141" customWidth="1"/>
    <col min="4328" max="4329" width="12.81640625" style="141" customWidth="1"/>
    <col min="4330" max="4330" width="8.81640625" style="141" customWidth="1"/>
    <col min="4331" max="4332" width="12.81640625" style="141" customWidth="1"/>
    <col min="4333" max="4333" width="8.81640625" style="141" customWidth="1"/>
    <col min="4334" max="4335" width="12.81640625" style="141" customWidth="1"/>
    <col min="4336" max="4336" width="8.81640625" style="141" customWidth="1"/>
    <col min="4337" max="4338" width="12.81640625" style="141" customWidth="1"/>
    <col min="4339" max="4339" width="8.81640625" style="141" customWidth="1"/>
    <col min="4340" max="4341" width="12.81640625" style="141" customWidth="1"/>
    <col min="4342" max="4342" width="8.81640625" style="141" customWidth="1"/>
    <col min="4343" max="4344" width="12.81640625" style="141" customWidth="1"/>
    <col min="4345" max="4345" width="8.81640625" style="141" customWidth="1"/>
    <col min="4346" max="4346" width="3.81640625" style="141" customWidth="1"/>
    <col min="4347" max="4347" width="3.1796875" style="141" customWidth="1"/>
    <col min="4348" max="4348" width="9.1796875" style="141"/>
    <col min="4349" max="4349" width="12.1796875" style="141" customWidth="1"/>
    <col min="4350" max="4350" width="1.1796875" style="141" customWidth="1"/>
    <col min="4351" max="4352" width="12.81640625" style="141" customWidth="1"/>
    <col min="4353" max="4353" width="8.81640625" style="141" customWidth="1"/>
    <col min="4354" max="4355" width="12.81640625" style="141" customWidth="1"/>
    <col min="4356" max="4356" width="8.81640625" style="141" customWidth="1"/>
    <col min="4357" max="4358" width="12.81640625" style="141" customWidth="1"/>
    <col min="4359" max="4359" width="8.81640625" style="141" customWidth="1"/>
    <col min="4360" max="4361" width="12.81640625" style="141" customWidth="1"/>
    <col min="4362" max="4362" width="8.81640625" style="141" customWidth="1"/>
    <col min="4363" max="4364" width="12.81640625" style="141" customWidth="1"/>
    <col min="4365" max="4365" width="8.81640625" style="141" customWidth="1"/>
    <col min="4366" max="4366" width="14" style="141" bestFit="1" customWidth="1"/>
    <col min="4367" max="4367" width="12.81640625" style="141" customWidth="1"/>
    <col min="4368" max="4368" width="8.81640625" style="141" customWidth="1"/>
    <col min="4369" max="4370" width="12.81640625" style="141" customWidth="1"/>
    <col min="4371" max="4371" width="8.81640625" style="141" customWidth="1"/>
    <col min="4372" max="4372" width="5.1796875" style="141" customWidth="1"/>
    <col min="4373" max="4373" width="4.54296875" style="141" customWidth="1"/>
    <col min="4374" max="4578" width="9.1796875" style="141"/>
    <col min="4579" max="4579" width="12.81640625" style="141" customWidth="1"/>
    <col min="4580" max="4580" width="1" style="141" customWidth="1"/>
    <col min="4581" max="4582" width="12.81640625" style="141" customWidth="1"/>
    <col min="4583" max="4583" width="8.81640625" style="141" customWidth="1"/>
    <col min="4584" max="4585" width="12.81640625" style="141" customWidth="1"/>
    <col min="4586" max="4586" width="8.81640625" style="141" customWidth="1"/>
    <col min="4587" max="4588" width="12.81640625" style="141" customWidth="1"/>
    <col min="4589" max="4589" width="8.81640625" style="141" customWidth="1"/>
    <col min="4590" max="4591" width="12.81640625" style="141" customWidth="1"/>
    <col min="4592" max="4592" width="8.81640625" style="141" customWidth="1"/>
    <col min="4593" max="4594" width="12.81640625" style="141" customWidth="1"/>
    <col min="4595" max="4595" width="8.81640625" style="141" customWidth="1"/>
    <col min="4596" max="4597" width="12.81640625" style="141" customWidth="1"/>
    <col min="4598" max="4598" width="8.81640625" style="141" customWidth="1"/>
    <col min="4599" max="4600" width="12.81640625" style="141" customWidth="1"/>
    <col min="4601" max="4601" width="8.81640625" style="141" customWidth="1"/>
    <col min="4602" max="4602" width="3.81640625" style="141" customWidth="1"/>
    <col min="4603" max="4603" width="3.1796875" style="141" customWidth="1"/>
    <col min="4604" max="4604" width="9.1796875" style="141"/>
    <col min="4605" max="4605" width="12.1796875" style="141" customWidth="1"/>
    <col min="4606" max="4606" width="1.1796875" style="141" customWidth="1"/>
    <col min="4607" max="4608" width="12.81640625" style="141" customWidth="1"/>
    <col min="4609" max="4609" width="8.81640625" style="141" customWidth="1"/>
    <col min="4610" max="4611" width="12.81640625" style="141" customWidth="1"/>
    <col min="4612" max="4612" width="8.81640625" style="141" customWidth="1"/>
    <col min="4613" max="4614" width="12.81640625" style="141" customWidth="1"/>
    <col min="4615" max="4615" width="8.81640625" style="141" customWidth="1"/>
    <col min="4616" max="4617" width="12.81640625" style="141" customWidth="1"/>
    <col min="4618" max="4618" width="8.81640625" style="141" customWidth="1"/>
    <col min="4619" max="4620" width="12.81640625" style="141" customWidth="1"/>
    <col min="4621" max="4621" width="8.81640625" style="141" customWidth="1"/>
    <col min="4622" max="4622" width="14" style="141" bestFit="1" customWidth="1"/>
    <col min="4623" max="4623" width="12.81640625" style="141" customWidth="1"/>
    <col min="4624" max="4624" width="8.81640625" style="141" customWidth="1"/>
    <col min="4625" max="4626" width="12.81640625" style="141" customWidth="1"/>
    <col min="4627" max="4627" width="8.81640625" style="141" customWidth="1"/>
    <col min="4628" max="4628" width="5.1796875" style="141" customWidth="1"/>
    <col min="4629" max="4629" width="4.54296875" style="141" customWidth="1"/>
    <col min="4630" max="4834" width="9.1796875" style="141"/>
    <col min="4835" max="4835" width="12.81640625" style="141" customWidth="1"/>
    <col min="4836" max="4836" width="1" style="141" customWidth="1"/>
    <col min="4837" max="4838" width="12.81640625" style="141" customWidth="1"/>
    <col min="4839" max="4839" width="8.81640625" style="141" customWidth="1"/>
    <col min="4840" max="4841" width="12.81640625" style="141" customWidth="1"/>
    <col min="4842" max="4842" width="8.81640625" style="141" customWidth="1"/>
    <col min="4843" max="4844" width="12.81640625" style="141" customWidth="1"/>
    <col min="4845" max="4845" width="8.81640625" style="141" customWidth="1"/>
    <col min="4846" max="4847" width="12.81640625" style="141" customWidth="1"/>
    <col min="4848" max="4848" width="8.81640625" style="141" customWidth="1"/>
    <col min="4849" max="4850" width="12.81640625" style="141" customWidth="1"/>
    <col min="4851" max="4851" width="8.81640625" style="141" customWidth="1"/>
    <col min="4852" max="4853" width="12.81640625" style="141" customWidth="1"/>
    <col min="4854" max="4854" width="8.81640625" style="141" customWidth="1"/>
    <col min="4855" max="4856" width="12.81640625" style="141" customWidth="1"/>
    <col min="4857" max="4857" width="8.81640625" style="141" customWidth="1"/>
    <col min="4858" max="4858" width="3.81640625" style="141" customWidth="1"/>
    <col min="4859" max="4859" width="3.1796875" style="141" customWidth="1"/>
    <col min="4860" max="4860" width="9.1796875" style="141"/>
    <col min="4861" max="4861" width="12.1796875" style="141" customWidth="1"/>
    <col min="4862" max="4862" width="1.1796875" style="141" customWidth="1"/>
    <col min="4863" max="4864" width="12.81640625" style="141" customWidth="1"/>
    <col min="4865" max="4865" width="8.81640625" style="141" customWidth="1"/>
    <col min="4866" max="4867" width="12.81640625" style="141" customWidth="1"/>
    <col min="4868" max="4868" width="8.81640625" style="141" customWidth="1"/>
    <col min="4869" max="4870" width="12.81640625" style="141" customWidth="1"/>
    <col min="4871" max="4871" width="8.81640625" style="141" customWidth="1"/>
    <col min="4872" max="4873" width="12.81640625" style="141" customWidth="1"/>
    <col min="4874" max="4874" width="8.81640625" style="141" customWidth="1"/>
    <col min="4875" max="4876" width="12.81640625" style="141" customWidth="1"/>
    <col min="4877" max="4877" width="8.81640625" style="141" customWidth="1"/>
    <col min="4878" max="4878" width="14" style="141" bestFit="1" customWidth="1"/>
    <col min="4879" max="4879" width="12.81640625" style="141" customWidth="1"/>
    <col min="4880" max="4880" width="8.81640625" style="141" customWidth="1"/>
    <col min="4881" max="4882" width="12.81640625" style="141" customWidth="1"/>
    <col min="4883" max="4883" width="8.81640625" style="141" customWidth="1"/>
    <col min="4884" max="4884" width="5.1796875" style="141" customWidth="1"/>
    <col min="4885" max="4885" width="4.54296875" style="141" customWidth="1"/>
    <col min="4886" max="5090" width="9.1796875" style="141"/>
    <col min="5091" max="5091" width="12.81640625" style="141" customWidth="1"/>
    <col min="5092" max="5092" width="1" style="141" customWidth="1"/>
    <col min="5093" max="5094" width="12.81640625" style="141" customWidth="1"/>
    <col min="5095" max="5095" width="8.81640625" style="141" customWidth="1"/>
    <col min="5096" max="5097" width="12.81640625" style="141" customWidth="1"/>
    <col min="5098" max="5098" width="8.81640625" style="141" customWidth="1"/>
    <col min="5099" max="5100" width="12.81640625" style="141" customWidth="1"/>
    <col min="5101" max="5101" width="8.81640625" style="141" customWidth="1"/>
    <col min="5102" max="5103" width="12.81640625" style="141" customWidth="1"/>
    <col min="5104" max="5104" width="8.81640625" style="141" customWidth="1"/>
    <col min="5105" max="5106" width="12.81640625" style="141" customWidth="1"/>
    <col min="5107" max="5107" width="8.81640625" style="141" customWidth="1"/>
    <col min="5108" max="5109" width="12.81640625" style="141" customWidth="1"/>
    <col min="5110" max="5110" width="8.81640625" style="141" customWidth="1"/>
    <col min="5111" max="5112" width="12.81640625" style="141" customWidth="1"/>
    <col min="5113" max="5113" width="8.81640625" style="141" customWidth="1"/>
    <col min="5114" max="5114" width="3.81640625" style="141" customWidth="1"/>
    <col min="5115" max="5115" width="3.1796875" style="141" customWidth="1"/>
    <col min="5116" max="5116" width="9.1796875" style="141"/>
    <col min="5117" max="5117" width="12.1796875" style="141" customWidth="1"/>
    <col min="5118" max="5118" width="1.1796875" style="141" customWidth="1"/>
    <col min="5119" max="5120" width="12.81640625" style="141" customWidth="1"/>
    <col min="5121" max="5121" width="8.81640625" style="141" customWidth="1"/>
    <col min="5122" max="5123" width="12.81640625" style="141" customWidth="1"/>
    <col min="5124" max="5124" width="8.81640625" style="141" customWidth="1"/>
    <col min="5125" max="5126" width="12.81640625" style="141" customWidth="1"/>
    <col min="5127" max="5127" width="8.81640625" style="141" customWidth="1"/>
    <col min="5128" max="5129" width="12.81640625" style="141" customWidth="1"/>
    <col min="5130" max="5130" width="8.81640625" style="141" customWidth="1"/>
    <col min="5131" max="5132" width="12.81640625" style="141" customWidth="1"/>
    <col min="5133" max="5133" width="8.81640625" style="141" customWidth="1"/>
    <col min="5134" max="5134" width="14" style="141" bestFit="1" customWidth="1"/>
    <col min="5135" max="5135" width="12.81640625" style="141" customWidth="1"/>
    <col min="5136" max="5136" width="8.81640625" style="141" customWidth="1"/>
    <col min="5137" max="5138" width="12.81640625" style="141" customWidth="1"/>
    <col min="5139" max="5139" width="8.81640625" style="141" customWidth="1"/>
    <col min="5140" max="5140" width="5.1796875" style="141" customWidth="1"/>
    <col min="5141" max="5141" width="4.54296875" style="141" customWidth="1"/>
    <col min="5142" max="5346" width="9.1796875" style="141"/>
    <col min="5347" max="5347" width="12.81640625" style="141" customWidth="1"/>
    <col min="5348" max="5348" width="1" style="141" customWidth="1"/>
    <col min="5349" max="5350" width="12.81640625" style="141" customWidth="1"/>
    <col min="5351" max="5351" width="8.81640625" style="141" customWidth="1"/>
    <col min="5352" max="5353" width="12.81640625" style="141" customWidth="1"/>
    <col min="5354" max="5354" width="8.81640625" style="141" customWidth="1"/>
    <col min="5355" max="5356" width="12.81640625" style="141" customWidth="1"/>
    <col min="5357" max="5357" width="8.81640625" style="141" customWidth="1"/>
    <col min="5358" max="5359" width="12.81640625" style="141" customWidth="1"/>
    <col min="5360" max="5360" width="8.81640625" style="141" customWidth="1"/>
    <col min="5361" max="5362" width="12.81640625" style="141" customWidth="1"/>
    <col min="5363" max="5363" width="8.81640625" style="141" customWidth="1"/>
    <col min="5364" max="5365" width="12.81640625" style="141" customWidth="1"/>
    <col min="5366" max="5366" width="8.81640625" style="141" customWidth="1"/>
    <col min="5367" max="5368" width="12.81640625" style="141" customWidth="1"/>
    <col min="5369" max="5369" width="8.81640625" style="141" customWidth="1"/>
    <col min="5370" max="5370" width="3.81640625" style="141" customWidth="1"/>
    <col min="5371" max="5371" width="3.1796875" style="141" customWidth="1"/>
    <col min="5372" max="5372" width="9.1796875" style="141"/>
    <col min="5373" max="5373" width="12.1796875" style="141" customWidth="1"/>
    <col min="5374" max="5374" width="1.1796875" style="141" customWidth="1"/>
    <col min="5375" max="5376" width="12.81640625" style="141" customWidth="1"/>
    <col min="5377" max="5377" width="8.81640625" style="141" customWidth="1"/>
    <col min="5378" max="5379" width="12.81640625" style="141" customWidth="1"/>
    <col min="5380" max="5380" width="8.81640625" style="141" customWidth="1"/>
    <col min="5381" max="5382" width="12.81640625" style="141" customWidth="1"/>
    <col min="5383" max="5383" width="8.81640625" style="141" customWidth="1"/>
    <col min="5384" max="5385" width="12.81640625" style="141" customWidth="1"/>
    <col min="5386" max="5386" width="8.81640625" style="141" customWidth="1"/>
    <col min="5387" max="5388" width="12.81640625" style="141" customWidth="1"/>
    <col min="5389" max="5389" width="8.81640625" style="141" customWidth="1"/>
    <col min="5390" max="5390" width="14" style="141" bestFit="1" customWidth="1"/>
    <col min="5391" max="5391" width="12.81640625" style="141" customWidth="1"/>
    <col min="5392" max="5392" width="8.81640625" style="141" customWidth="1"/>
    <col min="5393" max="5394" width="12.81640625" style="141" customWidth="1"/>
    <col min="5395" max="5395" width="8.81640625" style="141" customWidth="1"/>
    <col min="5396" max="5396" width="5.1796875" style="141" customWidth="1"/>
    <col min="5397" max="5397" width="4.54296875" style="141" customWidth="1"/>
    <col min="5398" max="5602" width="9.1796875" style="141"/>
    <col min="5603" max="5603" width="12.81640625" style="141" customWidth="1"/>
    <col min="5604" max="5604" width="1" style="141" customWidth="1"/>
    <col min="5605" max="5606" width="12.81640625" style="141" customWidth="1"/>
    <col min="5607" max="5607" width="8.81640625" style="141" customWidth="1"/>
    <col min="5608" max="5609" width="12.81640625" style="141" customWidth="1"/>
    <col min="5610" max="5610" width="8.81640625" style="141" customWidth="1"/>
    <col min="5611" max="5612" width="12.81640625" style="141" customWidth="1"/>
    <col min="5613" max="5613" width="8.81640625" style="141" customWidth="1"/>
    <col min="5614" max="5615" width="12.81640625" style="141" customWidth="1"/>
    <col min="5616" max="5616" width="8.81640625" style="141" customWidth="1"/>
    <col min="5617" max="5618" width="12.81640625" style="141" customWidth="1"/>
    <col min="5619" max="5619" width="8.81640625" style="141" customWidth="1"/>
    <col min="5620" max="5621" width="12.81640625" style="141" customWidth="1"/>
    <col min="5622" max="5622" width="8.81640625" style="141" customWidth="1"/>
    <col min="5623" max="5624" width="12.81640625" style="141" customWidth="1"/>
    <col min="5625" max="5625" width="8.81640625" style="141" customWidth="1"/>
    <col min="5626" max="5626" width="3.81640625" style="141" customWidth="1"/>
    <col min="5627" max="5627" width="3.1796875" style="141" customWidth="1"/>
    <col min="5628" max="5628" width="9.1796875" style="141"/>
    <col min="5629" max="5629" width="12.1796875" style="141" customWidth="1"/>
    <col min="5630" max="5630" width="1.1796875" style="141" customWidth="1"/>
    <col min="5631" max="5632" width="12.81640625" style="141" customWidth="1"/>
    <col min="5633" max="5633" width="8.81640625" style="141" customWidth="1"/>
    <col min="5634" max="5635" width="12.81640625" style="141" customWidth="1"/>
    <col min="5636" max="5636" width="8.81640625" style="141" customWidth="1"/>
    <col min="5637" max="5638" width="12.81640625" style="141" customWidth="1"/>
    <col min="5639" max="5639" width="8.81640625" style="141" customWidth="1"/>
    <col min="5640" max="5641" width="12.81640625" style="141" customWidth="1"/>
    <col min="5642" max="5642" width="8.81640625" style="141" customWidth="1"/>
    <col min="5643" max="5644" width="12.81640625" style="141" customWidth="1"/>
    <col min="5645" max="5645" width="8.81640625" style="141" customWidth="1"/>
    <col min="5646" max="5646" width="14" style="141" bestFit="1" customWidth="1"/>
    <col min="5647" max="5647" width="12.81640625" style="141" customWidth="1"/>
    <col min="5648" max="5648" width="8.81640625" style="141" customWidth="1"/>
    <col min="5649" max="5650" width="12.81640625" style="141" customWidth="1"/>
    <col min="5651" max="5651" width="8.81640625" style="141" customWidth="1"/>
    <col min="5652" max="5652" width="5.1796875" style="141" customWidth="1"/>
    <col min="5653" max="5653" width="4.54296875" style="141" customWidth="1"/>
    <col min="5654" max="5858" width="9.1796875" style="141"/>
    <col min="5859" max="5859" width="12.81640625" style="141" customWidth="1"/>
    <col min="5860" max="5860" width="1" style="141" customWidth="1"/>
    <col min="5861" max="5862" width="12.81640625" style="141" customWidth="1"/>
    <col min="5863" max="5863" width="8.81640625" style="141" customWidth="1"/>
    <col min="5864" max="5865" width="12.81640625" style="141" customWidth="1"/>
    <col min="5866" max="5866" width="8.81640625" style="141" customWidth="1"/>
    <col min="5867" max="5868" width="12.81640625" style="141" customWidth="1"/>
    <col min="5869" max="5869" width="8.81640625" style="141" customWidth="1"/>
    <col min="5870" max="5871" width="12.81640625" style="141" customWidth="1"/>
    <col min="5872" max="5872" width="8.81640625" style="141" customWidth="1"/>
    <col min="5873" max="5874" width="12.81640625" style="141" customWidth="1"/>
    <col min="5875" max="5875" width="8.81640625" style="141" customWidth="1"/>
    <col min="5876" max="5877" width="12.81640625" style="141" customWidth="1"/>
    <col min="5878" max="5878" width="8.81640625" style="141" customWidth="1"/>
    <col min="5879" max="5880" width="12.81640625" style="141" customWidth="1"/>
    <col min="5881" max="5881" width="8.81640625" style="141" customWidth="1"/>
    <col min="5882" max="5882" width="3.81640625" style="141" customWidth="1"/>
    <col min="5883" max="5883" width="3.1796875" style="141" customWidth="1"/>
    <col min="5884" max="5884" width="9.1796875" style="141"/>
    <col min="5885" max="5885" width="12.1796875" style="141" customWidth="1"/>
    <col min="5886" max="5886" width="1.1796875" style="141" customWidth="1"/>
    <col min="5887" max="5888" width="12.81640625" style="141" customWidth="1"/>
    <col min="5889" max="5889" width="8.81640625" style="141" customWidth="1"/>
    <col min="5890" max="5891" width="12.81640625" style="141" customWidth="1"/>
    <col min="5892" max="5892" width="8.81640625" style="141" customWidth="1"/>
    <col min="5893" max="5894" width="12.81640625" style="141" customWidth="1"/>
    <col min="5895" max="5895" width="8.81640625" style="141" customWidth="1"/>
    <col min="5896" max="5897" width="12.81640625" style="141" customWidth="1"/>
    <col min="5898" max="5898" width="8.81640625" style="141" customWidth="1"/>
    <col min="5899" max="5900" width="12.81640625" style="141" customWidth="1"/>
    <col min="5901" max="5901" width="8.81640625" style="141" customWidth="1"/>
    <col min="5902" max="5902" width="14" style="141" bestFit="1" customWidth="1"/>
    <col min="5903" max="5903" width="12.81640625" style="141" customWidth="1"/>
    <col min="5904" max="5904" width="8.81640625" style="141" customWidth="1"/>
    <col min="5905" max="5906" width="12.81640625" style="141" customWidth="1"/>
    <col min="5907" max="5907" width="8.81640625" style="141" customWidth="1"/>
    <col min="5908" max="5908" width="5.1796875" style="141" customWidth="1"/>
    <col min="5909" max="5909" width="4.54296875" style="141" customWidth="1"/>
    <col min="5910" max="6114" width="9.1796875" style="141"/>
    <col min="6115" max="6115" width="12.81640625" style="141" customWidth="1"/>
    <col min="6116" max="6116" width="1" style="141" customWidth="1"/>
    <col min="6117" max="6118" width="12.81640625" style="141" customWidth="1"/>
    <col min="6119" max="6119" width="8.81640625" style="141" customWidth="1"/>
    <col min="6120" max="6121" width="12.81640625" style="141" customWidth="1"/>
    <col min="6122" max="6122" width="8.81640625" style="141" customWidth="1"/>
    <col min="6123" max="6124" width="12.81640625" style="141" customWidth="1"/>
    <col min="6125" max="6125" width="8.81640625" style="141" customWidth="1"/>
    <col min="6126" max="6127" width="12.81640625" style="141" customWidth="1"/>
    <col min="6128" max="6128" width="8.81640625" style="141" customWidth="1"/>
    <col min="6129" max="6130" width="12.81640625" style="141" customWidth="1"/>
    <col min="6131" max="6131" width="8.81640625" style="141" customWidth="1"/>
    <col min="6132" max="6133" width="12.81640625" style="141" customWidth="1"/>
    <col min="6134" max="6134" width="8.81640625" style="141" customWidth="1"/>
    <col min="6135" max="6136" width="12.81640625" style="141" customWidth="1"/>
    <col min="6137" max="6137" width="8.81640625" style="141" customWidth="1"/>
    <col min="6138" max="6138" width="3.81640625" style="141" customWidth="1"/>
    <col min="6139" max="6139" width="3.1796875" style="141" customWidth="1"/>
    <col min="6140" max="6140" width="9.1796875" style="141"/>
    <col min="6141" max="6141" width="12.1796875" style="141" customWidth="1"/>
    <col min="6142" max="6142" width="1.1796875" style="141" customWidth="1"/>
    <col min="6143" max="6144" width="12.81640625" style="141" customWidth="1"/>
    <col min="6145" max="6145" width="8.81640625" style="141" customWidth="1"/>
    <col min="6146" max="6147" width="12.81640625" style="141" customWidth="1"/>
    <col min="6148" max="6148" width="8.81640625" style="141" customWidth="1"/>
    <col min="6149" max="6150" width="12.81640625" style="141" customWidth="1"/>
    <col min="6151" max="6151" width="8.81640625" style="141" customWidth="1"/>
    <col min="6152" max="6153" width="12.81640625" style="141" customWidth="1"/>
    <col min="6154" max="6154" width="8.81640625" style="141" customWidth="1"/>
    <col min="6155" max="6156" width="12.81640625" style="141" customWidth="1"/>
    <col min="6157" max="6157" width="8.81640625" style="141" customWidth="1"/>
    <col min="6158" max="6158" width="14" style="141" bestFit="1" customWidth="1"/>
    <col min="6159" max="6159" width="12.81640625" style="141" customWidth="1"/>
    <col min="6160" max="6160" width="8.81640625" style="141" customWidth="1"/>
    <col min="6161" max="6162" width="12.81640625" style="141" customWidth="1"/>
    <col min="6163" max="6163" width="8.81640625" style="141" customWidth="1"/>
    <col min="6164" max="6164" width="5.1796875" style="141" customWidth="1"/>
    <col min="6165" max="6165" width="4.54296875" style="141" customWidth="1"/>
    <col min="6166" max="6370" width="9.1796875" style="141"/>
    <col min="6371" max="6371" width="12.81640625" style="141" customWidth="1"/>
    <col min="6372" max="6372" width="1" style="141" customWidth="1"/>
    <col min="6373" max="6374" width="12.81640625" style="141" customWidth="1"/>
    <col min="6375" max="6375" width="8.81640625" style="141" customWidth="1"/>
    <col min="6376" max="6377" width="12.81640625" style="141" customWidth="1"/>
    <col min="6378" max="6378" width="8.81640625" style="141" customWidth="1"/>
    <col min="6379" max="6380" width="12.81640625" style="141" customWidth="1"/>
    <col min="6381" max="6381" width="8.81640625" style="141" customWidth="1"/>
    <col min="6382" max="6383" width="12.81640625" style="141" customWidth="1"/>
    <col min="6384" max="6384" width="8.81640625" style="141" customWidth="1"/>
    <col min="6385" max="6386" width="12.81640625" style="141" customWidth="1"/>
    <col min="6387" max="6387" width="8.81640625" style="141" customWidth="1"/>
    <col min="6388" max="6389" width="12.81640625" style="141" customWidth="1"/>
    <col min="6390" max="6390" width="8.81640625" style="141" customWidth="1"/>
    <col min="6391" max="6392" width="12.81640625" style="141" customWidth="1"/>
    <col min="6393" max="6393" width="8.81640625" style="141" customWidth="1"/>
    <col min="6394" max="6394" width="3.81640625" style="141" customWidth="1"/>
    <col min="6395" max="6395" width="3.1796875" style="141" customWidth="1"/>
    <col min="6396" max="6396" width="9.1796875" style="141"/>
    <col min="6397" max="6397" width="12.1796875" style="141" customWidth="1"/>
    <col min="6398" max="6398" width="1.1796875" style="141" customWidth="1"/>
    <col min="6399" max="6400" width="12.81640625" style="141" customWidth="1"/>
    <col min="6401" max="6401" width="8.81640625" style="141" customWidth="1"/>
    <col min="6402" max="6403" width="12.81640625" style="141" customWidth="1"/>
    <col min="6404" max="6404" width="8.81640625" style="141" customWidth="1"/>
    <col min="6405" max="6406" width="12.81640625" style="141" customWidth="1"/>
    <col min="6407" max="6407" width="8.81640625" style="141" customWidth="1"/>
    <col min="6408" max="6409" width="12.81640625" style="141" customWidth="1"/>
    <col min="6410" max="6410" width="8.81640625" style="141" customWidth="1"/>
    <col min="6411" max="6412" width="12.81640625" style="141" customWidth="1"/>
    <col min="6413" max="6413" width="8.81640625" style="141" customWidth="1"/>
    <col min="6414" max="6414" width="14" style="141" bestFit="1" customWidth="1"/>
    <col min="6415" max="6415" width="12.81640625" style="141" customWidth="1"/>
    <col min="6416" max="6416" width="8.81640625" style="141" customWidth="1"/>
    <col min="6417" max="6418" width="12.81640625" style="141" customWidth="1"/>
    <col min="6419" max="6419" width="8.81640625" style="141" customWidth="1"/>
    <col min="6420" max="6420" width="5.1796875" style="141" customWidth="1"/>
    <col min="6421" max="6421" width="4.54296875" style="141" customWidth="1"/>
    <col min="6422" max="6626" width="9.1796875" style="141"/>
    <col min="6627" max="6627" width="12.81640625" style="141" customWidth="1"/>
    <col min="6628" max="6628" width="1" style="141" customWidth="1"/>
    <col min="6629" max="6630" width="12.81640625" style="141" customWidth="1"/>
    <col min="6631" max="6631" width="8.81640625" style="141" customWidth="1"/>
    <col min="6632" max="6633" width="12.81640625" style="141" customWidth="1"/>
    <col min="6634" max="6634" width="8.81640625" style="141" customWidth="1"/>
    <col min="6635" max="6636" width="12.81640625" style="141" customWidth="1"/>
    <col min="6637" max="6637" width="8.81640625" style="141" customWidth="1"/>
    <col min="6638" max="6639" width="12.81640625" style="141" customWidth="1"/>
    <col min="6640" max="6640" width="8.81640625" style="141" customWidth="1"/>
    <col min="6641" max="6642" width="12.81640625" style="141" customWidth="1"/>
    <col min="6643" max="6643" width="8.81640625" style="141" customWidth="1"/>
    <col min="6644" max="6645" width="12.81640625" style="141" customWidth="1"/>
    <col min="6646" max="6646" width="8.81640625" style="141" customWidth="1"/>
    <col min="6647" max="6648" width="12.81640625" style="141" customWidth="1"/>
    <col min="6649" max="6649" width="8.81640625" style="141" customWidth="1"/>
    <col min="6650" max="6650" width="3.81640625" style="141" customWidth="1"/>
    <col min="6651" max="6651" width="3.1796875" style="141" customWidth="1"/>
    <col min="6652" max="6652" width="9.1796875" style="141"/>
    <col min="6653" max="6653" width="12.1796875" style="141" customWidth="1"/>
    <col min="6654" max="6654" width="1.1796875" style="141" customWidth="1"/>
    <col min="6655" max="6656" width="12.81640625" style="141" customWidth="1"/>
    <col min="6657" max="6657" width="8.81640625" style="141" customWidth="1"/>
    <col min="6658" max="6659" width="12.81640625" style="141" customWidth="1"/>
    <col min="6660" max="6660" width="8.81640625" style="141" customWidth="1"/>
    <col min="6661" max="6662" width="12.81640625" style="141" customWidth="1"/>
    <col min="6663" max="6663" width="8.81640625" style="141" customWidth="1"/>
    <col min="6664" max="6665" width="12.81640625" style="141" customWidth="1"/>
    <col min="6666" max="6666" width="8.81640625" style="141" customWidth="1"/>
    <col min="6667" max="6668" width="12.81640625" style="141" customWidth="1"/>
    <col min="6669" max="6669" width="8.81640625" style="141" customWidth="1"/>
    <col min="6670" max="6670" width="14" style="141" bestFit="1" customWidth="1"/>
    <col min="6671" max="6671" width="12.81640625" style="141" customWidth="1"/>
    <col min="6672" max="6672" width="8.81640625" style="141" customWidth="1"/>
    <col min="6673" max="6674" width="12.81640625" style="141" customWidth="1"/>
    <col min="6675" max="6675" width="8.81640625" style="141" customWidth="1"/>
    <col min="6676" max="6676" width="5.1796875" style="141" customWidth="1"/>
    <col min="6677" max="6677" width="4.54296875" style="141" customWidth="1"/>
    <col min="6678" max="6882" width="9.1796875" style="141"/>
    <col min="6883" max="6883" width="12.81640625" style="141" customWidth="1"/>
    <col min="6884" max="6884" width="1" style="141" customWidth="1"/>
    <col min="6885" max="6886" width="12.81640625" style="141" customWidth="1"/>
    <col min="6887" max="6887" width="8.81640625" style="141" customWidth="1"/>
    <col min="6888" max="6889" width="12.81640625" style="141" customWidth="1"/>
    <col min="6890" max="6890" width="8.81640625" style="141" customWidth="1"/>
    <col min="6891" max="6892" width="12.81640625" style="141" customWidth="1"/>
    <col min="6893" max="6893" width="8.81640625" style="141" customWidth="1"/>
    <col min="6894" max="6895" width="12.81640625" style="141" customWidth="1"/>
    <col min="6896" max="6896" width="8.81640625" style="141" customWidth="1"/>
    <col min="6897" max="6898" width="12.81640625" style="141" customWidth="1"/>
    <col min="6899" max="6899" width="8.81640625" style="141" customWidth="1"/>
    <col min="6900" max="6901" width="12.81640625" style="141" customWidth="1"/>
    <col min="6902" max="6902" width="8.81640625" style="141" customWidth="1"/>
    <col min="6903" max="6904" width="12.81640625" style="141" customWidth="1"/>
    <col min="6905" max="6905" width="8.81640625" style="141" customWidth="1"/>
    <col min="6906" max="6906" width="3.81640625" style="141" customWidth="1"/>
    <col min="6907" max="6907" width="3.1796875" style="141" customWidth="1"/>
    <col min="6908" max="6908" width="9.1796875" style="141"/>
    <col min="6909" max="6909" width="12.1796875" style="141" customWidth="1"/>
    <col min="6910" max="6910" width="1.1796875" style="141" customWidth="1"/>
    <col min="6911" max="6912" width="12.81640625" style="141" customWidth="1"/>
    <col min="6913" max="6913" width="8.81640625" style="141" customWidth="1"/>
    <col min="6914" max="6915" width="12.81640625" style="141" customWidth="1"/>
    <col min="6916" max="6916" width="8.81640625" style="141" customWidth="1"/>
    <col min="6917" max="6918" width="12.81640625" style="141" customWidth="1"/>
    <col min="6919" max="6919" width="8.81640625" style="141" customWidth="1"/>
    <col min="6920" max="6921" width="12.81640625" style="141" customWidth="1"/>
    <col min="6922" max="6922" width="8.81640625" style="141" customWidth="1"/>
    <col min="6923" max="6924" width="12.81640625" style="141" customWidth="1"/>
    <col min="6925" max="6925" width="8.81640625" style="141" customWidth="1"/>
    <col min="6926" max="6926" width="14" style="141" bestFit="1" customWidth="1"/>
    <col min="6927" max="6927" width="12.81640625" style="141" customWidth="1"/>
    <col min="6928" max="6928" width="8.81640625" style="141" customWidth="1"/>
    <col min="6929" max="6930" width="12.81640625" style="141" customWidth="1"/>
    <col min="6931" max="6931" width="8.81640625" style="141" customWidth="1"/>
    <col min="6932" max="6932" width="5.1796875" style="141" customWidth="1"/>
    <col min="6933" max="6933" width="4.54296875" style="141" customWidth="1"/>
    <col min="6934" max="7138" width="9.1796875" style="141"/>
    <col min="7139" max="7139" width="12.81640625" style="141" customWidth="1"/>
    <col min="7140" max="7140" width="1" style="141" customWidth="1"/>
    <col min="7141" max="7142" width="12.81640625" style="141" customWidth="1"/>
    <col min="7143" max="7143" width="8.81640625" style="141" customWidth="1"/>
    <col min="7144" max="7145" width="12.81640625" style="141" customWidth="1"/>
    <col min="7146" max="7146" width="8.81640625" style="141" customWidth="1"/>
    <col min="7147" max="7148" width="12.81640625" style="141" customWidth="1"/>
    <col min="7149" max="7149" width="8.81640625" style="141" customWidth="1"/>
    <col min="7150" max="7151" width="12.81640625" style="141" customWidth="1"/>
    <col min="7152" max="7152" width="8.81640625" style="141" customWidth="1"/>
    <col min="7153" max="7154" width="12.81640625" style="141" customWidth="1"/>
    <col min="7155" max="7155" width="8.81640625" style="141" customWidth="1"/>
    <col min="7156" max="7157" width="12.81640625" style="141" customWidth="1"/>
    <col min="7158" max="7158" width="8.81640625" style="141" customWidth="1"/>
    <col min="7159" max="7160" width="12.81640625" style="141" customWidth="1"/>
    <col min="7161" max="7161" width="8.81640625" style="141" customWidth="1"/>
    <col min="7162" max="7162" width="3.81640625" style="141" customWidth="1"/>
    <col min="7163" max="7163" width="3.1796875" style="141" customWidth="1"/>
    <col min="7164" max="7164" width="9.1796875" style="141"/>
    <col min="7165" max="7165" width="12.1796875" style="141" customWidth="1"/>
    <col min="7166" max="7166" width="1.1796875" style="141" customWidth="1"/>
    <col min="7167" max="7168" width="12.81640625" style="141" customWidth="1"/>
    <col min="7169" max="7169" width="8.81640625" style="141" customWidth="1"/>
    <col min="7170" max="7171" width="12.81640625" style="141" customWidth="1"/>
    <col min="7172" max="7172" width="8.81640625" style="141" customWidth="1"/>
    <col min="7173" max="7174" width="12.81640625" style="141" customWidth="1"/>
    <col min="7175" max="7175" width="8.81640625" style="141" customWidth="1"/>
    <col min="7176" max="7177" width="12.81640625" style="141" customWidth="1"/>
    <col min="7178" max="7178" width="8.81640625" style="141" customWidth="1"/>
    <col min="7179" max="7180" width="12.81640625" style="141" customWidth="1"/>
    <col min="7181" max="7181" width="8.81640625" style="141" customWidth="1"/>
    <col min="7182" max="7182" width="14" style="141" bestFit="1" customWidth="1"/>
    <col min="7183" max="7183" width="12.81640625" style="141" customWidth="1"/>
    <col min="7184" max="7184" width="8.81640625" style="141" customWidth="1"/>
    <col min="7185" max="7186" width="12.81640625" style="141" customWidth="1"/>
    <col min="7187" max="7187" width="8.81640625" style="141" customWidth="1"/>
    <col min="7188" max="7188" width="5.1796875" style="141" customWidth="1"/>
    <col min="7189" max="7189" width="4.54296875" style="141" customWidth="1"/>
    <col min="7190" max="7394" width="9.1796875" style="141"/>
    <col min="7395" max="7395" width="12.81640625" style="141" customWidth="1"/>
    <col min="7396" max="7396" width="1" style="141" customWidth="1"/>
    <col min="7397" max="7398" width="12.81640625" style="141" customWidth="1"/>
    <col min="7399" max="7399" width="8.81640625" style="141" customWidth="1"/>
    <col min="7400" max="7401" width="12.81640625" style="141" customWidth="1"/>
    <col min="7402" max="7402" width="8.81640625" style="141" customWidth="1"/>
    <col min="7403" max="7404" width="12.81640625" style="141" customWidth="1"/>
    <col min="7405" max="7405" width="8.81640625" style="141" customWidth="1"/>
    <col min="7406" max="7407" width="12.81640625" style="141" customWidth="1"/>
    <col min="7408" max="7408" width="8.81640625" style="141" customWidth="1"/>
    <col min="7409" max="7410" width="12.81640625" style="141" customWidth="1"/>
    <col min="7411" max="7411" width="8.81640625" style="141" customWidth="1"/>
    <col min="7412" max="7413" width="12.81640625" style="141" customWidth="1"/>
    <col min="7414" max="7414" width="8.81640625" style="141" customWidth="1"/>
    <col min="7415" max="7416" width="12.81640625" style="141" customWidth="1"/>
    <col min="7417" max="7417" width="8.81640625" style="141" customWidth="1"/>
    <col min="7418" max="7418" width="3.81640625" style="141" customWidth="1"/>
    <col min="7419" max="7419" width="3.1796875" style="141" customWidth="1"/>
    <col min="7420" max="7420" width="9.1796875" style="141"/>
    <col min="7421" max="7421" width="12.1796875" style="141" customWidth="1"/>
    <col min="7422" max="7422" width="1.1796875" style="141" customWidth="1"/>
    <col min="7423" max="7424" width="12.81640625" style="141" customWidth="1"/>
    <col min="7425" max="7425" width="8.81640625" style="141" customWidth="1"/>
    <col min="7426" max="7427" width="12.81640625" style="141" customWidth="1"/>
    <col min="7428" max="7428" width="8.81640625" style="141" customWidth="1"/>
    <col min="7429" max="7430" width="12.81640625" style="141" customWidth="1"/>
    <col min="7431" max="7431" width="8.81640625" style="141" customWidth="1"/>
    <col min="7432" max="7433" width="12.81640625" style="141" customWidth="1"/>
    <col min="7434" max="7434" width="8.81640625" style="141" customWidth="1"/>
    <col min="7435" max="7436" width="12.81640625" style="141" customWidth="1"/>
    <col min="7437" max="7437" width="8.81640625" style="141" customWidth="1"/>
    <col min="7438" max="7438" width="14" style="141" bestFit="1" customWidth="1"/>
    <col min="7439" max="7439" width="12.81640625" style="141" customWidth="1"/>
    <col min="7440" max="7440" width="8.81640625" style="141" customWidth="1"/>
    <col min="7441" max="7442" width="12.81640625" style="141" customWidth="1"/>
    <col min="7443" max="7443" width="8.81640625" style="141" customWidth="1"/>
    <col min="7444" max="7444" width="5.1796875" style="141" customWidth="1"/>
    <col min="7445" max="7445" width="4.54296875" style="141" customWidth="1"/>
    <col min="7446" max="7650" width="9.1796875" style="141"/>
    <col min="7651" max="7651" width="12.81640625" style="141" customWidth="1"/>
    <col min="7652" max="7652" width="1" style="141" customWidth="1"/>
    <col min="7653" max="7654" width="12.81640625" style="141" customWidth="1"/>
    <col min="7655" max="7655" width="8.81640625" style="141" customWidth="1"/>
    <col min="7656" max="7657" width="12.81640625" style="141" customWidth="1"/>
    <col min="7658" max="7658" width="8.81640625" style="141" customWidth="1"/>
    <col min="7659" max="7660" width="12.81640625" style="141" customWidth="1"/>
    <col min="7661" max="7661" width="8.81640625" style="141" customWidth="1"/>
    <col min="7662" max="7663" width="12.81640625" style="141" customWidth="1"/>
    <col min="7664" max="7664" width="8.81640625" style="141" customWidth="1"/>
    <col min="7665" max="7666" width="12.81640625" style="141" customWidth="1"/>
    <col min="7667" max="7667" width="8.81640625" style="141" customWidth="1"/>
    <col min="7668" max="7669" width="12.81640625" style="141" customWidth="1"/>
    <col min="7670" max="7670" width="8.81640625" style="141" customWidth="1"/>
    <col min="7671" max="7672" width="12.81640625" style="141" customWidth="1"/>
    <col min="7673" max="7673" width="8.81640625" style="141" customWidth="1"/>
    <col min="7674" max="7674" width="3.81640625" style="141" customWidth="1"/>
    <col min="7675" max="7675" width="3.1796875" style="141" customWidth="1"/>
    <col min="7676" max="7676" width="9.1796875" style="141"/>
    <col min="7677" max="7677" width="12.1796875" style="141" customWidth="1"/>
    <col min="7678" max="7678" width="1.1796875" style="141" customWidth="1"/>
    <col min="7679" max="7680" width="12.81640625" style="141" customWidth="1"/>
    <col min="7681" max="7681" width="8.81640625" style="141" customWidth="1"/>
    <col min="7682" max="7683" width="12.81640625" style="141" customWidth="1"/>
    <col min="7684" max="7684" width="8.81640625" style="141" customWidth="1"/>
    <col min="7685" max="7686" width="12.81640625" style="141" customWidth="1"/>
    <col min="7687" max="7687" width="8.81640625" style="141" customWidth="1"/>
    <col min="7688" max="7689" width="12.81640625" style="141" customWidth="1"/>
    <col min="7690" max="7690" width="8.81640625" style="141" customWidth="1"/>
    <col min="7691" max="7692" width="12.81640625" style="141" customWidth="1"/>
    <col min="7693" max="7693" width="8.81640625" style="141" customWidth="1"/>
    <col min="7694" max="7694" width="14" style="141" bestFit="1" customWidth="1"/>
    <col min="7695" max="7695" width="12.81640625" style="141" customWidth="1"/>
    <col min="7696" max="7696" width="8.81640625" style="141" customWidth="1"/>
    <col min="7697" max="7698" width="12.81640625" style="141" customWidth="1"/>
    <col min="7699" max="7699" width="8.81640625" style="141" customWidth="1"/>
    <col min="7700" max="7700" width="5.1796875" style="141" customWidth="1"/>
    <col min="7701" max="7701" width="4.54296875" style="141" customWidth="1"/>
    <col min="7702" max="7906" width="9.1796875" style="141"/>
    <col min="7907" max="7907" width="12.81640625" style="141" customWidth="1"/>
    <col min="7908" max="7908" width="1" style="141" customWidth="1"/>
    <col min="7909" max="7910" width="12.81640625" style="141" customWidth="1"/>
    <col min="7911" max="7911" width="8.81640625" style="141" customWidth="1"/>
    <col min="7912" max="7913" width="12.81640625" style="141" customWidth="1"/>
    <col min="7914" max="7914" width="8.81640625" style="141" customWidth="1"/>
    <col min="7915" max="7916" width="12.81640625" style="141" customWidth="1"/>
    <col min="7917" max="7917" width="8.81640625" style="141" customWidth="1"/>
    <col min="7918" max="7919" width="12.81640625" style="141" customWidth="1"/>
    <col min="7920" max="7920" width="8.81640625" style="141" customWidth="1"/>
    <col min="7921" max="7922" width="12.81640625" style="141" customWidth="1"/>
    <col min="7923" max="7923" width="8.81640625" style="141" customWidth="1"/>
    <col min="7924" max="7925" width="12.81640625" style="141" customWidth="1"/>
    <col min="7926" max="7926" width="8.81640625" style="141" customWidth="1"/>
    <col min="7927" max="7928" width="12.81640625" style="141" customWidth="1"/>
    <col min="7929" max="7929" width="8.81640625" style="141" customWidth="1"/>
    <col min="7930" max="7930" width="3.81640625" style="141" customWidth="1"/>
    <col min="7931" max="7931" width="3.1796875" style="141" customWidth="1"/>
    <col min="7932" max="7932" width="9.1796875" style="141"/>
    <col min="7933" max="7933" width="12.1796875" style="141" customWidth="1"/>
    <col min="7934" max="7934" width="1.1796875" style="141" customWidth="1"/>
    <col min="7935" max="7936" width="12.81640625" style="141" customWidth="1"/>
    <col min="7937" max="7937" width="8.81640625" style="141" customWidth="1"/>
    <col min="7938" max="7939" width="12.81640625" style="141" customWidth="1"/>
    <col min="7940" max="7940" width="8.81640625" style="141" customWidth="1"/>
    <col min="7941" max="7942" width="12.81640625" style="141" customWidth="1"/>
    <col min="7943" max="7943" width="8.81640625" style="141" customWidth="1"/>
    <col min="7944" max="7945" width="12.81640625" style="141" customWidth="1"/>
    <col min="7946" max="7946" width="8.81640625" style="141" customWidth="1"/>
    <col min="7947" max="7948" width="12.81640625" style="141" customWidth="1"/>
    <col min="7949" max="7949" width="8.81640625" style="141" customWidth="1"/>
    <col min="7950" max="7950" width="14" style="141" bestFit="1" customWidth="1"/>
    <col min="7951" max="7951" width="12.81640625" style="141" customWidth="1"/>
    <col min="7952" max="7952" width="8.81640625" style="141" customWidth="1"/>
    <col min="7953" max="7954" width="12.81640625" style="141" customWidth="1"/>
    <col min="7955" max="7955" width="8.81640625" style="141" customWidth="1"/>
    <col min="7956" max="7956" width="5.1796875" style="141" customWidth="1"/>
    <col min="7957" max="7957" width="4.54296875" style="141" customWidth="1"/>
    <col min="7958" max="8162" width="9.1796875" style="141"/>
    <col min="8163" max="8163" width="12.81640625" style="141" customWidth="1"/>
    <col min="8164" max="8164" width="1" style="141" customWidth="1"/>
    <col min="8165" max="8166" width="12.81640625" style="141" customWidth="1"/>
    <col min="8167" max="8167" width="8.81640625" style="141" customWidth="1"/>
    <col min="8168" max="8169" width="12.81640625" style="141" customWidth="1"/>
    <col min="8170" max="8170" width="8.81640625" style="141" customWidth="1"/>
    <col min="8171" max="8172" width="12.81640625" style="141" customWidth="1"/>
    <col min="8173" max="8173" width="8.81640625" style="141" customWidth="1"/>
    <col min="8174" max="8175" width="12.81640625" style="141" customWidth="1"/>
    <col min="8176" max="8176" width="8.81640625" style="141" customWidth="1"/>
    <col min="8177" max="8178" width="12.81640625" style="141" customWidth="1"/>
    <col min="8179" max="8179" width="8.81640625" style="141" customWidth="1"/>
    <col min="8180" max="8181" width="12.81640625" style="141" customWidth="1"/>
    <col min="8182" max="8182" width="8.81640625" style="141" customWidth="1"/>
    <col min="8183" max="8184" width="12.81640625" style="141" customWidth="1"/>
    <col min="8185" max="8185" width="8.81640625" style="141" customWidth="1"/>
    <col min="8186" max="8186" width="3.81640625" style="141" customWidth="1"/>
    <col min="8187" max="8187" width="3.1796875" style="141" customWidth="1"/>
    <col min="8188" max="8188" width="9.1796875" style="141"/>
    <col min="8189" max="8189" width="12.1796875" style="141" customWidth="1"/>
    <col min="8190" max="8190" width="1.1796875" style="141" customWidth="1"/>
    <col min="8191" max="8192" width="12.81640625" style="141" customWidth="1"/>
    <col min="8193" max="8193" width="8.81640625" style="141" customWidth="1"/>
    <col min="8194" max="8195" width="12.81640625" style="141" customWidth="1"/>
    <col min="8196" max="8196" width="8.81640625" style="141" customWidth="1"/>
    <col min="8197" max="8198" width="12.81640625" style="141" customWidth="1"/>
    <col min="8199" max="8199" width="8.81640625" style="141" customWidth="1"/>
    <col min="8200" max="8201" width="12.81640625" style="141" customWidth="1"/>
    <col min="8202" max="8202" width="8.81640625" style="141" customWidth="1"/>
    <col min="8203" max="8204" width="12.81640625" style="141" customWidth="1"/>
    <col min="8205" max="8205" width="8.81640625" style="141" customWidth="1"/>
    <col min="8206" max="8206" width="14" style="141" bestFit="1" customWidth="1"/>
    <col min="8207" max="8207" width="12.81640625" style="141" customWidth="1"/>
    <col min="8208" max="8208" width="8.81640625" style="141" customWidth="1"/>
    <col min="8209" max="8210" width="12.81640625" style="141" customWidth="1"/>
    <col min="8211" max="8211" width="8.81640625" style="141" customWidth="1"/>
    <col min="8212" max="8212" width="5.1796875" style="141" customWidth="1"/>
    <col min="8213" max="8213" width="4.54296875" style="141" customWidth="1"/>
    <col min="8214" max="8418" width="9.1796875" style="141"/>
    <col min="8419" max="8419" width="12.81640625" style="141" customWidth="1"/>
    <col min="8420" max="8420" width="1" style="141" customWidth="1"/>
    <col min="8421" max="8422" width="12.81640625" style="141" customWidth="1"/>
    <col min="8423" max="8423" width="8.81640625" style="141" customWidth="1"/>
    <col min="8424" max="8425" width="12.81640625" style="141" customWidth="1"/>
    <col min="8426" max="8426" width="8.81640625" style="141" customWidth="1"/>
    <col min="8427" max="8428" width="12.81640625" style="141" customWidth="1"/>
    <col min="8429" max="8429" width="8.81640625" style="141" customWidth="1"/>
    <col min="8430" max="8431" width="12.81640625" style="141" customWidth="1"/>
    <col min="8432" max="8432" width="8.81640625" style="141" customWidth="1"/>
    <col min="8433" max="8434" width="12.81640625" style="141" customWidth="1"/>
    <col min="8435" max="8435" width="8.81640625" style="141" customWidth="1"/>
    <col min="8436" max="8437" width="12.81640625" style="141" customWidth="1"/>
    <col min="8438" max="8438" width="8.81640625" style="141" customWidth="1"/>
    <col min="8439" max="8440" width="12.81640625" style="141" customWidth="1"/>
    <col min="8441" max="8441" width="8.81640625" style="141" customWidth="1"/>
    <col min="8442" max="8442" width="3.81640625" style="141" customWidth="1"/>
    <col min="8443" max="8443" width="3.1796875" style="141" customWidth="1"/>
    <col min="8444" max="8444" width="9.1796875" style="141"/>
    <col min="8445" max="8445" width="12.1796875" style="141" customWidth="1"/>
    <col min="8446" max="8446" width="1.1796875" style="141" customWidth="1"/>
    <col min="8447" max="8448" width="12.81640625" style="141" customWidth="1"/>
    <col min="8449" max="8449" width="8.81640625" style="141" customWidth="1"/>
    <col min="8450" max="8451" width="12.81640625" style="141" customWidth="1"/>
    <col min="8452" max="8452" width="8.81640625" style="141" customWidth="1"/>
    <col min="8453" max="8454" width="12.81640625" style="141" customWidth="1"/>
    <col min="8455" max="8455" width="8.81640625" style="141" customWidth="1"/>
    <col min="8456" max="8457" width="12.81640625" style="141" customWidth="1"/>
    <col min="8458" max="8458" width="8.81640625" style="141" customWidth="1"/>
    <col min="8459" max="8460" width="12.81640625" style="141" customWidth="1"/>
    <col min="8461" max="8461" width="8.81640625" style="141" customWidth="1"/>
    <col min="8462" max="8462" width="14" style="141" bestFit="1" customWidth="1"/>
    <col min="8463" max="8463" width="12.81640625" style="141" customWidth="1"/>
    <col min="8464" max="8464" width="8.81640625" style="141" customWidth="1"/>
    <col min="8465" max="8466" width="12.81640625" style="141" customWidth="1"/>
    <col min="8467" max="8467" width="8.81640625" style="141" customWidth="1"/>
    <col min="8468" max="8468" width="5.1796875" style="141" customWidth="1"/>
    <col min="8469" max="8469" width="4.54296875" style="141" customWidth="1"/>
    <col min="8470" max="8674" width="9.1796875" style="141"/>
    <col min="8675" max="8675" width="12.81640625" style="141" customWidth="1"/>
    <col min="8676" max="8676" width="1" style="141" customWidth="1"/>
    <col min="8677" max="8678" width="12.81640625" style="141" customWidth="1"/>
    <col min="8679" max="8679" width="8.81640625" style="141" customWidth="1"/>
    <col min="8680" max="8681" width="12.81640625" style="141" customWidth="1"/>
    <col min="8682" max="8682" width="8.81640625" style="141" customWidth="1"/>
    <col min="8683" max="8684" width="12.81640625" style="141" customWidth="1"/>
    <col min="8685" max="8685" width="8.81640625" style="141" customWidth="1"/>
    <col min="8686" max="8687" width="12.81640625" style="141" customWidth="1"/>
    <col min="8688" max="8688" width="8.81640625" style="141" customWidth="1"/>
    <col min="8689" max="8690" width="12.81640625" style="141" customWidth="1"/>
    <col min="8691" max="8691" width="8.81640625" style="141" customWidth="1"/>
    <col min="8692" max="8693" width="12.81640625" style="141" customWidth="1"/>
    <col min="8694" max="8694" width="8.81640625" style="141" customWidth="1"/>
    <col min="8695" max="8696" width="12.81640625" style="141" customWidth="1"/>
    <col min="8697" max="8697" width="8.81640625" style="141" customWidth="1"/>
    <col min="8698" max="8698" width="3.81640625" style="141" customWidth="1"/>
    <col min="8699" max="8699" width="3.1796875" style="141" customWidth="1"/>
    <col min="8700" max="8700" width="9.1796875" style="141"/>
    <col min="8701" max="8701" width="12.1796875" style="141" customWidth="1"/>
    <col min="8702" max="8702" width="1.1796875" style="141" customWidth="1"/>
    <col min="8703" max="8704" width="12.81640625" style="141" customWidth="1"/>
    <col min="8705" max="8705" width="8.81640625" style="141" customWidth="1"/>
    <col min="8706" max="8707" width="12.81640625" style="141" customWidth="1"/>
    <col min="8708" max="8708" width="8.81640625" style="141" customWidth="1"/>
    <col min="8709" max="8710" width="12.81640625" style="141" customWidth="1"/>
    <col min="8711" max="8711" width="8.81640625" style="141" customWidth="1"/>
    <col min="8712" max="8713" width="12.81640625" style="141" customWidth="1"/>
    <col min="8714" max="8714" width="8.81640625" style="141" customWidth="1"/>
    <col min="8715" max="8716" width="12.81640625" style="141" customWidth="1"/>
    <col min="8717" max="8717" width="8.81640625" style="141" customWidth="1"/>
    <col min="8718" max="8718" width="14" style="141" bestFit="1" customWidth="1"/>
    <col min="8719" max="8719" width="12.81640625" style="141" customWidth="1"/>
    <col min="8720" max="8720" width="8.81640625" style="141" customWidth="1"/>
    <col min="8721" max="8722" width="12.81640625" style="141" customWidth="1"/>
    <col min="8723" max="8723" width="8.81640625" style="141" customWidth="1"/>
    <col min="8724" max="8724" width="5.1796875" style="141" customWidth="1"/>
    <col min="8725" max="8725" width="4.54296875" style="141" customWidth="1"/>
    <col min="8726" max="8930" width="9.1796875" style="141"/>
    <col min="8931" max="8931" width="12.81640625" style="141" customWidth="1"/>
    <col min="8932" max="8932" width="1" style="141" customWidth="1"/>
    <col min="8933" max="8934" width="12.81640625" style="141" customWidth="1"/>
    <col min="8935" max="8935" width="8.81640625" style="141" customWidth="1"/>
    <col min="8936" max="8937" width="12.81640625" style="141" customWidth="1"/>
    <col min="8938" max="8938" width="8.81640625" style="141" customWidth="1"/>
    <col min="8939" max="8940" width="12.81640625" style="141" customWidth="1"/>
    <col min="8941" max="8941" width="8.81640625" style="141" customWidth="1"/>
    <col min="8942" max="8943" width="12.81640625" style="141" customWidth="1"/>
    <col min="8944" max="8944" width="8.81640625" style="141" customWidth="1"/>
    <col min="8945" max="8946" width="12.81640625" style="141" customWidth="1"/>
    <col min="8947" max="8947" width="8.81640625" style="141" customWidth="1"/>
    <col min="8948" max="8949" width="12.81640625" style="141" customWidth="1"/>
    <col min="8950" max="8950" width="8.81640625" style="141" customWidth="1"/>
    <col min="8951" max="8952" width="12.81640625" style="141" customWidth="1"/>
    <col min="8953" max="8953" width="8.81640625" style="141" customWidth="1"/>
    <col min="8954" max="8954" width="3.81640625" style="141" customWidth="1"/>
    <col min="8955" max="8955" width="3.1796875" style="141" customWidth="1"/>
    <col min="8956" max="8956" width="9.1796875" style="141"/>
    <col min="8957" max="8957" width="12.1796875" style="141" customWidth="1"/>
    <col min="8958" max="8958" width="1.1796875" style="141" customWidth="1"/>
    <col min="8959" max="8960" width="12.81640625" style="141" customWidth="1"/>
    <col min="8961" max="8961" width="8.81640625" style="141" customWidth="1"/>
    <col min="8962" max="8963" width="12.81640625" style="141" customWidth="1"/>
    <col min="8964" max="8964" width="8.81640625" style="141" customWidth="1"/>
    <col min="8965" max="8966" width="12.81640625" style="141" customWidth="1"/>
    <col min="8967" max="8967" width="8.81640625" style="141" customWidth="1"/>
    <col min="8968" max="8969" width="12.81640625" style="141" customWidth="1"/>
    <col min="8970" max="8970" width="8.81640625" style="141" customWidth="1"/>
    <col min="8971" max="8972" width="12.81640625" style="141" customWidth="1"/>
    <col min="8973" max="8973" width="8.81640625" style="141" customWidth="1"/>
    <col min="8974" max="8974" width="14" style="141" bestFit="1" customWidth="1"/>
    <col min="8975" max="8975" width="12.81640625" style="141" customWidth="1"/>
    <col min="8976" max="8976" width="8.81640625" style="141" customWidth="1"/>
    <col min="8977" max="8978" width="12.81640625" style="141" customWidth="1"/>
    <col min="8979" max="8979" width="8.81640625" style="141" customWidth="1"/>
    <col min="8980" max="8980" width="5.1796875" style="141" customWidth="1"/>
    <col min="8981" max="8981" width="4.54296875" style="141" customWidth="1"/>
    <col min="8982" max="9186" width="9.1796875" style="141"/>
    <col min="9187" max="9187" width="12.81640625" style="141" customWidth="1"/>
    <col min="9188" max="9188" width="1" style="141" customWidth="1"/>
    <col min="9189" max="9190" width="12.81640625" style="141" customWidth="1"/>
    <col min="9191" max="9191" width="8.81640625" style="141" customWidth="1"/>
    <col min="9192" max="9193" width="12.81640625" style="141" customWidth="1"/>
    <col min="9194" max="9194" width="8.81640625" style="141" customWidth="1"/>
    <col min="9195" max="9196" width="12.81640625" style="141" customWidth="1"/>
    <col min="9197" max="9197" width="8.81640625" style="141" customWidth="1"/>
    <col min="9198" max="9199" width="12.81640625" style="141" customWidth="1"/>
    <col min="9200" max="9200" width="8.81640625" style="141" customWidth="1"/>
    <col min="9201" max="9202" width="12.81640625" style="141" customWidth="1"/>
    <col min="9203" max="9203" width="8.81640625" style="141" customWidth="1"/>
    <col min="9204" max="9205" width="12.81640625" style="141" customWidth="1"/>
    <col min="9206" max="9206" width="8.81640625" style="141" customWidth="1"/>
    <col min="9207" max="9208" width="12.81640625" style="141" customWidth="1"/>
    <col min="9209" max="9209" width="8.81640625" style="141" customWidth="1"/>
    <col min="9210" max="9210" width="3.81640625" style="141" customWidth="1"/>
    <col min="9211" max="9211" width="3.1796875" style="141" customWidth="1"/>
    <col min="9212" max="9212" width="9.1796875" style="141"/>
    <col min="9213" max="9213" width="12.1796875" style="141" customWidth="1"/>
    <col min="9214" max="9214" width="1.1796875" style="141" customWidth="1"/>
    <col min="9215" max="9216" width="12.81640625" style="141" customWidth="1"/>
    <col min="9217" max="9217" width="8.81640625" style="141" customWidth="1"/>
    <col min="9218" max="9219" width="12.81640625" style="141" customWidth="1"/>
    <col min="9220" max="9220" width="8.81640625" style="141" customWidth="1"/>
    <col min="9221" max="9222" width="12.81640625" style="141" customWidth="1"/>
    <col min="9223" max="9223" width="8.81640625" style="141" customWidth="1"/>
    <col min="9224" max="9225" width="12.81640625" style="141" customWidth="1"/>
    <col min="9226" max="9226" width="8.81640625" style="141" customWidth="1"/>
    <col min="9227" max="9228" width="12.81640625" style="141" customWidth="1"/>
    <col min="9229" max="9229" width="8.81640625" style="141" customWidth="1"/>
    <col min="9230" max="9230" width="14" style="141" bestFit="1" customWidth="1"/>
    <col min="9231" max="9231" width="12.81640625" style="141" customWidth="1"/>
    <col min="9232" max="9232" width="8.81640625" style="141" customWidth="1"/>
    <col min="9233" max="9234" width="12.81640625" style="141" customWidth="1"/>
    <col min="9235" max="9235" width="8.81640625" style="141" customWidth="1"/>
    <col min="9236" max="9236" width="5.1796875" style="141" customWidth="1"/>
    <col min="9237" max="9237" width="4.54296875" style="141" customWidth="1"/>
    <col min="9238" max="9442" width="9.1796875" style="141"/>
    <col min="9443" max="9443" width="12.81640625" style="141" customWidth="1"/>
    <col min="9444" max="9444" width="1" style="141" customWidth="1"/>
    <col min="9445" max="9446" width="12.81640625" style="141" customWidth="1"/>
    <col min="9447" max="9447" width="8.81640625" style="141" customWidth="1"/>
    <col min="9448" max="9449" width="12.81640625" style="141" customWidth="1"/>
    <col min="9450" max="9450" width="8.81640625" style="141" customWidth="1"/>
    <col min="9451" max="9452" width="12.81640625" style="141" customWidth="1"/>
    <col min="9453" max="9453" width="8.81640625" style="141" customWidth="1"/>
    <col min="9454" max="9455" width="12.81640625" style="141" customWidth="1"/>
    <col min="9456" max="9456" width="8.81640625" style="141" customWidth="1"/>
    <col min="9457" max="9458" width="12.81640625" style="141" customWidth="1"/>
    <col min="9459" max="9459" width="8.81640625" style="141" customWidth="1"/>
    <col min="9460" max="9461" width="12.81640625" style="141" customWidth="1"/>
    <col min="9462" max="9462" width="8.81640625" style="141" customWidth="1"/>
    <col min="9463" max="9464" width="12.81640625" style="141" customWidth="1"/>
    <col min="9465" max="9465" width="8.81640625" style="141" customWidth="1"/>
    <col min="9466" max="9466" width="3.81640625" style="141" customWidth="1"/>
    <col min="9467" max="9467" width="3.1796875" style="141" customWidth="1"/>
    <col min="9468" max="9468" width="9.1796875" style="141"/>
    <col min="9469" max="9469" width="12.1796875" style="141" customWidth="1"/>
    <col min="9470" max="9470" width="1.1796875" style="141" customWidth="1"/>
    <col min="9471" max="9472" width="12.81640625" style="141" customWidth="1"/>
    <col min="9473" max="9473" width="8.81640625" style="141" customWidth="1"/>
    <col min="9474" max="9475" width="12.81640625" style="141" customWidth="1"/>
    <col min="9476" max="9476" width="8.81640625" style="141" customWidth="1"/>
    <col min="9477" max="9478" width="12.81640625" style="141" customWidth="1"/>
    <col min="9479" max="9479" width="8.81640625" style="141" customWidth="1"/>
    <col min="9480" max="9481" width="12.81640625" style="141" customWidth="1"/>
    <col min="9482" max="9482" width="8.81640625" style="141" customWidth="1"/>
    <col min="9483" max="9484" width="12.81640625" style="141" customWidth="1"/>
    <col min="9485" max="9485" width="8.81640625" style="141" customWidth="1"/>
    <col min="9486" max="9486" width="14" style="141" bestFit="1" customWidth="1"/>
    <col min="9487" max="9487" width="12.81640625" style="141" customWidth="1"/>
    <col min="9488" max="9488" width="8.81640625" style="141" customWidth="1"/>
    <col min="9489" max="9490" width="12.81640625" style="141" customWidth="1"/>
    <col min="9491" max="9491" width="8.81640625" style="141" customWidth="1"/>
    <col min="9492" max="9492" width="5.1796875" style="141" customWidth="1"/>
    <col min="9493" max="9493" width="4.54296875" style="141" customWidth="1"/>
    <col min="9494" max="9698" width="9.1796875" style="141"/>
    <col min="9699" max="9699" width="12.81640625" style="141" customWidth="1"/>
    <col min="9700" max="9700" width="1" style="141" customWidth="1"/>
    <col min="9701" max="9702" width="12.81640625" style="141" customWidth="1"/>
    <col min="9703" max="9703" width="8.81640625" style="141" customWidth="1"/>
    <col min="9704" max="9705" width="12.81640625" style="141" customWidth="1"/>
    <col min="9706" max="9706" width="8.81640625" style="141" customWidth="1"/>
    <col min="9707" max="9708" width="12.81640625" style="141" customWidth="1"/>
    <col min="9709" max="9709" width="8.81640625" style="141" customWidth="1"/>
    <col min="9710" max="9711" width="12.81640625" style="141" customWidth="1"/>
    <col min="9712" max="9712" width="8.81640625" style="141" customWidth="1"/>
    <col min="9713" max="9714" width="12.81640625" style="141" customWidth="1"/>
    <col min="9715" max="9715" width="8.81640625" style="141" customWidth="1"/>
    <col min="9716" max="9717" width="12.81640625" style="141" customWidth="1"/>
    <col min="9718" max="9718" width="8.81640625" style="141" customWidth="1"/>
    <col min="9719" max="9720" width="12.81640625" style="141" customWidth="1"/>
    <col min="9721" max="9721" width="8.81640625" style="141" customWidth="1"/>
    <col min="9722" max="9722" width="3.81640625" style="141" customWidth="1"/>
    <col min="9723" max="9723" width="3.1796875" style="141" customWidth="1"/>
    <col min="9724" max="9724" width="9.1796875" style="141"/>
    <col min="9725" max="9725" width="12.1796875" style="141" customWidth="1"/>
    <col min="9726" max="9726" width="1.1796875" style="141" customWidth="1"/>
    <col min="9727" max="9728" width="12.81640625" style="141" customWidth="1"/>
    <col min="9729" max="9729" width="8.81640625" style="141" customWidth="1"/>
    <col min="9730" max="9731" width="12.81640625" style="141" customWidth="1"/>
    <col min="9732" max="9732" width="8.81640625" style="141" customWidth="1"/>
    <col min="9733" max="9734" width="12.81640625" style="141" customWidth="1"/>
    <col min="9735" max="9735" width="8.81640625" style="141" customWidth="1"/>
    <col min="9736" max="9737" width="12.81640625" style="141" customWidth="1"/>
    <col min="9738" max="9738" width="8.81640625" style="141" customWidth="1"/>
    <col min="9739" max="9740" width="12.81640625" style="141" customWidth="1"/>
    <col min="9741" max="9741" width="8.81640625" style="141" customWidth="1"/>
    <col min="9742" max="9742" width="14" style="141" bestFit="1" customWidth="1"/>
    <col min="9743" max="9743" width="12.81640625" style="141" customWidth="1"/>
    <col min="9744" max="9744" width="8.81640625" style="141" customWidth="1"/>
    <col min="9745" max="9746" width="12.81640625" style="141" customWidth="1"/>
    <col min="9747" max="9747" width="8.81640625" style="141" customWidth="1"/>
    <col min="9748" max="9748" width="5.1796875" style="141" customWidth="1"/>
    <col min="9749" max="9749" width="4.54296875" style="141" customWidth="1"/>
    <col min="9750" max="9954" width="9.1796875" style="141"/>
    <col min="9955" max="9955" width="12.81640625" style="141" customWidth="1"/>
    <col min="9956" max="9956" width="1" style="141" customWidth="1"/>
    <col min="9957" max="9958" width="12.81640625" style="141" customWidth="1"/>
    <col min="9959" max="9959" width="8.81640625" style="141" customWidth="1"/>
    <col min="9960" max="9961" width="12.81640625" style="141" customWidth="1"/>
    <col min="9962" max="9962" width="8.81640625" style="141" customWidth="1"/>
    <col min="9963" max="9964" width="12.81640625" style="141" customWidth="1"/>
    <col min="9965" max="9965" width="8.81640625" style="141" customWidth="1"/>
    <col min="9966" max="9967" width="12.81640625" style="141" customWidth="1"/>
    <col min="9968" max="9968" width="8.81640625" style="141" customWidth="1"/>
    <col min="9969" max="9970" width="12.81640625" style="141" customWidth="1"/>
    <col min="9971" max="9971" width="8.81640625" style="141" customWidth="1"/>
    <col min="9972" max="9973" width="12.81640625" style="141" customWidth="1"/>
    <col min="9974" max="9974" width="8.81640625" style="141" customWidth="1"/>
    <col min="9975" max="9976" width="12.81640625" style="141" customWidth="1"/>
    <col min="9977" max="9977" width="8.81640625" style="141" customWidth="1"/>
    <col min="9978" max="9978" width="3.81640625" style="141" customWidth="1"/>
    <col min="9979" max="9979" width="3.1796875" style="141" customWidth="1"/>
    <col min="9980" max="9980" width="9.1796875" style="141"/>
    <col min="9981" max="9981" width="12.1796875" style="141" customWidth="1"/>
    <col min="9982" max="9982" width="1.1796875" style="141" customWidth="1"/>
    <col min="9983" max="9984" width="12.81640625" style="141" customWidth="1"/>
    <col min="9985" max="9985" width="8.81640625" style="141" customWidth="1"/>
    <col min="9986" max="9987" width="12.81640625" style="141" customWidth="1"/>
    <col min="9988" max="9988" width="8.81640625" style="141" customWidth="1"/>
    <col min="9989" max="9990" width="12.81640625" style="141" customWidth="1"/>
    <col min="9991" max="9991" width="8.81640625" style="141" customWidth="1"/>
    <col min="9992" max="9993" width="12.81640625" style="141" customWidth="1"/>
    <col min="9994" max="9994" width="8.81640625" style="141" customWidth="1"/>
    <col min="9995" max="9996" width="12.81640625" style="141" customWidth="1"/>
    <col min="9997" max="9997" width="8.81640625" style="141" customWidth="1"/>
    <col min="9998" max="9998" width="14" style="141" bestFit="1" customWidth="1"/>
    <col min="9999" max="9999" width="12.81640625" style="141" customWidth="1"/>
    <col min="10000" max="10000" width="8.81640625" style="141" customWidth="1"/>
    <col min="10001" max="10002" width="12.81640625" style="141" customWidth="1"/>
    <col min="10003" max="10003" width="8.81640625" style="141" customWidth="1"/>
    <col min="10004" max="10004" width="5.1796875" style="141" customWidth="1"/>
    <col min="10005" max="10005" width="4.54296875" style="141" customWidth="1"/>
    <col min="10006" max="10210" width="9.1796875" style="141"/>
    <col min="10211" max="10211" width="12.81640625" style="141" customWidth="1"/>
    <col min="10212" max="10212" width="1" style="141" customWidth="1"/>
    <col min="10213" max="10214" width="12.81640625" style="141" customWidth="1"/>
    <col min="10215" max="10215" width="8.81640625" style="141" customWidth="1"/>
    <col min="10216" max="10217" width="12.81640625" style="141" customWidth="1"/>
    <col min="10218" max="10218" width="8.81640625" style="141" customWidth="1"/>
    <col min="10219" max="10220" width="12.81640625" style="141" customWidth="1"/>
    <col min="10221" max="10221" width="8.81640625" style="141" customWidth="1"/>
    <col min="10222" max="10223" width="12.81640625" style="141" customWidth="1"/>
    <col min="10224" max="10224" width="8.81640625" style="141" customWidth="1"/>
    <col min="10225" max="10226" width="12.81640625" style="141" customWidth="1"/>
    <col min="10227" max="10227" width="8.81640625" style="141" customWidth="1"/>
    <col min="10228" max="10229" width="12.81640625" style="141" customWidth="1"/>
    <col min="10230" max="10230" width="8.81640625" style="141" customWidth="1"/>
    <col min="10231" max="10232" width="12.81640625" style="141" customWidth="1"/>
    <col min="10233" max="10233" width="8.81640625" style="141" customWidth="1"/>
    <col min="10234" max="10234" width="3.81640625" style="141" customWidth="1"/>
    <col min="10235" max="10235" width="3.1796875" style="141" customWidth="1"/>
    <col min="10236" max="10236" width="9.1796875" style="141"/>
    <col min="10237" max="10237" width="12.1796875" style="141" customWidth="1"/>
    <col min="10238" max="10238" width="1.1796875" style="141" customWidth="1"/>
    <col min="10239" max="10240" width="12.81640625" style="141" customWidth="1"/>
    <col min="10241" max="10241" width="8.81640625" style="141" customWidth="1"/>
    <col min="10242" max="10243" width="12.81640625" style="141" customWidth="1"/>
    <col min="10244" max="10244" width="8.81640625" style="141" customWidth="1"/>
    <col min="10245" max="10246" width="12.81640625" style="141" customWidth="1"/>
    <col min="10247" max="10247" width="8.81640625" style="141" customWidth="1"/>
    <col min="10248" max="10249" width="12.81640625" style="141" customWidth="1"/>
    <col min="10250" max="10250" width="8.81640625" style="141" customWidth="1"/>
    <col min="10251" max="10252" width="12.81640625" style="141" customWidth="1"/>
    <col min="10253" max="10253" width="8.81640625" style="141" customWidth="1"/>
    <col min="10254" max="10254" width="14" style="141" bestFit="1" customWidth="1"/>
    <col min="10255" max="10255" width="12.81640625" style="141" customWidth="1"/>
    <col min="10256" max="10256" width="8.81640625" style="141" customWidth="1"/>
    <col min="10257" max="10258" width="12.81640625" style="141" customWidth="1"/>
    <col min="10259" max="10259" width="8.81640625" style="141" customWidth="1"/>
    <col min="10260" max="10260" width="5.1796875" style="141" customWidth="1"/>
    <col min="10261" max="10261" width="4.54296875" style="141" customWidth="1"/>
    <col min="10262" max="10466" width="9.1796875" style="141"/>
    <col min="10467" max="10467" width="12.81640625" style="141" customWidth="1"/>
    <col min="10468" max="10468" width="1" style="141" customWidth="1"/>
    <col min="10469" max="10470" width="12.81640625" style="141" customWidth="1"/>
    <col min="10471" max="10471" width="8.81640625" style="141" customWidth="1"/>
    <col min="10472" max="10473" width="12.81640625" style="141" customWidth="1"/>
    <col min="10474" max="10474" width="8.81640625" style="141" customWidth="1"/>
    <col min="10475" max="10476" width="12.81640625" style="141" customWidth="1"/>
    <col min="10477" max="10477" width="8.81640625" style="141" customWidth="1"/>
    <col min="10478" max="10479" width="12.81640625" style="141" customWidth="1"/>
    <col min="10480" max="10480" width="8.81640625" style="141" customWidth="1"/>
    <col min="10481" max="10482" width="12.81640625" style="141" customWidth="1"/>
    <col min="10483" max="10483" width="8.81640625" style="141" customWidth="1"/>
    <col min="10484" max="10485" width="12.81640625" style="141" customWidth="1"/>
    <col min="10486" max="10486" width="8.81640625" style="141" customWidth="1"/>
    <col min="10487" max="10488" width="12.81640625" style="141" customWidth="1"/>
    <col min="10489" max="10489" width="8.81640625" style="141" customWidth="1"/>
    <col min="10490" max="10490" width="3.81640625" style="141" customWidth="1"/>
    <col min="10491" max="10491" width="3.1796875" style="141" customWidth="1"/>
    <col min="10492" max="10492" width="9.1796875" style="141"/>
    <col min="10493" max="10493" width="12.1796875" style="141" customWidth="1"/>
    <col min="10494" max="10494" width="1.1796875" style="141" customWidth="1"/>
    <col min="10495" max="10496" width="12.81640625" style="141" customWidth="1"/>
    <col min="10497" max="10497" width="8.81640625" style="141" customWidth="1"/>
    <col min="10498" max="10499" width="12.81640625" style="141" customWidth="1"/>
    <col min="10500" max="10500" width="8.81640625" style="141" customWidth="1"/>
    <col min="10501" max="10502" width="12.81640625" style="141" customWidth="1"/>
    <col min="10503" max="10503" width="8.81640625" style="141" customWidth="1"/>
    <col min="10504" max="10505" width="12.81640625" style="141" customWidth="1"/>
    <col min="10506" max="10506" width="8.81640625" style="141" customWidth="1"/>
    <col min="10507" max="10508" width="12.81640625" style="141" customWidth="1"/>
    <col min="10509" max="10509" width="8.81640625" style="141" customWidth="1"/>
    <col min="10510" max="10510" width="14" style="141" bestFit="1" customWidth="1"/>
    <col min="10511" max="10511" width="12.81640625" style="141" customWidth="1"/>
    <col min="10512" max="10512" width="8.81640625" style="141" customWidth="1"/>
    <col min="10513" max="10514" width="12.81640625" style="141" customWidth="1"/>
    <col min="10515" max="10515" width="8.81640625" style="141" customWidth="1"/>
    <col min="10516" max="10516" width="5.1796875" style="141" customWidth="1"/>
    <col min="10517" max="10517" width="4.54296875" style="141" customWidth="1"/>
    <col min="10518" max="10722" width="9.1796875" style="141"/>
    <col min="10723" max="10723" width="12.81640625" style="141" customWidth="1"/>
    <col min="10724" max="10724" width="1" style="141" customWidth="1"/>
    <col min="10725" max="10726" width="12.81640625" style="141" customWidth="1"/>
    <col min="10727" max="10727" width="8.81640625" style="141" customWidth="1"/>
    <col min="10728" max="10729" width="12.81640625" style="141" customWidth="1"/>
    <col min="10730" max="10730" width="8.81640625" style="141" customWidth="1"/>
    <col min="10731" max="10732" width="12.81640625" style="141" customWidth="1"/>
    <col min="10733" max="10733" width="8.81640625" style="141" customWidth="1"/>
    <col min="10734" max="10735" width="12.81640625" style="141" customWidth="1"/>
    <col min="10736" max="10736" width="8.81640625" style="141" customWidth="1"/>
    <col min="10737" max="10738" width="12.81640625" style="141" customWidth="1"/>
    <col min="10739" max="10739" width="8.81640625" style="141" customWidth="1"/>
    <col min="10740" max="10741" width="12.81640625" style="141" customWidth="1"/>
    <col min="10742" max="10742" width="8.81640625" style="141" customWidth="1"/>
    <col min="10743" max="10744" width="12.81640625" style="141" customWidth="1"/>
    <col min="10745" max="10745" width="8.81640625" style="141" customWidth="1"/>
    <col min="10746" max="10746" width="3.81640625" style="141" customWidth="1"/>
    <col min="10747" max="10747" width="3.1796875" style="141" customWidth="1"/>
    <col min="10748" max="10748" width="9.1796875" style="141"/>
    <col min="10749" max="10749" width="12.1796875" style="141" customWidth="1"/>
    <col min="10750" max="10750" width="1.1796875" style="141" customWidth="1"/>
    <col min="10751" max="10752" width="12.81640625" style="141" customWidth="1"/>
    <col min="10753" max="10753" width="8.81640625" style="141" customWidth="1"/>
    <col min="10754" max="10755" width="12.81640625" style="141" customWidth="1"/>
    <col min="10756" max="10756" width="8.81640625" style="141" customWidth="1"/>
    <col min="10757" max="10758" width="12.81640625" style="141" customWidth="1"/>
    <col min="10759" max="10759" width="8.81640625" style="141" customWidth="1"/>
    <col min="10760" max="10761" width="12.81640625" style="141" customWidth="1"/>
    <col min="10762" max="10762" width="8.81640625" style="141" customWidth="1"/>
    <col min="10763" max="10764" width="12.81640625" style="141" customWidth="1"/>
    <col min="10765" max="10765" width="8.81640625" style="141" customWidth="1"/>
    <col min="10766" max="10766" width="14" style="141" bestFit="1" customWidth="1"/>
    <col min="10767" max="10767" width="12.81640625" style="141" customWidth="1"/>
    <col min="10768" max="10768" width="8.81640625" style="141" customWidth="1"/>
    <col min="10769" max="10770" width="12.81640625" style="141" customWidth="1"/>
    <col min="10771" max="10771" width="8.81640625" style="141" customWidth="1"/>
    <col min="10772" max="10772" width="5.1796875" style="141" customWidth="1"/>
    <col min="10773" max="10773" width="4.54296875" style="141" customWidth="1"/>
    <col min="10774" max="10978" width="9.1796875" style="141"/>
    <col min="10979" max="10979" width="12.81640625" style="141" customWidth="1"/>
    <col min="10980" max="10980" width="1" style="141" customWidth="1"/>
    <col min="10981" max="10982" width="12.81640625" style="141" customWidth="1"/>
    <col min="10983" max="10983" width="8.81640625" style="141" customWidth="1"/>
    <col min="10984" max="10985" width="12.81640625" style="141" customWidth="1"/>
    <col min="10986" max="10986" width="8.81640625" style="141" customWidth="1"/>
    <col min="10987" max="10988" width="12.81640625" style="141" customWidth="1"/>
    <col min="10989" max="10989" width="8.81640625" style="141" customWidth="1"/>
    <col min="10990" max="10991" width="12.81640625" style="141" customWidth="1"/>
    <col min="10992" max="10992" width="8.81640625" style="141" customWidth="1"/>
    <col min="10993" max="10994" width="12.81640625" style="141" customWidth="1"/>
    <col min="10995" max="10995" width="8.81640625" style="141" customWidth="1"/>
    <col min="10996" max="10997" width="12.81640625" style="141" customWidth="1"/>
    <col min="10998" max="10998" width="8.81640625" style="141" customWidth="1"/>
    <col min="10999" max="11000" width="12.81640625" style="141" customWidth="1"/>
    <col min="11001" max="11001" width="8.81640625" style="141" customWidth="1"/>
    <col min="11002" max="11002" width="3.81640625" style="141" customWidth="1"/>
    <col min="11003" max="11003" width="3.1796875" style="141" customWidth="1"/>
    <col min="11004" max="11004" width="9.1796875" style="141"/>
    <col min="11005" max="11005" width="12.1796875" style="141" customWidth="1"/>
    <col min="11006" max="11006" width="1.1796875" style="141" customWidth="1"/>
    <col min="11007" max="11008" width="12.81640625" style="141" customWidth="1"/>
    <col min="11009" max="11009" width="8.81640625" style="141" customWidth="1"/>
    <col min="11010" max="11011" width="12.81640625" style="141" customWidth="1"/>
    <col min="11012" max="11012" width="8.81640625" style="141" customWidth="1"/>
    <col min="11013" max="11014" width="12.81640625" style="141" customWidth="1"/>
    <col min="11015" max="11015" width="8.81640625" style="141" customWidth="1"/>
    <col min="11016" max="11017" width="12.81640625" style="141" customWidth="1"/>
    <col min="11018" max="11018" width="8.81640625" style="141" customWidth="1"/>
    <col min="11019" max="11020" width="12.81640625" style="141" customWidth="1"/>
    <col min="11021" max="11021" width="8.81640625" style="141" customWidth="1"/>
    <col min="11022" max="11022" width="14" style="141" bestFit="1" customWidth="1"/>
    <col min="11023" max="11023" width="12.81640625" style="141" customWidth="1"/>
    <col min="11024" max="11024" width="8.81640625" style="141" customWidth="1"/>
    <col min="11025" max="11026" width="12.81640625" style="141" customWidth="1"/>
    <col min="11027" max="11027" width="8.81640625" style="141" customWidth="1"/>
    <col min="11028" max="11028" width="5.1796875" style="141" customWidth="1"/>
    <col min="11029" max="11029" width="4.54296875" style="141" customWidth="1"/>
    <col min="11030" max="11234" width="9.1796875" style="141"/>
    <col min="11235" max="11235" width="12.81640625" style="141" customWidth="1"/>
    <col min="11236" max="11236" width="1" style="141" customWidth="1"/>
    <col min="11237" max="11238" width="12.81640625" style="141" customWidth="1"/>
    <col min="11239" max="11239" width="8.81640625" style="141" customWidth="1"/>
    <col min="11240" max="11241" width="12.81640625" style="141" customWidth="1"/>
    <col min="11242" max="11242" width="8.81640625" style="141" customWidth="1"/>
    <col min="11243" max="11244" width="12.81640625" style="141" customWidth="1"/>
    <col min="11245" max="11245" width="8.81640625" style="141" customWidth="1"/>
    <col min="11246" max="11247" width="12.81640625" style="141" customWidth="1"/>
    <col min="11248" max="11248" width="8.81640625" style="141" customWidth="1"/>
    <col min="11249" max="11250" width="12.81640625" style="141" customWidth="1"/>
    <col min="11251" max="11251" width="8.81640625" style="141" customWidth="1"/>
    <col min="11252" max="11253" width="12.81640625" style="141" customWidth="1"/>
    <col min="11254" max="11254" width="8.81640625" style="141" customWidth="1"/>
    <col min="11255" max="11256" width="12.81640625" style="141" customWidth="1"/>
    <col min="11257" max="11257" width="8.81640625" style="141" customWidth="1"/>
    <col min="11258" max="11258" width="3.81640625" style="141" customWidth="1"/>
    <col min="11259" max="11259" width="3.1796875" style="141" customWidth="1"/>
    <col min="11260" max="11260" width="9.1796875" style="141"/>
    <col min="11261" max="11261" width="12.1796875" style="141" customWidth="1"/>
    <col min="11262" max="11262" width="1.1796875" style="141" customWidth="1"/>
    <col min="11263" max="11264" width="12.81640625" style="141" customWidth="1"/>
    <col min="11265" max="11265" width="8.81640625" style="141" customWidth="1"/>
    <col min="11266" max="11267" width="12.81640625" style="141" customWidth="1"/>
    <col min="11268" max="11268" width="8.81640625" style="141" customWidth="1"/>
    <col min="11269" max="11270" width="12.81640625" style="141" customWidth="1"/>
    <col min="11271" max="11271" width="8.81640625" style="141" customWidth="1"/>
    <col min="11272" max="11273" width="12.81640625" style="141" customWidth="1"/>
    <col min="11274" max="11274" width="8.81640625" style="141" customWidth="1"/>
    <col min="11275" max="11276" width="12.81640625" style="141" customWidth="1"/>
    <col min="11277" max="11277" width="8.81640625" style="141" customWidth="1"/>
    <col min="11278" max="11278" width="14" style="141" bestFit="1" customWidth="1"/>
    <col min="11279" max="11279" width="12.81640625" style="141" customWidth="1"/>
    <col min="11280" max="11280" width="8.81640625" style="141" customWidth="1"/>
    <col min="11281" max="11282" width="12.81640625" style="141" customWidth="1"/>
    <col min="11283" max="11283" width="8.81640625" style="141" customWidth="1"/>
    <col min="11284" max="11284" width="5.1796875" style="141" customWidth="1"/>
    <col min="11285" max="11285" width="4.54296875" style="141" customWidth="1"/>
    <col min="11286" max="11490" width="9.1796875" style="141"/>
    <col min="11491" max="11491" width="12.81640625" style="141" customWidth="1"/>
    <col min="11492" max="11492" width="1" style="141" customWidth="1"/>
    <col min="11493" max="11494" width="12.81640625" style="141" customWidth="1"/>
    <col min="11495" max="11495" width="8.81640625" style="141" customWidth="1"/>
    <col min="11496" max="11497" width="12.81640625" style="141" customWidth="1"/>
    <col min="11498" max="11498" width="8.81640625" style="141" customWidth="1"/>
    <col min="11499" max="11500" width="12.81640625" style="141" customWidth="1"/>
    <col min="11501" max="11501" width="8.81640625" style="141" customWidth="1"/>
    <col min="11502" max="11503" width="12.81640625" style="141" customWidth="1"/>
    <col min="11504" max="11504" width="8.81640625" style="141" customWidth="1"/>
    <col min="11505" max="11506" width="12.81640625" style="141" customWidth="1"/>
    <col min="11507" max="11507" width="8.81640625" style="141" customWidth="1"/>
    <col min="11508" max="11509" width="12.81640625" style="141" customWidth="1"/>
    <col min="11510" max="11510" width="8.81640625" style="141" customWidth="1"/>
    <col min="11511" max="11512" width="12.81640625" style="141" customWidth="1"/>
    <col min="11513" max="11513" width="8.81640625" style="141" customWidth="1"/>
    <col min="11514" max="11514" width="3.81640625" style="141" customWidth="1"/>
    <col min="11515" max="11515" width="3.1796875" style="141" customWidth="1"/>
    <col min="11516" max="11516" width="9.1796875" style="141"/>
    <col min="11517" max="11517" width="12.1796875" style="141" customWidth="1"/>
    <col min="11518" max="11518" width="1.1796875" style="141" customWidth="1"/>
    <col min="11519" max="11520" width="12.81640625" style="141" customWidth="1"/>
    <col min="11521" max="11521" width="8.81640625" style="141" customWidth="1"/>
    <col min="11522" max="11523" width="12.81640625" style="141" customWidth="1"/>
    <col min="11524" max="11524" width="8.81640625" style="141" customWidth="1"/>
    <col min="11525" max="11526" width="12.81640625" style="141" customWidth="1"/>
    <col min="11527" max="11527" width="8.81640625" style="141" customWidth="1"/>
    <col min="11528" max="11529" width="12.81640625" style="141" customWidth="1"/>
    <col min="11530" max="11530" width="8.81640625" style="141" customWidth="1"/>
    <col min="11531" max="11532" width="12.81640625" style="141" customWidth="1"/>
    <col min="11533" max="11533" width="8.81640625" style="141" customWidth="1"/>
    <col min="11534" max="11534" width="14" style="141" bestFit="1" customWidth="1"/>
    <col min="11535" max="11535" width="12.81640625" style="141" customWidth="1"/>
    <col min="11536" max="11536" width="8.81640625" style="141" customWidth="1"/>
    <col min="11537" max="11538" width="12.81640625" style="141" customWidth="1"/>
    <col min="11539" max="11539" width="8.81640625" style="141" customWidth="1"/>
    <col min="11540" max="11540" width="5.1796875" style="141" customWidth="1"/>
    <col min="11541" max="11541" width="4.54296875" style="141" customWidth="1"/>
    <col min="11542" max="11746" width="9.1796875" style="141"/>
    <col min="11747" max="11747" width="12.81640625" style="141" customWidth="1"/>
    <col min="11748" max="11748" width="1" style="141" customWidth="1"/>
    <col min="11749" max="11750" width="12.81640625" style="141" customWidth="1"/>
    <col min="11751" max="11751" width="8.81640625" style="141" customWidth="1"/>
    <col min="11752" max="11753" width="12.81640625" style="141" customWidth="1"/>
    <col min="11754" max="11754" width="8.81640625" style="141" customWidth="1"/>
    <col min="11755" max="11756" width="12.81640625" style="141" customWidth="1"/>
    <col min="11757" max="11757" width="8.81640625" style="141" customWidth="1"/>
    <col min="11758" max="11759" width="12.81640625" style="141" customWidth="1"/>
    <col min="11760" max="11760" width="8.81640625" style="141" customWidth="1"/>
    <col min="11761" max="11762" width="12.81640625" style="141" customWidth="1"/>
    <col min="11763" max="11763" width="8.81640625" style="141" customWidth="1"/>
    <col min="11764" max="11765" width="12.81640625" style="141" customWidth="1"/>
    <col min="11766" max="11766" width="8.81640625" style="141" customWidth="1"/>
    <col min="11767" max="11768" width="12.81640625" style="141" customWidth="1"/>
    <col min="11769" max="11769" width="8.81640625" style="141" customWidth="1"/>
    <col min="11770" max="11770" width="3.81640625" style="141" customWidth="1"/>
    <col min="11771" max="11771" width="3.1796875" style="141" customWidth="1"/>
    <col min="11772" max="11772" width="9.1796875" style="141"/>
    <col min="11773" max="11773" width="12.1796875" style="141" customWidth="1"/>
    <col min="11774" max="11774" width="1.1796875" style="141" customWidth="1"/>
    <col min="11775" max="11776" width="12.81640625" style="141" customWidth="1"/>
    <col min="11777" max="11777" width="8.81640625" style="141" customWidth="1"/>
    <col min="11778" max="11779" width="12.81640625" style="141" customWidth="1"/>
    <col min="11780" max="11780" width="8.81640625" style="141" customWidth="1"/>
    <col min="11781" max="11782" width="12.81640625" style="141" customWidth="1"/>
    <col min="11783" max="11783" width="8.81640625" style="141" customWidth="1"/>
    <col min="11784" max="11785" width="12.81640625" style="141" customWidth="1"/>
    <col min="11786" max="11786" width="8.81640625" style="141" customWidth="1"/>
    <col min="11787" max="11788" width="12.81640625" style="141" customWidth="1"/>
    <col min="11789" max="11789" width="8.81640625" style="141" customWidth="1"/>
    <col min="11790" max="11790" width="14" style="141" bestFit="1" customWidth="1"/>
    <col min="11791" max="11791" width="12.81640625" style="141" customWidth="1"/>
    <col min="11792" max="11792" width="8.81640625" style="141" customWidth="1"/>
    <col min="11793" max="11794" width="12.81640625" style="141" customWidth="1"/>
    <col min="11795" max="11795" width="8.81640625" style="141" customWidth="1"/>
    <col min="11796" max="11796" width="5.1796875" style="141" customWidth="1"/>
    <col min="11797" max="11797" width="4.54296875" style="141" customWidth="1"/>
    <col min="11798" max="12002" width="9.1796875" style="141"/>
    <col min="12003" max="12003" width="12.81640625" style="141" customWidth="1"/>
    <col min="12004" max="12004" width="1" style="141" customWidth="1"/>
    <col min="12005" max="12006" width="12.81640625" style="141" customWidth="1"/>
    <col min="12007" max="12007" width="8.81640625" style="141" customWidth="1"/>
    <col min="12008" max="12009" width="12.81640625" style="141" customWidth="1"/>
    <col min="12010" max="12010" width="8.81640625" style="141" customWidth="1"/>
    <col min="12011" max="12012" width="12.81640625" style="141" customWidth="1"/>
    <col min="12013" max="12013" width="8.81640625" style="141" customWidth="1"/>
    <col min="12014" max="12015" width="12.81640625" style="141" customWidth="1"/>
    <col min="12016" max="12016" width="8.81640625" style="141" customWidth="1"/>
    <col min="12017" max="12018" width="12.81640625" style="141" customWidth="1"/>
    <col min="12019" max="12019" width="8.81640625" style="141" customWidth="1"/>
    <col min="12020" max="12021" width="12.81640625" style="141" customWidth="1"/>
    <col min="12022" max="12022" width="8.81640625" style="141" customWidth="1"/>
    <col min="12023" max="12024" width="12.81640625" style="141" customWidth="1"/>
    <col min="12025" max="12025" width="8.81640625" style="141" customWidth="1"/>
    <col min="12026" max="12026" width="3.81640625" style="141" customWidth="1"/>
    <col min="12027" max="12027" width="3.1796875" style="141" customWidth="1"/>
    <col min="12028" max="12028" width="9.1796875" style="141"/>
    <col min="12029" max="12029" width="12.1796875" style="141" customWidth="1"/>
    <col min="12030" max="12030" width="1.1796875" style="141" customWidth="1"/>
    <col min="12031" max="12032" width="12.81640625" style="141" customWidth="1"/>
    <col min="12033" max="12033" width="8.81640625" style="141" customWidth="1"/>
    <col min="12034" max="12035" width="12.81640625" style="141" customWidth="1"/>
    <col min="12036" max="12036" width="8.81640625" style="141" customWidth="1"/>
    <col min="12037" max="12038" width="12.81640625" style="141" customWidth="1"/>
    <col min="12039" max="12039" width="8.81640625" style="141" customWidth="1"/>
    <col min="12040" max="12041" width="12.81640625" style="141" customWidth="1"/>
    <col min="12042" max="12042" width="8.81640625" style="141" customWidth="1"/>
    <col min="12043" max="12044" width="12.81640625" style="141" customWidth="1"/>
    <col min="12045" max="12045" width="8.81640625" style="141" customWidth="1"/>
    <col min="12046" max="12046" width="14" style="141" bestFit="1" customWidth="1"/>
    <col min="12047" max="12047" width="12.81640625" style="141" customWidth="1"/>
    <col min="12048" max="12048" width="8.81640625" style="141" customWidth="1"/>
    <col min="12049" max="12050" width="12.81640625" style="141" customWidth="1"/>
    <col min="12051" max="12051" width="8.81640625" style="141" customWidth="1"/>
    <col min="12052" max="12052" width="5.1796875" style="141" customWidth="1"/>
    <col min="12053" max="12053" width="4.54296875" style="141" customWidth="1"/>
    <col min="12054" max="12258" width="9.1796875" style="141"/>
    <col min="12259" max="12259" width="12.81640625" style="141" customWidth="1"/>
    <col min="12260" max="12260" width="1" style="141" customWidth="1"/>
    <col min="12261" max="12262" width="12.81640625" style="141" customWidth="1"/>
    <col min="12263" max="12263" width="8.81640625" style="141" customWidth="1"/>
    <col min="12264" max="12265" width="12.81640625" style="141" customWidth="1"/>
    <col min="12266" max="12266" width="8.81640625" style="141" customWidth="1"/>
    <col min="12267" max="12268" width="12.81640625" style="141" customWidth="1"/>
    <col min="12269" max="12269" width="8.81640625" style="141" customWidth="1"/>
    <col min="12270" max="12271" width="12.81640625" style="141" customWidth="1"/>
    <col min="12272" max="12272" width="8.81640625" style="141" customWidth="1"/>
    <col min="12273" max="12274" width="12.81640625" style="141" customWidth="1"/>
    <col min="12275" max="12275" width="8.81640625" style="141" customWidth="1"/>
    <col min="12276" max="12277" width="12.81640625" style="141" customWidth="1"/>
    <col min="12278" max="12278" width="8.81640625" style="141" customWidth="1"/>
    <col min="12279" max="12280" width="12.81640625" style="141" customWidth="1"/>
    <col min="12281" max="12281" width="8.81640625" style="141" customWidth="1"/>
    <col min="12282" max="12282" width="3.81640625" style="141" customWidth="1"/>
    <col min="12283" max="12283" width="3.1796875" style="141" customWidth="1"/>
    <col min="12284" max="12284" width="9.1796875" style="141"/>
    <col min="12285" max="12285" width="12.1796875" style="141" customWidth="1"/>
    <col min="12286" max="12286" width="1.1796875" style="141" customWidth="1"/>
    <col min="12287" max="12288" width="12.81640625" style="141" customWidth="1"/>
    <col min="12289" max="12289" width="8.81640625" style="141" customWidth="1"/>
    <col min="12290" max="12291" width="12.81640625" style="141" customWidth="1"/>
    <col min="12292" max="12292" width="8.81640625" style="141" customWidth="1"/>
    <col min="12293" max="12294" width="12.81640625" style="141" customWidth="1"/>
    <col min="12295" max="12295" width="8.81640625" style="141" customWidth="1"/>
    <col min="12296" max="12297" width="12.81640625" style="141" customWidth="1"/>
    <col min="12298" max="12298" width="8.81640625" style="141" customWidth="1"/>
    <col min="12299" max="12300" width="12.81640625" style="141" customWidth="1"/>
    <col min="12301" max="12301" width="8.81640625" style="141" customWidth="1"/>
    <col min="12302" max="12302" width="14" style="141" bestFit="1" customWidth="1"/>
    <col min="12303" max="12303" width="12.81640625" style="141" customWidth="1"/>
    <col min="12304" max="12304" width="8.81640625" style="141" customWidth="1"/>
    <col min="12305" max="12306" width="12.81640625" style="141" customWidth="1"/>
    <col min="12307" max="12307" width="8.81640625" style="141" customWidth="1"/>
    <col min="12308" max="12308" width="5.1796875" style="141" customWidth="1"/>
    <col min="12309" max="12309" width="4.54296875" style="141" customWidth="1"/>
    <col min="12310" max="12514" width="9.1796875" style="141"/>
    <col min="12515" max="12515" width="12.81640625" style="141" customWidth="1"/>
    <col min="12516" max="12516" width="1" style="141" customWidth="1"/>
    <col min="12517" max="12518" width="12.81640625" style="141" customWidth="1"/>
    <col min="12519" max="12519" width="8.81640625" style="141" customWidth="1"/>
    <col min="12520" max="12521" width="12.81640625" style="141" customWidth="1"/>
    <col min="12522" max="12522" width="8.81640625" style="141" customWidth="1"/>
    <col min="12523" max="12524" width="12.81640625" style="141" customWidth="1"/>
    <col min="12525" max="12525" width="8.81640625" style="141" customWidth="1"/>
    <col min="12526" max="12527" width="12.81640625" style="141" customWidth="1"/>
    <col min="12528" max="12528" width="8.81640625" style="141" customWidth="1"/>
    <col min="12529" max="12530" width="12.81640625" style="141" customWidth="1"/>
    <col min="12531" max="12531" width="8.81640625" style="141" customWidth="1"/>
    <col min="12532" max="12533" width="12.81640625" style="141" customWidth="1"/>
    <col min="12534" max="12534" width="8.81640625" style="141" customWidth="1"/>
    <col min="12535" max="12536" width="12.81640625" style="141" customWidth="1"/>
    <col min="12537" max="12537" width="8.81640625" style="141" customWidth="1"/>
    <col min="12538" max="12538" width="3.81640625" style="141" customWidth="1"/>
    <col min="12539" max="12539" width="3.1796875" style="141" customWidth="1"/>
    <col min="12540" max="12540" width="9.1796875" style="141"/>
    <col min="12541" max="12541" width="12.1796875" style="141" customWidth="1"/>
    <col min="12542" max="12542" width="1.1796875" style="141" customWidth="1"/>
    <col min="12543" max="12544" width="12.81640625" style="141" customWidth="1"/>
    <col min="12545" max="12545" width="8.81640625" style="141" customWidth="1"/>
    <col min="12546" max="12547" width="12.81640625" style="141" customWidth="1"/>
    <col min="12548" max="12548" width="8.81640625" style="141" customWidth="1"/>
    <col min="12549" max="12550" width="12.81640625" style="141" customWidth="1"/>
    <col min="12551" max="12551" width="8.81640625" style="141" customWidth="1"/>
    <col min="12552" max="12553" width="12.81640625" style="141" customWidth="1"/>
    <col min="12554" max="12554" width="8.81640625" style="141" customWidth="1"/>
    <col min="12555" max="12556" width="12.81640625" style="141" customWidth="1"/>
    <col min="12557" max="12557" width="8.81640625" style="141" customWidth="1"/>
    <col min="12558" max="12558" width="14" style="141" bestFit="1" customWidth="1"/>
    <col min="12559" max="12559" width="12.81640625" style="141" customWidth="1"/>
    <col min="12560" max="12560" width="8.81640625" style="141" customWidth="1"/>
    <col min="12561" max="12562" width="12.81640625" style="141" customWidth="1"/>
    <col min="12563" max="12563" width="8.81640625" style="141" customWidth="1"/>
    <col min="12564" max="12564" width="5.1796875" style="141" customWidth="1"/>
    <col min="12565" max="12565" width="4.54296875" style="141" customWidth="1"/>
    <col min="12566" max="12770" width="9.1796875" style="141"/>
    <col min="12771" max="12771" width="12.81640625" style="141" customWidth="1"/>
    <col min="12772" max="12772" width="1" style="141" customWidth="1"/>
    <col min="12773" max="12774" width="12.81640625" style="141" customWidth="1"/>
    <col min="12775" max="12775" width="8.81640625" style="141" customWidth="1"/>
    <col min="12776" max="12777" width="12.81640625" style="141" customWidth="1"/>
    <col min="12778" max="12778" width="8.81640625" style="141" customWidth="1"/>
    <col min="12779" max="12780" width="12.81640625" style="141" customWidth="1"/>
    <col min="12781" max="12781" width="8.81640625" style="141" customWidth="1"/>
    <col min="12782" max="12783" width="12.81640625" style="141" customWidth="1"/>
    <col min="12784" max="12784" width="8.81640625" style="141" customWidth="1"/>
    <col min="12785" max="12786" width="12.81640625" style="141" customWidth="1"/>
    <col min="12787" max="12787" width="8.81640625" style="141" customWidth="1"/>
    <col min="12788" max="12789" width="12.81640625" style="141" customWidth="1"/>
    <col min="12790" max="12790" width="8.81640625" style="141" customWidth="1"/>
    <col min="12791" max="12792" width="12.81640625" style="141" customWidth="1"/>
    <col min="12793" max="12793" width="8.81640625" style="141" customWidth="1"/>
    <col min="12794" max="12794" width="3.81640625" style="141" customWidth="1"/>
    <col min="12795" max="12795" width="3.1796875" style="141" customWidth="1"/>
    <col min="12796" max="12796" width="9.1796875" style="141"/>
    <col min="12797" max="12797" width="12.1796875" style="141" customWidth="1"/>
    <col min="12798" max="12798" width="1.1796875" style="141" customWidth="1"/>
    <col min="12799" max="12800" width="12.81640625" style="141" customWidth="1"/>
    <col min="12801" max="12801" width="8.81640625" style="141" customWidth="1"/>
    <col min="12802" max="12803" width="12.81640625" style="141" customWidth="1"/>
    <col min="12804" max="12804" width="8.81640625" style="141" customWidth="1"/>
    <col min="12805" max="12806" width="12.81640625" style="141" customWidth="1"/>
    <col min="12807" max="12807" width="8.81640625" style="141" customWidth="1"/>
    <col min="12808" max="12809" width="12.81640625" style="141" customWidth="1"/>
    <col min="12810" max="12810" width="8.81640625" style="141" customWidth="1"/>
    <col min="12811" max="12812" width="12.81640625" style="141" customWidth="1"/>
    <col min="12813" max="12813" width="8.81640625" style="141" customWidth="1"/>
    <col min="12814" max="12814" width="14" style="141" bestFit="1" customWidth="1"/>
    <col min="12815" max="12815" width="12.81640625" style="141" customWidth="1"/>
    <col min="12816" max="12816" width="8.81640625" style="141" customWidth="1"/>
    <col min="12817" max="12818" width="12.81640625" style="141" customWidth="1"/>
    <col min="12819" max="12819" width="8.81640625" style="141" customWidth="1"/>
    <col min="12820" max="12820" width="5.1796875" style="141" customWidth="1"/>
    <col min="12821" max="12821" width="4.54296875" style="141" customWidth="1"/>
    <col min="12822" max="13026" width="9.1796875" style="141"/>
    <col min="13027" max="13027" width="12.81640625" style="141" customWidth="1"/>
    <col min="13028" max="13028" width="1" style="141" customWidth="1"/>
    <col min="13029" max="13030" width="12.81640625" style="141" customWidth="1"/>
    <col min="13031" max="13031" width="8.81640625" style="141" customWidth="1"/>
    <col min="13032" max="13033" width="12.81640625" style="141" customWidth="1"/>
    <col min="13034" max="13034" width="8.81640625" style="141" customWidth="1"/>
    <col min="13035" max="13036" width="12.81640625" style="141" customWidth="1"/>
    <col min="13037" max="13037" width="8.81640625" style="141" customWidth="1"/>
    <col min="13038" max="13039" width="12.81640625" style="141" customWidth="1"/>
    <col min="13040" max="13040" width="8.81640625" style="141" customWidth="1"/>
    <col min="13041" max="13042" width="12.81640625" style="141" customWidth="1"/>
    <col min="13043" max="13043" width="8.81640625" style="141" customWidth="1"/>
    <col min="13044" max="13045" width="12.81640625" style="141" customWidth="1"/>
    <col min="13046" max="13046" width="8.81640625" style="141" customWidth="1"/>
    <col min="13047" max="13048" width="12.81640625" style="141" customWidth="1"/>
    <col min="13049" max="13049" width="8.81640625" style="141" customWidth="1"/>
    <col min="13050" max="13050" width="3.81640625" style="141" customWidth="1"/>
    <col min="13051" max="13051" width="3.1796875" style="141" customWidth="1"/>
    <col min="13052" max="13052" width="9.1796875" style="141"/>
    <col min="13053" max="13053" width="12.1796875" style="141" customWidth="1"/>
    <col min="13054" max="13054" width="1.1796875" style="141" customWidth="1"/>
    <col min="13055" max="13056" width="12.81640625" style="141" customWidth="1"/>
    <col min="13057" max="13057" width="8.81640625" style="141" customWidth="1"/>
    <col min="13058" max="13059" width="12.81640625" style="141" customWidth="1"/>
    <col min="13060" max="13060" width="8.81640625" style="141" customWidth="1"/>
    <col min="13061" max="13062" width="12.81640625" style="141" customWidth="1"/>
    <col min="13063" max="13063" width="8.81640625" style="141" customWidth="1"/>
    <col min="13064" max="13065" width="12.81640625" style="141" customWidth="1"/>
    <col min="13066" max="13066" width="8.81640625" style="141" customWidth="1"/>
    <col min="13067" max="13068" width="12.81640625" style="141" customWidth="1"/>
    <col min="13069" max="13069" width="8.81640625" style="141" customWidth="1"/>
    <col min="13070" max="13070" width="14" style="141" bestFit="1" customWidth="1"/>
    <col min="13071" max="13071" width="12.81640625" style="141" customWidth="1"/>
    <col min="13072" max="13072" width="8.81640625" style="141" customWidth="1"/>
    <col min="13073" max="13074" width="12.81640625" style="141" customWidth="1"/>
    <col min="13075" max="13075" width="8.81640625" style="141" customWidth="1"/>
    <col min="13076" max="13076" width="5.1796875" style="141" customWidth="1"/>
    <col min="13077" max="13077" width="4.54296875" style="141" customWidth="1"/>
    <col min="13078" max="13282" width="9.1796875" style="141"/>
    <col min="13283" max="13283" width="12.81640625" style="141" customWidth="1"/>
    <col min="13284" max="13284" width="1" style="141" customWidth="1"/>
    <col min="13285" max="13286" width="12.81640625" style="141" customWidth="1"/>
    <col min="13287" max="13287" width="8.81640625" style="141" customWidth="1"/>
    <col min="13288" max="13289" width="12.81640625" style="141" customWidth="1"/>
    <col min="13290" max="13290" width="8.81640625" style="141" customWidth="1"/>
    <col min="13291" max="13292" width="12.81640625" style="141" customWidth="1"/>
    <col min="13293" max="13293" width="8.81640625" style="141" customWidth="1"/>
    <col min="13294" max="13295" width="12.81640625" style="141" customWidth="1"/>
    <col min="13296" max="13296" width="8.81640625" style="141" customWidth="1"/>
    <col min="13297" max="13298" width="12.81640625" style="141" customWidth="1"/>
    <col min="13299" max="13299" width="8.81640625" style="141" customWidth="1"/>
    <col min="13300" max="13301" width="12.81640625" style="141" customWidth="1"/>
    <col min="13302" max="13302" width="8.81640625" style="141" customWidth="1"/>
    <col min="13303" max="13304" width="12.81640625" style="141" customWidth="1"/>
    <col min="13305" max="13305" width="8.81640625" style="141" customWidth="1"/>
    <col min="13306" max="13306" width="3.81640625" style="141" customWidth="1"/>
    <col min="13307" max="13307" width="3.1796875" style="141" customWidth="1"/>
    <col min="13308" max="13308" width="9.1796875" style="141"/>
    <col min="13309" max="13309" width="12.1796875" style="141" customWidth="1"/>
    <col min="13310" max="13310" width="1.1796875" style="141" customWidth="1"/>
    <col min="13311" max="13312" width="12.81640625" style="141" customWidth="1"/>
    <col min="13313" max="13313" width="8.81640625" style="141" customWidth="1"/>
    <col min="13314" max="13315" width="12.81640625" style="141" customWidth="1"/>
    <col min="13316" max="13316" width="8.81640625" style="141" customWidth="1"/>
    <col min="13317" max="13318" width="12.81640625" style="141" customWidth="1"/>
    <col min="13319" max="13319" width="8.81640625" style="141" customWidth="1"/>
    <col min="13320" max="13321" width="12.81640625" style="141" customWidth="1"/>
    <col min="13322" max="13322" width="8.81640625" style="141" customWidth="1"/>
    <col min="13323" max="13324" width="12.81640625" style="141" customWidth="1"/>
    <col min="13325" max="13325" width="8.81640625" style="141" customWidth="1"/>
    <col min="13326" max="13326" width="14" style="141" bestFit="1" customWidth="1"/>
    <col min="13327" max="13327" width="12.81640625" style="141" customWidth="1"/>
    <col min="13328" max="13328" width="8.81640625" style="141" customWidth="1"/>
    <col min="13329" max="13330" width="12.81640625" style="141" customWidth="1"/>
    <col min="13331" max="13331" width="8.81640625" style="141" customWidth="1"/>
    <col min="13332" max="13332" width="5.1796875" style="141" customWidth="1"/>
    <col min="13333" max="13333" width="4.54296875" style="141" customWidth="1"/>
    <col min="13334" max="13538" width="9.1796875" style="141"/>
    <col min="13539" max="13539" width="12.81640625" style="141" customWidth="1"/>
    <col min="13540" max="13540" width="1" style="141" customWidth="1"/>
    <col min="13541" max="13542" width="12.81640625" style="141" customWidth="1"/>
    <col min="13543" max="13543" width="8.81640625" style="141" customWidth="1"/>
    <col min="13544" max="13545" width="12.81640625" style="141" customWidth="1"/>
    <col min="13546" max="13546" width="8.81640625" style="141" customWidth="1"/>
    <col min="13547" max="13548" width="12.81640625" style="141" customWidth="1"/>
    <col min="13549" max="13549" width="8.81640625" style="141" customWidth="1"/>
    <col min="13550" max="13551" width="12.81640625" style="141" customWidth="1"/>
    <col min="13552" max="13552" width="8.81640625" style="141" customWidth="1"/>
    <col min="13553" max="13554" width="12.81640625" style="141" customWidth="1"/>
    <col min="13555" max="13555" width="8.81640625" style="141" customWidth="1"/>
    <col min="13556" max="13557" width="12.81640625" style="141" customWidth="1"/>
    <col min="13558" max="13558" width="8.81640625" style="141" customWidth="1"/>
    <col min="13559" max="13560" width="12.81640625" style="141" customWidth="1"/>
    <col min="13561" max="13561" width="8.81640625" style="141" customWidth="1"/>
    <col min="13562" max="13562" width="3.81640625" style="141" customWidth="1"/>
    <col min="13563" max="13563" width="3.1796875" style="141" customWidth="1"/>
    <col min="13564" max="13564" width="9.1796875" style="141"/>
    <col min="13565" max="13565" width="12.1796875" style="141" customWidth="1"/>
    <col min="13566" max="13566" width="1.1796875" style="141" customWidth="1"/>
    <col min="13567" max="13568" width="12.81640625" style="141" customWidth="1"/>
    <col min="13569" max="13569" width="8.81640625" style="141" customWidth="1"/>
    <col min="13570" max="13571" width="12.81640625" style="141" customWidth="1"/>
    <col min="13572" max="13572" width="8.81640625" style="141" customWidth="1"/>
    <col min="13573" max="13574" width="12.81640625" style="141" customWidth="1"/>
    <col min="13575" max="13575" width="8.81640625" style="141" customWidth="1"/>
    <col min="13576" max="13577" width="12.81640625" style="141" customWidth="1"/>
    <col min="13578" max="13578" width="8.81640625" style="141" customWidth="1"/>
    <col min="13579" max="13580" width="12.81640625" style="141" customWidth="1"/>
    <col min="13581" max="13581" width="8.81640625" style="141" customWidth="1"/>
    <col min="13582" max="13582" width="14" style="141" bestFit="1" customWidth="1"/>
    <col min="13583" max="13583" width="12.81640625" style="141" customWidth="1"/>
    <col min="13584" max="13584" width="8.81640625" style="141" customWidth="1"/>
    <col min="13585" max="13586" width="12.81640625" style="141" customWidth="1"/>
    <col min="13587" max="13587" width="8.81640625" style="141" customWidth="1"/>
    <col min="13588" max="13588" width="5.1796875" style="141" customWidth="1"/>
    <col min="13589" max="13589" width="4.54296875" style="141" customWidth="1"/>
    <col min="13590" max="13794" width="9.1796875" style="141"/>
    <col min="13795" max="13795" width="12.81640625" style="141" customWidth="1"/>
    <col min="13796" max="13796" width="1" style="141" customWidth="1"/>
    <col min="13797" max="13798" width="12.81640625" style="141" customWidth="1"/>
    <col min="13799" max="13799" width="8.81640625" style="141" customWidth="1"/>
    <col min="13800" max="13801" width="12.81640625" style="141" customWidth="1"/>
    <col min="13802" max="13802" width="8.81640625" style="141" customWidth="1"/>
    <col min="13803" max="13804" width="12.81640625" style="141" customWidth="1"/>
    <col min="13805" max="13805" width="8.81640625" style="141" customWidth="1"/>
    <col min="13806" max="13807" width="12.81640625" style="141" customWidth="1"/>
    <col min="13808" max="13808" width="8.81640625" style="141" customWidth="1"/>
    <col min="13809" max="13810" width="12.81640625" style="141" customWidth="1"/>
    <col min="13811" max="13811" width="8.81640625" style="141" customWidth="1"/>
    <col min="13812" max="13813" width="12.81640625" style="141" customWidth="1"/>
    <col min="13814" max="13814" width="8.81640625" style="141" customWidth="1"/>
    <col min="13815" max="13816" width="12.81640625" style="141" customWidth="1"/>
    <col min="13817" max="13817" width="8.81640625" style="141" customWidth="1"/>
    <col min="13818" max="13818" width="3.81640625" style="141" customWidth="1"/>
    <col min="13819" max="13819" width="3.1796875" style="141" customWidth="1"/>
    <col min="13820" max="13820" width="9.1796875" style="141"/>
    <col min="13821" max="13821" width="12.1796875" style="141" customWidth="1"/>
    <col min="13822" max="13822" width="1.1796875" style="141" customWidth="1"/>
    <col min="13823" max="13824" width="12.81640625" style="141" customWidth="1"/>
    <col min="13825" max="13825" width="8.81640625" style="141" customWidth="1"/>
    <col min="13826" max="13827" width="12.81640625" style="141" customWidth="1"/>
    <col min="13828" max="13828" width="8.81640625" style="141" customWidth="1"/>
    <col min="13829" max="13830" width="12.81640625" style="141" customWidth="1"/>
    <col min="13831" max="13831" width="8.81640625" style="141" customWidth="1"/>
    <col min="13832" max="13833" width="12.81640625" style="141" customWidth="1"/>
    <col min="13834" max="13834" width="8.81640625" style="141" customWidth="1"/>
    <col min="13835" max="13836" width="12.81640625" style="141" customWidth="1"/>
    <col min="13837" max="13837" width="8.81640625" style="141" customWidth="1"/>
    <col min="13838" max="13838" width="14" style="141" bestFit="1" customWidth="1"/>
    <col min="13839" max="13839" width="12.81640625" style="141" customWidth="1"/>
    <col min="13840" max="13840" width="8.81640625" style="141" customWidth="1"/>
    <col min="13841" max="13842" width="12.81640625" style="141" customWidth="1"/>
    <col min="13843" max="13843" width="8.81640625" style="141" customWidth="1"/>
    <col min="13844" max="13844" width="5.1796875" style="141" customWidth="1"/>
    <col min="13845" max="13845" width="4.54296875" style="141" customWidth="1"/>
    <col min="13846" max="14050" width="9.1796875" style="141"/>
    <col min="14051" max="14051" width="12.81640625" style="141" customWidth="1"/>
    <col min="14052" max="14052" width="1" style="141" customWidth="1"/>
    <col min="14053" max="14054" width="12.81640625" style="141" customWidth="1"/>
    <col min="14055" max="14055" width="8.81640625" style="141" customWidth="1"/>
    <col min="14056" max="14057" width="12.81640625" style="141" customWidth="1"/>
    <col min="14058" max="14058" width="8.81640625" style="141" customWidth="1"/>
    <col min="14059" max="14060" width="12.81640625" style="141" customWidth="1"/>
    <col min="14061" max="14061" width="8.81640625" style="141" customWidth="1"/>
    <col min="14062" max="14063" width="12.81640625" style="141" customWidth="1"/>
    <col min="14064" max="14064" width="8.81640625" style="141" customWidth="1"/>
    <col min="14065" max="14066" width="12.81640625" style="141" customWidth="1"/>
    <col min="14067" max="14067" width="8.81640625" style="141" customWidth="1"/>
    <col min="14068" max="14069" width="12.81640625" style="141" customWidth="1"/>
    <col min="14070" max="14070" width="8.81640625" style="141" customWidth="1"/>
    <col min="14071" max="14072" width="12.81640625" style="141" customWidth="1"/>
    <col min="14073" max="14073" width="8.81640625" style="141" customWidth="1"/>
    <col min="14074" max="14074" width="3.81640625" style="141" customWidth="1"/>
    <col min="14075" max="14075" width="3.1796875" style="141" customWidth="1"/>
    <col min="14076" max="14076" width="9.1796875" style="141"/>
    <col min="14077" max="14077" width="12.1796875" style="141" customWidth="1"/>
    <col min="14078" max="14078" width="1.1796875" style="141" customWidth="1"/>
    <col min="14079" max="14080" width="12.81640625" style="141" customWidth="1"/>
    <col min="14081" max="14081" width="8.81640625" style="141" customWidth="1"/>
    <col min="14082" max="14083" width="12.81640625" style="141" customWidth="1"/>
    <col min="14084" max="14084" width="8.81640625" style="141" customWidth="1"/>
    <col min="14085" max="14086" width="12.81640625" style="141" customWidth="1"/>
    <col min="14087" max="14087" width="8.81640625" style="141" customWidth="1"/>
    <col min="14088" max="14089" width="12.81640625" style="141" customWidth="1"/>
    <col min="14090" max="14090" width="8.81640625" style="141" customWidth="1"/>
    <col min="14091" max="14092" width="12.81640625" style="141" customWidth="1"/>
    <col min="14093" max="14093" width="8.81640625" style="141" customWidth="1"/>
    <col min="14094" max="14094" width="14" style="141" bestFit="1" customWidth="1"/>
    <col min="14095" max="14095" width="12.81640625" style="141" customWidth="1"/>
    <col min="14096" max="14096" width="8.81640625" style="141" customWidth="1"/>
    <col min="14097" max="14098" width="12.81640625" style="141" customWidth="1"/>
    <col min="14099" max="14099" width="8.81640625" style="141" customWidth="1"/>
    <col min="14100" max="14100" width="5.1796875" style="141" customWidth="1"/>
    <col min="14101" max="14101" width="4.54296875" style="141" customWidth="1"/>
    <col min="14102" max="14306" width="9.1796875" style="141"/>
    <col min="14307" max="14307" width="12.81640625" style="141" customWidth="1"/>
    <col min="14308" max="14308" width="1" style="141" customWidth="1"/>
    <col min="14309" max="14310" width="12.81640625" style="141" customWidth="1"/>
    <col min="14311" max="14311" width="8.81640625" style="141" customWidth="1"/>
    <col min="14312" max="14313" width="12.81640625" style="141" customWidth="1"/>
    <col min="14314" max="14314" width="8.81640625" style="141" customWidth="1"/>
    <col min="14315" max="14316" width="12.81640625" style="141" customWidth="1"/>
    <col min="14317" max="14317" width="8.81640625" style="141" customWidth="1"/>
    <col min="14318" max="14319" width="12.81640625" style="141" customWidth="1"/>
    <col min="14320" max="14320" width="8.81640625" style="141" customWidth="1"/>
    <col min="14321" max="14322" width="12.81640625" style="141" customWidth="1"/>
    <col min="14323" max="14323" width="8.81640625" style="141" customWidth="1"/>
    <col min="14324" max="14325" width="12.81640625" style="141" customWidth="1"/>
    <col min="14326" max="14326" width="8.81640625" style="141" customWidth="1"/>
    <col min="14327" max="14328" width="12.81640625" style="141" customWidth="1"/>
    <col min="14329" max="14329" width="8.81640625" style="141" customWidth="1"/>
    <col min="14330" max="14330" width="3.81640625" style="141" customWidth="1"/>
    <col min="14331" max="14331" width="3.1796875" style="141" customWidth="1"/>
    <col min="14332" max="14332" width="9.1796875" style="141"/>
    <col min="14333" max="14333" width="12.1796875" style="141" customWidth="1"/>
    <col min="14334" max="14334" width="1.1796875" style="141" customWidth="1"/>
    <col min="14335" max="14336" width="12.81640625" style="141" customWidth="1"/>
    <col min="14337" max="14337" width="8.81640625" style="141" customWidth="1"/>
    <col min="14338" max="14339" width="12.81640625" style="141" customWidth="1"/>
    <col min="14340" max="14340" width="8.81640625" style="141" customWidth="1"/>
    <col min="14341" max="14342" width="12.81640625" style="141" customWidth="1"/>
    <col min="14343" max="14343" width="8.81640625" style="141" customWidth="1"/>
    <col min="14344" max="14345" width="12.81640625" style="141" customWidth="1"/>
    <col min="14346" max="14346" width="8.81640625" style="141" customWidth="1"/>
    <col min="14347" max="14348" width="12.81640625" style="141" customWidth="1"/>
    <col min="14349" max="14349" width="8.81640625" style="141" customWidth="1"/>
    <col min="14350" max="14350" width="14" style="141" bestFit="1" customWidth="1"/>
    <col min="14351" max="14351" width="12.81640625" style="141" customWidth="1"/>
    <col min="14352" max="14352" width="8.81640625" style="141" customWidth="1"/>
    <col min="14353" max="14354" width="12.81640625" style="141" customWidth="1"/>
    <col min="14355" max="14355" width="8.81640625" style="141" customWidth="1"/>
    <col min="14356" max="14356" width="5.1796875" style="141" customWidth="1"/>
    <col min="14357" max="14357" width="4.54296875" style="141" customWidth="1"/>
    <col min="14358" max="14562" width="9.1796875" style="141"/>
    <col min="14563" max="14563" width="12.81640625" style="141" customWidth="1"/>
    <col min="14564" max="14564" width="1" style="141" customWidth="1"/>
    <col min="14565" max="14566" width="12.81640625" style="141" customWidth="1"/>
    <col min="14567" max="14567" width="8.81640625" style="141" customWidth="1"/>
    <col min="14568" max="14569" width="12.81640625" style="141" customWidth="1"/>
    <col min="14570" max="14570" width="8.81640625" style="141" customWidth="1"/>
    <col min="14571" max="14572" width="12.81640625" style="141" customWidth="1"/>
    <col min="14573" max="14573" width="8.81640625" style="141" customWidth="1"/>
    <col min="14574" max="14575" width="12.81640625" style="141" customWidth="1"/>
    <col min="14576" max="14576" width="8.81640625" style="141" customWidth="1"/>
    <col min="14577" max="14578" width="12.81640625" style="141" customWidth="1"/>
    <col min="14579" max="14579" width="8.81640625" style="141" customWidth="1"/>
    <col min="14580" max="14581" width="12.81640625" style="141" customWidth="1"/>
    <col min="14582" max="14582" width="8.81640625" style="141" customWidth="1"/>
    <col min="14583" max="14584" width="12.81640625" style="141" customWidth="1"/>
    <col min="14585" max="14585" width="8.81640625" style="141" customWidth="1"/>
    <col min="14586" max="14586" width="3.81640625" style="141" customWidth="1"/>
    <col min="14587" max="14587" width="3.1796875" style="141" customWidth="1"/>
    <col min="14588" max="14588" width="9.1796875" style="141"/>
    <col min="14589" max="14589" width="12.1796875" style="141" customWidth="1"/>
    <col min="14590" max="14590" width="1.1796875" style="141" customWidth="1"/>
    <col min="14591" max="14592" width="12.81640625" style="141" customWidth="1"/>
    <col min="14593" max="14593" width="8.81640625" style="141" customWidth="1"/>
    <col min="14594" max="14595" width="12.81640625" style="141" customWidth="1"/>
    <col min="14596" max="14596" width="8.81640625" style="141" customWidth="1"/>
    <col min="14597" max="14598" width="12.81640625" style="141" customWidth="1"/>
    <col min="14599" max="14599" width="8.81640625" style="141" customWidth="1"/>
    <col min="14600" max="14601" width="12.81640625" style="141" customWidth="1"/>
    <col min="14602" max="14602" width="8.81640625" style="141" customWidth="1"/>
    <col min="14603" max="14604" width="12.81640625" style="141" customWidth="1"/>
    <col min="14605" max="14605" width="8.81640625" style="141" customWidth="1"/>
    <col min="14606" max="14606" width="14" style="141" bestFit="1" customWidth="1"/>
    <col min="14607" max="14607" width="12.81640625" style="141" customWidth="1"/>
    <col min="14608" max="14608" width="8.81640625" style="141" customWidth="1"/>
    <col min="14609" max="14610" width="12.81640625" style="141" customWidth="1"/>
    <col min="14611" max="14611" width="8.81640625" style="141" customWidth="1"/>
    <col min="14612" max="14612" width="5.1796875" style="141" customWidth="1"/>
    <col min="14613" max="14613" width="4.54296875" style="141" customWidth="1"/>
    <col min="14614" max="14818" width="9.1796875" style="141"/>
    <col min="14819" max="14819" width="12.81640625" style="141" customWidth="1"/>
    <col min="14820" max="14820" width="1" style="141" customWidth="1"/>
    <col min="14821" max="14822" width="12.81640625" style="141" customWidth="1"/>
    <col min="14823" max="14823" width="8.81640625" style="141" customWidth="1"/>
    <col min="14824" max="14825" width="12.81640625" style="141" customWidth="1"/>
    <col min="14826" max="14826" width="8.81640625" style="141" customWidth="1"/>
    <col min="14827" max="14828" width="12.81640625" style="141" customWidth="1"/>
    <col min="14829" max="14829" width="8.81640625" style="141" customWidth="1"/>
    <col min="14830" max="14831" width="12.81640625" style="141" customWidth="1"/>
    <col min="14832" max="14832" width="8.81640625" style="141" customWidth="1"/>
    <col min="14833" max="14834" width="12.81640625" style="141" customWidth="1"/>
    <col min="14835" max="14835" width="8.81640625" style="141" customWidth="1"/>
    <col min="14836" max="14837" width="12.81640625" style="141" customWidth="1"/>
    <col min="14838" max="14838" width="8.81640625" style="141" customWidth="1"/>
    <col min="14839" max="14840" width="12.81640625" style="141" customWidth="1"/>
    <col min="14841" max="14841" width="8.81640625" style="141" customWidth="1"/>
    <col min="14842" max="14842" width="3.81640625" style="141" customWidth="1"/>
    <col min="14843" max="14843" width="3.1796875" style="141" customWidth="1"/>
    <col min="14844" max="14844" width="9.1796875" style="141"/>
    <col min="14845" max="14845" width="12.1796875" style="141" customWidth="1"/>
    <col min="14846" max="14846" width="1.1796875" style="141" customWidth="1"/>
    <col min="14847" max="14848" width="12.81640625" style="141" customWidth="1"/>
    <col min="14849" max="14849" width="8.81640625" style="141" customWidth="1"/>
    <col min="14850" max="14851" width="12.81640625" style="141" customWidth="1"/>
    <col min="14852" max="14852" width="8.81640625" style="141" customWidth="1"/>
    <col min="14853" max="14854" width="12.81640625" style="141" customWidth="1"/>
    <col min="14855" max="14855" width="8.81640625" style="141" customWidth="1"/>
    <col min="14856" max="14857" width="12.81640625" style="141" customWidth="1"/>
    <col min="14858" max="14858" width="8.81640625" style="141" customWidth="1"/>
    <col min="14859" max="14860" width="12.81640625" style="141" customWidth="1"/>
    <col min="14861" max="14861" width="8.81640625" style="141" customWidth="1"/>
    <col min="14862" max="14862" width="14" style="141" bestFit="1" customWidth="1"/>
    <col min="14863" max="14863" width="12.81640625" style="141" customWidth="1"/>
    <col min="14864" max="14864" width="8.81640625" style="141" customWidth="1"/>
    <col min="14865" max="14866" width="12.81640625" style="141" customWidth="1"/>
    <col min="14867" max="14867" width="8.81640625" style="141" customWidth="1"/>
    <col min="14868" max="14868" width="5.1796875" style="141" customWidth="1"/>
    <col min="14869" max="14869" width="4.54296875" style="141" customWidth="1"/>
    <col min="14870" max="15074" width="9.1796875" style="141"/>
    <col min="15075" max="15075" width="12.81640625" style="141" customWidth="1"/>
    <col min="15076" max="15076" width="1" style="141" customWidth="1"/>
    <col min="15077" max="15078" width="12.81640625" style="141" customWidth="1"/>
    <col min="15079" max="15079" width="8.81640625" style="141" customWidth="1"/>
    <col min="15080" max="15081" width="12.81640625" style="141" customWidth="1"/>
    <col min="15082" max="15082" width="8.81640625" style="141" customWidth="1"/>
    <col min="15083" max="15084" width="12.81640625" style="141" customWidth="1"/>
    <col min="15085" max="15085" width="8.81640625" style="141" customWidth="1"/>
    <col min="15086" max="15087" width="12.81640625" style="141" customWidth="1"/>
    <col min="15088" max="15088" width="8.81640625" style="141" customWidth="1"/>
    <col min="15089" max="15090" width="12.81640625" style="141" customWidth="1"/>
    <col min="15091" max="15091" width="8.81640625" style="141" customWidth="1"/>
    <col min="15092" max="15093" width="12.81640625" style="141" customWidth="1"/>
    <col min="15094" max="15094" width="8.81640625" style="141" customWidth="1"/>
    <col min="15095" max="15096" width="12.81640625" style="141" customWidth="1"/>
    <col min="15097" max="15097" width="8.81640625" style="141" customWidth="1"/>
    <col min="15098" max="15098" width="3.81640625" style="141" customWidth="1"/>
    <col min="15099" max="15099" width="3.1796875" style="141" customWidth="1"/>
    <col min="15100" max="15100" width="9.1796875" style="141"/>
    <col min="15101" max="15101" width="12.1796875" style="141" customWidth="1"/>
    <col min="15102" max="15102" width="1.1796875" style="141" customWidth="1"/>
    <col min="15103" max="15104" width="12.81640625" style="141" customWidth="1"/>
    <col min="15105" max="15105" width="8.81640625" style="141" customWidth="1"/>
    <col min="15106" max="15107" width="12.81640625" style="141" customWidth="1"/>
    <col min="15108" max="15108" width="8.81640625" style="141" customWidth="1"/>
    <col min="15109" max="15110" width="12.81640625" style="141" customWidth="1"/>
    <col min="15111" max="15111" width="8.81640625" style="141" customWidth="1"/>
    <col min="15112" max="15113" width="12.81640625" style="141" customWidth="1"/>
    <col min="15114" max="15114" width="8.81640625" style="141" customWidth="1"/>
    <col min="15115" max="15116" width="12.81640625" style="141" customWidth="1"/>
    <col min="15117" max="15117" width="8.81640625" style="141" customWidth="1"/>
    <col min="15118" max="15118" width="14" style="141" bestFit="1" customWidth="1"/>
    <col min="15119" max="15119" width="12.81640625" style="141" customWidth="1"/>
    <col min="15120" max="15120" width="8.81640625" style="141" customWidth="1"/>
    <col min="15121" max="15122" width="12.81640625" style="141" customWidth="1"/>
    <col min="15123" max="15123" width="8.81640625" style="141" customWidth="1"/>
    <col min="15124" max="15124" width="5.1796875" style="141" customWidth="1"/>
    <col min="15125" max="15125" width="4.54296875" style="141" customWidth="1"/>
    <col min="15126" max="15330" width="9.1796875" style="141"/>
    <col min="15331" max="15331" width="12.81640625" style="141" customWidth="1"/>
    <col min="15332" max="15332" width="1" style="141" customWidth="1"/>
    <col min="15333" max="15334" width="12.81640625" style="141" customWidth="1"/>
    <col min="15335" max="15335" width="8.81640625" style="141" customWidth="1"/>
    <col min="15336" max="15337" width="12.81640625" style="141" customWidth="1"/>
    <col min="15338" max="15338" width="8.81640625" style="141" customWidth="1"/>
    <col min="15339" max="15340" width="12.81640625" style="141" customWidth="1"/>
    <col min="15341" max="15341" width="8.81640625" style="141" customWidth="1"/>
    <col min="15342" max="15343" width="12.81640625" style="141" customWidth="1"/>
    <col min="15344" max="15344" width="8.81640625" style="141" customWidth="1"/>
    <col min="15345" max="15346" width="12.81640625" style="141" customWidth="1"/>
    <col min="15347" max="15347" width="8.81640625" style="141" customWidth="1"/>
    <col min="15348" max="15349" width="12.81640625" style="141" customWidth="1"/>
    <col min="15350" max="15350" width="8.81640625" style="141" customWidth="1"/>
    <col min="15351" max="15352" width="12.81640625" style="141" customWidth="1"/>
    <col min="15353" max="15353" width="8.81640625" style="141" customWidth="1"/>
    <col min="15354" max="15354" width="3.81640625" style="141" customWidth="1"/>
    <col min="15355" max="15355" width="3.1796875" style="141" customWidth="1"/>
    <col min="15356" max="15356" width="9.1796875" style="141"/>
    <col min="15357" max="15357" width="12.1796875" style="141" customWidth="1"/>
    <col min="15358" max="15358" width="1.1796875" style="141" customWidth="1"/>
    <col min="15359" max="15360" width="12.81640625" style="141" customWidth="1"/>
    <col min="15361" max="15361" width="8.81640625" style="141" customWidth="1"/>
    <col min="15362" max="15363" width="12.81640625" style="141" customWidth="1"/>
    <col min="15364" max="15364" width="8.81640625" style="141" customWidth="1"/>
    <col min="15365" max="15366" width="12.81640625" style="141" customWidth="1"/>
    <col min="15367" max="15367" width="8.81640625" style="141" customWidth="1"/>
    <col min="15368" max="15369" width="12.81640625" style="141" customWidth="1"/>
    <col min="15370" max="15370" width="8.81640625" style="141" customWidth="1"/>
    <col min="15371" max="15372" width="12.81640625" style="141" customWidth="1"/>
    <col min="15373" max="15373" width="8.81640625" style="141" customWidth="1"/>
    <col min="15374" max="15374" width="14" style="141" bestFit="1" customWidth="1"/>
    <col min="15375" max="15375" width="12.81640625" style="141" customWidth="1"/>
    <col min="15376" max="15376" width="8.81640625" style="141" customWidth="1"/>
    <col min="15377" max="15378" width="12.81640625" style="141" customWidth="1"/>
    <col min="15379" max="15379" width="8.81640625" style="141" customWidth="1"/>
    <col min="15380" max="15380" width="5.1796875" style="141" customWidth="1"/>
    <col min="15381" max="15381" width="4.54296875" style="141" customWidth="1"/>
    <col min="15382" max="15586" width="9.1796875" style="141"/>
    <col min="15587" max="15587" width="12.81640625" style="141" customWidth="1"/>
    <col min="15588" max="15588" width="1" style="141" customWidth="1"/>
    <col min="15589" max="15590" width="12.81640625" style="141" customWidth="1"/>
    <col min="15591" max="15591" width="8.81640625" style="141" customWidth="1"/>
    <col min="15592" max="15593" width="12.81640625" style="141" customWidth="1"/>
    <col min="15594" max="15594" width="8.81640625" style="141" customWidth="1"/>
    <col min="15595" max="15596" width="12.81640625" style="141" customWidth="1"/>
    <col min="15597" max="15597" width="8.81640625" style="141" customWidth="1"/>
    <col min="15598" max="15599" width="12.81640625" style="141" customWidth="1"/>
    <col min="15600" max="15600" width="8.81640625" style="141" customWidth="1"/>
    <col min="15601" max="15602" width="12.81640625" style="141" customWidth="1"/>
    <col min="15603" max="15603" width="8.81640625" style="141" customWidth="1"/>
    <col min="15604" max="15605" width="12.81640625" style="141" customWidth="1"/>
    <col min="15606" max="15606" width="8.81640625" style="141" customWidth="1"/>
    <col min="15607" max="15608" width="12.81640625" style="141" customWidth="1"/>
    <col min="15609" max="15609" width="8.81640625" style="141" customWidth="1"/>
    <col min="15610" max="15610" width="3.81640625" style="141" customWidth="1"/>
    <col min="15611" max="15611" width="3.1796875" style="141" customWidth="1"/>
    <col min="15612" max="15612" width="9.1796875" style="141"/>
    <col min="15613" max="15613" width="12.1796875" style="141" customWidth="1"/>
    <col min="15614" max="15614" width="1.1796875" style="141" customWidth="1"/>
    <col min="15615" max="15616" width="12.81640625" style="141" customWidth="1"/>
    <col min="15617" max="15617" width="8.81640625" style="141" customWidth="1"/>
    <col min="15618" max="15619" width="12.81640625" style="141" customWidth="1"/>
    <col min="15620" max="15620" width="8.81640625" style="141" customWidth="1"/>
    <col min="15621" max="15622" width="12.81640625" style="141" customWidth="1"/>
    <col min="15623" max="15623" width="8.81640625" style="141" customWidth="1"/>
    <col min="15624" max="15625" width="12.81640625" style="141" customWidth="1"/>
    <col min="15626" max="15626" width="8.81640625" style="141" customWidth="1"/>
    <col min="15627" max="15628" width="12.81640625" style="141" customWidth="1"/>
    <col min="15629" max="15629" width="8.81640625" style="141" customWidth="1"/>
    <col min="15630" max="15630" width="14" style="141" bestFit="1" customWidth="1"/>
    <col min="15631" max="15631" width="12.81640625" style="141" customWidth="1"/>
    <col min="15632" max="15632" width="8.81640625" style="141" customWidth="1"/>
    <col min="15633" max="15634" width="12.81640625" style="141" customWidth="1"/>
    <col min="15635" max="15635" width="8.81640625" style="141" customWidth="1"/>
    <col min="15636" max="15636" width="5.1796875" style="141" customWidth="1"/>
    <col min="15637" max="15637" width="4.54296875" style="141" customWidth="1"/>
    <col min="15638" max="15842" width="9.1796875" style="141"/>
    <col min="15843" max="15843" width="12.81640625" style="141" customWidth="1"/>
    <col min="15844" max="15844" width="1" style="141" customWidth="1"/>
    <col min="15845" max="15846" width="12.81640625" style="141" customWidth="1"/>
    <col min="15847" max="15847" width="8.81640625" style="141" customWidth="1"/>
    <col min="15848" max="15849" width="12.81640625" style="141" customWidth="1"/>
    <col min="15850" max="15850" width="8.81640625" style="141" customWidth="1"/>
    <col min="15851" max="15852" width="12.81640625" style="141" customWidth="1"/>
    <col min="15853" max="15853" width="8.81640625" style="141" customWidth="1"/>
    <col min="15854" max="15855" width="12.81640625" style="141" customWidth="1"/>
    <col min="15856" max="15856" width="8.81640625" style="141" customWidth="1"/>
    <col min="15857" max="15858" width="12.81640625" style="141" customWidth="1"/>
    <col min="15859" max="15859" width="8.81640625" style="141" customWidth="1"/>
    <col min="15860" max="15861" width="12.81640625" style="141" customWidth="1"/>
    <col min="15862" max="15862" width="8.81640625" style="141" customWidth="1"/>
    <col min="15863" max="15864" width="12.81640625" style="141" customWidth="1"/>
    <col min="15865" max="15865" width="8.81640625" style="141" customWidth="1"/>
    <col min="15866" max="15866" width="3.81640625" style="141" customWidth="1"/>
    <col min="15867" max="15867" width="3.1796875" style="141" customWidth="1"/>
    <col min="15868" max="15868" width="9.1796875" style="141"/>
    <col min="15869" max="15869" width="12.1796875" style="141" customWidth="1"/>
    <col min="15870" max="15870" width="1.1796875" style="141" customWidth="1"/>
    <col min="15871" max="15872" width="12.81640625" style="141" customWidth="1"/>
    <col min="15873" max="15873" width="8.81640625" style="141" customWidth="1"/>
    <col min="15874" max="15875" width="12.81640625" style="141" customWidth="1"/>
    <col min="15876" max="15876" width="8.81640625" style="141" customWidth="1"/>
    <col min="15877" max="15878" width="12.81640625" style="141" customWidth="1"/>
    <col min="15879" max="15879" width="8.81640625" style="141" customWidth="1"/>
    <col min="15880" max="15881" width="12.81640625" style="141" customWidth="1"/>
    <col min="15882" max="15882" width="8.81640625" style="141" customWidth="1"/>
    <col min="15883" max="15884" width="12.81640625" style="141" customWidth="1"/>
    <col min="15885" max="15885" width="8.81640625" style="141" customWidth="1"/>
    <col min="15886" max="15886" width="14" style="141" bestFit="1" customWidth="1"/>
    <col min="15887" max="15887" width="12.81640625" style="141" customWidth="1"/>
    <col min="15888" max="15888" width="8.81640625" style="141" customWidth="1"/>
    <col min="15889" max="15890" width="12.81640625" style="141" customWidth="1"/>
    <col min="15891" max="15891" width="8.81640625" style="141" customWidth="1"/>
    <col min="15892" max="15892" width="5.1796875" style="141" customWidth="1"/>
    <col min="15893" max="15893" width="4.54296875" style="141" customWidth="1"/>
    <col min="15894" max="16098" width="9.1796875" style="141"/>
    <col min="16099" max="16099" width="12.81640625" style="141" customWidth="1"/>
    <col min="16100" max="16100" width="1" style="141" customWidth="1"/>
    <col min="16101" max="16102" width="12.81640625" style="141" customWidth="1"/>
    <col min="16103" max="16103" width="8.81640625" style="141" customWidth="1"/>
    <col min="16104" max="16105" width="12.81640625" style="141" customWidth="1"/>
    <col min="16106" max="16106" width="8.81640625" style="141" customWidth="1"/>
    <col min="16107" max="16108" width="12.81640625" style="141" customWidth="1"/>
    <col min="16109" max="16109" width="8.81640625" style="141" customWidth="1"/>
    <col min="16110" max="16111" width="12.81640625" style="141" customWidth="1"/>
    <col min="16112" max="16112" width="8.81640625" style="141" customWidth="1"/>
    <col min="16113" max="16114" width="12.81640625" style="141" customWidth="1"/>
    <col min="16115" max="16115" width="8.81640625" style="141" customWidth="1"/>
    <col min="16116" max="16117" width="12.81640625" style="141" customWidth="1"/>
    <col min="16118" max="16118" width="8.81640625" style="141" customWidth="1"/>
    <col min="16119" max="16120" width="12.81640625" style="141" customWidth="1"/>
    <col min="16121" max="16121" width="8.81640625" style="141" customWidth="1"/>
    <col min="16122" max="16122" width="3.81640625" style="141" customWidth="1"/>
    <col min="16123" max="16123" width="3.1796875" style="141" customWidth="1"/>
    <col min="16124" max="16124" width="9.1796875" style="141"/>
    <col min="16125" max="16125" width="12.1796875" style="141" customWidth="1"/>
    <col min="16126" max="16126" width="1.1796875" style="141" customWidth="1"/>
    <col min="16127" max="16128" width="12.81640625" style="141" customWidth="1"/>
    <col min="16129" max="16129" width="8.81640625" style="141" customWidth="1"/>
    <col min="16130" max="16131" width="12.81640625" style="141" customWidth="1"/>
    <col min="16132" max="16132" width="8.81640625" style="141" customWidth="1"/>
    <col min="16133" max="16134" width="12.81640625" style="141" customWidth="1"/>
    <col min="16135" max="16135" width="8.81640625" style="141" customWidth="1"/>
    <col min="16136" max="16137" width="12.81640625" style="141" customWidth="1"/>
    <col min="16138" max="16138" width="8.81640625" style="141" customWidth="1"/>
    <col min="16139" max="16140" width="12.81640625" style="141" customWidth="1"/>
    <col min="16141" max="16141" width="8.81640625" style="141" customWidth="1"/>
    <col min="16142" max="16142" width="14" style="141" bestFit="1" customWidth="1"/>
    <col min="16143" max="16143" width="12.81640625" style="141" customWidth="1"/>
    <col min="16144" max="16144" width="8.81640625" style="141" customWidth="1"/>
    <col min="16145" max="16146" width="12.81640625" style="141" customWidth="1"/>
    <col min="16147" max="16147" width="8.81640625" style="141" customWidth="1"/>
    <col min="16148" max="16148" width="5.1796875" style="141" customWidth="1"/>
    <col min="16149" max="16149" width="4.54296875" style="141" customWidth="1"/>
    <col min="16150" max="16384" width="9.1796875" style="141"/>
  </cols>
  <sheetData>
    <row r="1" spans="1:67" s="85" customFormat="1" ht="24.9" customHeight="1" thickBot="1" x14ac:dyDescent="0.4"/>
    <row r="2" spans="1:67" s="90" customFormat="1" ht="54" customHeight="1" thickBot="1" x14ac:dyDescent="0.4">
      <c r="A2" s="86"/>
      <c r="B2" s="87"/>
      <c r="C2" s="200" t="s">
        <v>68</v>
      </c>
      <c r="D2" s="200"/>
      <c r="E2" s="200"/>
      <c r="F2" s="200"/>
      <c r="G2" s="200"/>
      <c r="H2" s="200"/>
      <c r="I2" s="88"/>
      <c r="J2" s="88"/>
      <c r="K2" s="89"/>
      <c r="L2" s="86"/>
      <c r="M2" s="87"/>
      <c r="N2" s="200" t="s">
        <v>68</v>
      </c>
      <c r="O2" s="200"/>
      <c r="P2" s="200"/>
      <c r="Q2" s="200"/>
      <c r="R2" s="200"/>
      <c r="S2" s="200"/>
      <c r="T2" s="88"/>
      <c r="U2" s="88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</row>
    <row r="3" spans="1:67" s="97" customFormat="1" ht="35.25" customHeight="1" thickBot="1" x14ac:dyDescent="0.4">
      <c r="A3" s="91" t="s">
        <v>51</v>
      </c>
      <c r="B3" s="92"/>
      <c r="C3" s="3" t="s">
        <v>69</v>
      </c>
      <c r="D3" s="4" t="s">
        <v>70</v>
      </c>
      <c r="E3" s="3" t="s">
        <v>3</v>
      </c>
      <c r="F3" s="4" t="s">
        <v>4</v>
      </c>
      <c r="G3" s="1" t="s">
        <v>1</v>
      </c>
      <c r="H3" s="2" t="s">
        <v>2</v>
      </c>
      <c r="I3" s="95"/>
      <c r="J3" s="95"/>
      <c r="K3" s="96"/>
      <c r="L3" s="91" t="s">
        <v>51</v>
      </c>
      <c r="M3" s="92"/>
      <c r="N3" s="3" t="s">
        <v>69</v>
      </c>
      <c r="O3" s="4" t="s">
        <v>70</v>
      </c>
      <c r="P3" s="3" t="s">
        <v>54</v>
      </c>
      <c r="Q3" s="4" t="s">
        <v>56</v>
      </c>
      <c r="R3" s="1" t="s">
        <v>55</v>
      </c>
      <c r="S3" s="2" t="s">
        <v>57</v>
      </c>
      <c r="T3" s="95"/>
      <c r="U3" s="95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</row>
    <row r="4" spans="1:67" s="107" customFormat="1" ht="14.25" customHeight="1" x14ac:dyDescent="0.35">
      <c r="A4" s="98">
        <f>[1]Control!$AX$11</f>
        <v>45986</v>
      </c>
      <c r="B4" s="99"/>
      <c r="C4" s="142">
        <f>[2]Distribute!L51</f>
        <v>0</v>
      </c>
      <c r="D4" s="143">
        <v>3995.0177574835106</v>
      </c>
      <c r="E4" s="144">
        <f>[2]Distribute!L11</f>
        <v>0</v>
      </c>
      <c r="F4" s="145">
        <v>2157.3095890410959</v>
      </c>
      <c r="G4" s="145">
        <f>[2]Distribute!M11</f>
        <v>0</v>
      </c>
      <c r="H4" s="145">
        <v>1722.8109589041096</v>
      </c>
      <c r="I4" s="103"/>
      <c r="J4" s="103"/>
      <c r="K4" s="104"/>
      <c r="L4" s="98">
        <f>A4</f>
        <v>45986</v>
      </c>
      <c r="M4" s="99"/>
      <c r="N4" s="142">
        <f>[2]Distribute!L51</f>
        <v>0</v>
      </c>
      <c r="O4" s="143">
        <v>3995.0177574835106</v>
      </c>
      <c r="P4" s="146">
        <f>[2]Distribute!AL11</f>
        <v>0</v>
      </c>
      <c r="Q4" s="147">
        <v>33654029.589041099</v>
      </c>
      <c r="R4" s="147">
        <f>[2]Distribute!AM11</f>
        <v>0</v>
      </c>
      <c r="S4" s="147">
        <v>26875850.95890411</v>
      </c>
      <c r="T4" s="103"/>
      <c r="U4" s="103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</row>
    <row r="5" spans="1:67" s="107" customFormat="1" ht="14.25" customHeight="1" x14ac:dyDescent="0.35">
      <c r="A5" s="108">
        <f>[1]Control!AX12</f>
        <v>45987</v>
      </c>
      <c r="B5" s="99"/>
      <c r="C5" s="142">
        <f>[2]Distribute!L52</f>
        <v>0</v>
      </c>
      <c r="D5" s="143">
        <v>3995.0177574835106</v>
      </c>
      <c r="E5" s="144">
        <f>[2]Distribute!L12</f>
        <v>0</v>
      </c>
      <c r="F5" s="145">
        <v>2157.3095890410959</v>
      </c>
      <c r="G5" s="145">
        <f>[2]Distribute!M12</f>
        <v>0</v>
      </c>
      <c r="H5" s="145">
        <v>1722.8109589041096</v>
      </c>
      <c r="I5" s="103"/>
      <c r="J5" s="103"/>
      <c r="K5" s="104"/>
      <c r="L5" s="108">
        <f>A5</f>
        <v>45987</v>
      </c>
      <c r="M5" s="99"/>
      <c r="N5" s="142">
        <f>[2]Distribute!L52</f>
        <v>0</v>
      </c>
      <c r="O5" s="143">
        <v>3995.0177574835106</v>
      </c>
      <c r="P5" s="146">
        <f>[2]Distribute!AL12</f>
        <v>0</v>
      </c>
      <c r="Q5" s="147">
        <v>33654029.589041099</v>
      </c>
      <c r="R5" s="147">
        <f>[2]Distribute!AM12</f>
        <v>0</v>
      </c>
      <c r="S5" s="147">
        <v>26875850.95890411</v>
      </c>
      <c r="T5" s="103"/>
      <c r="U5" s="103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</row>
    <row r="6" spans="1:67" s="107" customFormat="1" ht="14.25" customHeight="1" x14ac:dyDescent="0.35">
      <c r="A6" s="108">
        <f>[1]Control!AX13</f>
        <v>45988</v>
      </c>
      <c r="B6" s="99"/>
      <c r="C6" s="142">
        <f>[2]Distribute!L53</f>
        <v>0</v>
      </c>
      <c r="D6" s="143">
        <v>3995.0177574835106</v>
      </c>
      <c r="E6" s="144">
        <f>[2]Distribute!L13</f>
        <v>0</v>
      </c>
      <c r="F6" s="145">
        <v>2157.3095890410959</v>
      </c>
      <c r="G6" s="145">
        <f>[2]Distribute!M13</f>
        <v>0</v>
      </c>
      <c r="H6" s="145">
        <v>1722.8109589041096</v>
      </c>
      <c r="I6" s="103"/>
      <c r="J6" s="103"/>
      <c r="K6" s="104"/>
      <c r="L6" s="108">
        <f t="shared" ref="L6:L34" si="0">A6</f>
        <v>45988</v>
      </c>
      <c r="M6" s="99"/>
      <c r="N6" s="142">
        <f>[2]Distribute!L53</f>
        <v>0</v>
      </c>
      <c r="O6" s="143">
        <v>3995.0177574835106</v>
      </c>
      <c r="P6" s="146">
        <f>[2]Distribute!AL13</f>
        <v>0</v>
      </c>
      <c r="Q6" s="147">
        <v>33654029.589041099</v>
      </c>
      <c r="R6" s="147">
        <f>[2]Distribute!AM13</f>
        <v>0</v>
      </c>
      <c r="S6" s="147">
        <v>26875850.95890411</v>
      </c>
      <c r="T6" s="103"/>
      <c r="U6" s="103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</row>
    <row r="7" spans="1:67" s="107" customFormat="1" ht="14.25" customHeight="1" x14ac:dyDescent="0.35">
      <c r="A7" s="108">
        <f>[1]Control!AX14</f>
        <v>45989</v>
      </c>
      <c r="B7" s="99"/>
      <c r="C7" s="142">
        <f>[2]Distribute!L54</f>
        <v>0</v>
      </c>
      <c r="D7" s="143">
        <v>3995.0177574835106</v>
      </c>
      <c r="E7" s="144">
        <f>[2]Distribute!L14</f>
        <v>0</v>
      </c>
      <c r="F7" s="145">
        <v>2157.3095890410959</v>
      </c>
      <c r="G7" s="145">
        <f>[2]Distribute!M14</f>
        <v>0</v>
      </c>
      <c r="H7" s="145">
        <v>1722.8109589041096</v>
      </c>
      <c r="I7" s="103"/>
      <c r="J7" s="103"/>
      <c r="K7" s="104"/>
      <c r="L7" s="108">
        <f t="shared" si="0"/>
        <v>45989</v>
      </c>
      <c r="M7" s="99"/>
      <c r="N7" s="142">
        <f>[2]Distribute!L54</f>
        <v>0</v>
      </c>
      <c r="O7" s="143">
        <v>3995.0177574835106</v>
      </c>
      <c r="P7" s="146">
        <f>[2]Distribute!AL14</f>
        <v>0</v>
      </c>
      <c r="Q7" s="147">
        <v>33654029.589041099</v>
      </c>
      <c r="R7" s="147">
        <f>[2]Distribute!AM14</f>
        <v>0</v>
      </c>
      <c r="S7" s="147">
        <v>26875850.95890411</v>
      </c>
      <c r="T7" s="103"/>
      <c r="U7" s="103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</row>
    <row r="8" spans="1:67" s="107" customFormat="1" ht="14.25" customHeight="1" x14ac:dyDescent="0.35">
      <c r="A8" s="108">
        <f>[1]Control!AX15</f>
        <v>45990</v>
      </c>
      <c r="B8" s="99"/>
      <c r="C8" s="142">
        <f>[2]Distribute!L55</f>
        <v>0</v>
      </c>
      <c r="D8" s="143">
        <v>3995.0177574835106</v>
      </c>
      <c r="E8" s="144">
        <f>[2]Distribute!L15</f>
        <v>0</v>
      </c>
      <c r="F8" s="145">
        <v>2157.3095890410959</v>
      </c>
      <c r="G8" s="145">
        <f>[2]Distribute!M15</f>
        <v>0</v>
      </c>
      <c r="H8" s="145">
        <v>1722.8109589041096</v>
      </c>
      <c r="I8" s="103"/>
      <c r="J8" s="103"/>
      <c r="K8" s="104"/>
      <c r="L8" s="108">
        <f t="shared" si="0"/>
        <v>45990</v>
      </c>
      <c r="M8" s="99"/>
      <c r="N8" s="142">
        <f>[2]Distribute!L55</f>
        <v>0</v>
      </c>
      <c r="O8" s="143">
        <v>3995.0177574835106</v>
      </c>
      <c r="P8" s="146">
        <f>[2]Distribute!AL15</f>
        <v>0</v>
      </c>
      <c r="Q8" s="147">
        <v>33654029.589041099</v>
      </c>
      <c r="R8" s="147">
        <f>[2]Distribute!AM15</f>
        <v>0</v>
      </c>
      <c r="S8" s="147">
        <v>26875850.95890411</v>
      </c>
      <c r="T8" s="103"/>
      <c r="U8" s="103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</row>
    <row r="9" spans="1:67" s="107" customFormat="1" ht="14.25" customHeight="1" x14ac:dyDescent="0.35">
      <c r="A9" s="108">
        <f>[1]Control!AX16</f>
        <v>45991</v>
      </c>
      <c r="B9" s="99"/>
      <c r="C9" s="142">
        <f>[2]Distribute!L56</f>
        <v>0</v>
      </c>
      <c r="D9" s="143">
        <v>3995.0177574835106</v>
      </c>
      <c r="E9" s="144">
        <f>[2]Distribute!L16</f>
        <v>0</v>
      </c>
      <c r="F9" s="145">
        <v>2157.3095890410959</v>
      </c>
      <c r="G9" s="145">
        <f>[2]Distribute!M16</f>
        <v>0</v>
      </c>
      <c r="H9" s="145">
        <v>1722.8109589041096</v>
      </c>
      <c r="I9" s="103"/>
      <c r="J9" s="103"/>
      <c r="K9" s="104"/>
      <c r="L9" s="108">
        <f t="shared" si="0"/>
        <v>45991</v>
      </c>
      <c r="M9" s="99"/>
      <c r="N9" s="142">
        <f>[2]Distribute!L56</f>
        <v>0</v>
      </c>
      <c r="O9" s="143">
        <v>3995.0177574835106</v>
      </c>
      <c r="P9" s="146">
        <f>[2]Distribute!AL16</f>
        <v>0</v>
      </c>
      <c r="Q9" s="147">
        <v>33654029.589041099</v>
      </c>
      <c r="R9" s="147">
        <f>[2]Distribute!AM16</f>
        <v>0</v>
      </c>
      <c r="S9" s="147">
        <v>26875850.95890411</v>
      </c>
      <c r="T9" s="103"/>
      <c r="U9" s="103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</row>
    <row r="10" spans="1:67" s="107" customFormat="1" ht="14.25" customHeight="1" x14ac:dyDescent="0.35">
      <c r="A10" s="108">
        <f>[1]Control!AX17</f>
        <v>45992</v>
      </c>
      <c r="B10" s="99"/>
      <c r="C10" s="142">
        <f>[2]Distribute!L57</f>
        <v>0</v>
      </c>
      <c r="D10" s="143">
        <v>3995.0177574835106</v>
      </c>
      <c r="E10" s="144">
        <f>[2]Distribute!L17</f>
        <v>0</v>
      </c>
      <c r="F10" s="145">
        <v>2157.3095890410959</v>
      </c>
      <c r="G10" s="145">
        <f>[2]Distribute!M17</f>
        <v>0</v>
      </c>
      <c r="H10" s="145">
        <v>1722.8109589041096</v>
      </c>
      <c r="I10" s="103"/>
      <c r="J10" s="103"/>
      <c r="K10" s="104"/>
      <c r="L10" s="108">
        <f t="shared" si="0"/>
        <v>45992</v>
      </c>
      <c r="M10" s="99"/>
      <c r="N10" s="142">
        <f>[2]Distribute!L57</f>
        <v>0</v>
      </c>
      <c r="O10" s="143">
        <v>3995.0177574835106</v>
      </c>
      <c r="P10" s="146">
        <f>[2]Distribute!AL17</f>
        <v>0</v>
      </c>
      <c r="Q10" s="147">
        <v>33654029.589041099</v>
      </c>
      <c r="R10" s="147">
        <f>[2]Distribute!AM17</f>
        <v>0</v>
      </c>
      <c r="S10" s="147">
        <v>26875850.95890411</v>
      </c>
      <c r="T10" s="103"/>
      <c r="U10" s="103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</row>
    <row r="11" spans="1:67" s="107" customFormat="1" ht="14.25" customHeight="1" x14ac:dyDescent="0.35">
      <c r="A11" s="108">
        <f>[1]Control!AX18</f>
        <v>45993</v>
      </c>
      <c r="B11" s="99"/>
      <c r="C11" s="142">
        <f>[2]Distribute!L58</f>
        <v>0</v>
      </c>
      <c r="D11" s="143">
        <v>3995.0177574835106</v>
      </c>
      <c r="E11" s="144">
        <f>[2]Distribute!L18</f>
        <v>0</v>
      </c>
      <c r="F11" s="145">
        <v>2157.3095890410959</v>
      </c>
      <c r="G11" s="145">
        <f>[2]Distribute!M18</f>
        <v>0</v>
      </c>
      <c r="H11" s="145">
        <v>1722.8109589041096</v>
      </c>
      <c r="I11" s="103"/>
      <c r="J11" s="103"/>
      <c r="K11" s="104"/>
      <c r="L11" s="108">
        <f t="shared" si="0"/>
        <v>45993</v>
      </c>
      <c r="M11" s="99"/>
      <c r="N11" s="142">
        <f>[2]Distribute!L58</f>
        <v>0</v>
      </c>
      <c r="O11" s="143">
        <v>3995.0177574835106</v>
      </c>
      <c r="P11" s="146">
        <f>[2]Distribute!AL18</f>
        <v>0</v>
      </c>
      <c r="Q11" s="147">
        <v>33654029.589041099</v>
      </c>
      <c r="R11" s="147">
        <f>[2]Distribute!AM18</f>
        <v>0</v>
      </c>
      <c r="S11" s="147">
        <v>26875850.95890411</v>
      </c>
      <c r="T11" s="103"/>
      <c r="U11" s="103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</row>
    <row r="12" spans="1:67" s="107" customFormat="1" ht="14.25" customHeight="1" x14ac:dyDescent="0.35">
      <c r="A12" s="108">
        <f>[1]Control!AX19</f>
        <v>45994</v>
      </c>
      <c r="B12" s="99"/>
      <c r="C12" s="142">
        <f>[2]Distribute!L59</f>
        <v>0</v>
      </c>
      <c r="D12" s="143">
        <v>3995.0177574835106</v>
      </c>
      <c r="E12" s="144">
        <f>[2]Distribute!L19</f>
        <v>0</v>
      </c>
      <c r="F12" s="145">
        <v>2157.3095890410959</v>
      </c>
      <c r="G12" s="145">
        <f>[2]Distribute!M19</f>
        <v>0</v>
      </c>
      <c r="H12" s="145">
        <v>1722.8109589041096</v>
      </c>
      <c r="I12" s="103"/>
      <c r="J12" s="103"/>
      <c r="K12" s="104"/>
      <c r="L12" s="108">
        <f t="shared" si="0"/>
        <v>45994</v>
      </c>
      <c r="M12" s="99"/>
      <c r="N12" s="142">
        <f>[2]Distribute!L59</f>
        <v>0</v>
      </c>
      <c r="O12" s="143">
        <v>3995.0177574835106</v>
      </c>
      <c r="P12" s="146">
        <f>[2]Distribute!AL19</f>
        <v>0</v>
      </c>
      <c r="Q12" s="147">
        <v>33654029.589041099</v>
      </c>
      <c r="R12" s="147">
        <f>[2]Distribute!AM19</f>
        <v>0</v>
      </c>
      <c r="S12" s="147">
        <v>26875850.95890411</v>
      </c>
      <c r="T12" s="103"/>
      <c r="U12" s="103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</row>
    <row r="13" spans="1:67" s="107" customFormat="1" ht="14.25" customHeight="1" x14ac:dyDescent="0.35">
      <c r="A13" s="108">
        <f>[1]Control!AX20</f>
        <v>45995</v>
      </c>
      <c r="B13" s="99"/>
      <c r="C13" s="142">
        <f>[2]Distribute!L60</f>
        <v>0</v>
      </c>
      <c r="D13" s="143">
        <v>3995.0177574835106</v>
      </c>
      <c r="E13" s="144">
        <f>[2]Distribute!L20</f>
        <v>0</v>
      </c>
      <c r="F13" s="145">
        <v>2157.3095890410959</v>
      </c>
      <c r="G13" s="145">
        <f>[2]Distribute!M20</f>
        <v>0</v>
      </c>
      <c r="H13" s="145">
        <v>1722.8109589041096</v>
      </c>
      <c r="I13" s="103"/>
      <c r="J13" s="103"/>
      <c r="K13" s="104"/>
      <c r="L13" s="108">
        <f t="shared" si="0"/>
        <v>45995</v>
      </c>
      <c r="M13" s="99"/>
      <c r="N13" s="142">
        <f>[2]Distribute!L60</f>
        <v>0</v>
      </c>
      <c r="O13" s="143">
        <v>3995.0177574835106</v>
      </c>
      <c r="P13" s="146">
        <f>[2]Distribute!AL20</f>
        <v>0</v>
      </c>
      <c r="Q13" s="147">
        <v>33654029.589041099</v>
      </c>
      <c r="R13" s="147">
        <f>[2]Distribute!AM20</f>
        <v>0</v>
      </c>
      <c r="S13" s="147">
        <v>26875850.95890411</v>
      </c>
      <c r="T13" s="103"/>
      <c r="U13" s="103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</row>
    <row r="14" spans="1:67" s="107" customFormat="1" ht="14.25" customHeight="1" x14ac:dyDescent="0.35">
      <c r="A14" s="108">
        <f>[1]Control!AX21</f>
        <v>45996</v>
      </c>
      <c r="B14" s="99"/>
      <c r="C14" s="142">
        <f>[2]Distribute!L61</f>
        <v>0</v>
      </c>
      <c r="D14" s="143">
        <v>3995.0177574835106</v>
      </c>
      <c r="E14" s="144">
        <f>[2]Distribute!L21</f>
        <v>0</v>
      </c>
      <c r="F14" s="145">
        <v>2157.3095890410959</v>
      </c>
      <c r="G14" s="145">
        <f>[2]Distribute!M21</f>
        <v>0</v>
      </c>
      <c r="H14" s="145">
        <v>1722.8109589041096</v>
      </c>
      <c r="I14" s="103"/>
      <c r="J14" s="103"/>
      <c r="K14" s="104"/>
      <c r="L14" s="108">
        <f t="shared" si="0"/>
        <v>45996</v>
      </c>
      <c r="M14" s="99"/>
      <c r="N14" s="142">
        <f>[2]Distribute!L61</f>
        <v>0</v>
      </c>
      <c r="O14" s="143">
        <v>3995.0177574835106</v>
      </c>
      <c r="P14" s="146">
        <f>[2]Distribute!AL21</f>
        <v>0</v>
      </c>
      <c r="Q14" s="147">
        <v>33654029.589041099</v>
      </c>
      <c r="R14" s="147">
        <f>[2]Distribute!AM21</f>
        <v>0</v>
      </c>
      <c r="S14" s="147">
        <v>26875850.95890411</v>
      </c>
      <c r="T14" s="103"/>
      <c r="U14" s="103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</row>
    <row r="15" spans="1:67" s="107" customFormat="1" ht="14.25" customHeight="1" x14ac:dyDescent="0.35">
      <c r="A15" s="108">
        <f>[1]Control!AX22</f>
        <v>45997</v>
      </c>
      <c r="B15" s="99"/>
      <c r="C15" s="142">
        <f>[2]Distribute!L62</f>
        <v>0</v>
      </c>
      <c r="D15" s="143">
        <v>3995.0177574835106</v>
      </c>
      <c r="E15" s="144">
        <f>[2]Distribute!L22</f>
        <v>0</v>
      </c>
      <c r="F15" s="145">
        <v>2157.3095890410959</v>
      </c>
      <c r="G15" s="145">
        <f>[2]Distribute!M22</f>
        <v>0</v>
      </c>
      <c r="H15" s="145">
        <v>1722.8109589041101</v>
      </c>
      <c r="I15" s="103"/>
      <c r="J15" s="103"/>
      <c r="K15" s="104"/>
      <c r="L15" s="108">
        <f t="shared" si="0"/>
        <v>45997</v>
      </c>
      <c r="M15" s="99"/>
      <c r="N15" s="142">
        <f>[2]Distribute!L62</f>
        <v>0</v>
      </c>
      <c r="O15" s="143">
        <v>3995.0177574835106</v>
      </c>
      <c r="P15" s="146">
        <f>[2]Distribute!AL22</f>
        <v>0</v>
      </c>
      <c r="Q15" s="147">
        <v>33654029.589041099</v>
      </c>
      <c r="R15" s="147">
        <f>[2]Distribute!AM22</f>
        <v>0</v>
      </c>
      <c r="S15" s="147">
        <v>26875850.95890411</v>
      </c>
      <c r="T15" s="103"/>
      <c r="U15" s="103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</row>
    <row r="16" spans="1:67" s="107" customFormat="1" ht="14.25" customHeight="1" x14ac:dyDescent="0.35">
      <c r="A16" s="108">
        <f>[1]Control!AX23</f>
        <v>45998</v>
      </c>
      <c r="B16" s="99"/>
      <c r="C16" s="142">
        <f>[2]Distribute!L63</f>
        <v>0</v>
      </c>
      <c r="D16" s="143">
        <v>3995.0177574835106</v>
      </c>
      <c r="E16" s="144">
        <f>[2]Distribute!L23</f>
        <v>0</v>
      </c>
      <c r="F16" s="145">
        <v>2157.3095890410959</v>
      </c>
      <c r="G16" s="145">
        <f>[2]Distribute!M23</f>
        <v>0</v>
      </c>
      <c r="H16" s="145">
        <v>1722.8109589041101</v>
      </c>
      <c r="I16" s="103"/>
      <c r="J16" s="103"/>
      <c r="K16" s="104"/>
      <c r="L16" s="108">
        <f t="shared" si="0"/>
        <v>45998</v>
      </c>
      <c r="M16" s="99"/>
      <c r="N16" s="142">
        <f>[2]Distribute!L63</f>
        <v>0</v>
      </c>
      <c r="O16" s="143">
        <v>3995.0177574835106</v>
      </c>
      <c r="P16" s="146">
        <f>[2]Distribute!AL23</f>
        <v>0</v>
      </c>
      <c r="Q16" s="147">
        <v>33654029.589041099</v>
      </c>
      <c r="R16" s="147">
        <f>[2]Distribute!AM23</f>
        <v>0</v>
      </c>
      <c r="S16" s="147">
        <v>26875850.95890411</v>
      </c>
      <c r="T16" s="103"/>
      <c r="U16" s="103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</row>
    <row r="17" spans="1:67" s="107" customFormat="1" ht="14.25" customHeight="1" x14ac:dyDescent="0.35">
      <c r="A17" s="108">
        <f>[1]Control!AX24</f>
        <v>45999</v>
      </c>
      <c r="B17" s="99"/>
      <c r="C17" s="142">
        <f>[2]Distribute!L64</f>
        <v>0</v>
      </c>
      <c r="D17" s="143">
        <v>3995.0177574835106</v>
      </c>
      <c r="E17" s="144">
        <f>[2]Distribute!L24</f>
        <v>0</v>
      </c>
      <c r="F17" s="145">
        <v>2157.3095890410959</v>
      </c>
      <c r="G17" s="145">
        <f>[2]Distribute!M24</f>
        <v>0</v>
      </c>
      <c r="H17" s="145">
        <v>1722.8109589041096</v>
      </c>
      <c r="I17" s="103"/>
      <c r="J17" s="103"/>
      <c r="K17" s="104"/>
      <c r="L17" s="108">
        <f t="shared" si="0"/>
        <v>45999</v>
      </c>
      <c r="M17" s="99"/>
      <c r="N17" s="142">
        <f>[2]Distribute!L64</f>
        <v>0</v>
      </c>
      <c r="O17" s="143">
        <v>3995.0177574835106</v>
      </c>
      <c r="P17" s="146">
        <f>[2]Distribute!AL24</f>
        <v>0</v>
      </c>
      <c r="Q17" s="147">
        <v>33654029.589041099</v>
      </c>
      <c r="R17" s="147">
        <f>[2]Distribute!AM24</f>
        <v>0</v>
      </c>
      <c r="S17" s="147">
        <v>26875850.95890411</v>
      </c>
      <c r="T17" s="103"/>
      <c r="U17" s="103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</row>
    <row r="18" spans="1:67" s="107" customFormat="1" ht="14.25" customHeight="1" x14ac:dyDescent="0.35">
      <c r="A18" s="108">
        <f>[1]Control!AX25</f>
        <v>46000</v>
      </c>
      <c r="B18" s="99"/>
      <c r="C18" s="142">
        <f>[2]Distribute!L65</f>
        <v>0</v>
      </c>
      <c r="D18" s="143">
        <v>3995.0177574835106</v>
      </c>
      <c r="E18" s="144">
        <f>[2]Distribute!L25</f>
        <v>0</v>
      </c>
      <c r="F18" s="145">
        <v>2157.3095890410959</v>
      </c>
      <c r="G18" s="145">
        <f>[2]Distribute!M25</f>
        <v>0</v>
      </c>
      <c r="H18" s="145">
        <v>1722.8109589041096</v>
      </c>
      <c r="I18" s="103"/>
      <c r="J18" s="103"/>
      <c r="K18" s="104"/>
      <c r="L18" s="108">
        <f t="shared" si="0"/>
        <v>46000</v>
      </c>
      <c r="M18" s="99"/>
      <c r="N18" s="142">
        <f>[2]Distribute!L65</f>
        <v>0</v>
      </c>
      <c r="O18" s="143">
        <v>3995.0177574835106</v>
      </c>
      <c r="P18" s="146">
        <f>[2]Distribute!AL25</f>
        <v>0</v>
      </c>
      <c r="Q18" s="147">
        <v>33654029.589041099</v>
      </c>
      <c r="R18" s="147">
        <f>[2]Distribute!AM25</f>
        <v>0</v>
      </c>
      <c r="S18" s="147">
        <v>26875850.95890411</v>
      </c>
      <c r="T18" s="103"/>
      <c r="U18" s="103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</row>
    <row r="19" spans="1:67" s="107" customFormat="1" ht="14.25" customHeight="1" x14ac:dyDescent="0.35">
      <c r="A19" s="108">
        <f>[1]Control!AX26</f>
        <v>46001</v>
      </c>
      <c r="B19" s="99"/>
      <c r="C19" s="142">
        <f>[2]Distribute!L66</f>
        <v>0</v>
      </c>
      <c r="D19" s="143">
        <v>3995.0177574835106</v>
      </c>
      <c r="E19" s="144">
        <f>[2]Distribute!L26</f>
        <v>0</v>
      </c>
      <c r="F19" s="145">
        <v>2157.3095890410959</v>
      </c>
      <c r="G19" s="145">
        <f>[2]Distribute!M26</f>
        <v>0</v>
      </c>
      <c r="H19" s="145">
        <v>1722.8109589041096</v>
      </c>
      <c r="I19" s="103"/>
      <c r="J19" s="103"/>
      <c r="K19" s="104"/>
      <c r="L19" s="108">
        <f t="shared" si="0"/>
        <v>46001</v>
      </c>
      <c r="M19" s="99"/>
      <c r="N19" s="142">
        <f>[2]Distribute!L66</f>
        <v>0</v>
      </c>
      <c r="O19" s="143">
        <v>3995.0177574835106</v>
      </c>
      <c r="P19" s="146">
        <f>[2]Distribute!AL26</f>
        <v>0</v>
      </c>
      <c r="Q19" s="147">
        <v>33654029.589041099</v>
      </c>
      <c r="R19" s="147">
        <f>[2]Distribute!AM26</f>
        <v>0</v>
      </c>
      <c r="S19" s="147">
        <v>26875850.95890411</v>
      </c>
      <c r="T19" s="103"/>
      <c r="U19" s="103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</row>
    <row r="20" spans="1:67" s="107" customFormat="1" ht="14.25" customHeight="1" x14ac:dyDescent="0.35">
      <c r="A20" s="108">
        <f>[1]Control!AX27</f>
        <v>46002</v>
      </c>
      <c r="B20" s="99"/>
      <c r="C20" s="142">
        <f>[2]Distribute!L67</f>
        <v>0</v>
      </c>
      <c r="D20" s="143">
        <v>3995.0177574835106</v>
      </c>
      <c r="E20" s="144">
        <f>[2]Distribute!L27</f>
        <v>0</v>
      </c>
      <c r="F20" s="145">
        <v>2157.3095890410959</v>
      </c>
      <c r="G20" s="145">
        <f>[2]Distribute!M27</f>
        <v>0</v>
      </c>
      <c r="H20" s="145">
        <v>1722.8109589041096</v>
      </c>
      <c r="I20" s="103"/>
      <c r="J20" s="103"/>
      <c r="K20" s="104"/>
      <c r="L20" s="108">
        <f t="shared" si="0"/>
        <v>46002</v>
      </c>
      <c r="M20" s="99"/>
      <c r="N20" s="142">
        <f>[2]Distribute!L67</f>
        <v>0</v>
      </c>
      <c r="O20" s="143">
        <v>3995.0177574835106</v>
      </c>
      <c r="P20" s="146">
        <f>[2]Distribute!AL27</f>
        <v>0</v>
      </c>
      <c r="Q20" s="147">
        <v>33654029.589041099</v>
      </c>
      <c r="R20" s="147">
        <f>[2]Distribute!AM27</f>
        <v>0</v>
      </c>
      <c r="S20" s="147">
        <v>26875850.95890411</v>
      </c>
      <c r="T20" s="103"/>
      <c r="U20" s="103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</row>
    <row r="21" spans="1:67" s="107" customFormat="1" ht="14.25" customHeight="1" x14ac:dyDescent="0.35">
      <c r="A21" s="108">
        <f>[1]Control!AX28</f>
        <v>46003</v>
      </c>
      <c r="B21" s="99"/>
      <c r="C21" s="142">
        <f>[2]Distribute!L68</f>
        <v>0</v>
      </c>
      <c r="D21" s="143">
        <v>3995.0177574835106</v>
      </c>
      <c r="E21" s="144">
        <f>[2]Distribute!L28</f>
        <v>0</v>
      </c>
      <c r="F21" s="145">
        <v>2157.3095890410959</v>
      </c>
      <c r="G21" s="145">
        <f>[2]Distribute!M28</f>
        <v>0</v>
      </c>
      <c r="H21" s="145">
        <v>1722.8109589041096</v>
      </c>
      <c r="I21" s="103"/>
      <c r="J21" s="103"/>
      <c r="K21" s="104"/>
      <c r="L21" s="108">
        <f t="shared" si="0"/>
        <v>46003</v>
      </c>
      <c r="M21" s="99"/>
      <c r="N21" s="142">
        <f>[2]Distribute!L68</f>
        <v>0</v>
      </c>
      <c r="O21" s="143">
        <v>3995.0177574835106</v>
      </c>
      <c r="P21" s="146">
        <f>[2]Distribute!AL28</f>
        <v>0</v>
      </c>
      <c r="Q21" s="147">
        <v>33654029.589041099</v>
      </c>
      <c r="R21" s="147">
        <f>[2]Distribute!AM28</f>
        <v>0</v>
      </c>
      <c r="S21" s="147">
        <v>26875850.95890411</v>
      </c>
      <c r="T21" s="103"/>
      <c r="U21" s="103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</row>
    <row r="22" spans="1:67" s="107" customFormat="1" ht="14.25" customHeight="1" x14ac:dyDescent="0.35">
      <c r="A22" s="108">
        <f>[1]Control!AX29</f>
        <v>46004</v>
      </c>
      <c r="B22" s="99"/>
      <c r="C22" s="142">
        <f>[2]Distribute!L69</f>
        <v>0</v>
      </c>
      <c r="D22" s="143">
        <v>3995.0177574835106</v>
      </c>
      <c r="E22" s="144">
        <f>[2]Distribute!L29</f>
        <v>0</v>
      </c>
      <c r="F22" s="145">
        <v>2157.3095890410959</v>
      </c>
      <c r="G22" s="145">
        <f>[2]Distribute!M29</f>
        <v>0</v>
      </c>
      <c r="H22" s="145">
        <v>1722.8109589041096</v>
      </c>
      <c r="I22" s="103"/>
      <c r="J22" s="103"/>
      <c r="K22" s="104"/>
      <c r="L22" s="108">
        <f t="shared" si="0"/>
        <v>46004</v>
      </c>
      <c r="M22" s="99"/>
      <c r="N22" s="142">
        <f>[2]Distribute!L69</f>
        <v>0</v>
      </c>
      <c r="O22" s="143">
        <v>3995.0177574835106</v>
      </c>
      <c r="P22" s="146">
        <f>[2]Distribute!AL29</f>
        <v>0</v>
      </c>
      <c r="Q22" s="147">
        <v>33654029.589041099</v>
      </c>
      <c r="R22" s="147">
        <f>[2]Distribute!AM29</f>
        <v>0</v>
      </c>
      <c r="S22" s="147">
        <v>26875850.95890411</v>
      </c>
      <c r="T22" s="103"/>
      <c r="U22" s="103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</row>
    <row r="23" spans="1:67" s="107" customFormat="1" ht="14.25" customHeight="1" x14ac:dyDescent="0.35">
      <c r="A23" s="108">
        <f>[1]Control!AX30</f>
        <v>46005</v>
      </c>
      <c r="B23" s="99"/>
      <c r="C23" s="142">
        <f>[2]Distribute!L70</f>
        <v>0</v>
      </c>
      <c r="D23" s="143">
        <v>3995.0177574835106</v>
      </c>
      <c r="E23" s="144">
        <f>[2]Distribute!L30</f>
        <v>0</v>
      </c>
      <c r="F23" s="145">
        <v>2157.3095890410959</v>
      </c>
      <c r="G23" s="145">
        <f>[2]Distribute!M30</f>
        <v>0</v>
      </c>
      <c r="H23" s="145">
        <v>1722.8109589041096</v>
      </c>
      <c r="I23" s="103"/>
      <c r="J23" s="103"/>
      <c r="K23" s="104"/>
      <c r="L23" s="108">
        <f t="shared" si="0"/>
        <v>46005</v>
      </c>
      <c r="M23" s="99"/>
      <c r="N23" s="142">
        <f>[2]Distribute!L70</f>
        <v>0</v>
      </c>
      <c r="O23" s="143">
        <v>3995.0177574835106</v>
      </c>
      <c r="P23" s="146">
        <f>[2]Distribute!AL30</f>
        <v>0</v>
      </c>
      <c r="Q23" s="147">
        <v>33654029.589041099</v>
      </c>
      <c r="R23" s="147">
        <f>[2]Distribute!AM30</f>
        <v>0</v>
      </c>
      <c r="S23" s="147">
        <v>26875850.95890411</v>
      </c>
      <c r="T23" s="103"/>
      <c r="U23" s="103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</row>
    <row r="24" spans="1:67" s="107" customFormat="1" ht="14.25" customHeight="1" x14ac:dyDescent="0.35">
      <c r="A24" s="108">
        <f>[1]Control!AX31</f>
        <v>46006</v>
      </c>
      <c r="B24" s="99"/>
      <c r="C24" s="142">
        <f>[2]Distribute!L71</f>
        <v>0</v>
      </c>
      <c r="D24" s="143">
        <v>3995.0177574835106</v>
      </c>
      <c r="E24" s="144">
        <f>[2]Distribute!L31</f>
        <v>0</v>
      </c>
      <c r="F24" s="145">
        <v>2157.3095890410959</v>
      </c>
      <c r="G24" s="145">
        <f>[2]Distribute!M31</f>
        <v>0</v>
      </c>
      <c r="H24" s="145">
        <v>1722.8109589041096</v>
      </c>
      <c r="I24" s="103"/>
      <c r="J24" s="103"/>
      <c r="K24" s="104"/>
      <c r="L24" s="108">
        <f t="shared" si="0"/>
        <v>46006</v>
      </c>
      <c r="M24" s="99"/>
      <c r="N24" s="142">
        <f>[2]Distribute!L71</f>
        <v>0</v>
      </c>
      <c r="O24" s="143">
        <v>3995.0177574835106</v>
      </c>
      <c r="P24" s="146">
        <f>[2]Distribute!AL31</f>
        <v>0</v>
      </c>
      <c r="Q24" s="147">
        <v>33654029.589041099</v>
      </c>
      <c r="R24" s="147">
        <f>[2]Distribute!AM31</f>
        <v>0</v>
      </c>
      <c r="S24" s="147">
        <v>26875850.95890411</v>
      </c>
      <c r="T24" s="103"/>
      <c r="U24" s="103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</row>
    <row r="25" spans="1:67" s="107" customFormat="1" ht="14.25" customHeight="1" x14ac:dyDescent="0.35">
      <c r="A25" s="108">
        <f>[1]Control!AX32</f>
        <v>46007</v>
      </c>
      <c r="B25" s="99"/>
      <c r="C25" s="142">
        <f>[2]Distribute!L72</f>
        <v>0</v>
      </c>
      <c r="D25" s="143">
        <v>3995.0177574835106</v>
      </c>
      <c r="E25" s="144">
        <f>[2]Distribute!L32</f>
        <v>0</v>
      </c>
      <c r="F25" s="145">
        <v>2157.3095890410959</v>
      </c>
      <c r="G25" s="145">
        <f>[2]Distribute!M32</f>
        <v>0</v>
      </c>
      <c r="H25" s="145">
        <v>1722.8109589041096</v>
      </c>
      <c r="I25" s="103"/>
      <c r="J25" s="103"/>
      <c r="K25" s="104"/>
      <c r="L25" s="108">
        <f t="shared" si="0"/>
        <v>46007</v>
      </c>
      <c r="M25" s="99"/>
      <c r="N25" s="142">
        <f>[2]Distribute!L72</f>
        <v>0</v>
      </c>
      <c r="O25" s="143">
        <v>3995.0177574835106</v>
      </c>
      <c r="P25" s="146">
        <f>[2]Distribute!AL32</f>
        <v>0</v>
      </c>
      <c r="Q25" s="147">
        <v>33654029.589041099</v>
      </c>
      <c r="R25" s="147">
        <f>[2]Distribute!AM32</f>
        <v>0</v>
      </c>
      <c r="S25" s="147">
        <v>26875850.95890411</v>
      </c>
      <c r="T25" s="103"/>
      <c r="U25" s="103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</row>
    <row r="26" spans="1:67" s="107" customFormat="1" ht="14.25" customHeight="1" x14ac:dyDescent="0.35">
      <c r="A26" s="108">
        <f>[1]Control!AX33</f>
        <v>46008</v>
      </c>
      <c r="B26" s="99"/>
      <c r="C26" s="142">
        <f>[2]Distribute!L73</f>
        <v>0</v>
      </c>
      <c r="D26" s="143">
        <v>3995.0177574835106</v>
      </c>
      <c r="E26" s="144">
        <f>[2]Distribute!L33</f>
        <v>0</v>
      </c>
      <c r="F26" s="145">
        <v>2157.3095890410959</v>
      </c>
      <c r="G26" s="145">
        <f>[2]Distribute!M33</f>
        <v>0</v>
      </c>
      <c r="H26" s="145">
        <v>1722.8109589041096</v>
      </c>
      <c r="I26" s="103"/>
      <c r="J26" s="103"/>
      <c r="K26" s="104"/>
      <c r="L26" s="108">
        <f t="shared" si="0"/>
        <v>46008</v>
      </c>
      <c r="M26" s="99"/>
      <c r="N26" s="142">
        <f>[2]Distribute!L73</f>
        <v>0</v>
      </c>
      <c r="O26" s="143">
        <v>3995.0177574835106</v>
      </c>
      <c r="P26" s="146">
        <f>[2]Distribute!AL33</f>
        <v>0</v>
      </c>
      <c r="Q26" s="147">
        <v>33654029.589041099</v>
      </c>
      <c r="R26" s="147">
        <f>[2]Distribute!AM33</f>
        <v>0</v>
      </c>
      <c r="S26" s="147">
        <v>26875850.95890411</v>
      </c>
      <c r="T26" s="103"/>
      <c r="U26" s="103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</row>
    <row r="27" spans="1:67" s="107" customFormat="1" ht="14.25" customHeight="1" x14ac:dyDescent="0.35">
      <c r="A27" s="108">
        <f>[1]Control!AX34</f>
        <v>46009</v>
      </c>
      <c r="B27" s="99"/>
      <c r="C27" s="142">
        <f>[2]Distribute!L74</f>
        <v>0</v>
      </c>
      <c r="D27" s="143">
        <v>3995.0177574835106</v>
      </c>
      <c r="E27" s="144">
        <f>[2]Distribute!L34</f>
        <v>0</v>
      </c>
      <c r="F27" s="145">
        <v>2157.3095890410959</v>
      </c>
      <c r="G27" s="145">
        <f>[2]Distribute!M34</f>
        <v>0</v>
      </c>
      <c r="H27" s="145">
        <v>1722.8109589041096</v>
      </c>
      <c r="I27" s="103"/>
      <c r="J27" s="103"/>
      <c r="K27" s="104"/>
      <c r="L27" s="108">
        <f t="shared" si="0"/>
        <v>46009</v>
      </c>
      <c r="M27" s="99"/>
      <c r="N27" s="142">
        <f>[2]Distribute!L74</f>
        <v>0</v>
      </c>
      <c r="O27" s="143">
        <v>3995.0177574835106</v>
      </c>
      <c r="P27" s="146">
        <f>[2]Distribute!AL34</f>
        <v>0</v>
      </c>
      <c r="Q27" s="147">
        <v>33654029.589041099</v>
      </c>
      <c r="R27" s="147">
        <f>[2]Distribute!AM34</f>
        <v>0</v>
      </c>
      <c r="S27" s="147">
        <v>26875850.95890411</v>
      </c>
      <c r="T27" s="103"/>
      <c r="U27" s="103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</row>
    <row r="28" spans="1:67" s="107" customFormat="1" ht="14.25" customHeight="1" x14ac:dyDescent="0.35">
      <c r="A28" s="108">
        <f>[1]Control!AX35</f>
        <v>46010</v>
      </c>
      <c r="B28" s="99"/>
      <c r="C28" s="142">
        <f>[2]Distribute!L75</f>
        <v>0</v>
      </c>
      <c r="D28" s="143">
        <v>3995.0177574835106</v>
      </c>
      <c r="E28" s="144">
        <f>[2]Distribute!L35</f>
        <v>0</v>
      </c>
      <c r="F28" s="145">
        <v>2157.3095890410959</v>
      </c>
      <c r="G28" s="145">
        <f>[2]Distribute!M35</f>
        <v>0</v>
      </c>
      <c r="H28" s="145">
        <v>1722.8109589041096</v>
      </c>
      <c r="I28" s="103"/>
      <c r="J28" s="103"/>
      <c r="K28" s="104"/>
      <c r="L28" s="108">
        <f t="shared" si="0"/>
        <v>46010</v>
      </c>
      <c r="M28" s="99"/>
      <c r="N28" s="142">
        <f>[2]Distribute!L75</f>
        <v>0</v>
      </c>
      <c r="O28" s="143">
        <v>3995.0177574835106</v>
      </c>
      <c r="P28" s="146">
        <f>[2]Distribute!AL35</f>
        <v>0</v>
      </c>
      <c r="Q28" s="147">
        <v>33654029.589041099</v>
      </c>
      <c r="R28" s="147">
        <f>[2]Distribute!AM35</f>
        <v>0</v>
      </c>
      <c r="S28" s="147">
        <v>26875850.95890411</v>
      </c>
      <c r="T28" s="103"/>
      <c r="U28" s="103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</row>
    <row r="29" spans="1:67" s="107" customFormat="1" ht="14.25" customHeight="1" x14ac:dyDescent="0.35">
      <c r="A29" s="108">
        <f>[1]Control!AX36</f>
        <v>46011</v>
      </c>
      <c r="B29" s="99"/>
      <c r="C29" s="142">
        <f>[2]Distribute!L76</f>
        <v>0</v>
      </c>
      <c r="D29" s="143">
        <v>3995.0177574835106</v>
      </c>
      <c r="E29" s="144">
        <f>[2]Distribute!L36</f>
        <v>0</v>
      </c>
      <c r="F29" s="145">
        <v>2157.3095890410959</v>
      </c>
      <c r="G29" s="145">
        <f>[2]Distribute!M36</f>
        <v>0</v>
      </c>
      <c r="H29" s="145">
        <v>1722.8109589041096</v>
      </c>
      <c r="I29" s="103"/>
      <c r="J29" s="103"/>
      <c r="K29" s="104"/>
      <c r="L29" s="108">
        <f t="shared" si="0"/>
        <v>46011</v>
      </c>
      <c r="M29" s="99"/>
      <c r="N29" s="142">
        <f>[2]Distribute!L76</f>
        <v>0</v>
      </c>
      <c r="O29" s="143">
        <v>3995.0177574835106</v>
      </c>
      <c r="P29" s="146">
        <f>[2]Distribute!AL36</f>
        <v>0</v>
      </c>
      <c r="Q29" s="147">
        <v>33654029.589041099</v>
      </c>
      <c r="R29" s="147">
        <f>[2]Distribute!AM36</f>
        <v>0</v>
      </c>
      <c r="S29" s="147">
        <v>26875850.95890411</v>
      </c>
      <c r="T29" s="103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</row>
    <row r="30" spans="1:67" s="107" customFormat="1" ht="14.25" customHeight="1" x14ac:dyDescent="0.35">
      <c r="A30" s="108">
        <f>[1]Control!AX37</f>
        <v>46012</v>
      </c>
      <c r="B30" s="99"/>
      <c r="C30" s="142">
        <f>[2]Distribute!L77</f>
        <v>0</v>
      </c>
      <c r="D30" s="143">
        <v>3995.0177574835106</v>
      </c>
      <c r="E30" s="144">
        <f>[2]Distribute!L37</f>
        <v>0</v>
      </c>
      <c r="F30" s="145">
        <v>2157.3095890410959</v>
      </c>
      <c r="G30" s="145">
        <f>[2]Distribute!M37</f>
        <v>0</v>
      </c>
      <c r="H30" s="145">
        <v>1722.8109589041096</v>
      </c>
      <c r="I30" s="103"/>
      <c r="J30" s="103"/>
      <c r="K30" s="104"/>
      <c r="L30" s="108">
        <f t="shared" si="0"/>
        <v>46012</v>
      </c>
      <c r="M30" s="99"/>
      <c r="N30" s="142">
        <f>[2]Distribute!L77</f>
        <v>0</v>
      </c>
      <c r="O30" s="143">
        <v>3995.0177574835106</v>
      </c>
      <c r="P30" s="146">
        <f>[2]Distribute!AL37</f>
        <v>0</v>
      </c>
      <c r="Q30" s="147">
        <v>33654029.589041099</v>
      </c>
      <c r="R30" s="147">
        <f>[2]Distribute!AM37</f>
        <v>0</v>
      </c>
      <c r="S30" s="147">
        <v>26875850.95890411</v>
      </c>
      <c r="T30" s="103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</row>
    <row r="31" spans="1:67" s="107" customFormat="1" ht="14.25" customHeight="1" x14ac:dyDescent="0.35">
      <c r="A31" s="108">
        <f>[1]Control!AX38</f>
        <v>46013</v>
      </c>
      <c r="B31" s="99"/>
      <c r="C31" s="142">
        <f>[2]Distribute!L78</f>
        <v>0</v>
      </c>
      <c r="D31" s="143">
        <v>3995.0177574835106</v>
      </c>
      <c r="E31" s="144">
        <f>[2]Distribute!L38</f>
        <v>0</v>
      </c>
      <c r="F31" s="145">
        <v>2157.3095890410959</v>
      </c>
      <c r="G31" s="145">
        <f>[2]Distribute!M38</f>
        <v>0</v>
      </c>
      <c r="H31" s="145">
        <v>1722.8109589041096</v>
      </c>
      <c r="I31" s="103"/>
      <c r="J31" s="103"/>
      <c r="K31" s="104"/>
      <c r="L31" s="108">
        <f t="shared" si="0"/>
        <v>46013</v>
      </c>
      <c r="M31" s="99"/>
      <c r="N31" s="142">
        <f>[2]Distribute!L78</f>
        <v>0</v>
      </c>
      <c r="O31" s="143">
        <v>3995.0177574835106</v>
      </c>
      <c r="P31" s="146">
        <f>[2]Distribute!AL38</f>
        <v>0</v>
      </c>
      <c r="Q31" s="147">
        <v>33654029.589041099</v>
      </c>
      <c r="R31" s="147">
        <f>[2]Distribute!AM38</f>
        <v>0</v>
      </c>
      <c r="S31" s="147">
        <v>26875850.95890411</v>
      </c>
      <c r="T31" s="103"/>
      <c r="U31" s="103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</row>
    <row r="32" spans="1:67" s="107" customFormat="1" ht="14.25" customHeight="1" x14ac:dyDescent="0.35">
      <c r="A32" s="108">
        <f>[1]Control!AX39</f>
        <v>46014</v>
      </c>
      <c r="B32" s="99"/>
      <c r="C32" s="142">
        <f>[2]Distribute!L79</f>
        <v>0</v>
      </c>
      <c r="D32" s="143">
        <v>3995.0177574835106</v>
      </c>
      <c r="E32" s="144">
        <f>[2]Distribute!L39</f>
        <v>0</v>
      </c>
      <c r="F32" s="145">
        <v>2157.3095890410959</v>
      </c>
      <c r="G32" s="145">
        <f>[2]Distribute!M39</f>
        <v>0</v>
      </c>
      <c r="H32" s="145">
        <v>1722.8109589041096</v>
      </c>
      <c r="I32" s="103"/>
      <c r="J32" s="103"/>
      <c r="K32" s="104"/>
      <c r="L32" s="108">
        <f t="shared" si="0"/>
        <v>46014</v>
      </c>
      <c r="M32" s="99"/>
      <c r="N32" s="142">
        <f>[2]Distribute!L79</f>
        <v>0</v>
      </c>
      <c r="O32" s="143">
        <v>3995.0177574835106</v>
      </c>
      <c r="P32" s="146">
        <f>[2]Distribute!AL39</f>
        <v>0</v>
      </c>
      <c r="Q32" s="147">
        <v>33654029.589041099</v>
      </c>
      <c r="R32" s="147">
        <f>[2]Distribute!AM39</f>
        <v>0</v>
      </c>
      <c r="S32" s="147">
        <v>26875850.95890411</v>
      </c>
      <c r="T32" s="103"/>
      <c r="U32" s="103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</row>
    <row r="33" spans="1:67" s="107" customFormat="1" ht="14.25" customHeight="1" x14ac:dyDescent="0.35">
      <c r="A33" s="108">
        <f>[1]Control!AX40</f>
        <v>46015</v>
      </c>
      <c r="B33" s="99"/>
      <c r="C33" s="142">
        <f>[2]Distribute!L80</f>
        <v>0</v>
      </c>
      <c r="D33" s="143">
        <v>3995.0177574835106</v>
      </c>
      <c r="E33" s="144">
        <f>[2]Distribute!L40</f>
        <v>0</v>
      </c>
      <c r="F33" s="145">
        <v>2157.3095890410959</v>
      </c>
      <c r="G33" s="145">
        <f>[2]Distribute!M40</f>
        <v>0</v>
      </c>
      <c r="H33" s="145">
        <v>1722.8109589041096</v>
      </c>
      <c r="I33" s="103"/>
      <c r="J33" s="103"/>
      <c r="K33" s="104"/>
      <c r="L33" s="108">
        <f t="shared" si="0"/>
        <v>46015</v>
      </c>
      <c r="M33" s="99"/>
      <c r="N33" s="142">
        <f>[2]Distribute!L80</f>
        <v>0</v>
      </c>
      <c r="O33" s="143">
        <v>3995.0177574835106</v>
      </c>
      <c r="P33" s="146">
        <f>[2]Distribute!AL40</f>
        <v>0</v>
      </c>
      <c r="Q33" s="147">
        <v>33654029.589041099</v>
      </c>
      <c r="R33" s="147">
        <f>[2]Distribute!AM40</f>
        <v>0</v>
      </c>
      <c r="S33" s="147">
        <v>26875850.95890411</v>
      </c>
      <c r="T33" s="103"/>
      <c r="U33" s="103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</row>
    <row r="34" spans="1:67" s="107" customFormat="1" ht="14.25" customHeight="1" thickBot="1" x14ac:dyDescent="0.4">
      <c r="A34" s="108" t="str">
        <f>[1]Control!AX41</f>
        <v>-</v>
      </c>
      <c r="B34" s="99"/>
      <c r="C34" s="142">
        <f>[2]Distribute!L81</f>
        <v>0</v>
      </c>
      <c r="D34" s="143"/>
      <c r="E34" s="144">
        <f>[2]Distribute!L41</f>
        <v>0</v>
      </c>
      <c r="F34" s="145"/>
      <c r="G34" s="145">
        <f>[2]Distribute!M41</f>
        <v>0</v>
      </c>
      <c r="H34" s="145"/>
      <c r="I34" s="103"/>
      <c r="J34" s="103"/>
      <c r="K34" s="104"/>
      <c r="L34" s="108" t="str">
        <f t="shared" si="0"/>
        <v>-</v>
      </c>
      <c r="M34" s="99"/>
      <c r="N34" s="142">
        <f>[2]Distribute!L81</f>
        <v>0</v>
      </c>
      <c r="O34" s="143"/>
      <c r="P34" s="146">
        <f>[2]Distribute!AL41</f>
        <v>0</v>
      </c>
      <c r="Q34" s="147"/>
      <c r="R34" s="147">
        <f>[2]Distribute!AM41</f>
        <v>0</v>
      </c>
      <c r="S34" s="147"/>
      <c r="T34" s="103"/>
      <c r="U34" s="103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</row>
    <row r="35" spans="1:67" s="116" customFormat="1" ht="27.75" customHeight="1" thickBot="1" x14ac:dyDescent="0.4">
      <c r="A35" s="109" t="s">
        <v>58</v>
      </c>
      <c r="B35" s="110"/>
      <c r="C35" s="111">
        <f>SUM(C4:C34)</f>
        <v>0</v>
      </c>
      <c r="D35" s="111">
        <f>SUM(D4:D34)</f>
        <v>119850.53272450532</v>
      </c>
      <c r="E35" s="112">
        <f t="shared" ref="E35:H35" si="1">SUM(E4:E34)</f>
        <v>0</v>
      </c>
      <c r="F35" s="112">
        <f t="shared" si="1"/>
        <v>64719.287671232909</v>
      </c>
      <c r="G35" s="112">
        <f t="shared" si="1"/>
        <v>0</v>
      </c>
      <c r="H35" s="112">
        <f t="shared" si="1"/>
        <v>51684.328767123305</v>
      </c>
      <c r="I35" s="113"/>
      <c r="J35" s="113"/>
      <c r="K35" s="114"/>
      <c r="L35" s="109" t="s">
        <v>59</v>
      </c>
      <c r="M35" s="110"/>
      <c r="N35" s="111">
        <f>SUM(N4:N34)</f>
        <v>0</v>
      </c>
      <c r="O35" s="111">
        <f>SUM(O4:O34)</f>
        <v>119850.53272450532</v>
      </c>
      <c r="P35" s="115">
        <f>SUM(P4:P34)</f>
        <v>0</v>
      </c>
      <c r="Q35" s="115">
        <f>SUM(Q4:Q34)</f>
        <v>1009620887.6712333</v>
      </c>
      <c r="R35" s="115">
        <f t="shared" ref="R35:S35" si="2">SUM(R4:R34)</f>
        <v>0</v>
      </c>
      <c r="S35" s="115">
        <f t="shared" si="2"/>
        <v>806275528.76712346</v>
      </c>
      <c r="T35" s="113"/>
      <c r="U35" s="113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</row>
    <row r="36" spans="1:67" s="116" customFormat="1" ht="27.75" customHeight="1" thickBot="1" x14ac:dyDescent="0.4">
      <c r="A36" s="148" t="s">
        <v>60</v>
      </c>
      <c r="B36" s="110"/>
      <c r="C36" s="118">
        <f>AVERAGE(C4:C34)</f>
        <v>0</v>
      </c>
      <c r="D36" s="118">
        <f t="shared" ref="D36:H36" si="3">AVERAGE(D4:D34)</f>
        <v>3995.0177574835106</v>
      </c>
      <c r="E36" s="119">
        <f t="shared" si="3"/>
        <v>0</v>
      </c>
      <c r="F36" s="119">
        <f t="shared" si="3"/>
        <v>2157.3095890410968</v>
      </c>
      <c r="G36" s="119">
        <f t="shared" si="3"/>
        <v>0</v>
      </c>
      <c r="H36" s="119">
        <f t="shared" si="3"/>
        <v>1722.8109589041101</v>
      </c>
      <c r="I36" s="113"/>
      <c r="J36" s="113"/>
      <c r="K36" s="114"/>
      <c r="L36" s="117" t="s">
        <v>61</v>
      </c>
      <c r="M36" s="110"/>
      <c r="N36" s="118">
        <f>AVERAGE(N4:N34)</f>
        <v>0</v>
      </c>
      <c r="O36" s="118">
        <f t="shared" ref="O36:S36" si="4">AVERAGE(O4:O34)</f>
        <v>3995.0177574835106</v>
      </c>
      <c r="P36" s="120">
        <f t="shared" si="4"/>
        <v>0</v>
      </c>
      <c r="Q36" s="120">
        <f t="shared" si="4"/>
        <v>33654029.589041106</v>
      </c>
      <c r="R36" s="120">
        <f t="shared" si="4"/>
        <v>0</v>
      </c>
      <c r="S36" s="120">
        <f t="shared" si="4"/>
        <v>26875850.958904114</v>
      </c>
      <c r="T36" s="113"/>
      <c r="U36" s="113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</row>
    <row r="37" spans="1:67" s="116" customFormat="1" ht="27.75" customHeight="1" thickBot="1" x14ac:dyDescent="0.4">
      <c r="A37" s="121"/>
      <c r="B37" s="110"/>
      <c r="C37" s="201" t="s">
        <v>62</v>
      </c>
      <c r="D37" s="201"/>
      <c r="E37" s="201" t="s">
        <v>63</v>
      </c>
      <c r="F37" s="201"/>
      <c r="G37" s="201" t="s">
        <v>64</v>
      </c>
      <c r="H37" s="201"/>
      <c r="I37" s="113"/>
      <c r="J37" s="113"/>
      <c r="K37" s="114"/>
      <c r="L37" s="121"/>
      <c r="M37" s="110"/>
      <c r="N37" s="201" t="s">
        <v>62</v>
      </c>
      <c r="O37" s="201"/>
      <c r="P37" s="201" t="s">
        <v>65</v>
      </c>
      <c r="Q37" s="201"/>
      <c r="R37" s="201" t="s">
        <v>66</v>
      </c>
      <c r="S37" s="201"/>
      <c r="T37" s="113"/>
      <c r="U37" s="113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</row>
    <row r="38" spans="1:67" s="116" customFormat="1" ht="27.75" customHeight="1" thickBot="1" x14ac:dyDescent="0.4">
      <c r="A38" s="117" t="s">
        <v>67</v>
      </c>
      <c r="B38" s="110"/>
      <c r="C38" s="202">
        <f>D35-C35</f>
        <v>119850.53272450532</v>
      </c>
      <c r="D38" s="203"/>
      <c r="E38" s="204">
        <f>F35-E35</f>
        <v>64719.287671232909</v>
      </c>
      <c r="F38" s="205"/>
      <c r="G38" s="204">
        <f>H35-G35</f>
        <v>51684.328767123305</v>
      </c>
      <c r="H38" s="205"/>
      <c r="I38" s="113"/>
      <c r="J38" s="113"/>
      <c r="K38" s="114"/>
      <c r="L38" s="117" t="s">
        <v>0</v>
      </c>
      <c r="M38" s="110"/>
      <c r="N38" s="202">
        <f>O35-N35</f>
        <v>119850.53272450532</v>
      </c>
      <c r="O38" s="203"/>
      <c r="P38" s="198">
        <f>Q35-P35</f>
        <v>1009620887.6712333</v>
      </c>
      <c r="Q38" s="199"/>
      <c r="R38" s="198">
        <f>S35-R35</f>
        <v>806275528.76712346</v>
      </c>
      <c r="S38" s="199"/>
      <c r="T38" s="113"/>
      <c r="U38" s="113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</row>
    <row r="39" spans="1:67" s="126" customFormat="1" ht="17.25" customHeight="1" x14ac:dyDescent="0.35">
      <c r="A39" s="122"/>
      <c r="B39" s="123"/>
      <c r="C39" s="123"/>
      <c r="D39" s="123"/>
      <c r="E39" s="123"/>
      <c r="F39" s="123"/>
      <c r="G39" s="123"/>
      <c r="H39" s="123"/>
      <c r="I39" s="124"/>
      <c r="J39" s="124"/>
      <c r="K39" s="125"/>
      <c r="L39" s="122"/>
      <c r="M39" s="123"/>
      <c r="N39" s="123"/>
      <c r="O39" s="123"/>
      <c r="P39" s="123"/>
      <c r="Q39" s="123"/>
      <c r="R39" s="123"/>
      <c r="S39" s="123"/>
      <c r="T39" s="124"/>
      <c r="U39" s="124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</row>
    <row r="40" spans="1:67" s="152" customFormat="1" ht="17.25" customHeight="1" x14ac:dyDescent="0.35">
      <c r="A40" s="149"/>
      <c r="B40" s="150"/>
      <c r="C40" s="150"/>
      <c r="D40" s="150"/>
      <c r="E40" s="150"/>
      <c r="F40" s="150"/>
      <c r="G40" s="150"/>
      <c r="H40" s="150"/>
      <c r="I40" s="151"/>
      <c r="J40" s="151"/>
      <c r="K40" s="133"/>
      <c r="L40" s="149"/>
      <c r="M40" s="150"/>
      <c r="N40" s="150"/>
      <c r="O40" s="150"/>
      <c r="P40" s="150"/>
      <c r="Q40" s="150"/>
      <c r="R40" s="150"/>
      <c r="S40" s="150"/>
      <c r="T40" s="151"/>
      <c r="U40" s="151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</row>
    <row r="41" spans="1:67" s="126" customFormat="1" ht="17.25" customHeight="1" x14ac:dyDescent="0.35">
      <c r="A41" s="121"/>
      <c r="B41" s="123"/>
      <c r="C41" s="123"/>
      <c r="D41" s="123"/>
      <c r="E41" s="123"/>
      <c r="F41" s="123"/>
      <c r="G41" s="123"/>
      <c r="H41" s="123"/>
      <c r="I41" s="124"/>
      <c r="J41" s="124"/>
      <c r="K41" s="125"/>
      <c r="L41" s="121"/>
      <c r="M41" s="123"/>
      <c r="N41" s="123"/>
      <c r="O41" s="123"/>
      <c r="P41" s="123"/>
      <c r="Q41" s="123"/>
      <c r="R41" s="123"/>
      <c r="S41" s="123"/>
      <c r="T41" s="124"/>
      <c r="U41" s="124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</row>
    <row r="42" spans="1:67" s="126" customFormat="1" ht="17.25" customHeight="1" x14ac:dyDescent="0.35">
      <c r="A42" s="128"/>
      <c r="B42" s="129"/>
      <c r="C42" s="130"/>
      <c r="D42" s="130"/>
      <c r="E42" s="130"/>
      <c r="F42" s="130"/>
      <c r="G42" s="130"/>
      <c r="H42" s="130"/>
      <c r="I42" s="124"/>
      <c r="J42" s="124"/>
      <c r="K42" s="125"/>
      <c r="L42" s="128"/>
      <c r="M42" s="129"/>
      <c r="N42" s="130"/>
      <c r="O42" s="130"/>
      <c r="P42" s="130"/>
      <c r="Q42" s="130"/>
      <c r="R42" s="130"/>
      <c r="S42" s="130"/>
      <c r="T42" s="124"/>
      <c r="U42" s="124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</row>
    <row r="43" spans="1:67" s="126" customFormat="1" ht="17.25" customHeight="1" thickBot="1" x14ac:dyDescent="0.4">
      <c r="A43" s="131"/>
      <c r="B43" s="132"/>
      <c r="C43" s="132"/>
      <c r="D43" s="132"/>
      <c r="E43" s="132"/>
      <c r="F43" s="132"/>
      <c r="G43" s="132"/>
      <c r="H43" s="132"/>
      <c r="I43" s="124"/>
      <c r="J43" s="124"/>
      <c r="K43" s="125"/>
      <c r="L43" s="131"/>
      <c r="M43" s="132"/>
      <c r="N43" s="132"/>
      <c r="O43" s="132"/>
      <c r="P43" s="132"/>
      <c r="Q43" s="132"/>
      <c r="R43" s="132"/>
      <c r="S43" s="132"/>
      <c r="T43" s="124"/>
      <c r="U43" s="124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</row>
    <row r="44" spans="1:67" s="133" customFormat="1" ht="17.25" customHeight="1" x14ac:dyDescent="0.35">
      <c r="I44" s="134"/>
      <c r="J44" s="134"/>
    </row>
  </sheetData>
  <mergeCells count="14">
    <mergeCell ref="R38:S38"/>
    <mergeCell ref="C2:H2"/>
    <mergeCell ref="N2:S2"/>
    <mergeCell ref="C37:D37"/>
    <mergeCell ref="E37:F37"/>
    <mergeCell ref="G37:H37"/>
    <mergeCell ref="N37:O37"/>
    <mergeCell ref="P37:Q37"/>
    <mergeCell ref="R37:S37"/>
    <mergeCell ref="C38:D38"/>
    <mergeCell ref="E38:F38"/>
    <mergeCell ref="G38:H38"/>
    <mergeCell ref="N38:O38"/>
    <mergeCell ref="P38:Q38"/>
  </mergeCells>
  <conditionalFormatting sqref="H4:H34 C4:D34">
    <cfRule type="cellIs" dxfId="35" priority="18" stopIfTrue="1" operator="lessThanOrEqual">
      <formula>0</formula>
    </cfRule>
  </conditionalFormatting>
  <conditionalFormatting sqref="C36:D36">
    <cfRule type="cellIs" dxfId="34" priority="17" stopIfTrue="1" operator="equal">
      <formula>#DIV/0!</formula>
    </cfRule>
  </conditionalFormatting>
  <conditionalFormatting sqref="E4:F34">
    <cfRule type="cellIs" dxfId="33" priority="16" stopIfTrue="1" operator="lessThanOrEqual">
      <formula>0</formula>
    </cfRule>
  </conditionalFormatting>
  <conditionalFormatting sqref="G4:G34">
    <cfRule type="cellIs" dxfId="32" priority="8" operator="greaterThan">
      <formula>$H$25</formula>
    </cfRule>
    <cfRule type="cellIs" dxfId="31" priority="15" stopIfTrue="1" operator="lessThanOrEqual">
      <formula>0</formula>
    </cfRule>
  </conditionalFormatting>
  <conditionalFormatting sqref="S4:S34 N4:O34">
    <cfRule type="cellIs" dxfId="30" priority="14" stopIfTrue="1" operator="lessThanOrEqual">
      <formula>0</formula>
    </cfRule>
  </conditionalFormatting>
  <conditionalFormatting sqref="N36:O36">
    <cfRule type="cellIs" dxfId="29" priority="13" stopIfTrue="1" operator="equal">
      <formula>#DIV/0!</formula>
    </cfRule>
  </conditionalFormatting>
  <conditionalFormatting sqref="P4:Q34">
    <cfRule type="cellIs" dxfId="28" priority="12" stopIfTrue="1" operator="lessThanOrEqual">
      <formula>0</formula>
    </cfRule>
  </conditionalFormatting>
  <conditionalFormatting sqref="R4:R34">
    <cfRule type="cellIs" dxfId="27" priority="5" operator="greaterThan">
      <formula>$S$25</formula>
    </cfRule>
    <cfRule type="cellIs" dxfId="26" priority="11" stopIfTrue="1" operator="lessThanOrEqual">
      <formula>0</formula>
    </cfRule>
  </conditionalFormatting>
  <conditionalFormatting sqref="C4:C34">
    <cfRule type="cellIs" dxfId="25" priority="10" operator="greaterThan">
      <formula>$D$26</formula>
    </cfRule>
  </conditionalFormatting>
  <conditionalFormatting sqref="E4:E34">
    <cfRule type="cellIs" dxfId="24" priority="9" operator="greaterThan">
      <formula>$F$26</formula>
    </cfRule>
  </conditionalFormatting>
  <conditionalFormatting sqref="N4:N34">
    <cfRule type="cellIs" dxfId="23" priority="7" operator="greaterThan">
      <formula>$O$25</formula>
    </cfRule>
  </conditionalFormatting>
  <conditionalFormatting sqref="P4:P34">
    <cfRule type="cellIs" dxfId="22" priority="6" operator="greaterThan">
      <formula>$Q$27</formula>
    </cfRule>
  </conditionalFormatting>
  <conditionalFormatting sqref="C38 E38 G38">
    <cfRule type="cellIs" dxfId="21" priority="4" stopIfTrue="1" operator="equal">
      <formula>#DIV/0!</formula>
    </cfRule>
  </conditionalFormatting>
  <conditionalFormatting sqref="N38">
    <cfRule type="cellIs" dxfId="20" priority="3" stopIfTrue="1" operator="equal">
      <formula>#DIV/0!</formula>
    </cfRule>
  </conditionalFormatting>
  <conditionalFormatting sqref="R38">
    <cfRule type="cellIs" dxfId="19" priority="2" stopIfTrue="1" operator="equal">
      <formula>#DIV/0!</formula>
    </cfRule>
  </conditionalFormatting>
  <conditionalFormatting sqref="P38">
    <cfRule type="cellIs" dxfId="18" priority="1" stopIfTrue="1" operator="equal">
      <formula>#DIV/0!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O44"/>
  <sheetViews>
    <sheetView zoomScale="85" zoomScaleNormal="85" workbookViewId="0">
      <pane xSplit="2" ySplit="3" topLeftCell="C22" activePane="bottomRight" state="frozen"/>
      <selection activeCell="C30" sqref="C30"/>
      <selection pane="topRight" activeCell="C30" sqref="C30"/>
      <selection pane="bottomLeft" activeCell="C30" sqref="C30"/>
      <selection pane="bottomRight" activeCell="C30" sqref="C30"/>
    </sheetView>
  </sheetViews>
  <sheetFormatPr defaultColWidth="9.1796875" defaultRowHeight="14.5" x14ac:dyDescent="0.35"/>
  <cols>
    <col min="1" max="1" width="12.81640625" style="141" customWidth="1"/>
    <col min="2" max="2" width="1" style="141" customWidth="1"/>
    <col min="3" max="3" width="12.81640625" style="141" customWidth="1"/>
    <col min="4" max="4" width="14.81640625" style="141" customWidth="1"/>
    <col min="5" max="5" width="12.81640625" style="141" customWidth="1"/>
    <col min="6" max="6" width="14.81640625" style="141" customWidth="1"/>
    <col min="7" max="8" width="15" style="141" customWidth="1"/>
    <col min="9" max="9" width="3.81640625" style="141" customWidth="1"/>
    <col min="10" max="10" width="3.1796875" style="141" customWidth="1"/>
    <col min="11" max="11" width="9.1796875" style="85"/>
    <col min="12" max="12" width="12.1796875" style="85" customWidth="1"/>
    <col min="13" max="13" width="1.1796875" style="85" customWidth="1"/>
    <col min="14" max="14" width="12.81640625" style="141" customWidth="1"/>
    <col min="15" max="15" width="15.453125" style="141" customWidth="1"/>
    <col min="16" max="16" width="12.81640625" style="141" customWidth="1"/>
    <col min="17" max="17" width="15.453125" style="141" customWidth="1"/>
    <col min="18" max="19" width="15" style="141" customWidth="1"/>
    <col min="20" max="20" width="5.1796875" style="85" customWidth="1"/>
    <col min="21" max="21" width="4.54296875" style="85" customWidth="1"/>
    <col min="22" max="67" width="9.1796875" style="85"/>
    <col min="68" max="226" width="9.1796875" style="141"/>
    <col min="227" max="227" width="12.81640625" style="141" customWidth="1"/>
    <col min="228" max="228" width="1" style="141" customWidth="1"/>
    <col min="229" max="230" width="12.81640625" style="141" customWidth="1"/>
    <col min="231" max="231" width="8.81640625" style="141" customWidth="1"/>
    <col min="232" max="233" width="12.81640625" style="141" customWidth="1"/>
    <col min="234" max="234" width="8.81640625" style="141" customWidth="1"/>
    <col min="235" max="236" width="12.81640625" style="141" customWidth="1"/>
    <col min="237" max="237" width="8.81640625" style="141" customWidth="1"/>
    <col min="238" max="239" width="12.81640625" style="141" customWidth="1"/>
    <col min="240" max="240" width="8.81640625" style="141" customWidth="1"/>
    <col min="241" max="242" width="12.81640625" style="141" customWidth="1"/>
    <col min="243" max="243" width="8.81640625" style="141" customWidth="1"/>
    <col min="244" max="245" width="12.81640625" style="141" customWidth="1"/>
    <col min="246" max="246" width="8.81640625" style="141" customWidth="1"/>
    <col min="247" max="248" width="12.81640625" style="141" customWidth="1"/>
    <col min="249" max="249" width="8.81640625" style="141" customWidth="1"/>
    <col min="250" max="250" width="3.81640625" style="141" customWidth="1"/>
    <col min="251" max="251" width="3.1796875" style="141" customWidth="1"/>
    <col min="252" max="252" width="9.1796875" style="141"/>
    <col min="253" max="253" width="12.1796875" style="141" customWidth="1"/>
    <col min="254" max="254" width="1.1796875" style="141" customWidth="1"/>
    <col min="255" max="256" width="12.81640625" style="141" customWidth="1"/>
    <col min="257" max="257" width="8.81640625" style="141" customWidth="1"/>
    <col min="258" max="259" width="12.81640625" style="141" customWidth="1"/>
    <col min="260" max="260" width="8.81640625" style="141" customWidth="1"/>
    <col min="261" max="262" width="12.81640625" style="141" customWidth="1"/>
    <col min="263" max="263" width="8.81640625" style="141" customWidth="1"/>
    <col min="264" max="265" width="12.81640625" style="141" customWidth="1"/>
    <col min="266" max="266" width="8.81640625" style="141" customWidth="1"/>
    <col min="267" max="268" width="12.81640625" style="141" customWidth="1"/>
    <col min="269" max="269" width="8.81640625" style="141" customWidth="1"/>
    <col min="270" max="270" width="14" style="141" bestFit="1" customWidth="1"/>
    <col min="271" max="271" width="12.81640625" style="141" customWidth="1"/>
    <col min="272" max="272" width="8.81640625" style="141" customWidth="1"/>
    <col min="273" max="274" width="12.81640625" style="141" customWidth="1"/>
    <col min="275" max="275" width="8.81640625" style="141" customWidth="1"/>
    <col min="276" max="276" width="5.1796875" style="141" customWidth="1"/>
    <col min="277" max="277" width="4.54296875" style="141" customWidth="1"/>
    <col min="278" max="482" width="9.1796875" style="141"/>
    <col min="483" max="483" width="12.81640625" style="141" customWidth="1"/>
    <col min="484" max="484" width="1" style="141" customWidth="1"/>
    <col min="485" max="486" width="12.81640625" style="141" customWidth="1"/>
    <col min="487" max="487" width="8.81640625" style="141" customWidth="1"/>
    <col min="488" max="489" width="12.81640625" style="141" customWidth="1"/>
    <col min="490" max="490" width="8.81640625" style="141" customWidth="1"/>
    <col min="491" max="492" width="12.81640625" style="141" customWidth="1"/>
    <col min="493" max="493" width="8.81640625" style="141" customWidth="1"/>
    <col min="494" max="495" width="12.81640625" style="141" customWidth="1"/>
    <col min="496" max="496" width="8.81640625" style="141" customWidth="1"/>
    <col min="497" max="498" width="12.81640625" style="141" customWidth="1"/>
    <col min="499" max="499" width="8.81640625" style="141" customWidth="1"/>
    <col min="500" max="501" width="12.81640625" style="141" customWidth="1"/>
    <col min="502" max="502" width="8.81640625" style="141" customWidth="1"/>
    <col min="503" max="504" width="12.81640625" style="141" customWidth="1"/>
    <col min="505" max="505" width="8.81640625" style="141" customWidth="1"/>
    <col min="506" max="506" width="3.81640625" style="141" customWidth="1"/>
    <col min="507" max="507" width="3.1796875" style="141" customWidth="1"/>
    <col min="508" max="508" width="9.1796875" style="141"/>
    <col min="509" max="509" width="12.1796875" style="141" customWidth="1"/>
    <col min="510" max="510" width="1.1796875" style="141" customWidth="1"/>
    <col min="511" max="512" width="12.81640625" style="141" customWidth="1"/>
    <col min="513" max="513" width="8.81640625" style="141" customWidth="1"/>
    <col min="514" max="515" width="12.81640625" style="141" customWidth="1"/>
    <col min="516" max="516" width="8.81640625" style="141" customWidth="1"/>
    <col min="517" max="518" width="12.81640625" style="141" customWidth="1"/>
    <col min="519" max="519" width="8.81640625" style="141" customWidth="1"/>
    <col min="520" max="521" width="12.81640625" style="141" customWidth="1"/>
    <col min="522" max="522" width="8.81640625" style="141" customWidth="1"/>
    <col min="523" max="524" width="12.81640625" style="141" customWidth="1"/>
    <col min="525" max="525" width="8.81640625" style="141" customWidth="1"/>
    <col min="526" max="526" width="14" style="141" bestFit="1" customWidth="1"/>
    <col min="527" max="527" width="12.81640625" style="141" customWidth="1"/>
    <col min="528" max="528" width="8.81640625" style="141" customWidth="1"/>
    <col min="529" max="530" width="12.81640625" style="141" customWidth="1"/>
    <col min="531" max="531" width="8.81640625" style="141" customWidth="1"/>
    <col min="532" max="532" width="5.1796875" style="141" customWidth="1"/>
    <col min="533" max="533" width="4.54296875" style="141" customWidth="1"/>
    <col min="534" max="738" width="9.1796875" style="141"/>
    <col min="739" max="739" width="12.81640625" style="141" customWidth="1"/>
    <col min="740" max="740" width="1" style="141" customWidth="1"/>
    <col min="741" max="742" width="12.81640625" style="141" customWidth="1"/>
    <col min="743" max="743" width="8.81640625" style="141" customWidth="1"/>
    <col min="744" max="745" width="12.81640625" style="141" customWidth="1"/>
    <col min="746" max="746" width="8.81640625" style="141" customWidth="1"/>
    <col min="747" max="748" width="12.81640625" style="141" customWidth="1"/>
    <col min="749" max="749" width="8.81640625" style="141" customWidth="1"/>
    <col min="750" max="751" width="12.81640625" style="141" customWidth="1"/>
    <col min="752" max="752" width="8.81640625" style="141" customWidth="1"/>
    <col min="753" max="754" width="12.81640625" style="141" customWidth="1"/>
    <col min="755" max="755" width="8.81640625" style="141" customWidth="1"/>
    <col min="756" max="757" width="12.81640625" style="141" customWidth="1"/>
    <col min="758" max="758" width="8.81640625" style="141" customWidth="1"/>
    <col min="759" max="760" width="12.81640625" style="141" customWidth="1"/>
    <col min="761" max="761" width="8.81640625" style="141" customWidth="1"/>
    <col min="762" max="762" width="3.81640625" style="141" customWidth="1"/>
    <col min="763" max="763" width="3.1796875" style="141" customWidth="1"/>
    <col min="764" max="764" width="9.1796875" style="141"/>
    <col min="765" max="765" width="12.1796875" style="141" customWidth="1"/>
    <col min="766" max="766" width="1.1796875" style="141" customWidth="1"/>
    <col min="767" max="768" width="12.81640625" style="141" customWidth="1"/>
    <col min="769" max="769" width="8.81640625" style="141" customWidth="1"/>
    <col min="770" max="771" width="12.81640625" style="141" customWidth="1"/>
    <col min="772" max="772" width="8.81640625" style="141" customWidth="1"/>
    <col min="773" max="774" width="12.81640625" style="141" customWidth="1"/>
    <col min="775" max="775" width="8.81640625" style="141" customWidth="1"/>
    <col min="776" max="777" width="12.81640625" style="141" customWidth="1"/>
    <col min="778" max="778" width="8.81640625" style="141" customWidth="1"/>
    <col min="779" max="780" width="12.81640625" style="141" customWidth="1"/>
    <col min="781" max="781" width="8.81640625" style="141" customWidth="1"/>
    <col min="782" max="782" width="14" style="141" bestFit="1" customWidth="1"/>
    <col min="783" max="783" width="12.81640625" style="141" customWidth="1"/>
    <col min="784" max="784" width="8.81640625" style="141" customWidth="1"/>
    <col min="785" max="786" width="12.81640625" style="141" customWidth="1"/>
    <col min="787" max="787" width="8.81640625" style="141" customWidth="1"/>
    <col min="788" max="788" width="5.1796875" style="141" customWidth="1"/>
    <col min="789" max="789" width="4.54296875" style="141" customWidth="1"/>
    <col min="790" max="994" width="9.1796875" style="141"/>
    <col min="995" max="995" width="12.81640625" style="141" customWidth="1"/>
    <col min="996" max="996" width="1" style="141" customWidth="1"/>
    <col min="997" max="998" width="12.81640625" style="141" customWidth="1"/>
    <col min="999" max="999" width="8.81640625" style="141" customWidth="1"/>
    <col min="1000" max="1001" width="12.81640625" style="141" customWidth="1"/>
    <col min="1002" max="1002" width="8.81640625" style="141" customWidth="1"/>
    <col min="1003" max="1004" width="12.81640625" style="141" customWidth="1"/>
    <col min="1005" max="1005" width="8.81640625" style="141" customWidth="1"/>
    <col min="1006" max="1007" width="12.81640625" style="141" customWidth="1"/>
    <col min="1008" max="1008" width="8.81640625" style="141" customWidth="1"/>
    <col min="1009" max="1010" width="12.81640625" style="141" customWidth="1"/>
    <col min="1011" max="1011" width="8.81640625" style="141" customWidth="1"/>
    <col min="1012" max="1013" width="12.81640625" style="141" customWidth="1"/>
    <col min="1014" max="1014" width="8.81640625" style="141" customWidth="1"/>
    <col min="1015" max="1016" width="12.81640625" style="141" customWidth="1"/>
    <col min="1017" max="1017" width="8.81640625" style="141" customWidth="1"/>
    <col min="1018" max="1018" width="3.81640625" style="141" customWidth="1"/>
    <col min="1019" max="1019" width="3.1796875" style="141" customWidth="1"/>
    <col min="1020" max="1020" width="9.1796875" style="141"/>
    <col min="1021" max="1021" width="12.1796875" style="141" customWidth="1"/>
    <col min="1022" max="1022" width="1.1796875" style="141" customWidth="1"/>
    <col min="1023" max="1024" width="12.81640625" style="141" customWidth="1"/>
    <col min="1025" max="1025" width="8.81640625" style="141" customWidth="1"/>
    <col min="1026" max="1027" width="12.81640625" style="141" customWidth="1"/>
    <col min="1028" max="1028" width="8.81640625" style="141" customWidth="1"/>
    <col min="1029" max="1030" width="12.81640625" style="141" customWidth="1"/>
    <col min="1031" max="1031" width="8.81640625" style="141" customWidth="1"/>
    <col min="1032" max="1033" width="12.81640625" style="141" customWidth="1"/>
    <col min="1034" max="1034" width="8.81640625" style="141" customWidth="1"/>
    <col min="1035" max="1036" width="12.81640625" style="141" customWidth="1"/>
    <col min="1037" max="1037" width="8.81640625" style="141" customWidth="1"/>
    <col min="1038" max="1038" width="14" style="141" bestFit="1" customWidth="1"/>
    <col min="1039" max="1039" width="12.81640625" style="141" customWidth="1"/>
    <col min="1040" max="1040" width="8.81640625" style="141" customWidth="1"/>
    <col min="1041" max="1042" width="12.81640625" style="141" customWidth="1"/>
    <col min="1043" max="1043" width="8.81640625" style="141" customWidth="1"/>
    <col min="1044" max="1044" width="5.1796875" style="141" customWidth="1"/>
    <col min="1045" max="1045" width="4.54296875" style="141" customWidth="1"/>
    <col min="1046" max="1250" width="9.1796875" style="141"/>
    <col min="1251" max="1251" width="12.81640625" style="141" customWidth="1"/>
    <col min="1252" max="1252" width="1" style="141" customWidth="1"/>
    <col min="1253" max="1254" width="12.81640625" style="141" customWidth="1"/>
    <col min="1255" max="1255" width="8.81640625" style="141" customWidth="1"/>
    <col min="1256" max="1257" width="12.81640625" style="141" customWidth="1"/>
    <col min="1258" max="1258" width="8.81640625" style="141" customWidth="1"/>
    <col min="1259" max="1260" width="12.81640625" style="141" customWidth="1"/>
    <col min="1261" max="1261" width="8.81640625" style="141" customWidth="1"/>
    <col min="1262" max="1263" width="12.81640625" style="141" customWidth="1"/>
    <col min="1264" max="1264" width="8.81640625" style="141" customWidth="1"/>
    <col min="1265" max="1266" width="12.81640625" style="141" customWidth="1"/>
    <col min="1267" max="1267" width="8.81640625" style="141" customWidth="1"/>
    <col min="1268" max="1269" width="12.81640625" style="141" customWidth="1"/>
    <col min="1270" max="1270" width="8.81640625" style="141" customWidth="1"/>
    <col min="1271" max="1272" width="12.81640625" style="141" customWidth="1"/>
    <col min="1273" max="1273" width="8.81640625" style="141" customWidth="1"/>
    <col min="1274" max="1274" width="3.81640625" style="141" customWidth="1"/>
    <col min="1275" max="1275" width="3.1796875" style="141" customWidth="1"/>
    <col min="1276" max="1276" width="9.1796875" style="141"/>
    <col min="1277" max="1277" width="12.1796875" style="141" customWidth="1"/>
    <col min="1278" max="1278" width="1.1796875" style="141" customWidth="1"/>
    <col min="1279" max="1280" width="12.81640625" style="141" customWidth="1"/>
    <col min="1281" max="1281" width="8.81640625" style="141" customWidth="1"/>
    <col min="1282" max="1283" width="12.81640625" style="141" customWidth="1"/>
    <col min="1284" max="1284" width="8.81640625" style="141" customWidth="1"/>
    <col min="1285" max="1286" width="12.81640625" style="141" customWidth="1"/>
    <col min="1287" max="1287" width="8.81640625" style="141" customWidth="1"/>
    <col min="1288" max="1289" width="12.81640625" style="141" customWidth="1"/>
    <col min="1290" max="1290" width="8.81640625" style="141" customWidth="1"/>
    <col min="1291" max="1292" width="12.81640625" style="141" customWidth="1"/>
    <col min="1293" max="1293" width="8.81640625" style="141" customWidth="1"/>
    <col min="1294" max="1294" width="14" style="141" bestFit="1" customWidth="1"/>
    <col min="1295" max="1295" width="12.81640625" style="141" customWidth="1"/>
    <col min="1296" max="1296" width="8.81640625" style="141" customWidth="1"/>
    <col min="1297" max="1298" width="12.81640625" style="141" customWidth="1"/>
    <col min="1299" max="1299" width="8.81640625" style="141" customWidth="1"/>
    <col min="1300" max="1300" width="5.1796875" style="141" customWidth="1"/>
    <col min="1301" max="1301" width="4.54296875" style="141" customWidth="1"/>
    <col min="1302" max="1506" width="9.1796875" style="141"/>
    <col min="1507" max="1507" width="12.81640625" style="141" customWidth="1"/>
    <col min="1508" max="1508" width="1" style="141" customWidth="1"/>
    <col min="1509" max="1510" width="12.81640625" style="141" customWidth="1"/>
    <col min="1511" max="1511" width="8.81640625" style="141" customWidth="1"/>
    <col min="1512" max="1513" width="12.81640625" style="141" customWidth="1"/>
    <col min="1514" max="1514" width="8.81640625" style="141" customWidth="1"/>
    <col min="1515" max="1516" width="12.81640625" style="141" customWidth="1"/>
    <col min="1517" max="1517" width="8.81640625" style="141" customWidth="1"/>
    <col min="1518" max="1519" width="12.81640625" style="141" customWidth="1"/>
    <col min="1520" max="1520" width="8.81640625" style="141" customWidth="1"/>
    <col min="1521" max="1522" width="12.81640625" style="141" customWidth="1"/>
    <col min="1523" max="1523" width="8.81640625" style="141" customWidth="1"/>
    <col min="1524" max="1525" width="12.81640625" style="141" customWidth="1"/>
    <col min="1526" max="1526" width="8.81640625" style="141" customWidth="1"/>
    <col min="1527" max="1528" width="12.81640625" style="141" customWidth="1"/>
    <col min="1529" max="1529" width="8.81640625" style="141" customWidth="1"/>
    <col min="1530" max="1530" width="3.81640625" style="141" customWidth="1"/>
    <col min="1531" max="1531" width="3.1796875" style="141" customWidth="1"/>
    <col min="1532" max="1532" width="9.1796875" style="141"/>
    <col min="1533" max="1533" width="12.1796875" style="141" customWidth="1"/>
    <col min="1534" max="1534" width="1.1796875" style="141" customWidth="1"/>
    <col min="1535" max="1536" width="12.81640625" style="141" customWidth="1"/>
    <col min="1537" max="1537" width="8.81640625" style="141" customWidth="1"/>
    <col min="1538" max="1539" width="12.81640625" style="141" customWidth="1"/>
    <col min="1540" max="1540" width="8.81640625" style="141" customWidth="1"/>
    <col min="1541" max="1542" width="12.81640625" style="141" customWidth="1"/>
    <col min="1543" max="1543" width="8.81640625" style="141" customWidth="1"/>
    <col min="1544" max="1545" width="12.81640625" style="141" customWidth="1"/>
    <col min="1546" max="1546" width="8.81640625" style="141" customWidth="1"/>
    <col min="1547" max="1548" width="12.81640625" style="141" customWidth="1"/>
    <col min="1549" max="1549" width="8.81640625" style="141" customWidth="1"/>
    <col min="1550" max="1550" width="14" style="141" bestFit="1" customWidth="1"/>
    <col min="1551" max="1551" width="12.81640625" style="141" customWidth="1"/>
    <col min="1552" max="1552" width="8.81640625" style="141" customWidth="1"/>
    <col min="1553" max="1554" width="12.81640625" style="141" customWidth="1"/>
    <col min="1555" max="1555" width="8.81640625" style="141" customWidth="1"/>
    <col min="1556" max="1556" width="5.1796875" style="141" customWidth="1"/>
    <col min="1557" max="1557" width="4.54296875" style="141" customWidth="1"/>
    <col min="1558" max="1762" width="9.1796875" style="141"/>
    <col min="1763" max="1763" width="12.81640625" style="141" customWidth="1"/>
    <col min="1764" max="1764" width="1" style="141" customWidth="1"/>
    <col min="1765" max="1766" width="12.81640625" style="141" customWidth="1"/>
    <col min="1767" max="1767" width="8.81640625" style="141" customWidth="1"/>
    <col min="1768" max="1769" width="12.81640625" style="141" customWidth="1"/>
    <col min="1770" max="1770" width="8.81640625" style="141" customWidth="1"/>
    <col min="1771" max="1772" width="12.81640625" style="141" customWidth="1"/>
    <col min="1773" max="1773" width="8.81640625" style="141" customWidth="1"/>
    <col min="1774" max="1775" width="12.81640625" style="141" customWidth="1"/>
    <col min="1776" max="1776" width="8.81640625" style="141" customWidth="1"/>
    <col min="1777" max="1778" width="12.81640625" style="141" customWidth="1"/>
    <col min="1779" max="1779" width="8.81640625" style="141" customWidth="1"/>
    <col min="1780" max="1781" width="12.81640625" style="141" customWidth="1"/>
    <col min="1782" max="1782" width="8.81640625" style="141" customWidth="1"/>
    <col min="1783" max="1784" width="12.81640625" style="141" customWidth="1"/>
    <col min="1785" max="1785" width="8.81640625" style="141" customWidth="1"/>
    <col min="1786" max="1786" width="3.81640625" style="141" customWidth="1"/>
    <col min="1787" max="1787" width="3.1796875" style="141" customWidth="1"/>
    <col min="1788" max="1788" width="9.1796875" style="141"/>
    <col min="1789" max="1789" width="12.1796875" style="141" customWidth="1"/>
    <col min="1790" max="1790" width="1.1796875" style="141" customWidth="1"/>
    <col min="1791" max="1792" width="12.81640625" style="141" customWidth="1"/>
    <col min="1793" max="1793" width="8.81640625" style="141" customWidth="1"/>
    <col min="1794" max="1795" width="12.81640625" style="141" customWidth="1"/>
    <col min="1796" max="1796" width="8.81640625" style="141" customWidth="1"/>
    <col min="1797" max="1798" width="12.81640625" style="141" customWidth="1"/>
    <col min="1799" max="1799" width="8.81640625" style="141" customWidth="1"/>
    <col min="1800" max="1801" width="12.81640625" style="141" customWidth="1"/>
    <col min="1802" max="1802" width="8.81640625" style="141" customWidth="1"/>
    <col min="1803" max="1804" width="12.81640625" style="141" customWidth="1"/>
    <col min="1805" max="1805" width="8.81640625" style="141" customWidth="1"/>
    <col min="1806" max="1806" width="14" style="141" bestFit="1" customWidth="1"/>
    <col min="1807" max="1807" width="12.81640625" style="141" customWidth="1"/>
    <col min="1808" max="1808" width="8.81640625" style="141" customWidth="1"/>
    <col min="1809" max="1810" width="12.81640625" style="141" customWidth="1"/>
    <col min="1811" max="1811" width="8.81640625" style="141" customWidth="1"/>
    <col min="1812" max="1812" width="5.1796875" style="141" customWidth="1"/>
    <col min="1813" max="1813" width="4.54296875" style="141" customWidth="1"/>
    <col min="1814" max="2018" width="9.1796875" style="141"/>
    <col min="2019" max="2019" width="12.81640625" style="141" customWidth="1"/>
    <col min="2020" max="2020" width="1" style="141" customWidth="1"/>
    <col min="2021" max="2022" width="12.81640625" style="141" customWidth="1"/>
    <col min="2023" max="2023" width="8.81640625" style="141" customWidth="1"/>
    <col min="2024" max="2025" width="12.81640625" style="141" customWidth="1"/>
    <col min="2026" max="2026" width="8.81640625" style="141" customWidth="1"/>
    <col min="2027" max="2028" width="12.81640625" style="141" customWidth="1"/>
    <col min="2029" max="2029" width="8.81640625" style="141" customWidth="1"/>
    <col min="2030" max="2031" width="12.81640625" style="141" customWidth="1"/>
    <col min="2032" max="2032" width="8.81640625" style="141" customWidth="1"/>
    <col min="2033" max="2034" width="12.81640625" style="141" customWidth="1"/>
    <col min="2035" max="2035" width="8.81640625" style="141" customWidth="1"/>
    <col min="2036" max="2037" width="12.81640625" style="141" customWidth="1"/>
    <col min="2038" max="2038" width="8.81640625" style="141" customWidth="1"/>
    <col min="2039" max="2040" width="12.81640625" style="141" customWidth="1"/>
    <col min="2041" max="2041" width="8.81640625" style="141" customWidth="1"/>
    <col min="2042" max="2042" width="3.81640625" style="141" customWidth="1"/>
    <col min="2043" max="2043" width="3.1796875" style="141" customWidth="1"/>
    <col min="2044" max="2044" width="9.1796875" style="141"/>
    <col min="2045" max="2045" width="12.1796875" style="141" customWidth="1"/>
    <col min="2046" max="2046" width="1.1796875" style="141" customWidth="1"/>
    <col min="2047" max="2048" width="12.81640625" style="141" customWidth="1"/>
    <col min="2049" max="2049" width="8.81640625" style="141" customWidth="1"/>
    <col min="2050" max="2051" width="12.81640625" style="141" customWidth="1"/>
    <col min="2052" max="2052" width="8.81640625" style="141" customWidth="1"/>
    <col min="2053" max="2054" width="12.81640625" style="141" customWidth="1"/>
    <col min="2055" max="2055" width="8.81640625" style="141" customWidth="1"/>
    <col min="2056" max="2057" width="12.81640625" style="141" customWidth="1"/>
    <col min="2058" max="2058" width="8.81640625" style="141" customWidth="1"/>
    <col min="2059" max="2060" width="12.81640625" style="141" customWidth="1"/>
    <col min="2061" max="2061" width="8.81640625" style="141" customWidth="1"/>
    <col min="2062" max="2062" width="14" style="141" bestFit="1" customWidth="1"/>
    <col min="2063" max="2063" width="12.81640625" style="141" customWidth="1"/>
    <col min="2064" max="2064" width="8.81640625" style="141" customWidth="1"/>
    <col min="2065" max="2066" width="12.81640625" style="141" customWidth="1"/>
    <col min="2067" max="2067" width="8.81640625" style="141" customWidth="1"/>
    <col min="2068" max="2068" width="5.1796875" style="141" customWidth="1"/>
    <col min="2069" max="2069" width="4.54296875" style="141" customWidth="1"/>
    <col min="2070" max="2274" width="9.1796875" style="141"/>
    <col min="2275" max="2275" width="12.81640625" style="141" customWidth="1"/>
    <col min="2276" max="2276" width="1" style="141" customWidth="1"/>
    <col min="2277" max="2278" width="12.81640625" style="141" customWidth="1"/>
    <col min="2279" max="2279" width="8.81640625" style="141" customWidth="1"/>
    <col min="2280" max="2281" width="12.81640625" style="141" customWidth="1"/>
    <col min="2282" max="2282" width="8.81640625" style="141" customWidth="1"/>
    <col min="2283" max="2284" width="12.81640625" style="141" customWidth="1"/>
    <col min="2285" max="2285" width="8.81640625" style="141" customWidth="1"/>
    <col min="2286" max="2287" width="12.81640625" style="141" customWidth="1"/>
    <col min="2288" max="2288" width="8.81640625" style="141" customWidth="1"/>
    <col min="2289" max="2290" width="12.81640625" style="141" customWidth="1"/>
    <col min="2291" max="2291" width="8.81640625" style="141" customWidth="1"/>
    <col min="2292" max="2293" width="12.81640625" style="141" customWidth="1"/>
    <col min="2294" max="2294" width="8.81640625" style="141" customWidth="1"/>
    <col min="2295" max="2296" width="12.81640625" style="141" customWidth="1"/>
    <col min="2297" max="2297" width="8.81640625" style="141" customWidth="1"/>
    <col min="2298" max="2298" width="3.81640625" style="141" customWidth="1"/>
    <col min="2299" max="2299" width="3.1796875" style="141" customWidth="1"/>
    <col min="2300" max="2300" width="9.1796875" style="141"/>
    <col min="2301" max="2301" width="12.1796875" style="141" customWidth="1"/>
    <col min="2302" max="2302" width="1.1796875" style="141" customWidth="1"/>
    <col min="2303" max="2304" width="12.81640625" style="141" customWidth="1"/>
    <col min="2305" max="2305" width="8.81640625" style="141" customWidth="1"/>
    <col min="2306" max="2307" width="12.81640625" style="141" customWidth="1"/>
    <col min="2308" max="2308" width="8.81640625" style="141" customWidth="1"/>
    <col min="2309" max="2310" width="12.81640625" style="141" customWidth="1"/>
    <col min="2311" max="2311" width="8.81640625" style="141" customWidth="1"/>
    <col min="2312" max="2313" width="12.81640625" style="141" customWidth="1"/>
    <col min="2314" max="2314" width="8.81640625" style="141" customWidth="1"/>
    <col min="2315" max="2316" width="12.81640625" style="141" customWidth="1"/>
    <col min="2317" max="2317" width="8.81640625" style="141" customWidth="1"/>
    <col min="2318" max="2318" width="14" style="141" bestFit="1" customWidth="1"/>
    <col min="2319" max="2319" width="12.81640625" style="141" customWidth="1"/>
    <col min="2320" max="2320" width="8.81640625" style="141" customWidth="1"/>
    <col min="2321" max="2322" width="12.81640625" style="141" customWidth="1"/>
    <col min="2323" max="2323" width="8.81640625" style="141" customWidth="1"/>
    <col min="2324" max="2324" width="5.1796875" style="141" customWidth="1"/>
    <col min="2325" max="2325" width="4.54296875" style="141" customWidth="1"/>
    <col min="2326" max="2530" width="9.1796875" style="141"/>
    <col min="2531" max="2531" width="12.81640625" style="141" customWidth="1"/>
    <col min="2532" max="2532" width="1" style="141" customWidth="1"/>
    <col min="2533" max="2534" width="12.81640625" style="141" customWidth="1"/>
    <col min="2535" max="2535" width="8.81640625" style="141" customWidth="1"/>
    <col min="2536" max="2537" width="12.81640625" style="141" customWidth="1"/>
    <col min="2538" max="2538" width="8.81640625" style="141" customWidth="1"/>
    <col min="2539" max="2540" width="12.81640625" style="141" customWidth="1"/>
    <col min="2541" max="2541" width="8.81640625" style="141" customWidth="1"/>
    <col min="2542" max="2543" width="12.81640625" style="141" customWidth="1"/>
    <col min="2544" max="2544" width="8.81640625" style="141" customWidth="1"/>
    <col min="2545" max="2546" width="12.81640625" style="141" customWidth="1"/>
    <col min="2547" max="2547" width="8.81640625" style="141" customWidth="1"/>
    <col min="2548" max="2549" width="12.81640625" style="141" customWidth="1"/>
    <col min="2550" max="2550" width="8.81640625" style="141" customWidth="1"/>
    <col min="2551" max="2552" width="12.81640625" style="141" customWidth="1"/>
    <col min="2553" max="2553" width="8.81640625" style="141" customWidth="1"/>
    <col min="2554" max="2554" width="3.81640625" style="141" customWidth="1"/>
    <col min="2555" max="2555" width="3.1796875" style="141" customWidth="1"/>
    <col min="2556" max="2556" width="9.1796875" style="141"/>
    <col min="2557" max="2557" width="12.1796875" style="141" customWidth="1"/>
    <col min="2558" max="2558" width="1.1796875" style="141" customWidth="1"/>
    <col min="2559" max="2560" width="12.81640625" style="141" customWidth="1"/>
    <col min="2561" max="2561" width="8.81640625" style="141" customWidth="1"/>
    <col min="2562" max="2563" width="12.81640625" style="141" customWidth="1"/>
    <col min="2564" max="2564" width="8.81640625" style="141" customWidth="1"/>
    <col min="2565" max="2566" width="12.81640625" style="141" customWidth="1"/>
    <col min="2567" max="2567" width="8.81640625" style="141" customWidth="1"/>
    <col min="2568" max="2569" width="12.81640625" style="141" customWidth="1"/>
    <col min="2570" max="2570" width="8.81640625" style="141" customWidth="1"/>
    <col min="2571" max="2572" width="12.81640625" style="141" customWidth="1"/>
    <col min="2573" max="2573" width="8.81640625" style="141" customWidth="1"/>
    <col min="2574" max="2574" width="14" style="141" bestFit="1" customWidth="1"/>
    <col min="2575" max="2575" width="12.81640625" style="141" customWidth="1"/>
    <col min="2576" max="2576" width="8.81640625" style="141" customWidth="1"/>
    <col min="2577" max="2578" width="12.81640625" style="141" customWidth="1"/>
    <col min="2579" max="2579" width="8.81640625" style="141" customWidth="1"/>
    <col min="2580" max="2580" width="5.1796875" style="141" customWidth="1"/>
    <col min="2581" max="2581" width="4.54296875" style="141" customWidth="1"/>
    <col min="2582" max="2786" width="9.1796875" style="141"/>
    <col min="2787" max="2787" width="12.81640625" style="141" customWidth="1"/>
    <col min="2788" max="2788" width="1" style="141" customWidth="1"/>
    <col min="2789" max="2790" width="12.81640625" style="141" customWidth="1"/>
    <col min="2791" max="2791" width="8.81640625" style="141" customWidth="1"/>
    <col min="2792" max="2793" width="12.81640625" style="141" customWidth="1"/>
    <col min="2794" max="2794" width="8.81640625" style="141" customWidth="1"/>
    <col min="2795" max="2796" width="12.81640625" style="141" customWidth="1"/>
    <col min="2797" max="2797" width="8.81640625" style="141" customWidth="1"/>
    <col min="2798" max="2799" width="12.81640625" style="141" customWidth="1"/>
    <col min="2800" max="2800" width="8.81640625" style="141" customWidth="1"/>
    <col min="2801" max="2802" width="12.81640625" style="141" customWidth="1"/>
    <col min="2803" max="2803" width="8.81640625" style="141" customWidth="1"/>
    <col min="2804" max="2805" width="12.81640625" style="141" customWidth="1"/>
    <col min="2806" max="2806" width="8.81640625" style="141" customWidth="1"/>
    <col min="2807" max="2808" width="12.81640625" style="141" customWidth="1"/>
    <col min="2809" max="2809" width="8.81640625" style="141" customWidth="1"/>
    <col min="2810" max="2810" width="3.81640625" style="141" customWidth="1"/>
    <col min="2811" max="2811" width="3.1796875" style="141" customWidth="1"/>
    <col min="2812" max="2812" width="9.1796875" style="141"/>
    <col min="2813" max="2813" width="12.1796875" style="141" customWidth="1"/>
    <col min="2814" max="2814" width="1.1796875" style="141" customWidth="1"/>
    <col min="2815" max="2816" width="12.81640625" style="141" customWidth="1"/>
    <col min="2817" max="2817" width="8.81640625" style="141" customWidth="1"/>
    <col min="2818" max="2819" width="12.81640625" style="141" customWidth="1"/>
    <col min="2820" max="2820" width="8.81640625" style="141" customWidth="1"/>
    <col min="2821" max="2822" width="12.81640625" style="141" customWidth="1"/>
    <col min="2823" max="2823" width="8.81640625" style="141" customWidth="1"/>
    <col min="2824" max="2825" width="12.81640625" style="141" customWidth="1"/>
    <col min="2826" max="2826" width="8.81640625" style="141" customWidth="1"/>
    <col min="2827" max="2828" width="12.81640625" style="141" customWidth="1"/>
    <col min="2829" max="2829" width="8.81640625" style="141" customWidth="1"/>
    <col min="2830" max="2830" width="14" style="141" bestFit="1" customWidth="1"/>
    <col min="2831" max="2831" width="12.81640625" style="141" customWidth="1"/>
    <col min="2832" max="2832" width="8.81640625" style="141" customWidth="1"/>
    <col min="2833" max="2834" width="12.81640625" style="141" customWidth="1"/>
    <col min="2835" max="2835" width="8.81640625" style="141" customWidth="1"/>
    <col min="2836" max="2836" width="5.1796875" style="141" customWidth="1"/>
    <col min="2837" max="2837" width="4.54296875" style="141" customWidth="1"/>
    <col min="2838" max="3042" width="9.1796875" style="141"/>
    <col min="3043" max="3043" width="12.81640625" style="141" customWidth="1"/>
    <col min="3044" max="3044" width="1" style="141" customWidth="1"/>
    <col min="3045" max="3046" width="12.81640625" style="141" customWidth="1"/>
    <col min="3047" max="3047" width="8.81640625" style="141" customWidth="1"/>
    <col min="3048" max="3049" width="12.81640625" style="141" customWidth="1"/>
    <col min="3050" max="3050" width="8.81640625" style="141" customWidth="1"/>
    <col min="3051" max="3052" width="12.81640625" style="141" customWidth="1"/>
    <col min="3053" max="3053" width="8.81640625" style="141" customWidth="1"/>
    <col min="3054" max="3055" width="12.81640625" style="141" customWidth="1"/>
    <col min="3056" max="3056" width="8.81640625" style="141" customWidth="1"/>
    <col min="3057" max="3058" width="12.81640625" style="141" customWidth="1"/>
    <col min="3059" max="3059" width="8.81640625" style="141" customWidth="1"/>
    <col min="3060" max="3061" width="12.81640625" style="141" customWidth="1"/>
    <col min="3062" max="3062" width="8.81640625" style="141" customWidth="1"/>
    <col min="3063" max="3064" width="12.81640625" style="141" customWidth="1"/>
    <col min="3065" max="3065" width="8.81640625" style="141" customWidth="1"/>
    <col min="3066" max="3066" width="3.81640625" style="141" customWidth="1"/>
    <col min="3067" max="3067" width="3.1796875" style="141" customWidth="1"/>
    <col min="3068" max="3068" width="9.1796875" style="141"/>
    <col min="3069" max="3069" width="12.1796875" style="141" customWidth="1"/>
    <col min="3070" max="3070" width="1.1796875" style="141" customWidth="1"/>
    <col min="3071" max="3072" width="12.81640625" style="141" customWidth="1"/>
    <col min="3073" max="3073" width="8.81640625" style="141" customWidth="1"/>
    <col min="3074" max="3075" width="12.81640625" style="141" customWidth="1"/>
    <col min="3076" max="3076" width="8.81640625" style="141" customWidth="1"/>
    <col min="3077" max="3078" width="12.81640625" style="141" customWidth="1"/>
    <col min="3079" max="3079" width="8.81640625" style="141" customWidth="1"/>
    <col min="3080" max="3081" width="12.81640625" style="141" customWidth="1"/>
    <col min="3082" max="3082" width="8.81640625" style="141" customWidth="1"/>
    <col min="3083" max="3084" width="12.81640625" style="141" customWidth="1"/>
    <col min="3085" max="3085" width="8.81640625" style="141" customWidth="1"/>
    <col min="3086" max="3086" width="14" style="141" bestFit="1" customWidth="1"/>
    <col min="3087" max="3087" width="12.81640625" style="141" customWidth="1"/>
    <col min="3088" max="3088" width="8.81640625" style="141" customWidth="1"/>
    <col min="3089" max="3090" width="12.81640625" style="141" customWidth="1"/>
    <col min="3091" max="3091" width="8.81640625" style="141" customWidth="1"/>
    <col min="3092" max="3092" width="5.1796875" style="141" customWidth="1"/>
    <col min="3093" max="3093" width="4.54296875" style="141" customWidth="1"/>
    <col min="3094" max="3298" width="9.1796875" style="141"/>
    <col min="3299" max="3299" width="12.81640625" style="141" customWidth="1"/>
    <col min="3300" max="3300" width="1" style="141" customWidth="1"/>
    <col min="3301" max="3302" width="12.81640625" style="141" customWidth="1"/>
    <col min="3303" max="3303" width="8.81640625" style="141" customWidth="1"/>
    <col min="3304" max="3305" width="12.81640625" style="141" customWidth="1"/>
    <col min="3306" max="3306" width="8.81640625" style="141" customWidth="1"/>
    <col min="3307" max="3308" width="12.81640625" style="141" customWidth="1"/>
    <col min="3309" max="3309" width="8.81640625" style="141" customWidth="1"/>
    <col min="3310" max="3311" width="12.81640625" style="141" customWidth="1"/>
    <col min="3312" max="3312" width="8.81640625" style="141" customWidth="1"/>
    <col min="3313" max="3314" width="12.81640625" style="141" customWidth="1"/>
    <col min="3315" max="3315" width="8.81640625" style="141" customWidth="1"/>
    <col min="3316" max="3317" width="12.81640625" style="141" customWidth="1"/>
    <col min="3318" max="3318" width="8.81640625" style="141" customWidth="1"/>
    <col min="3319" max="3320" width="12.81640625" style="141" customWidth="1"/>
    <col min="3321" max="3321" width="8.81640625" style="141" customWidth="1"/>
    <col min="3322" max="3322" width="3.81640625" style="141" customWidth="1"/>
    <col min="3323" max="3323" width="3.1796875" style="141" customWidth="1"/>
    <col min="3324" max="3324" width="9.1796875" style="141"/>
    <col min="3325" max="3325" width="12.1796875" style="141" customWidth="1"/>
    <col min="3326" max="3326" width="1.1796875" style="141" customWidth="1"/>
    <col min="3327" max="3328" width="12.81640625" style="141" customWidth="1"/>
    <col min="3329" max="3329" width="8.81640625" style="141" customWidth="1"/>
    <col min="3330" max="3331" width="12.81640625" style="141" customWidth="1"/>
    <col min="3332" max="3332" width="8.81640625" style="141" customWidth="1"/>
    <col min="3333" max="3334" width="12.81640625" style="141" customWidth="1"/>
    <col min="3335" max="3335" width="8.81640625" style="141" customWidth="1"/>
    <col min="3336" max="3337" width="12.81640625" style="141" customWidth="1"/>
    <col min="3338" max="3338" width="8.81640625" style="141" customWidth="1"/>
    <col min="3339" max="3340" width="12.81640625" style="141" customWidth="1"/>
    <col min="3341" max="3341" width="8.81640625" style="141" customWidth="1"/>
    <col min="3342" max="3342" width="14" style="141" bestFit="1" customWidth="1"/>
    <col min="3343" max="3343" width="12.81640625" style="141" customWidth="1"/>
    <col min="3344" max="3344" width="8.81640625" style="141" customWidth="1"/>
    <col min="3345" max="3346" width="12.81640625" style="141" customWidth="1"/>
    <col min="3347" max="3347" width="8.81640625" style="141" customWidth="1"/>
    <col min="3348" max="3348" width="5.1796875" style="141" customWidth="1"/>
    <col min="3349" max="3349" width="4.54296875" style="141" customWidth="1"/>
    <col min="3350" max="3554" width="9.1796875" style="141"/>
    <col min="3555" max="3555" width="12.81640625" style="141" customWidth="1"/>
    <col min="3556" max="3556" width="1" style="141" customWidth="1"/>
    <col min="3557" max="3558" width="12.81640625" style="141" customWidth="1"/>
    <col min="3559" max="3559" width="8.81640625" style="141" customWidth="1"/>
    <col min="3560" max="3561" width="12.81640625" style="141" customWidth="1"/>
    <col min="3562" max="3562" width="8.81640625" style="141" customWidth="1"/>
    <col min="3563" max="3564" width="12.81640625" style="141" customWidth="1"/>
    <col min="3565" max="3565" width="8.81640625" style="141" customWidth="1"/>
    <col min="3566" max="3567" width="12.81640625" style="141" customWidth="1"/>
    <col min="3568" max="3568" width="8.81640625" style="141" customWidth="1"/>
    <col min="3569" max="3570" width="12.81640625" style="141" customWidth="1"/>
    <col min="3571" max="3571" width="8.81640625" style="141" customWidth="1"/>
    <col min="3572" max="3573" width="12.81640625" style="141" customWidth="1"/>
    <col min="3574" max="3574" width="8.81640625" style="141" customWidth="1"/>
    <col min="3575" max="3576" width="12.81640625" style="141" customWidth="1"/>
    <col min="3577" max="3577" width="8.81640625" style="141" customWidth="1"/>
    <col min="3578" max="3578" width="3.81640625" style="141" customWidth="1"/>
    <col min="3579" max="3579" width="3.1796875" style="141" customWidth="1"/>
    <col min="3580" max="3580" width="9.1796875" style="141"/>
    <col min="3581" max="3581" width="12.1796875" style="141" customWidth="1"/>
    <col min="3582" max="3582" width="1.1796875" style="141" customWidth="1"/>
    <col min="3583" max="3584" width="12.81640625" style="141" customWidth="1"/>
    <col min="3585" max="3585" width="8.81640625" style="141" customWidth="1"/>
    <col min="3586" max="3587" width="12.81640625" style="141" customWidth="1"/>
    <col min="3588" max="3588" width="8.81640625" style="141" customWidth="1"/>
    <col min="3589" max="3590" width="12.81640625" style="141" customWidth="1"/>
    <col min="3591" max="3591" width="8.81640625" style="141" customWidth="1"/>
    <col min="3592" max="3593" width="12.81640625" style="141" customWidth="1"/>
    <col min="3594" max="3594" width="8.81640625" style="141" customWidth="1"/>
    <col min="3595" max="3596" width="12.81640625" style="141" customWidth="1"/>
    <col min="3597" max="3597" width="8.81640625" style="141" customWidth="1"/>
    <col min="3598" max="3598" width="14" style="141" bestFit="1" customWidth="1"/>
    <col min="3599" max="3599" width="12.81640625" style="141" customWidth="1"/>
    <col min="3600" max="3600" width="8.81640625" style="141" customWidth="1"/>
    <col min="3601" max="3602" width="12.81640625" style="141" customWidth="1"/>
    <col min="3603" max="3603" width="8.81640625" style="141" customWidth="1"/>
    <col min="3604" max="3604" width="5.1796875" style="141" customWidth="1"/>
    <col min="3605" max="3605" width="4.54296875" style="141" customWidth="1"/>
    <col min="3606" max="3810" width="9.1796875" style="141"/>
    <col min="3811" max="3811" width="12.81640625" style="141" customWidth="1"/>
    <col min="3812" max="3812" width="1" style="141" customWidth="1"/>
    <col min="3813" max="3814" width="12.81640625" style="141" customWidth="1"/>
    <col min="3815" max="3815" width="8.81640625" style="141" customWidth="1"/>
    <col min="3816" max="3817" width="12.81640625" style="141" customWidth="1"/>
    <col min="3818" max="3818" width="8.81640625" style="141" customWidth="1"/>
    <col min="3819" max="3820" width="12.81640625" style="141" customWidth="1"/>
    <col min="3821" max="3821" width="8.81640625" style="141" customWidth="1"/>
    <col min="3822" max="3823" width="12.81640625" style="141" customWidth="1"/>
    <col min="3824" max="3824" width="8.81640625" style="141" customWidth="1"/>
    <col min="3825" max="3826" width="12.81640625" style="141" customWidth="1"/>
    <col min="3827" max="3827" width="8.81640625" style="141" customWidth="1"/>
    <col min="3828" max="3829" width="12.81640625" style="141" customWidth="1"/>
    <col min="3830" max="3830" width="8.81640625" style="141" customWidth="1"/>
    <col min="3831" max="3832" width="12.81640625" style="141" customWidth="1"/>
    <col min="3833" max="3833" width="8.81640625" style="141" customWidth="1"/>
    <col min="3834" max="3834" width="3.81640625" style="141" customWidth="1"/>
    <col min="3835" max="3835" width="3.1796875" style="141" customWidth="1"/>
    <col min="3836" max="3836" width="9.1796875" style="141"/>
    <col min="3837" max="3837" width="12.1796875" style="141" customWidth="1"/>
    <col min="3838" max="3838" width="1.1796875" style="141" customWidth="1"/>
    <col min="3839" max="3840" width="12.81640625" style="141" customWidth="1"/>
    <col min="3841" max="3841" width="8.81640625" style="141" customWidth="1"/>
    <col min="3842" max="3843" width="12.81640625" style="141" customWidth="1"/>
    <col min="3844" max="3844" width="8.81640625" style="141" customWidth="1"/>
    <col min="3845" max="3846" width="12.81640625" style="141" customWidth="1"/>
    <col min="3847" max="3847" width="8.81640625" style="141" customWidth="1"/>
    <col min="3848" max="3849" width="12.81640625" style="141" customWidth="1"/>
    <col min="3850" max="3850" width="8.81640625" style="141" customWidth="1"/>
    <col min="3851" max="3852" width="12.81640625" style="141" customWidth="1"/>
    <col min="3853" max="3853" width="8.81640625" style="141" customWidth="1"/>
    <col min="3854" max="3854" width="14" style="141" bestFit="1" customWidth="1"/>
    <col min="3855" max="3855" width="12.81640625" style="141" customWidth="1"/>
    <col min="3856" max="3856" width="8.81640625" style="141" customWidth="1"/>
    <col min="3857" max="3858" width="12.81640625" style="141" customWidth="1"/>
    <col min="3859" max="3859" width="8.81640625" style="141" customWidth="1"/>
    <col min="3860" max="3860" width="5.1796875" style="141" customWidth="1"/>
    <col min="3861" max="3861" width="4.54296875" style="141" customWidth="1"/>
    <col min="3862" max="4066" width="9.1796875" style="141"/>
    <col min="4067" max="4067" width="12.81640625" style="141" customWidth="1"/>
    <col min="4068" max="4068" width="1" style="141" customWidth="1"/>
    <col min="4069" max="4070" width="12.81640625" style="141" customWidth="1"/>
    <col min="4071" max="4071" width="8.81640625" style="141" customWidth="1"/>
    <col min="4072" max="4073" width="12.81640625" style="141" customWidth="1"/>
    <col min="4074" max="4074" width="8.81640625" style="141" customWidth="1"/>
    <col min="4075" max="4076" width="12.81640625" style="141" customWidth="1"/>
    <col min="4077" max="4077" width="8.81640625" style="141" customWidth="1"/>
    <col min="4078" max="4079" width="12.81640625" style="141" customWidth="1"/>
    <col min="4080" max="4080" width="8.81640625" style="141" customWidth="1"/>
    <col min="4081" max="4082" width="12.81640625" style="141" customWidth="1"/>
    <col min="4083" max="4083" width="8.81640625" style="141" customWidth="1"/>
    <col min="4084" max="4085" width="12.81640625" style="141" customWidth="1"/>
    <col min="4086" max="4086" width="8.81640625" style="141" customWidth="1"/>
    <col min="4087" max="4088" width="12.81640625" style="141" customWidth="1"/>
    <col min="4089" max="4089" width="8.81640625" style="141" customWidth="1"/>
    <col min="4090" max="4090" width="3.81640625" style="141" customWidth="1"/>
    <col min="4091" max="4091" width="3.1796875" style="141" customWidth="1"/>
    <col min="4092" max="4092" width="9.1796875" style="141"/>
    <col min="4093" max="4093" width="12.1796875" style="141" customWidth="1"/>
    <col min="4094" max="4094" width="1.1796875" style="141" customWidth="1"/>
    <col min="4095" max="4096" width="12.81640625" style="141" customWidth="1"/>
    <col min="4097" max="4097" width="8.81640625" style="141" customWidth="1"/>
    <col min="4098" max="4099" width="12.81640625" style="141" customWidth="1"/>
    <col min="4100" max="4100" width="8.81640625" style="141" customWidth="1"/>
    <col min="4101" max="4102" width="12.81640625" style="141" customWidth="1"/>
    <col min="4103" max="4103" width="8.81640625" style="141" customWidth="1"/>
    <col min="4104" max="4105" width="12.81640625" style="141" customWidth="1"/>
    <col min="4106" max="4106" width="8.81640625" style="141" customWidth="1"/>
    <col min="4107" max="4108" width="12.81640625" style="141" customWidth="1"/>
    <col min="4109" max="4109" width="8.81640625" style="141" customWidth="1"/>
    <col min="4110" max="4110" width="14" style="141" bestFit="1" customWidth="1"/>
    <col min="4111" max="4111" width="12.81640625" style="141" customWidth="1"/>
    <col min="4112" max="4112" width="8.81640625" style="141" customWidth="1"/>
    <col min="4113" max="4114" width="12.81640625" style="141" customWidth="1"/>
    <col min="4115" max="4115" width="8.81640625" style="141" customWidth="1"/>
    <col min="4116" max="4116" width="5.1796875" style="141" customWidth="1"/>
    <col min="4117" max="4117" width="4.54296875" style="141" customWidth="1"/>
    <col min="4118" max="4322" width="9.1796875" style="141"/>
    <col min="4323" max="4323" width="12.81640625" style="141" customWidth="1"/>
    <col min="4324" max="4324" width="1" style="141" customWidth="1"/>
    <col min="4325" max="4326" width="12.81640625" style="141" customWidth="1"/>
    <col min="4327" max="4327" width="8.81640625" style="141" customWidth="1"/>
    <col min="4328" max="4329" width="12.81640625" style="141" customWidth="1"/>
    <col min="4330" max="4330" width="8.81640625" style="141" customWidth="1"/>
    <col min="4331" max="4332" width="12.81640625" style="141" customWidth="1"/>
    <col min="4333" max="4333" width="8.81640625" style="141" customWidth="1"/>
    <col min="4334" max="4335" width="12.81640625" style="141" customWidth="1"/>
    <col min="4336" max="4336" width="8.81640625" style="141" customWidth="1"/>
    <col min="4337" max="4338" width="12.81640625" style="141" customWidth="1"/>
    <col min="4339" max="4339" width="8.81640625" style="141" customWidth="1"/>
    <col min="4340" max="4341" width="12.81640625" style="141" customWidth="1"/>
    <col min="4342" max="4342" width="8.81640625" style="141" customWidth="1"/>
    <col min="4343" max="4344" width="12.81640625" style="141" customWidth="1"/>
    <col min="4345" max="4345" width="8.81640625" style="141" customWidth="1"/>
    <col min="4346" max="4346" width="3.81640625" style="141" customWidth="1"/>
    <col min="4347" max="4347" width="3.1796875" style="141" customWidth="1"/>
    <col min="4348" max="4348" width="9.1796875" style="141"/>
    <col min="4349" max="4349" width="12.1796875" style="141" customWidth="1"/>
    <col min="4350" max="4350" width="1.1796875" style="141" customWidth="1"/>
    <col min="4351" max="4352" width="12.81640625" style="141" customWidth="1"/>
    <col min="4353" max="4353" width="8.81640625" style="141" customWidth="1"/>
    <col min="4354" max="4355" width="12.81640625" style="141" customWidth="1"/>
    <col min="4356" max="4356" width="8.81640625" style="141" customWidth="1"/>
    <col min="4357" max="4358" width="12.81640625" style="141" customWidth="1"/>
    <col min="4359" max="4359" width="8.81640625" style="141" customWidth="1"/>
    <col min="4360" max="4361" width="12.81640625" style="141" customWidth="1"/>
    <col min="4362" max="4362" width="8.81640625" style="141" customWidth="1"/>
    <col min="4363" max="4364" width="12.81640625" style="141" customWidth="1"/>
    <col min="4365" max="4365" width="8.81640625" style="141" customWidth="1"/>
    <col min="4366" max="4366" width="14" style="141" bestFit="1" customWidth="1"/>
    <col min="4367" max="4367" width="12.81640625" style="141" customWidth="1"/>
    <col min="4368" max="4368" width="8.81640625" style="141" customWidth="1"/>
    <col min="4369" max="4370" width="12.81640625" style="141" customWidth="1"/>
    <col min="4371" max="4371" width="8.81640625" style="141" customWidth="1"/>
    <col min="4372" max="4372" width="5.1796875" style="141" customWidth="1"/>
    <col min="4373" max="4373" width="4.54296875" style="141" customWidth="1"/>
    <col min="4374" max="4578" width="9.1796875" style="141"/>
    <col min="4579" max="4579" width="12.81640625" style="141" customWidth="1"/>
    <col min="4580" max="4580" width="1" style="141" customWidth="1"/>
    <col min="4581" max="4582" width="12.81640625" style="141" customWidth="1"/>
    <col min="4583" max="4583" width="8.81640625" style="141" customWidth="1"/>
    <col min="4584" max="4585" width="12.81640625" style="141" customWidth="1"/>
    <col min="4586" max="4586" width="8.81640625" style="141" customWidth="1"/>
    <col min="4587" max="4588" width="12.81640625" style="141" customWidth="1"/>
    <col min="4589" max="4589" width="8.81640625" style="141" customWidth="1"/>
    <col min="4590" max="4591" width="12.81640625" style="141" customWidth="1"/>
    <col min="4592" max="4592" width="8.81640625" style="141" customWidth="1"/>
    <col min="4593" max="4594" width="12.81640625" style="141" customWidth="1"/>
    <col min="4595" max="4595" width="8.81640625" style="141" customWidth="1"/>
    <col min="4596" max="4597" width="12.81640625" style="141" customWidth="1"/>
    <col min="4598" max="4598" width="8.81640625" style="141" customWidth="1"/>
    <col min="4599" max="4600" width="12.81640625" style="141" customWidth="1"/>
    <col min="4601" max="4601" width="8.81640625" style="141" customWidth="1"/>
    <col min="4602" max="4602" width="3.81640625" style="141" customWidth="1"/>
    <col min="4603" max="4603" width="3.1796875" style="141" customWidth="1"/>
    <col min="4604" max="4604" width="9.1796875" style="141"/>
    <col min="4605" max="4605" width="12.1796875" style="141" customWidth="1"/>
    <col min="4606" max="4606" width="1.1796875" style="141" customWidth="1"/>
    <col min="4607" max="4608" width="12.81640625" style="141" customWidth="1"/>
    <col min="4609" max="4609" width="8.81640625" style="141" customWidth="1"/>
    <col min="4610" max="4611" width="12.81640625" style="141" customWidth="1"/>
    <col min="4612" max="4612" width="8.81640625" style="141" customWidth="1"/>
    <col min="4613" max="4614" width="12.81640625" style="141" customWidth="1"/>
    <col min="4615" max="4615" width="8.81640625" style="141" customWidth="1"/>
    <col min="4616" max="4617" width="12.81640625" style="141" customWidth="1"/>
    <col min="4618" max="4618" width="8.81640625" style="141" customWidth="1"/>
    <col min="4619" max="4620" width="12.81640625" style="141" customWidth="1"/>
    <col min="4621" max="4621" width="8.81640625" style="141" customWidth="1"/>
    <col min="4622" max="4622" width="14" style="141" bestFit="1" customWidth="1"/>
    <col min="4623" max="4623" width="12.81640625" style="141" customWidth="1"/>
    <col min="4624" max="4624" width="8.81640625" style="141" customWidth="1"/>
    <col min="4625" max="4626" width="12.81640625" style="141" customWidth="1"/>
    <col min="4627" max="4627" width="8.81640625" style="141" customWidth="1"/>
    <col min="4628" max="4628" width="5.1796875" style="141" customWidth="1"/>
    <col min="4629" max="4629" width="4.54296875" style="141" customWidth="1"/>
    <col min="4630" max="4834" width="9.1796875" style="141"/>
    <col min="4835" max="4835" width="12.81640625" style="141" customWidth="1"/>
    <col min="4836" max="4836" width="1" style="141" customWidth="1"/>
    <col min="4837" max="4838" width="12.81640625" style="141" customWidth="1"/>
    <col min="4839" max="4839" width="8.81640625" style="141" customWidth="1"/>
    <col min="4840" max="4841" width="12.81640625" style="141" customWidth="1"/>
    <col min="4842" max="4842" width="8.81640625" style="141" customWidth="1"/>
    <col min="4843" max="4844" width="12.81640625" style="141" customWidth="1"/>
    <col min="4845" max="4845" width="8.81640625" style="141" customWidth="1"/>
    <col min="4846" max="4847" width="12.81640625" style="141" customWidth="1"/>
    <col min="4848" max="4848" width="8.81640625" style="141" customWidth="1"/>
    <col min="4849" max="4850" width="12.81640625" style="141" customWidth="1"/>
    <col min="4851" max="4851" width="8.81640625" style="141" customWidth="1"/>
    <col min="4852" max="4853" width="12.81640625" style="141" customWidth="1"/>
    <col min="4854" max="4854" width="8.81640625" style="141" customWidth="1"/>
    <col min="4855" max="4856" width="12.81640625" style="141" customWidth="1"/>
    <col min="4857" max="4857" width="8.81640625" style="141" customWidth="1"/>
    <col min="4858" max="4858" width="3.81640625" style="141" customWidth="1"/>
    <col min="4859" max="4859" width="3.1796875" style="141" customWidth="1"/>
    <col min="4860" max="4860" width="9.1796875" style="141"/>
    <col min="4861" max="4861" width="12.1796875" style="141" customWidth="1"/>
    <col min="4862" max="4862" width="1.1796875" style="141" customWidth="1"/>
    <col min="4863" max="4864" width="12.81640625" style="141" customWidth="1"/>
    <col min="4865" max="4865" width="8.81640625" style="141" customWidth="1"/>
    <col min="4866" max="4867" width="12.81640625" style="141" customWidth="1"/>
    <col min="4868" max="4868" width="8.81640625" style="141" customWidth="1"/>
    <col min="4869" max="4870" width="12.81640625" style="141" customWidth="1"/>
    <col min="4871" max="4871" width="8.81640625" style="141" customWidth="1"/>
    <col min="4872" max="4873" width="12.81640625" style="141" customWidth="1"/>
    <col min="4874" max="4874" width="8.81640625" style="141" customWidth="1"/>
    <col min="4875" max="4876" width="12.81640625" style="141" customWidth="1"/>
    <col min="4877" max="4877" width="8.81640625" style="141" customWidth="1"/>
    <col min="4878" max="4878" width="14" style="141" bestFit="1" customWidth="1"/>
    <col min="4879" max="4879" width="12.81640625" style="141" customWidth="1"/>
    <col min="4880" max="4880" width="8.81640625" style="141" customWidth="1"/>
    <col min="4881" max="4882" width="12.81640625" style="141" customWidth="1"/>
    <col min="4883" max="4883" width="8.81640625" style="141" customWidth="1"/>
    <col min="4884" max="4884" width="5.1796875" style="141" customWidth="1"/>
    <col min="4885" max="4885" width="4.54296875" style="141" customWidth="1"/>
    <col min="4886" max="5090" width="9.1796875" style="141"/>
    <col min="5091" max="5091" width="12.81640625" style="141" customWidth="1"/>
    <col min="5092" max="5092" width="1" style="141" customWidth="1"/>
    <col min="5093" max="5094" width="12.81640625" style="141" customWidth="1"/>
    <col min="5095" max="5095" width="8.81640625" style="141" customWidth="1"/>
    <col min="5096" max="5097" width="12.81640625" style="141" customWidth="1"/>
    <col min="5098" max="5098" width="8.81640625" style="141" customWidth="1"/>
    <col min="5099" max="5100" width="12.81640625" style="141" customWidth="1"/>
    <col min="5101" max="5101" width="8.81640625" style="141" customWidth="1"/>
    <col min="5102" max="5103" width="12.81640625" style="141" customWidth="1"/>
    <col min="5104" max="5104" width="8.81640625" style="141" customWidth="1"/>
    <col min="5105" max="5106" width="12.81640625" style="141" customWidth="1"/>
    <col min="5107" max="5107" width="8.81640625" style="141" customWidth="1"/>
    <col min="5108" max="5109" width="12.81640625" style="141" customWidth="1"/>
    <col min="5110" max="5110" width="8.81640625" style="141" customWidth="1"/>
    <col min="5111" max="5112" width="12.81640625" style="141" customWidth="1"/>
    <col min="5113" max="5113" width="8.81640625" style="141" customWidth="1"/>
    <col min="5114" max="5114" width="3.81640625" style="141" customWidth="1"/>
    <col min="5115" max="5115" width="3.1796875" style="141" customWidth="1"/>
    <col min="5116" max="5116" width="9.1796875" style="141"/>
    <col min="5117" max="5117" width="12.1796875" style="141" customWidth="1"/>
    <col min="5118" max="5118" width="1.1796875" style="141" customWidth="1"/>
    <col min="5119" max="5120" width="12.81640625" style="141" customWidth="1"/>
    <col min="5121" max="5121" width="8.81640625" style="141" customWidth="1"/>
    <col min="5122" max="5123" width="12.81640625" style="141" customWidth="1"/>
    <col min="5124" max="5124" width="8.81640625" style="141" customWidth="1"/>
    <col min="5125" max="5126" width="12.81640625" style="141" customWidth="1"/>
    <col min="5127" max="5127" width="8.81640625" style="141" customWidth="1"/>
    <col min="5128" max="5129" width="12.81640625" style="141" customWidth="1"/>
    <col min="5130" max="5130" width="8.81640625" style="141" customWidth="1"/>
    <col min="5131" max="5132" width="12.81640625" style="141" customWidth="1"/>
    <col min="5133" max="5133" width="8.81640625" style="141" customWidth="1"/>
    <col min="5134" max="5134" width="14" style="141" bestFit="1" customWidth="1"/>
    <col min="5135" max="5135" width="12.81640625" style="141" customWidth="1"/>
    <col min="5136" max="5136" width="8.81640625" style="141" customWidth="1"/>
    <col min="5137" max="5138" width="12.81640625" style="141" customWidth="1"/>
    <col min="5139" max="5139" width="8.81640625" style="141" customWidth="1"/>
    <col min="5140" max="5140" width="5.1796875" style="141" customWidth="1"/>
    <col min="5141" max="5141" width="4.54296875" style="141" customWidth="1"/>
    <col min="5142" max="5346" width="9.1796875" style="141"/>
    <col min="5347" max="5347" width="12.81640625" style="141" customWidth="1"/>
    <col min="5348" max="5348" width="1" style="141" customWidth="1"/>
    <col min="5349" max="5350" width="12.81640625" style="141" customWidth="1"/>
    <col min="5351" max="5351" width="8.81640625" style="141" customWidth="1"/>
    <col min="5352" max="5353" width="12.81640625" style="141" customWidth="1"/>
    <col min="5354" max="5354" width="8.81640625" style="141" customWidth="1"/>
    <col min="5355" max="5356" width="12.81640625" style="141" customWidth="1"/>
    <col min="5357" max="5357" width="8.81640625" style="141" customWidth="1"/>
    <col min="5358" max="5359" width="12.81640625" style="141" customWidth="1"/>
    <col min="5360" max="5360" width="8.81640625" style="141" customWidth="1"/>
    <col min="5361" max="5362" width="12.81640625" style="141" customWidth="1"/>
    <col min="5363" max="5363" width="8.81640625" style="141" customWidth="1"/>
    <col min="5364" max="5365" width="12.81640625" style="141" customWidth="1"/>
    <col min="5366" max="5366" width="8.81640625" style="141" customWidth="1"/>
    <col min="5367" max="5368" width="12.81640625" style="141" customWidth="1"/>
    <col min="5369" max="5369" width="8.81640625" style="141" customWidth="1"/>
    <col min="5370" max="5370" width="3.81640625" style="141" customWidth="1"/>
    <col min="5371" max="5371" width="3.1796875" style="141" customWidth="1"/>
    <col min="5372" max="5372" width="9.1796875" style="141"/>
    <col min="5373" max="5373" width="12.1796875" style="141" customWidth="1"/>
    <col min="5374" max="5374" width="1.1796875" style="141" customWidth="1"/>
    <col min="5375" max="5376" width="12.81640625" style="141" customWidth="1"/>
    <col min="5377" max="5377" width="8.81640625" style="141" customWidth="1"/>
    <col min="5378" max="5379" width="12.81640625" style="141" customWidth="1"/>
    <col min="5380" max="5380" width="8.81640625" style="141" customWidth="1"/>
    <col min="5381" max="5382" width="12.81640625" style="141" customWidth="1"/>
    <col min="5383" max="5383" width="8.81640625" style="141" customWidth="1"/>
    <col min="5384" max="5385" width="12.81640625" style="141" customWidth="1"/>
    <col min="5386" max="5386" width="8.81640625" style="141" customWidth="1"/>
    <col min="5387" max="5388" width="12.81640625" style="141" customWidth="1"/>
    <col min="5389" max="5389" width="8.81640625" style="141" customWidth="1"/>
    <col min="5390" max="5390" width="14" style="141" bestFit="1" customWidth="1"/>
    <col min="5391" max="5391" width="12.81640625" style="141" customWidth="1"/>
    <col min="5392" max="5392" width="8.81640625" style="141" customWidth="1"/>
    <col min="5393" max="5394" width="12.81640625" style="141" customWidth="1"/>
    <col min="5395" max="5395" width="8.81640625" style="141" customWidth="1"/>
    <col min="5396" max="5396" width="5.1796875" style="141" customWidth="1"/>
    <col min="5397" max="5397" width="4.54296875" style="141" customWidth="1"/>
    <col min="5398" max="5602" width="9.1796875" style="141"/>
    <col min="5603" max="5603" width="12.81640625" style="141" customWidth="1"/>
    <col min="5604" max="5604" width="1" style="141" customWidth="1"/>
    <col min="5605" max="5606" width="12.81640625" style="141" customWidth="1"/>
    <col min="5607" max="5607" width="8.81640625" style="141" customWidth="1"/>
    <col min="5608" max="5609" width="12.81640625" style="141" customWidth="1"/>
    <col min="5610" max="5610" width="8.81640625" style="141" customWidth="1"/>
    <col min="5611" max="5612" width="12.81640625" style="141" customWidth="1"/>
    <col min="5613" max="5613" width="8.81640625" style="141" customWidth="1"/>
    <col min="5614" max="5615" width="12.81640625" style="141" customWidth="1"/>
    <col min="5616" max="5616" width="8.81640625" style="141" customWidth="1"/>
    <col min="5617" max="5618" width="12.81640625" style="141" customWidth="1"/>
    <col min="5619" max="5619" width="8.81640625" style="141" customWidth="1"/>
    <col min="5620" max="5621" width="12.81640625" style="141" customWidth="1"/>
    <col min="5622" max="5622" width="8.81640625" style="141" customWidth="1"/>
    <col min="5623" max="5624" width="12.81640625" style="141" customWidth="1"/>
    <col min="5625" max="5625" width="8.81640625" style="141" customWidth="1"/>
    <col min="5626" max="5626" width="3.81640625" style="141" customWidth="1"/>
    <col min="5627" max="5627" width="3.1796875" style="141" customWidth="1"/>
    <col min="5628" max="5628" width="9.1796875" style="141"/>
    <col min="5629" max="5629" width="12.1796875" style="141" customWidth="1"/>
    <col min="5630" max="5630" width="1.1796875" style="141" customWidth="1"/>
    <col min="5631" max="5632" width="12.81640625" style="141" customWidth="1"/>
    <col min="5633" max="5633" width="8.81640625" style="141" customWidth="1"/>
    <col min="5634" max="5635" width="12.81640625" style="141" customWidth="1"/>
    <col min="5636" max="5636" width="8.81640625" style="141" customWidth="1"/>
    <col min="5637" max="5638" width="12.81640625" style="141" customWidth="1"/>
    <col min="5639" max="5639" width="8.81640625" style="141" customWidth="1"/>
    <col min="5640" max="5641" width="12.81640625" style="141" customWidth="1"/>
    <col min="5642" max="5642" width="8.81640625" style="141" customWidth="1"/>
    <col min="5643" max="5644" width="12.81640625" style="141" customWidth="1"/>
    <col min="5645" max="5645" width="8.81640625" style="141" customWidth="1"/>
    <col min="5646" max="5646" width="14" style="141" bestFit="1" customWidth="1"/>
    <col min="5647" max="5647" width="12.81640625" style="141" customWidth="1"/>
    <col min="5648" max="5648" width="8.81640625" style="141" customWidth="1"/>
    <col min="5649" max="5650" width="12.81640625" style="141" customWidth="1"/>
    <col min="5651" max="5651" width="8.81640625" style="141" customWidth="1"/>
    <col min="5652" max="5652" width="5.1796875" style="141" customWidth="1"/>
    <col min="5653" max="5653" width="4.54296875" style="141" customWidth="1"/>
    <col min="5654" max="5858" width="9.1796875" style="141"/>
    <col min="5859" max="5859" width="12.81640625" style="141" customWidth="1"/>
    <col min="5860" max="5860" width="1" style="141" customWidth="1"/>
    <col min="5861" max="5862" width="12.81640625" style="141" customWidth="1"/>
    <col min="5863" max="5863" width="8.81640625" style="141" customWidth="1"/>
    <col min="5864" max="5865" width="12.81640625" style="141" customWidth="1"/>
    <col min="5866" max="5866" width="8.81640625" style="141" customWidth="1"/>
    <col min="5867" max="5868" width="12.81640625" style="141" customWidth="1"/>
    <col min="5869" max="5869" width="8.81640625" style="141" customWidth="1"/>
    <col min="5870" max="5871" width="12.81640625" style="141" customWidth="1"/>
    <col min="5872" max="5872" width="8.81640625" style="141" customWidth="1"/>
    <col min="5873" max="5874" width="12.81640625" style="141" customWidth="1"/>
    <col min="5875" max="5875" width="8.81640625" style="141" customWidth="1"/>
    <col min="5876" max="5877" width="12.81640625" style="141" customWidth="1"/>
    <col min="5878" max="5878" width="8.81640625" style="141" customWidth="1"/>
    <col min="5879" max="5880" width="12.81640625" style="141" customWidth="1"/>
    <col min="5881" max="5881" width="8.81640625" style="141" customWidth="1"/>
    <col min="5882" max="5882" width="3.81640625" style="141" customWidth="1"/>
    <col min="5883" max="5883" width="3.1796875" style="141" customWidth="1"/>
    <col min="5884" max="5884" width="9.1796875" style="141"/>
    <col min="5885" max="5885" width="12.1796875" style="141" customWidth="1"/>
    <col min="5886" max="5886" width="1.1796875" style="141" customWidth="1"/>
    <col min="5887" max="5888" width="12.81640625" style="141" customWidth="1"/>
    <col min="5889" max="5889" width="8.81640625" style="141" customWidth="1"/>
    <col min="5890" max="5891" width="12.81640625" style="141" customWidth="1"/>
    <col min="5892" max="5892" width="8.81640625" style="141" customWidth="1"/>
    <col min="5893" max="5894" width="12.81640625" style="141" customWidth="1"/>
    <col min="5895" max="5895" width="8.81640625" style="141" customWidth="1"/>
    <col min="5896" max="5897" width="12.81640625" style="141" customWidth="1"/>
    <col min="5898" max="5898" width="8.81640625" style="141" customWidth="1"/>
    <col min="5899" max="5900" width="12.81640625" style="141" customWidth="1"/>
    <col min="5901" max="5901" width="8.81640625" style="141" customWidth="1"/>
    <col min="5902" max="5902" width="14" style="141" bestFit="1" customWidth="1"/>
    <col min="5903" max="5903" width="12.81640625" style="141" customWidth="1"/>
    <col min="5904" max="5904" width="8.81640625" style="141" customWidth="1"/>
    <col min="5905" max="5906" width="12.81640625" style="141" customWidth="1"/>
    <col min="5907" max="5907" width="8.81640625" style="141" customWidth="1"/>
    <col min="5908" max="5908" width="5.1796875" style="141" customWidth="1"/>
    <col min="5909" max="5909" width="4.54296875" style="141" customWidth="1"/>
    <col min="5910" max="6114" width="9.1796875" style="141"/>
    <col min="6115" max="6115" width="12.81640625" style="141" customWidth="1"/>
    <col min="6116" max="6116" width="1" style="141" customWidth="1"/>
    <col min="6117" max="6118" width="12.81640625" style="141" customWidth="1"/>
    <col min="6119" max="6119" width="8.81640625" style="141" customWidth="1"/>
    <col min="6120" max="6121" width="12.81640625" style="141" customWidth="1"/>
    <col min="6122" max="6122" width="8.81640625" style="141" customWidth="1"/>
    <col min="6123" max="6124" width="12.81640625" style="141" customWidth="1"/>
    <col min="6125" max="6125" width="8.81640625" style="141" customWidth="1"/>
    <col min="6126" max="6127" width="12.81640625" style="141" customWidth="1"/>
    <col min="6128" max="6128" width="8.81640625" style="141" customWidth="1"/>
    <col min="6129" max="6130" width="12.81640625" style="141" customWidth="1"/>
    <col min="6131" max="6131" width="8.81640625" style="141" customWidth="1"/>
    <col min="6132" max="6133" width="12.81640625" style="141" customWidth="1"/>
    <col min="6134" max="6134" width="8.81640625" style="141" customWidth="1"/>
    <col min="6135" max="6136" width="12.81640625" style="141" customWidth="1"/>
    <col min="6137" max="6137" width="8.81640625" style="141" customWidth="1"/>
    <col min="6138" max="6138" width="3.81640625" style="141" customWidth="1"/>
    <col min="6139" max="6139" width="3.1796875" style="141" customWidth="1"/>
    <col min="6140" max="6140" width="9.1796875" style="141"/>
    <col min="6141" max="6141" width="12.1796875" style="141" customWidth="1"/>
    <col min="6142" max="6142" width="1.1796875" style="141" customWidth="1"/>
    <col min="6143" max="6144" width="12.81640625" style="141" customWidth="1"/>
    <col min="6145" max="6145" width="8.81640625" style="141" customWidth="1"/>
    <col min="6146" max="6147" width="12.81640625" style="141" customWidth="1"/>
    <col min="6148" max="6148" width="8.81640625" style="141" customWidth="1"/>
    <col min="6149" max="6150" width="12.81640625" style="141" customWidth="1"/>
    <col min="6151" max="6151" width="8.81640625" style="141" customWidth="1"/>
    <col min="6152" max="6153" width="12.81640625" style="141" customWidth="1"/>
    <col min="6154" max="6154" width="8.81640625" style="141" customWidth="1"/>
    <col min="6155" max="6156" width="12.81640625" style="141" customWidth="1"/>
    <col min="6157" max="6157" width="8.81640625" style="141" customWidth="1"/>
    <col min="6158" max="6158" width="14" style="141" bestFit="1" customWidth="1"/>
    <col min="6159" max="6159" width="12.81640625" style="141" customWidth="1"/>
    <col min="6160" max="6160" width="8.81640625" style="141" customWidth="1"/>
    <col min="6161" max="6162" width="12.81640625" style="141" customWidth="1"/>
    <col min="6163" max="6163" width="8.81640625" style="141" customWidth="1"/>
    <col min="6164" max="6164" width="5.1796875" style="141" customWidth="1"/>
    <col min="6165" max="6165" width="4.54296875" style="141" customWidth="1"/>
    <col min="6166" max="6370" width="9.1796875" style="141"/>
    <col min="6371" max="6371" width="12.81640625" style="141" customWidth="1"/>
    <col min="6372" max="6372" width="1" style="141" customWidth="1"/>
    <col min="6373" max="6374" width="12.81640625" style="141" customWidth="1"/>
    <col min="6375" max="6375" width="8.81640625" style="141" customWidth="1"/>
    <col min="6376" max="6377" width="12.81640625" style="141" customWidth="1"/>
    <col min="6378" max="6378" width="8.81640625" style="141" customWidth="1"/>
    <col min="6379" max="6380" width="12.81640625" style="141" customWidth="1"/>
    <col min="6381" max="6381" width="8.81640625" style="141" customWidth="1"/>
    <col min="6382" max="6383" width="12.81640625" style="141" customWidth="1"/>
    <col min="6384" max="6384" width="8.81640625" style="141" customWidth="1"/>
    <col min="6385" max="6386" width="12.81640625" style="141" customWidth="1"/>
    <col min="6387" max="6387" width="8.81640625" style="141" customWidth="1"/>
    <col min="6388" max="6389" width="12.81640625" style="141" customWidth="1"/>
    <col min="6390" max="6390" width="8.81640625" style="141" customWidth="1"/>
    <col min="6391" max="6392" width="12.81640625" style="141" customWidth="1"/>
    <col min="6393" max="6393" width="8.81640625" style="141" customWidth="1"/>
    <col min="6394" max="6394" width="3.81640625" style="141" customWidth="1"/>
    <col min="6395" max="6395" width="3.1796875" style="141" customWidth="1"/>
    <col min="6396" max="6396" width="9.1796875" style="141"/>
    <col min="6397" max="6397" width="12.1796875" style="141" customWidth="1"/>
    <col min="6398" max="6398" width="1.1796875" style="141" customWidth="1"/>
    <col min="6399" max="6400" width="12.81640625" style="141" customWidth="1"/>
    <col min="6401" max="6401" width="8.81640625" style="141" customWidth="1"/>
    <col min="6402" max="6403" width="12.81640625" style="141" customWidth="1"/>
    <col min="6404" max="6404" width="8.81640625" style="141" customWidth="1"/>
    <col min="6405" max="6406" width="12.81640625" style="141" customWidth="1"/>
    <col min="6407" max="6407" width="8.81640625" style="141" customWidth="1"/>
    <col min="6408" max="6409" width="12.81640625" style="141" customWidth="1"/>
    <col min="6410" max="6410" width="8.81640625" style="141" customWidth="1"/>
    <col min="6411" max="6412" width="12.81640625" style="141" customWidth="1"/>
    <col min="6413" max="6413" width="8.81640625" style="141" customWidth="1"/>
    <col min="6414" max="6414" width="14" style="141" bestFit="1" customWidth="1"/>
    <col min="6415" max="6415" width="12.81640625" style="141" customWidth="1"/>
    <col min="6416" max="6416" width="8.81640625" style="141" customWidth="1"/>
    <col min="6417" max="6418" width="12.81640625" style="141" customWidth="1"/>
    <col min="6419" max="6419" width="8.81640625" style="141" customWidth="1"/>
    <col min="6420" max="6420" width="5.1796875" style="141" customWidth="1"/>
    <col min="6421" max="6421" width="4.54296875" style="141" customWidth="1"/>
    <col min="6422" max="6626" width="9.1796875" style="141"/>
    <col min="6627" max="6627" width="12.81640625" style="141" customWidth="1"/>
    <col min="6628" max="6628" width="1" style="141" customWidth="1"/>
    <col min="6629" max="6630" width="12.81640625" style="141" customWidth="1"/>
    <col min="6631" max="6631" width="8.81640625" style="141" customWidth="1"/>
    <col min="6632" max="6633" width="12.81640625" style="141" customWidth="1"/>
    <col min="6634" max="6634" width="8.81640625" style="141" customWidth="1"/>
    <col min="6635" max="6636" width="12.81640625" style="141" customWidth="1"/>
    <col min="6637" max="6637" width="8.81640625" style="141" customWidth="1"/>
    <col min="6638" max="6639" width="12.81640625" style="141" customWidth="1"/>
    <col min="6640" max="6640" width="8.81640625" style="141" customWidth="1"/>
    <col min="6641" max="6642" width="12.81640625" style="141" customWidth="1"/>
    <col min="6643" max="6643" width="8.81640625" style="141" customWidth="1"/>
    <col min="6644" max="6645" width="12.81640625" style="141" customWidth="1"/>
    <col min="6646" max="6646" width="8.81640625" style="141" customWidth="1"/>
    <col min="6647" max="6648" width="12.81640625" style="141" customWidth="1"/>
    <col min="6649" max="6649" width="8.81640625" style="141" customWidth="1"/>
    <col min="6650" max="6650" width="3.81640625" style="141" customWidth="1"/>
    <col min="6651" max="6651" width="3.1796875" style="141" customWidth="1"/>
    <col min="6652" max="6652" width="9.1796875" style="141"/>
    <col min="6653" max="6653" width="12.1796875" style="141" customWidth="1"/>
    <col min="6654" max="6654" width="1.1796875" style="141" customWidth="1"/>
    <col min="6655" max="6656" width="12.81640625" style="141" customWidth="1"/>
    <col min="6657" max="6657" width="8.81640625" style="141" customWidth="1"/>
    <col min="6658" max="6659" width="12.81640625" style="141" customWidth="1"/>
    <col min="6660" max="6660" width="8.81640625" style="141" customWidth="1"/>
    <col min="6661" max="6662" width="12.81640625" style="141" customWidth="1"/>
    <col min="6663" max="6663" width="8.81640625" style="141" customWidth="1"/>
    <col min="6664" max="6665" width="12.81640625" style="141" customWidth="1"/>
    <col min="6666" max="6666" width="8.81640625" style="141" customWidth="1"/>
    <col min="6667" max="6668" width="12.81640625" style="141" customWidth="1"/>
    <col min="6669" max="6669" width="8.81640625" style="141" customWidth="1"/>
    <col min="6670" max="6670" width="14" style="141" bestFit="1" customWidth="1"/>
    <col min="6671" max="6671" width="12.81640625" style="141" customWidth="1"/>
    <col min="6672" max="6672" width="8.81640625" style="141" customWidth="1"/>
    <col min="6673" max="6674" width="12.81640625" style="141" customWidth="1"/>
    <col min="6675" max="6675" width="8.81640625" style="141" customWidth="1"/>
    <col min="6676" max="6676" width="5.1796875" style="141" customWidth="1"/>
    <col min="6677" max="6677" width="4.54296875" style="141" customWidth="1"/>
    <col min="6678" max="6882" width="9.1796875" style="141"/>
    <col min="6883" max="6883" width="12.81640625" style="141" customWidth="1"/>
    <col min="6884" max="6884" width="1" style="141" customWidth="1"/>
    <col min="6885" max="6886" width="12.81640625" style="141" customWidth="1"/>
    <col min="6887" max="6887" width="8.81640625" style="141" customWidth="1"/>
    <col min="6888" max="6889" width="12.81640625" style="141" customWidth="1"/>
    <col min="6890" max="6890" width="8.81640625" style="141" customWidth="1"/>
    <col min="6891" max="6892" width="12.81640625" style="141" customWidth="1"/>
    <col min="6893" max="6893" width="8.81640625" style="141" customWidth="1"/>
    <col min="6894" max="6895" width="12.81640625" style="141" customWidth="1"/>
    <col min="6896" max="6896" width="8.81640625" style="141" customWidth="1"/>
    <col min="6897" max="6898" width="12.81640625" style="141" customWidth="1"/>
    <col min="6899" max="6899" width="8.81640625" style="141" customWidth="1"/>
    <col min="6900" max="6901" width="12.81640625" style="141" customWidth="1"/>
    <col min="6902" max="6902" width="8.81640625" style="141" customWidth="1"/>
    <col min="6903" max="6904" width="12.81640625" style="141" customWidth="1"/>
    <col min="6905" max="6905" width="8.81640625" style="141" customWidth="1"/>
    <col min="6906" max="6906" width="3.81640625" style="141" customWidth="1"/>
    <col min="6907" max="6907" width="3.1796875" style="141" customWidth="1"/>
    <col min="6908" max="6908" width="9.1796875" style="141"/>
    <col min="6909" max="6909" width="12.1796875" style="141" customWidth="1"/>
    <col min="6910" max="6910" width="1.1796875" style="141" customWidth="1"/>
    <col min="6911" max="6912" width="12.81640625" style="141" customWidth="1"/>
    <col min="6913" max="6913" width="8.81640625" style="141" customWidth="1"/>
    <col min="6914" max="6915" width="12.81640625" style="141" customWidth="1"/>
    <col min="6916" max="6916" width="8.81640625" style="141" customWidth="1"/>
    <col min="6917" max="6918" width="12.81640625" style="141" customWidth="1"/>
    <col min="6919" max="6919" width="8.81640625" style="141" customWidth="1"/>
    <col min="6920" max="6921" width="12.81640625" style="141" customWidth="1"/>
    <col min="6922" max="6922" width="8.81640625" style="141" customWidth="1"/>
    <col min="6923" max="6924" width="12.81640625" style="141" customWidth="1"/>
    <col min="6925" max="6925" width="8.81640625" style="141" customWidth="1"/>
    <col min="6926" max="6926" width="14" style="141" bestFit="1" customWidth="1"/>
    <col min="6927" max="6927" width="12.81640625" style="141" customWidth="1"/>
    <col min="6928" max="6928" width="8.81640625" style="141" customWidth="1"/>
    <col min="6929" max="6930" width="12.81640625" style="141" customWidth="1"/>
    <col min="6931" max="6931" width="8.81640625" style="141" customWidth="1"/>
    <col min="6932" max="6932" width="5.1796875" style="141" customWidth="1"/>
    <col min="6933" max="6933" width="4.54296875" style="141" customWidth="1"/>
    <col min="6934" max="7138" width="9.1796875" style="141"/>
    <col min="7139" max="7139" width="12.81640625" style="141" customWidth="1"/>
    <col min="7140" max="7140" width="1" style="141" customWidth="1"/>
    <col min="7141" max="7142" width="12.81640625" style="141" customWidth="1"/>
    <col min="7143" max="7143" width="8.81640625" style="141" customWidth="1"/>
    <col min="7144" max="7145" width="12.81640625" style="141" customWidth="1"/>
    <col min="7146" max="7146" width="8.81640625" style="141" customWidth="1"/>
    <col min="7147" max="7148" width="12.81640625" style="141" customWidth="1"/>
    <col min="7149" max="7149" width="8.81640625" style="141" customWidth="1"/>
    <col min="7150" max="7151" width="12.81640625" style="141" customWidth="1"/>
    <col min="7152" max="7152" width="8.81640625" style="141" customWidth="1"/>
    <col min="7153" max="7154" width="12.81640625" style="141" customWidth="1"/>
    <col min="7155" max="7155" width="8.81640625" style="141" customWidth="1"/>
    <col min="7156" max="7157" width="12.81640625" style="141" customWidth="1"/>
    <col min="7158" max="7158" width="8.81640625" style="141" customWidth="1"/>
    <col min="7159" max="7160" width="12.81640625" style="141" customWidth="1"/>
    <col min="7161" max="7161" width="8.81640625" style="141" customWidth="1"/>
    <col min="7162" max="7162" width="3.81640625" style="141" customWidth="1"/>
    <col min="7163" max="7163" width="3.1796875" style="141" customWidth="1"/>
    <col min="7164" max="7164" width="9.1796875" style="141"/>
    <col min="7165" max="7165" width="12.1796875" style="141" customWidth="1"/>
    <col min="7166" max="7166" width="1.1796875" style="141" customWidth="1"/>
    <col min="7167" max="7168" width="12.81640625" style="141" customWidth="1"/>
    <col min="7169" max="7169" width="8.81640625" style="141" customWidth="1"/>
    <col min="7170" max="7171" width="12.81640625" style="141" customWidth="1"/>
    <col min="7172" max="7172" width="8.81640625" style="141" customWidth="1"/>
    <col min="7173" max="7174" width="12.81640625" style="141" customWidth="1"/>
    <col min="7175" max="7175" width="8.81640625" style="141" customWidth="1"/>
    <col min="7176" max="7177" width="12.81640625" style="141" customWidth="1"/>
    <col min="7178" max="7178" width="8.81640625" style="141" customWidth="1"/>
    <col min="7179" max="7180" width="12.81640625" style="141" customWidth="1"/>
    <col min="7181" max="7181" width="8.81640625" style="141" customWidth="1"/>
    <col min="7182" max="7182" width="14" style="141" bestFit="1" customWidth="1"/>
    <col min="7183" max="7183" width="12.81640625" style="141" customWidth="1"/>
    <col min="7184" max="7184" width="8.81640625" style="141" customWidth="1"/>
    <col min="7185" max="7186" width="12.81640625" style="141" customWidth="1"/>
    <col min="7187" max="7187" width="8.81640625" style="141" customWidth="1"/>
    <col min="7188" max="7188" width="5.1796875" style="141" customWidth="1"/>
    <col min="7189" max="7189" width="4.54296875" style="141" customWidth="1"/>
    <col min="7190" max="7394" width="9.1796875" style="141"/>
    <col min="7395" max="7395" width="12.81640625" style="141" customWidth="1"/>
    <col min="7396" max="7396" width="1" style="141" customWidth="1"/>
    <col min="7397" max="7398" width="12.81640625" style="141" customWidth="1"/>
    <col min="7399" max="7399" width="8.81640625" style="141" customWidth="1"/>
    <col min="7400" max="7401" width="12.81640625" style="141" customWidth="1"/>
    <col min="7402" max="7402" width="8.81640625" style="141" customWidth="1"/>
    <col min="7403" max="7404" width="12.81640625" style="141" customWidth="1"/>
    <col min="7405" max="7405" width="8.81640625" style="141" customWidth="1"/>
    <col min="7406" max="7407" width="12.81640625" style="141" customWidth="1"/>
    <col min="7408" max="7408" width="8.81640625" style="141" customWidth="1"/>
    <col min="7409" max="7410" width="12.81640625" style="141" customWidth="1"/>
    <col min="7411" max="7411" width="8.81640625" style="141" customWidth="1"/>
    <col min="7412" max="7413" width="12.81640625" style="141" customWidth="1"/>
    <col min="7414" max="7414" width="8.81640625" style="141" customWidth="1"/>
    <col min="7415" max="7416" width="12.81640625" style="141" customWidth="1"/>
    <col min="7417" max="7417" width="8.81640625" style="141" customWidth="1"/>
    <col min="7418" max="7418" width="3.81640625" style="141" customWidth="1"/>
    <col min="7419" max="7419" width="3.1796875" style="141" customWidth="1"/>
    <col min="7420" max="7420" width="9.1796875" style="141"/>
    <col min="7421" max="7421" width="12.1796875" style="141" customWidth="1"/>
    <col min="7422" max="7422" width="1.1796875" style="141" customWidth="1"/>
    <col min="7423" max="7424" width="12.81640625" style="141" customWidth="1"/>
    <col min="7425" max="7425" width="8.81640625" style="141" customWidth="1"/>
    <col min="7426" max="7427" width="12.81640625" style="141" customWidth="1"/>
    <col min="7428" max="7428" width="8.81640625" style="141" customWidth="1"/>
    <col min="7429" max="7430" width="12.81640625" style="141" customWidth="1"/>
    <col min="7431" max="7431" width="8.81640625" style="141" customWidth="1"/>
    <col min="7432" max="7433" width="12.81640625" style="141" customWidth="1"/>
    <col min="7434" max="7434" width="8.81640625" style="141" customWidth="1"/>
    <col min="7435" max="7436" width="12.81640625" style="141" customWidth="1"/>
    <col min="7437" max="7437" width="8.81640625" style="141" customWidth="1"/>
    <col min="7438" max="7438" width="14" style="141" bestFit="1" customWidth="1"/>
    <col min="7439" max="7439" width="12.81640625" style="141" customWidth="1"/>
    <col min="7440" max="7440" width="8.81640625" style="141" customWidth="1"/>
    <col min="7441" max="7442" width="12.81640625" style="141" customWidth="1"/>
    <col min="7443" max="7443" width="8.81640625" style="141" customWidth="1"/>
    <col min="7444" max="7444" width="5.1796875" style="141" customWidth="1"/>
    <col min="7445" max="7445" width="4.54296875" style="141" customWidth="1"/>
    <col min="7446" max="7650" width="9.1796875" style="141"/>
    <col min="7651" max="7651" width="12.81640625" style="141" customWidth="1"/>
    <col min="7652" max="7652" width="1" style="141" customWidth="1"/>
    <col min="7653" max="7654" width="12.81640625" style="141" customWidth="1"/>
    <col min="7655" max="7655" width="8.81640625" style="141" customWidth="1"/>
    <col min="7656" max="7657" width="12.81640625" style="141" customWidth="1"/>
    <col min="7658" max="7658" width="8.81640625" style="141" customWidth="1"/>
    <col min="7659" max="7660" width="12.81640625" style="141" customWidth="1"/>
    <col min="7661" max="7661" width="8.81640625" style="141" customWidth="1"/>
    <col min="7662" max="7663" width="12.81640625" style="141" customWidth="1"/>
    <col min="7664" max="7664" width="8.81640625" style="141" customWidth="1"/>
    <col min="7665" max="7666" width="12.81640625" style="141" customWidth="1"/>
    <col min="7667" max="7667" width="8.81640625" style="141" customWidth="1"/>
    <col min="7668" max="7669" width="12.81640625" style="141" customWidth="1"/>
    <col min="7670" max="7670" width="8.81640625" style="141" customWidth="1"/>
    <col min="7671" max="7672" width="12.81640625" style="141" customWidth="1"/>
    <col min="7673" max="7673" width="8.81640625" style="141" customWidth="1"/>
    <col min="7674" max="7674" width="3.81640625" style="141" customWidth="1"/>
    <col min="7675" max="7675" width="3.1796875" style="141" customWidth="1"/>
    <col min="7676" max="7676" width="9.1796875" style="141"/>
    <col min="7677" max="7677" width="12.1796875" style="141" customWidth="1"/>
    <col min="7678" max="7678" width="1.1796875" style="141" customWidth="1"/>
    <col min="7679" max="7680" width="12.81640625" style="141" customWidth="1"/>
    <col min="7681" max="7681" width="8.81640625" style="141" customWidth="1"/>
    <col min="7682" max="7683" width="12.81640625" style="141" customWidth="1"/>
    <col min="7684" max="7684" width="8.81640625" style="141" customWidth="1"/>
    <col min="7685" max="7686" width="12.81640625" style="141" customWidth="1"/>
    <col min="7687" max="7687" width="8.81640625" style="141" customWidth="1"/>
    <col min="7688" max="7689" width="12.81640625" style="141" customWidth="1"/>
    <col min="7690" max="7690" width="8.81640625" style="141" customWidth="1"/>
    <col min="7691" max="7692" width="12.81640625" style="141" customWidth="1"/>
    <col min="7693" max="7693" width="8.81640625" style="141" customWidth="1"/>
    <col min="7694" max="7694" width="14" style="141" bestFit="1" customWidth="1"/>
    <col min="7695" max="7695" width="12.81640625" style="141" customWidth="1"/>
    <col min="7696" max="7696" width="8.81640625" style="141" customWidth="1"/>
    <col min="7697" max="7698" width="12.81640625" style="141" customWidth="1"/>
    <col min="7699" max="7699" width="8.81640625" style="141" customWidth="1"/>
    <col min="7700" max="7700" width="5.1796875" style="141" customWidth="1"/>
    <col min="7701" max="7701" width="4.54296875" style="141" customWidth="1"/>
    <col min="7702" max="7906" width="9.1796875" style="141"/>
    <col min="7907" max="7907" width="12.81640625" style="141" customWidth="1"/>
    <col min="7908" max="7908" width="1" style="141" customWidth="1"/>
    <col min="7909" max="7910" width="12.81640625" style="141" customWidth="1"/>
    <col min="7911" max="7911" width="8.81640625" style="141" customWidth="1"/>
    <col min="7912" max="7913" width="12.81640625" style="141" customWidth="1"/>
    <col min="7914" max="7914" width="8.81640625" style="141" customWidth="1"/>
    <col min="7915" max="7916" width="12.81640625" style="141" customWidth="1"/>
    <col min="7917" max="7917" width="8.81640625" style="141" customWidth="1"/>
    <col min="7918" max="7919" width="12.81640625" style="141" customWidth="1"/>
    <col min="7920" max="7920" width="8.81640625" style="141" customWidth="1"/>
    <col min="7921" max="7922" width="12.81640625" style="141" customWidth="1"/>
    <col min="7923" max="7923" width="8.81640625" style="141" customWidth="1"/>
    <col min="7924" max="7925" width="12.81640625" style="141" customWidth="1"/>
    <col min="7926" max="7926" width="8.81640625" style="141" customWidth="1"/>
    <col min="7927" max="7928" width="12.81640625" style="141" customWidth="1"/>
    <col min="7929" max="7929" width="8.81640625" style="141" customWidth="1"/>
    <col min="7930" max="7930" width="3.81640625" style="141" customWidth="1"/>
    <col min="7931" max="7931" width="3.1796875" style="141" customWidth="1"/>
    <col min="7932" max="7932" width="9.1796875" style="141"/>
    <col min="7933" max="7933" width="12.1796875" style="141" customWidth="1"/>
    <col min="7934" max="7934" width="1.1796875" style="141" customWidth="1"/>
    <col min="7935" max="7936" width="12.81640625" style="141" customWidth="1"/>
    <col min="7937" max="7937" width="8.81640625" style="141" customWidth="1"/>
    <col min="7938" max="7939" width="12.81640625" style="141" customWidth="1"/>
    <col min="7940" max="7940" width="8.81640625" style="141" customWidth="1"/>
    <col min="7941" max="7942" width="12.81640625" style="141" customWidth="1"/>
    <col min="7943" max="7943" width="8.81640625" style="141" customWidth="1"/>
    <col min="7944" max="7945" width="12.81640625" style="141" customWidth="1"/>
    <col min="7946" max="7946" width="8.81640625" style="141" customWidth="1"/>
    <col min="7947" max="7948" width="12.81640625" style="141" customWidth="1"/>
    <col min="7949" max="7949" width="8.81640625" style="141" customWidth="1"/>
    <col min="7950" max="7950" width="14" style="141" bestFit="1" customWidth="1"/>
    <col min="7951" max="7951" width="12.81640625" style="141" customWidth="1"/>
    <col min="7952" max="7952" width="8.81640625" style="141" customWidth="1"/>
    <col min="7953" max="7954" width="12.81640625" style="141" customWidth="1"/>
    <col min="7955" max="7955" width="8.81640625" style="141" customWidth="1"/>
    <col min="7956" max="7956" width="5.1796875" style="141" customWidth="1"/>
    <col min="7957" max="7957" width="4.54296875" style="141" customWidth="1"/>
    <col min="7958" max="8162" width="9.1796875" style="141"/>
    <col min="8163" max="8163" width="12.81640625" style="141" customWidth="1"/>
    <col min="8164" max="8164" width="1" style="141" customWidth="1"/>
    <col min="8165" max="8166" width="12.81640625" style="141" customWidth="1"/>
    <col min="8167" max="8167" width="8.81640625" style="141" customWidth="1"/>
    <col min="8168" max="8169" width="12.81640625" style="141" customWidth="1"/>
    <col min="8170" max="8170" width="8.81640625" style="141" customWidth="1"/>
    <col min="8171" max="8172" width="12.81640625" style="141" customWidth="1"/>
    <col min="8173" max="8173" width="8.81640625" style="141" customWidth="1"/>
    <col min="8174" max="8175" width="12.81640625" style="141" customWidth="1"/>
    <col min="8176" max="8176" width="8.81640625" style="141" customWidth="1"/>
    <col min="8177" max="8178" width="12.81640625" style="141" customWidth="1"/>
    <col min="8179" max="8179" width="8.81640625" style="141" customWidth="1"/>
    <col min="8180" max="8181" width="12.81640625" style="141" customWidth="1"/>
    <col min="8182" max="8182" width="8.81640625" style="141" customWidth="1"/>
    <col min="8183" max="8184" width="12.81640625" style="141" customWidth="1"/>
    <col min="8185" max="8185" width="8.81640625" style="141" customWidth="1"/>
    <col min="8186" max="8186" width="3.81640625" style="141" customWidth="1"/>
    <col min="8187" max="8187" width="3.1796875" style="141" customWidth="1"/>
    <col min="8188" max="8188" width="9.1796875" style="141"/>
    <col min="8189" max="8189" width="12.1796875" style="141" customWidth="1"/>
    <col min="8190" max="8190" width="1.1796875" style="141" customWidth="1"/>
    <col min="8191" max="8192" width="12.81640625" style="141" customWidth="1"/>
    <col min="8193" max="8193" width="8.81640625" style="141" customWidth="1"/>
    <col min="8194" max="8195" width="12.81640625" style="141" customWidth="1"/>
    <col min="8196" max="8196" width="8.81640625" style="141" customWidth="1"/>
    <col min="8197" max="8198" width="12.81640625" style="141" customWidth="1"/>
    <col min="8199" max="8199" width="8.81640625" style="141" customWidth="1"/>
    <col min="8200" max="8201" width="12.81640625" style="141" customWidth="1"/>
    <col min="8202" max="8202" width="8.81640625" style="141" customWidth="1"/>
    <col min="8203" max="8204" width="12.81640625" style="141" customWidth="1"/>
    <col min="8205" max="8205" width="8.81640625" style="141" customWidth="1"/>
    <col min="8206" max="8206" width="14" style="141" bestFit="1" customWidth="1"/>
    <col min="8207" max="8207" width="12.81640625" style="141" customWidth="1"/>
    <col min="8208" max="8208" width="8.81640625" style="141" customWidth="1"/>
    <col min="8209" max="8210" width="12.81640625" style="141" customWidth="1"/>
    <col min="8211" max="8211" width="8.81640625" style="141" customWidth="1"/>
    <col min="8212" max="8212" width="5.1796875" style="141" customWidth="1"/>
    <col min="8213" max="8213" width="4.54296875" style="141" customWidth="1"/>
    <col min="8214" max="8418" width="9.1796875" style="141"/>
    <col min="8419" max="8419" width="12.81640625" style="141" customWidth="1"/>
    <col min="8420" max="8420" width="1" style="141" customWidth="1"/>
    <col min="8421" max="8422" width="12.81640625" style="141" customWidth="1"/>
    <col min="8423" max="8423" width="8.81640625" style="141" customWidth="1"/>
    <col min="8424" max="8425" width="12.81640625" style="141" customWidth="1"/>
    <col min="8426" max="8426" width="8.81640625" style="141" customWidth="1"/>
    <col min="8427" max="8428" width="12.81640625" style="141" customWidth="1"/>
    <col min="8429" max="8429" width="8.81640625" style="141" customWidth="1"/>
    <col min="8430" max="8431" width="12.81640625" style="141" customWidth="1"/>
    <col min="8432" max="8432" width="8.81640625" style="141" customWidth="1"/>
    <col min="8433" max="8434" width="12.81640625" style="141" customWidth="1"/>
    <col min="8435" max="8435" width="8.81640625" style="141" customWidth="1"/>
    <col min="8436" max="8437" width="12.81640625" style="141" customWidth="1"/>
    <col min="8438" max="8438" width="8.81640625" style="141" customWidth="1"/>
    <col min="8439" max="8440" width="12.81640625" style="141" customWidth="1"/>
    <col min="8441" max="8441" width="8.81640625" style="141" customWidth="1"/>
    <col min="8442" max="8442" width="3.81640625" style="141" customWidth="1"/>
    <col min="8443" max="8443" width="3.1796875" style="141" customWidth="1"/>
    <col min="8444" max="8444" width="9.1796875" style="141"/>
    <col min="8445" max="8445" width="12.1796875" style="141" customWidth="1"/>
    <col min="8446" max="8446" width="1.1796875" style="141" customWidth="1"/>
    <col min="8447" max="8448" width="12.81640625" style="141" customWidth="1"/>
    <col min="8449" max="8449" width="8.81640625" style="141" customWidth="1"/>
    <col min="8450" max="8451" width="12.81640625" style="141" customWidth="1"/>
    <col min="8452" max="8452" width="8.81640625" style="141" customWidth="1"/>
    <col min="8453" max="8454" width="12.81640625" style="141" customWidth="1"/>
    <col min="8455" max="8455" width="8.81640625" style="141" customWidth="1"/>
    <col min="8456" max="8457" width="12.81640625" style="141" customWidth="1"/>
    <col min="8458" max="8458" width="8.81640625" style="141" customWidth="1"/>
    <col min="8459" max="8460" width="12.81640625" style="141" customWidth="1"/>
    <col min="8461" max="8461" width="8.81640625" style="141" customWidth="1"/>
    <col min="8462" max="8462" width="14" style="141" bestFit="1" customWidth="1"/>
    <col min="8463" max="8463" width="12.81640625" style="141" customWidth="1"/>
    <col min="8464" max="8464" width="8.81640625" style="141" customWidth="1"/>
    <col min="8465" max="8466" width="12.81640625" style="141" customWidth="1"/>
    <col min="8467" max="8467" width="8.81640625" style="141" customWidth="1"/>
    <col min="8468" max="8468" width="5.1796875" style="141" customWidth="1"/>
    <col min="8469" max="8469" width="4.54296875" style="141" customWidth="1"/>
    <col min="8470" max="8674" width="9.1796875" style="141"/>
    <col min="8675" max="8675" width="12.81640625" style="141" customWidth="1"/>
    <col min="8676" max="8676" width="1" style="141" customWidth="1"/>
    <col min="8677" max="8678" width="12.81640625" style="141" customWidth="1"/>
    <col min="8679" max="8679" width="8.81640625" style="141" customWidth="1"/>
    <col min="8680" max="8681" width="12.81640625" style="141" customWidth="1"/>
    <col min="8682" max="8682" width="8.81640625" style="141" customWidth="1"/>
    <col min="8683" max="8684" width="12.81640625" style="141" customWidth="1"/>
    <col min="8685" max="8685" width="8.81640625" style="141" customWidth="1"/>
    <col min="8686" max="8687" width="12.81640625" style="141" customWidth="1"/>
    <col min="8688" max="8688" width="8.81640625" style="141" customWidth="1"/>
    <col min="8689" max="8690" width="12.81640625" style="141" customWidth="1"/>
    <col min="8691" max="8691" width="8.81640625" style="141" customWidth="1"/>
    <col min="8692" max="8693" width="12.81640625" style="141" customWidth="1"/>
    <col min="8694" max="8694" width="8.81640625" style="141" customWidth="1"/>
    <col min="8695" max="8696" width="12.81640625" style="141" customWidth="1"/>
    <col min="8697" max="8697" width="8.81640625" style="141" customWidth="1"/>
    <col min="8698" max="8698" width="3.81640625" style="141" customWidth="1"/>
    <col min="8699" max="8699" width="3.1796875" style="141" customWidth="1"/>
    <col min="8700" max="8700" width="9.1796875" style="141"/>
    <col min="8701" max="8701" width="12.1796875" style="141" customWidth="1"/>
    <col min="8702" max="8702" width="1.1796875" style="141" customWidth="1"/>
    <col min="8703" max="8704" width="12.81640625" style="141" customWidth="1"/>
    <col min="8705" max="8705" width="8.81640625" style="141" customWidth="1"/>
    <col min="8706" max="8707" width="12.81640625" style="141" customWidth="1"/>
    <col min="8708" max="8708" width="8.81640625" style="141" customWidth="1"/>
    <col min="8709" max="8710" width="12.81640625" style="141" customWidth="1"/>
    <col min="8711" max="8711" width="8.81640625" style="141" customWidth="1"/>
    <col min="8712" max="8713" width="12.81640625" style="141" customWidth="1"/>
    <col min="8714" max="8714" width="8.81640625" style="141" customWidth="1"/>
    <col min="8715" max="8716" width="12.81640625" style="141" customWidth="1"/>
    <col min="8717" max="8717" width="8.81640625" style="141" customWidth="1"/>
    <col min="8718" max="8718" width="14" style="141" bestFit="1" customWidth="1"/>
    <col min="8719" max="8719" width="12.81640625" style="141" customWidth="1"/>
    <col min="8720" max="8720" width="8.81640625" style="141" customWidth="1"/>
    <col min="8721" max="8722" width="12.81640625" style="141" customWidth="1"/>
    <col min="8723" max="8723" width="8.81640625" style="141" customWidth="1"/>
    <col min="8724" max="8724" width="5.1796875" style="141" customWidth="1"/>
    <col min="8725" max="8725" width="4.54296875" style="141" customWidth="1"/>
    <col min="8726" max="8930" width="9.1796875" style="141"/>
    <col min="8931" max="8931" width="12.81640625" style="141" customWidth="1"/>
    <col min="8932" max="8932" width="1" style="141" customWidth="1"/>
    <col min="8933" max="8934" width="12.81640625" style="141" customWidth="1"/>
    <col min="8935" max="8935" width="8.81640625" style="141" customWidth="1"/>
    <col min="8936" max="8937" width="12.81640625" style="141" customWidth="1"/>
    <col min="8938" max="8938" width="8.81640625" style="141" customWidth="1"/>
    <col min="8939" max="8940" width="12.81640625" style="141" customWidth="1"/>
    <col min="8941" max="8941" width="8.81640625" style="141" customWidth="1"/>
    <col min="8942" max="8943" width="12.81640625" style="141" customWidth="1"/>
    <col min="8944" max="8944" width="8.81640625" style="141" customWidth="1"/>
    <col min="8945" max="8946" width="12.81640625" style="141" customWidth="1"/>
    <col min="8947" max="8947" width="8.81640625" style="141" customWidth="1"/>
    <col min="8948" max="8949" width="12.81640625" style="141" customWidth="1"/>
    <col min="8950" max="8950" width="8.81640625" style="141" customWidth="1"/>
    <col min="8951" max="8952" width="12.81640625" style="141" customWidth="1"/>
    <col min="8953" max="8953" width="8.81640625" style="141" customWidth="1"/>
    <col min="8954" max="8954" width="3.81640625" style="141" customWidth="1"/>
    <col min="8955" max="8955" width="3.1796875" style="141" customWidth="1"/>
    <col min="8956" max="8956" width="9.1796875" style="141"/>
    <col min="8957" max="8957" width="12.1796875" style="141" customWidth="1"/>
    <col min="8958" max="8958" width="1.1796875" style="141" customWidth="1"/>
    <col min="8959" max="8960" width="12.81640625" style="141" customWidth="1"/>
    <col min="8961" max="8961" width="8.81640625" style="141" customWidth="1"/>
    <col min="8962" max="8963" width="12.81640625" style="141" customWidth="1"/>
    <col min="8964" max="8964" width="8.81640625" style="141" customWidth="1"/>
    <col min="8965" max="8966" width="12.81640625" style="141" customWidth="1"/>
    <col min="8967" max="8967" width="8.81640625" style="141" customWidth="1"/>
    <col min="8968" max="8969" width="12.81640625" style="141" customWidth="1"/>
    <col min="8970" max="8970" width="8.81640625" style="141" customWidth="1"/>
    <col min="8971" max="8972" width="12.81640625" style="141" customWidth="1"/>
    <col min="8973" max="8973" width="8.81640625" style="141" customWidth="1"/>
    <col min="8974" max="8974" width="14" style="141" bestFit="1" customWidth="1"/>
    <col min="8975" max="8975" width="12.81640625" style="141" customWidth="1"/>
    <col min="8976" max="8976" width="8.81640625" style="141" customWidth="1"/>
    <col min="8977" max="8978" width="12.81640625" style="141" customWidth="1"/>
    <col min="8979" max="8979" width="8.81640625" style="141" customWidth="1"/>
    <col min="8980" max="8980" width="5.1796875" style="141" customWidth="1"/>
    <col min="8981" max="8981" width="4.54296875" style="141" customWidth="1"/>
    <col min="8982" max="9186" width="9.1796875" style="141"/>
    <col min="9187" max="9187" width="12.81640625" style="141" customWidth="1"/>
    <col min="9188" max="9188" width="1" style="141" customWidth="1"/>
    <col min="9189" max="9190" width="12.81640625" style="141" customWidth="1"/>
    <col min="9191" max="9191" width="8.81640625" style="141" customWidth="1"/>
    <col min="9192" max="9193" width="12.81640625" style="141" customWidth="1"/>
    <col min="9194" max="9194" width="8.81640625" style="141" customWidth="1"/>
    <col min="9195" max="9196" width="12.81640625" style="141" customWidth="1"/>
    <col min="9197" max="9197" width="8.81640625" style="141" customWidth="1"/>
    <col min="9198" max="9199" width="12.81640625" style="141" customWidth="1"/>
    <col min="9200" max="9200" width="8.81640625" style="141" customWidth="1"/>
    <col min="9201" max="9202" width="12.81640625" style="141" customWidth="1"/>
    <col min="9203" max="9203" width="8.81640625" style="141" customWidth="1"/>
    <col min="9204" max="9205" width="12.81640625" style="141" customWidth="1"/>
    <col min="9206" max="9206" width="8.81640625" style="141" customWidth="1"/>
    <col min="9207" max="9208" width="12.81640625" style="141" customWidth="1"/>
    <col min="9209" max="9209" width="8.81640625" style="141" customWidth="1"/>
    <col min="9210" max="9210" width="3.81640625" style="141" customWidth="1"/>
    <col min="9211" max="9211" width="3.1796875" style="141" customWidth="1"/>
    <col min="9212" max="9212" width="9.1796875" style="141"/>
    <col min="9213" max="9213" width="12.1796875" style="141" customWidth="1"/>
    <col min="9214" max="9214" width="1.1796875" style="141" customWidth="1"/>
    <col min="9215" max="9216" width="12.81640625" style="141" customWidth="1"/>
    <col min="9217" max="9217" width="8.81640625" style="141" customWidth="1"/>
    <col min="9218" max="9219" width="12.81640625" style="141" customWidth="1"/>
    <col min="9220" max="9220" width="8.81640625" style="141" customWidth="1"/>
    <col min="9221" max="9222" width="12.81640625" style="141" customWidth="1"/>
    <col min="9223" max="9223" width="8.81640625" style="141" customWidth="1"/>
    <col min="9224" max="9225" width="12.81640625" style="141" customWidth="1"/>
    <col min="9226" max="9226" width="8.81640625" style="141" customWidth="1"/>
    <col min="9227" max="9228" width="12.81640625" style="141" customWidth="1"/>
    <col min="9229" max="9229" width="8.81640625" style="141" customWidth="1"/>
    <col min="9230" max="9230" width="14" style="141" bestFit="1" customWidth="1"/>
    <col min="9231" max="9231" width="12.81640625" style="141" customWidth="1"/>
    <col min="9232" max="9232" width="8.81640625" style="141" customWidth="1"/>
    <col min="9233" max="9234" width="12.81640625" style="141" customWidth="1"/>
    <col min="9235" max="9235" width="8.81640625" style="141" customWidth="1"/>
    <col min="9236" max="9236" width="5.1796875" style="141" customWidth="1"/>
    <col min="9237" max="9237" width="4.54296875" style="141" customWidth="1"/>
    <col min="9238" max="9442" width="9.1796875" style="141"/>
    <col min="9443" max="9443" width="12.81640625" style="141" customWidth="1"/>
    <col min="9444" max="9444" width="1" style="141" customWidth="1"/>
    <col min="9445" max="9446" width="12.81640625" style="141" customWidth="1"/>
    <col min="9447" max="9447" width="8.81640625" style="141" customWidth="1"/>
    <col min="9448" max="9449" width="12.81640625" style="141" customWidth="1"/>
    <col min="9450" max="9450" width="8.81640625" style="141" customWidth="1"/>
    <col min="9451" max="9452" width="12.81640625" style="141" customWidth="1"/>
    <col min="9453" max="9453" width="8.81640625" style="141" customWidth="1"/>
    <col min="9454" max="9455" width="12.81640625" style="141" customWidth="1"/>
    <col min="9456" max="9456" width="8.81640625" style="141" customWidth="1"/>
    <col min="9457" max="9458" width="12.81640625" style="141" customWidth="1"/>
    <col min="9459" max="9459" width="8.81640625" style="141" customWidth="1"/>
    <col min="9460" max="9461" width="12.81640625" style="141" customWidth="1"/>
    <col min="9462" max="9462" width="8.81640625" style="141" customWidth="1"/>
    <col min="9463" max="9464" width="12.81640625" style="141" customWidth="1"/>
    <col min="9465" max="9465" width="8.81640625" style="141" customWidth="1"/>
    <col min="9466" max="9466" width="3.81640625" style="141" customWidth="1"/>
    <col min="9467" max="9467" width="3.1796875" style="141" customWidth="1"/>
    <col min="9468" max="9468" width="9.1796875" style="141"/>
    <col min="9469" max="9469" width="12.1796875" style="141" customWidth="1"/>
    <col min="9470" max="9470" width="1.1796875" style="141" customWidth="1"/>
    <col min="9471" max="9472" width="12.81640625" style="141" customWidth="1"/>
    <col min="9473" max="9473" width="8.81640625" style="141" customWidth="1"/>
    <col min="9474" max="9475" width="12.81640625" style="141" customWidth="1"/>
    <col min="9476" max="9476" width="8.81640625" style="141" customWidth="1"/>
    <col min="9477" max="9478" width="12.81640625" style="141" customWidth="1"/>
    <col min="9479" max="9479" width="8.81640625" style="141" customWidth="1"/>
    <col min="9480" max="9481" width="12.81640625" style="141" customWidth="1"/>
    <col min="9482" max="9482" width="8.81640625" style="141" customWidth="1"/>
    <col min="9483" max="9484" width="12.81640625" style="141" customWidth="1"/>
    <col min="9485" max="9485" width="8.81640625" style="141" customWidth="1"/>
    <col min="9486" max="9486" width="14" style="141" bestFit="1" customWidth="1"/>
    <col min="9487" max="9487" width="12.81640625" style="141" customWidth="1"/>
    <col min="9488" max="9488" width="8.81640625" style="141" customWidth="1"/>
    <col min="9489" max="9490" width="12.81640625" style="141" customWidth="1"/>
    <col min="9491" max="9491" width="8.81640625" style="141" customWidth="1"/>
    <col min="9492" max="9492" width="5.1796875" style="141" customWidth="1"/>
    <col min="9493" max="9493" width="4.54296875" style="141" customWidth="1"/>
    <col min="9494" max="9698" width="9.1796875" style="141"/>
    <col min="9699" max="9699" width="12.81640625" style="141" customWidth="1"/>
    <col min="9700" max="9700" width="1" style="141" customWidth="1"/>
    <col min="9701" max="9702" width="12.81640625" style="141" customWidth="1"/>
    <col min="9703" max="9703" width="8.81640625" style="141" customWidth="1"/>
    <col min="9704" max="9705" width="12.81640625" style="141" customWidth="1"/>
    <col min="9706" max="9706" width="8.81640625" style="141" customWidth="1"/>
    <col min="9707" max="9708" width="12.81640625" style="141" customWidth="1"/>
    <col min="9709" max="9709" width="8.81640625" style="141" customWidth="1"/>
    <col min="9710" max="9711" width="12.81640625" style="141" customWidth="1"/>
    <col min="9712" max="9712" width="8.81640625" style="141" customWidth="1"/>
    <col min="9713" max="9714" width="12.81640625" style="141" customWidth="1"/>
    <col min="9715" max="9715" width="8.81640625" style="141" customWidth="1"/>
    <col min="9716" max="9717" width="12.81640625" style="141" customWidth="1"/>
    <col min="9718" max="9718" width="8.81640625" style="141" customWidth="1"/>
    <col min="9719" max="9720" width="12.81640625" style="141" customWidth="1"/>
    <col min="9721" max="9721" width="8.81640625" style="141" customWidth="1"/>
    <col min="9722" max="9722" width="3.81640625" style="141" customWidth="1"/>
    <col min="9723" max="9723" width="3.1796875" style="141" customWidth="1"/>
    <col min="9724" max="9724" width="9.1796875" style="141"/>
    <col min="9725" max="9725" width="12.1796875" style="141" customWidth="1"/>
    <col min="9726" max="9726" width="1.1796875" style="141" customWidth="1"/>
    <col min="9727" max="9728" width="12.81640625" style="141" customWidth="1"/>
    <col min="9729" max="9729" width="8.81640625" style="141" customWidth="1"/>
    <col min="9730" max="9731" width="12.81640625" style="141" customWidth="1"/>
    <col min="9732" max="9732" width="8.81640625" style="141" customWidth="1"/>
    <col min="9733" max="9734" width="12.81640625" style="141" customWidth="1"/>
    <col min="9735" max="9735" width="8.81640625" style="141" customWidth="1"/>
    <col min="9736" max="9737" width="12.81640625" style="141" customWidth="1"/>
    <col min="9738" max="9738" width="8.81640625" style="141" customWidth="1"/>
    <col min="9739" max="9740" width="12.81640625" style="141" customWidth="1"/>
    <col min="9741" max="9741" width="8.81640625" style="141" customWidth="1"/>
    <col min="9742" max="9742" width="14" style="141" bestFit="1" customWidth="1"/>
    <col min="9743" max="9743" width="12.81640625" style="141" customWidth="1"/>
    <col min="9744" max="9744" width="8.81640625" style="141" customWidth="1"/>
    <col min="9745" max="9746" width="12.81640625" style="141" customWidth="1"/>
    <col min="9747" max="9747" width="8.81640625" style="141" customWidth="1"/>
    <col min="9748" max="9748" width="5.1796875" style="141" customWidth="1"/>
    <col min="9749" max="9749" width="4.54296875" style="141" customWidth="1"/>
    <col min="9750" max="9954" width="9.1796875" style="141"/>
    <col min="9955" max="9955" width="12.81640625" style="141" customWidth="1"/>
    <col min="9956" max="9956" width="1" style="141" customWidth="1"/>
    <col min="9957" max="9958" width="12.81640625" style="141" customWidth="1"/>
    <col min="9959" max="9959" width="8.81640625" style="141" customWidth="1"/>
    <col min="9960" max="9961" width="12.81640625" style="141" customWidth="1"/>
    <col min="9962" max="9962" width="8.81640625" style="141" customWidth="1"/>
    <col min="9963" max="9964" width="12.81640625" style="141" customWidth="1"/>
    <col min="9965" max="9965" width="8.81640625" style="141" customWidth="1"/>
    <col min="9966" max="9967" width="12.81640625" style="141" customWidth="1"/>
    <col min="9968" max="9968" width="8.81640625" style="141" customWidth="1"/>
    <col min="9969" max="9970" width="12.81640625" style="141" customWidth="1"/>
    <col min="9971" max="9971" width="8.81640625" style="141" customWidth="1"/>
    <col min="9972" max="9973" width="12.81640625" style="141" customWidth="1"/>
    <col min="9974" max="9974" width="8.81640625" style="141" customWidth="1"/>
    <col min="9975" max="9976" width="12.81640625" style="141" customWidth="1"/>
    <col min="9977" max="9977" width="8.81640625" style="141" customWidth="1"/>
    <col min="9978" max="9978" width="3.81640625" style="141" customWidth="1"/>
    <col min="9979" max="9979" width="3.1796875" style="141" customWidth="1"/>
    <col min="9980" max="9980" width="9.1796875" style="141"/>
    <col min="9981" max="9981" width="12.1796875" style="141" customWidth="1"/>
    <col min="9982" max="9982" width="1.1796875" style="141" customWidth="1"/>
    <col min="9983" max="9984" width="12.81640625" style="141" customWidth="1"/>
    <col min="9985" max="9985" width="8.81640625" style="141" customWidth="1"/>
    <col min="9986" max="9987" width="12.81640625" style="141" customWidth="1"/>
    <col min="9988" max="9988" width="8.81640625" style="141" customWidth="1"/>
    <col min="9989" max="9990" width="12.81640625" style="141" customWidth="1"/>
    <col min="9991" max="9991" width="8.81640625" style="141" customWidth="1"/>
    <col min="9992" max="9993" width="12.81640625" style="141" customWidth="1"/>
    <col min="9994" max="9994" width="8.81640625" style="141" customWidth="1"/>
    <col min="9995" max="9996" width="12.81640625" style="141" customWidth="1"/>
    <col min="9997" max="9997" width="8.81640625" style="141" customWidth="1"/>
    <col min="9998" max="9998" width="14" style="141" bestFit="1" customWidth="1"/>
    <col min="9999" max="9999" width="12.81640625" style="141" customWidth="1"/>
    <col min="10000" max="10000" width="8.81640625" style="141" customWidth="1"/>
    <col min="10001" max="10002" width="12.81640625" style="141" customWidth="1"/>
    <col min="10003" max="10003" width="8.81640625" style="141" customWidth="1"/>
    <col min="10004" max="10004" width="5.1796875" style="141" customWidth="1"/>
    <col min="10005" max="10005" width="4.54296875" style="141" customWidth="1"/>
    <col min="10006" max="10210" width="9.1796875" style="141"/>
    <col min="10211" max="10211" width="12.81640625" style="141" customWidth="1"/>
    <col min="10212" max="10212" width="1" style="141" customWidth="1"/>
    <col min="10213" max="10214" width="12.81640625" style="141" customWidth="1"/>
    <col min="10215" max="10215" width="8.81640625" style="141" customWidth="1"/>
    <col min="10216" max="10217" width="12.81640625" style="141" customWidth="1"/>
    <col min="10218" max="10218" width="8.81640625" style="141" customWidth="1"/>
    <col min="10219" max="10220" width="12.81640625" style="141" customWidth="1"/>
    <col min="10221" max="10221" width="8.81640625" style="141" customWidth="1"/>
    <col min="10222" max="10223" width="12.81640625" style="141" customWidth="1"/>
    <col min="10224" max="10224" width="8.81640625" style="141" customWidth="1"/>
    <col min="10225" max="10226" width="12.81640625" style="141" customWidth="1"/>
    <col min="10227" max="10227" width="8.81640625" style="141" customWidth="1"/>
    <col min="10228" max="10229" width="12.81640625" style="141" customWidth="1"/>
    <col min="10230" max="10230" width="8.81640625" style="141" customWidth="1"/>
    <col min="10231" max="10232" width="12.81640625" style="141" customWidth="1"/>
    <col min="10233" max="10233" width="8.81640625" style="141" customWidth="1"/>
    <col min="10234" max="10234" width="3.81640625" style="141" customWidth="1"/>
    <col min="10235" max="10235" width="3.1796875" style="141" customWidth="1"/>
    <col min="10236" max="10236" width="9.1796875" style="141"/>
    <col min="10237" max="10237" width="12.1796875" style="141" customWidth="1"/>
    <col min="10238" max="10238" width="1.1796875" style="141" customWidth="1"/>
    <col min="10239" max="10240" width="12.81640625" style="141" customWidth="1"/>
    <col min="10241" max="10241" width="8.81640625" style="141" customWidth="1"/>
    <col min="10242" max="10243" width="12.81640625" style="141" customWidth="1"/>
    <col min="10244" max="10244" width="8.81640625" style="141" customWidth="1"/>
    <col min="10245" max="10246" width="12.81640625" style="141" customWidth="1"/>
    <col min="10247" max="10247" width="8.81640625" style="141" customWidth="1"/>
    <col min="10248" max="10249" width="12.81640625" style="141" customWidth="1"/>
    <col min="10250" max="10250" width="8.81640625" style="141" customWidth="1"/>
    <col min="10251" max="10252" width="12.81640625" style="141" customWidth="1"/>
    <col min="10253" max="10253" width="8.81640625" style="141" customWidth="1"/>
    <col min="10254" max="10254" width="14" style="141" bestFit="1" customWidth="1"/>
    <col min="10255" max="10255" width="12.81640625" style="141" customWidth="1"/>
    <col min="10256" max="10256" width="8.81640625" style="141" customWidth="1"/>
    <col min="10257" max="10258" width="12.81640625" style="141" customWidth="1"/>
    <col min="10259" max="10259" width="8.81640625" style="141" customWidth="1"/>
    <col min="10260" max="10260" width="5.1796875" style="141" customWidth="1"/>
    <col min="10261" max="10261" width="4.54296875" style="141" customWidth="1"/>
    <col min="10262" max="10466" width="9.1796875" style="141"/>
    <col min="10467" max="10467" width="12.81640625" style="141" customWidth="1"/>
    <col min="10468" max="10468" width="1" style="141" customWidth="1"/>
    <col min="10469" max="10470" width="12.81640625" style="141" customWidth="1"/>
    <col min="10471" max="10471" width="8.81640625" style="141" customWidth="1"/>
    <col min="10472" max="10473" width="12.81640625" style="141" customWidth="1"/>
    <col min="10474" max="10474" width="8.81640625" style="141" customWidth="1"/>
    <col min="10475" max="10476" width="12.81640625" style="141" customWidth="1"/>
    <col min="10477" max="10477" width="8.81640625" style="141" customWidth="1"/>
    <col min="10478" max="10479" width="12.81640625" style="141" customWidth="1"/>
    <col min="10480" max="10480" width="8.81640625" style="141" customWidth="1"/>
    <col min="10481" max="10482" width="12.81640625" style="141" customWidth="1"/>
    <col min="10483" max="10483" width="8.81640625" style="141" customWidth="1"/>
    <col min="10484" max="10485" width="12.81640625" style="141" customWidth="1"/>
    <col min="10486" max="10486" width="8.81640625" style="141" customWidth="1"/>
    <col min="10487" max="10488" width="12.81640625" style="141" customWidth="1"/>
    <col min="10489" max="10489" width="8.81640625" style="141" customWidth="1"/>
    <col min="10490" max="10490" width="3.81640625" style="141" customWidth="1"/>
    <col min="10491" max="10491" width="3.1796875" style="141" customWidth="1"/>
    <col min="10492" max="10492" width="9.1796875" style="141"/>
    <col min="10493" max="10493" width="12.1796875" style="141" customWidth="1"/>
    <col min="10494" max="10494" width="1.1796875" style="141" customWidth="1"/>
    <col min="10495" max="10496" width="12.81640625" style="141" customWidth="1"/>
    <col min="10497" max="10497" width="8.81640625" style="141" customWidth="1"/>
    <col min="10498" max="10499" width="12.81640625" style="141" customWidth="1"/>
    <col min="10500" max="10500" width="8.81640625" style="141" customWidth="1"/>
    <col min="10501" max="10502" width="12.81640625" style="141" customWidth="1"/>
    <col min="10503" max="10503" width="8.81640625" style="141" customWidth="1"/>
    <col min="10504" max="10505" width="12.81640625" style="141" customWidth="1"/>
    <col min="10506" max="10506" width="8.81640625" style="141" customWidth="1"/>
    <col min="10507" max="10508" width="12.81640625" style="141" customWidth="1"/>
    <col min="10509" max="10509" width="8.81640625" style="141" customWidth="1"/>
    <col min="10510" max="10510" width="14" style="141" bestFit="1" customWidth="1"/>
    <col min="10511" max="10511" width="12.81640625" style="141" customWidth="1"/>
    <col min="10512" max="10512" width="8.81640625" style="141" customWidth="1"/>
    <col min="10513" max="10514" width="12.81640625" style="141" customWidth="1"/>
    <col min="10515" max="10515" width="8.81640625" style="141" customWidth="1"/>
    <col min="10516" max="10516" width="5.1796875" style="141" customWidth="1"/>
    <col min="10517" max="10517" width="4.54296875" style="141" customWidth="1"/>
    <col min="10518" max="10722" width="9.1796875" style="141"/>
    <col min="10723" max="10723" width="12.81640625" style="141" customWidth="1"/>
    <col min="10724" max="10724" width="1" style="141" customWidth="1"/>
    <col min="10725" max="10726" width="12.81640625" style="141" customWidth="1"/>
    <col min="10727" max="10727" width="8.81640625" style="141" customWidth="1"/>
    <col min="10728" max="10729" width="12.81640625" style="141" customWidth="1"/>
    <col min="10730" max="10730" width="8.81640625" style="141" customWidth="1"/>
    <col min="10731" max="10732" width="12.81640625" style="141" customWidth="1"/>
    <col min="10733" max="10733" width="8.81640625" style="141" customWidth="1"/>
    <col min="10734" max="10735" width="12.81640625" style="141" customWidth="1"/>
    <col min="10736" max="10736" width="8.81640625" style="141" customWidth="1"/>
    <col min="10737" max="10738" width="12.81640625" style="141" customWidth="1"/>
    <col min="10739" max="10739" width="8.81640625" style="141" customWidth="1"/>
    <col min="10740" max="10741" width="12.81640625" style="141" customWidth="1"/>
    <col min="10742" max="10742" width="8.81640625" style="141" customWidth="1"/>
    <col min="10743" max="10744" width="12.81640625" style="141" customWidth="1"/>
    <col min="10745" max="10745" width="8.81640625" style="141" customWidth="1"/>
    <col min="10746" max="10746" width="3.81640625" style="141" customWidth="1"/>
    <col min="10747" max="10747" width="3.1796875" style="141" customWidth="1"/>
    <col min="10748" max="10748" width="9.1796875" style="141"/>
    <col min="10749" max="10749" width="12.1796875" style="141" customWidth="1"/>
    <col min="10750" max="10750" width="1.1796875" style="141" customWidth="1"/>
    <col min="10751" max="10752" width="12.81640625" style="141" customWidth="1"/>
    <col min="10753" max="10753" width="8.81640625" style="141" customWidth="1"/>
    <col min="10754" max="10755" width="12.81640625" style="141" customWidth="1"/>
    <col min="10756" max="10756" width="8.81640625" style="141" customWidth="1"/>
    <col min="10757" max="10758" width="12.81640625" style="141" customWidth="1"/>
    <col min="10759" max="10759" width="8.81640625" style="141" customWidth="1"/>
    <col min="10760" max="10761" width="12.81640625" style="141" customWidth="1"/>
    <col min="10762" max="10762" width="8.81640625" style="141" customWidth="1"/>
    <col min="10763" max="10764" width="12.81640625" style="141" customWidth="1"/>
    <col min="10765" max="10765" width="8.81640625" style="141" customWidth="1"/>
    <col min="10766" max="10766" width="14" style="141" bestFit="1" customWidth="1"/>
    <col min="10767" max="10767" width="12.81640625" style="141" customWidth="1"/>
    <col min="10768" max="10768" width="8.81640625" style="141" customWidth="1"/>
    <col min="10769" max="10770" width="12.81640625" style="141" customWidth="1"/>
    <col min="10771" max="10771" width="8.81640625" style="141" customWidth="1"/>
    <col min="10772" max="10772" width="5.1796875" style="141" customWidth="1"/>
    <col min="10773" max="10773" width="4.54296875" style="141" customWidth="1"/>
    <col min="10774" max="10978" width="9.1796875" style="141"/>
    <col min="10979" max="10979" width="12.81640625" style="141" customWidth="1"/>
    <col min="10980" max="10980" width="1" style="141" customWidth="1"/>
    <col min="10981" max="10982" width="12.81640625" style="141" customWidth="1"/>
    <col min="10983" max="10983" width="8.81640625" style="141" customWidth="1"/>
    <col min="10984" max="10985" width="12.81640625" style="141" customWidth="1"/>
    <col min="10986" max="10986" width="8.81640625" style="141" customWidth="1"/>
    <col min="10987" max="10988" width="12.81640625" style="141" customWidth="1"/>
    <col min="10989" max="10989" width="8.81640625" style="141" customWidth="1"/>
    <col min="10990" max="10991" width="12.81640625" style="141" customWidth="1"/>
    <col min="10992" max="10992" width="8.81640625" style="141" customWidth="1"/>
    <col min="10993" max="10994" width="12.81640625" style="141" customWidth="1"/>
    <col min="10995" max="10995" width="8.81640625" style="141" customWidth="1"/>
    <col min="10996" max="10997" width="12.81640625" style="141" customWidth="1"/>
    <col min="10998" max="10998" width="8.81640625" style="141" customWidth="1"/>
    <col min="10999" max="11000" width="12.81640625" style="141" customWidth="1"/>
    <col min="11001" max="11001" width="8.81640625" style="141" customWidth="1"/>
    <col min="11002" max="11002" width="3.81640625" style="141" customWidth="1"/>
    <col min="11003" max="11003" width="3.1796875" style="141" customWidth="1"/>
    <col min="11004" max="11004" width="9.1796875" style="141"/>
    <col min="11005" max="11005" width="12.1796875" style="141" customWidth="1"/>
    <col min="11006" max="11006" width="1.1796875" style="141" customWidth="1"/>
    <col min="11007" max="11008" width="12.81640625" style="141" customWidth="1"/>
    <col min="11009" max="11009" width="8.81640625" style="141" customWidth="1"/>
    <col min="11010" max="11011" width="12.81640625" style="141" customWidth="1"/>
    <col min="11012" max="11012" width="8.81640625" style="141" customWidth="1"/>
    <col min="11013" max="11014" width="12.81640625" style="141" customWidth="1"/>
    <col min="11015" max="11015" width="8.81640625" style="141" customWidth="1"/>
    <col min="11016" max="11017" width="12.81640625" style="141" customWidth="1"/>
    <col min="11018" max="11018" width="8.81640625" style="141" customWidth="1"/>
    <col min="11019" max="11020" width="12.81640625" style="141" customWidth="1"/>
    <col min="11021" max="11021" width="8.81640625" style="141" customWidth="1"/>
    <col min="11022" max="11022" width="14" style="141" bestFit="1" customWidth="1"/>
    <col min="11023" max="11023" width="12.81640625" style="141" customWidth="1"/>
    <col min="11024" max="11024" width="8.81640625" style="141" customWidth="1"/>
    <col min="11025" max="11026" width="12.81640625" style="141" customWidth="1"/>
    <col min="11027" max="11027" width="8.81640625" style="141" customWidth="1"/>
    <col min="11028" max="11028" width="5.1796875" style="141" customWidth="1"/>
    <col min="11029" max="11029" width="4.54296875" style="141" customWidth="1"/>
    <col min="11030" max="11234" width="9.1796875" style="141"/>
    <col min="11235" max="11235" width="12.81640625" style="141" customWidth="1"/>
    <col min="11236" max="11236" width="1" style="141" customWidth="1"/>
    <col min="11237" max="11238" width="12.81640625" style="141" customWidth="1"/>
    <col min="11239" max="11239" width="8.81640625" style="141" customWidth="1"/>
    <col min="11240" max="11241" width="12.81640625" style="141" customWidth="1"/>
    <col min="11242" max="11242" width="8.81640625" style="141" customWidth="1"/>
    <col min="11243" max="11244" width="12.81640625" style="141" customWidth="1"/>
    <col min="11245" max="11245" width="8.81640625" style="141" customWidth="1"/>
    <col min="11246" max="11247" width="12.81640625" style="141" customWidth="1"/>
    <col min="11248" max="11248" width="8.81640625" style="141" customWidth="1"/>
    <col min="11249" max="11250" width="12.81640625" style="141" customWidth="1"/>
    <col min="11251" max="11251" width="8.81640625" style="141" customWidth="1"/>
    <col min="11252" max="11253" width="12.81640625" style="141" customWidth="1"/>
    <col min="11254" max="11254" width="8.81640625" style="141" customWidth="1"/>
    <col min="11255" max="11256" width="12.81640625" style="141" customWidth="1"/>
    <col min="11257" max="11257" width="8.81640625" style="141" customWidth="1"/>
    <col min="11258" max="11258" width="3.81640625" style="141" customWidth="1"/>
    <col min="11259" max="11259" width="3.1796875" style="141" customWidth="1"/>
    <col min="11260" max="11260" width="9.1796875" style="141"/>
    <col min="11261" max="11261" width="12.1796875" style="141" customWidth="1"/>
    <col min="11262" max="11262" width="1.1796875" style="141" customWidth="1"/>
    <col min="11263" max="11264" width="12.81640625" style="141" customWidth="1"/>
    <col min="11265" max="11265" width="8.81640625" style="141" customWidth="1"/>
    <col min="11266" max="11267" width="12.81640625" style="141" customWidth="1"/>
    <col min="11268" max="11268" width="8.81640625" style="141" customWidth="1"/>
    <col min="11269" max="11270" width="12.81640625" style="141" customWidth="1"/>
    <col min="11271" max="11271" width="8.81640625" style="141" customWidth="1"/>
    <col min="11272" max="11273" width="12.81640625" style="141" customWidth="1"/>
    <col min="11274" max="11274" width="8.81640625" style="141" customWidth="1"/>
    <col min="11275" max="11276" width="12.81640625" style="141" customWidth="1"/>
    <col min="11277" max="11277" width="8.81640625" style="141" customWidth="1"/>
    <col min="11278" max="11278" width="14" style="141" bestFit="1" customWidth="1"/>
    <col min="11279" max="11279" width="12.81640625" style="141" customWidth="1"/>
    <col min="11280" max="11280" width="8.81640625" style="141" customWidth="1"/>
    <col min="11281" max="11282" width="12.81640625" style="141" customWidth="1"/>
    <col min="11283" max="11283" width="8.81640625" style="141" customWidth="1"/>
    <col min="11284" max="11284" width="5.1796875" style="141" customWidth="1"/>
    <col min="11285" max="11285" width="4.54296875" style="141" customWidth="1"/>
    <col min="11286" max="11490" width="9.1796875" style="141"/>
    <col min="11491" max="11491" width="12.81640625" style="141" customWidth="1"/>
    <col min="11492" max="11492" width="1" style="141" customWidth="1"/>
    <col min="11493" max="11494" width="12.81640625" style="141" customWidth="1"/>
    <col min="11495" max="11495" width="8.81640625" style="141" customWidth="1"/>
    <col min="11496" max="11497" width="12.81640625" style="141" customWidth="1"/>
    <col min="11498" max="11498" width="8.81640625" style="141" customWidth="1"/>
    <col min="11499" max="11500" width="12.81640625" style="141" customWidth="1"/>
    <col min="11501" max="11501" width="8.81640625" style="141" customWidth="1"/>
    <col min="11502" max="11503" width="12.81640625" style="141" customWidth="1"/>
    <col min="11504" max="11504" width="8.81640625" style="141" customWidth="1"/>
    <col min="11505" max="11506" width="12.81640625" style="141" customWidth="1"/>
    <col min="11507" max="11507" width="8.81640625" style="141" customWidth="1"/>
    <col min="11508" max="11509" width="12.81640625" style="141" customWidth="1"/>
    <col min="11510" max="11510" width="8.81640625" style="141" customWidth="1"/>
    <col min="11511" max="11512" width="12.81640625" style="141" customWidth="1"/>
    <col min="11513" max="11513" width="8.81640625" style="141" customWidth="1"/>
    <col min="11514" max="11514" width="3.81640625" style="141" customWidth="1"/>
    <col min="11515" max="11515" width="3.1796875" style="141" customWidth="1"/>
    <col min="11516" max="11516" width="9.1796875" style="141"/>
    <col min="11517" max="11517" width="12.1796875" style="141" customWidth="1"/>
    <col min="11518" max="11518" width="1.1796875" style="141" customWidth="1"/>
    <col min="11519" max="11520" width="12.81640625" style="141" customWidth="1"/>
    <col min="11521" max="11521" width="8.81640625" style="141" customWidth="1"/>
    <col min="11522" max="11523" width="12.81640625" style="141" customWidth="1"/>
    <col min="11524" max="11524" width="8.81640625" style="141" customWidth="1"/>
    <col min="11525" max="11526" width="12.81640625" style="141" customWidth="1"/>
    <col min="11527" max="11527" width="8.81640625" style="141" customWidth="1"/>
    <col min="11528" max="11529" width="12.81640625" style="141" customWidth="1"/>
    <col min="11530" max="11530" width="8.81640625" style="141" customWidth="1"/>
    <col min="11531" max="11532" width="12.81640625" style="141" customWidth="1"/>
    <col min="11533" max="11533" width="8.81640625" style="141" customWidth="1"/>
    <col min="11534" max="11534" width="14" style="141" bestFit="1" customWidth="1"/>
    <col min="11535" max="11535" width="12.81640625" style="141" customWidth="1"/>
    <col min="11536" max="11536" width="8.81640625" style="141" customWidth="1"/>
    <col min="11537" max="11538" width="12.81640625" style="141" customWidth="1"/>
    <col min="11539" max="11539" width="8.81640625" style="141" customWidth="1"/>
    <col min="11540" max="11540" width="5.1796875" style="141" customWidth="1"/>
    <col min="11541" max="11541" width="4.54296875" style="141" customWidth="1"/>
    <col min="11542" max="11746" width="9.1796875" style="141"/>
    <col min="11747" max="11747" width="12.81640625" style="141" customWidth="1"/>
    <col min="11748" max="11748" width="1" style="141" customWidth="1"/>
    <col min="11749" max="11750" width="12.81640625" style="141" customWidth="1"/>
    <col min="11751" max="11751" width="8.81640625" style="141" customWidth="1"/>
    <col min="11752" max="11753" width="12.81640625" style="141" customWidth="1"/>
    <col min="11754" max="11754" width="8.81640625" style="141" customWidth="1"/>
    <col min="11755" max="11756" width="12.81640625" style="141" customWidth="1"/>
    <col min="11757" max="11757" width="8.81640625" style="141" customWidth="1"/>
    <col min="11758" max="11759" width="12.81640625" style="141" customWidth="1"/>
    <col min="11760" max="11760" width="8.81640625" style="141" customWidth="1"/>
    <col min="11761" max="11762" width="12.81640625" style="141" customWidth="1"/>
    <col min="11763" max="11763" width="8.81640625" style="141" customWidth="1"/>
    <col min="11764" max="11765" width="12.81640625" style="141" customWidth="1"/>
    <col min="11766" max="11766" width="8.81640625" style="141" customWidth="1"/>
    <col min="11767" max="11768" width="12.81640625" style="141" customWidth="1"/>
    <col min="11769" max="11769" width="8.81640625" style="141" customWidth="1"/>
    <col min="11770" max="11770" width="3.81640625" style="141" customWidth="1"/>
    <col min="11771" max="11771" width="3.1796875" style="141" customWidth="1"/>
    <col min="11772" max="11772" width="9.1796875" style="141"/>
    <col min="11773" max="11773" width="12.1796875" style="141" customWidth="1"/>
    <col min="11774" max="11774" width="1.1796875" style="141" customWidth="1"/>
    <col min="11775" max="11776" width="12.81640625" style="141" customWidth="1"/>
    <col min="11777" max="11777" width="8.81640625" style="141" customWidth="1"/>
    <col min="11778" max="11779" width="12.81640625" style="141" customWidth="1"/>
    <col min="11780" max="11780" width="8.81640625" style="141" customWidth="1"/>
    <col min="11781" max="11782" width="12.81640625" style="141" customWidth="1"/>
    <col min="11783" max="11783" width="8.81640625" style="141" customWidth="1"/>
    <col min="11784" max="11785" width="12.81640625" style="141" customWidth="1"/>
    <col min="11786" max="11786" width="8.81640625" style="141" customWidth="1"/>
    <col min="11787" max="11788" width="12.81640625" style="141" customWidth="1"/>
    <col min="11789" max="11789" width="8.81640625" style="141" customWidth="1"/>
    <col min="11790" max="11790" width="14" style="141" bestFit="1" customWidth="1"/>
    <col min="11791" max="11791" width="12.81640625" style="141" customWidth="1"/>
    <col min="11792" max="11792" width="8.81640625" style="141" customWidth="1"/>
    <col min="11793" max="11794" width="12.81640625" style="141" customWidth="1"/>
    <col min="11795" max="11795" width="8.81640625" style="141" customWidth="1"/>
    <col min="11796" max="11796" width="5.1796875" style="141" customWidth="1"/>
    <col min="11797" max="11797" width="4.54296875" style="141" customWidth="1"/>
    <col min="11798" max="12002" width="9.1796875" style="141"/>
    <col min="12003" max="12003" width="12.81640625" style="141" customWidth="1"/>
    <col min="12004" max="12004" width="1" style="141" customWidth="1"/>
    <col min="12005" max="12006" width="12.81640625" style="141" customWidth="1"/>
    <col min="12007" max="12007" width="8.81640625" style="141" customWidth="1"/>
    <col min="12008" max="12009" width="12.81640625" style="141" customWidth="1"/>
    <col min="12010" max="12010" width="8.81640625" style="141" customWidth="1"/>
    <col min="12011" max="12012" width="12.81640625" style="141" customWidth="1"/>
    <col min="12013" max="12013" width="8.81640625" style="141" customWidth="1"/>
    <col min="12014" max="12015" width="12.81640625" style="141" customWidth="1"/>
    <col min="12016" max="12016" width="8.81640625" style="141" customWidth="1"/>
    <col min="12017" max="12018" width="12.81640625" style="141" customWidth="1"/>
    <col min="12019" max="12019" width="8.81640625" style="141" customWidth="1"/>
    <col min="12020" max="12021" width="12.81640625" style="141" customWidth="1"/>
    <col min="12022" max="12022" width="8.81640625" style="141" customWidth="1"/>
    <col min="12023" max="12024" width="12.81640625" style="141" customWidth="1"/>
    <col min="12025" max="12025" width="8.81640625" style="141" customWidth="1"/>
    <col min="12026" max="12026" width="3.81640625" style="141" customWidth="1"/>
    <col min="12027" max="12027" width="3.1796875" style="141" customWidth="1"/>
    <col min="12028" max="12028" width="9.1796875" style="141"/>
    <col min="12029" max="12029" width="12.1796875" style="141" customWidth="1"/>
    <col min="12030" max="12030" width="1.1796875" style="141" customWidth="1"/>
    <col min="12031" max="12032" width="12.81640625" style="141" customWidth="1"/>
    <col min="12033" max="12033" width="8.81640625" style="141" customWidth="1"/>
    <col min="12034" max="12035" width="12.81640625" style="141" customWidth="1"/>
    <col min="12036" max="12036" width="8.81640625" style="141" customWidth="1"/>
    <col min="12037" max="12038" width="12.81640625" style="141" customWidth="1"/>
    <col min="12039" max="12039" width="8.81640625" style="141" customWidth="1"/>
    <col min="12040" max="12041" width="12.81640625" style="141" customWidth="1"/>
    <col min="12042" max="12042" width="8.81640625" style="141" customWidth="1"/>
    <col min="12043" max="12044" width="12.81640625" style="141" customWidth="1"/>
    <col min="12045" max="12045" width="8.81640625" style="141" customWidth="1"/>
    <col min="12046" max="12046" width="14" style="141" bestFit="1" customWidth="1"/>
    <col min="12047" max="12047" width="12.81640625" style="141" customWidth="1"/>
    <col min="12048" max="12048" width="8.81640625" style="141" customWidth="1"/>
    <col min="12049" max="12050" width="12.81640625" style="141" customWidth="1"/>
    <col min="12051" max="12051" width="8.81640625" style="141" customWidth="1"/>
    <col min="12052" max="12052" width="5.1796875" style="141" customWidth="1"/>
    <col min="12053" max="12053" width="4.54296875" style="141" customWidth="1"/>
    <col min="12054" max="12258" width="9.1796875" style="141"/>
    <col min="12259" max="12259" width="12.81640625" style="141" customWidth="1"/>
    <col min="12260" max="12260" width="1" style="141" customWidth="1"/>
    <col min="12261" max="12262" width="12.81640625" style="141" customWidth="1"/>
    <col min="12263" max="12263" width="8.81640625" style="141" customWidth="1"/>
    <col min="12264" max="12265" width="12.81640625" style="141" customWidth="1"/>
    <col min="12266" max="12266" width="8.81640625" style="141" customWidth="1"/>
    <col min="12267" max="12268" width="12.81640625" style="141" customWidth="1"/>
    <col min="12269" max="12269" width="8.81640625" style="141" customWidth="1"/>
    <col min="12270" max="12271" width="12.81640625" style="141" customWidth="1"/>
    <col min="12272" max="12272" width="8.81640625" style="141" customWidth="1"/>
    <col min="12273" max="12274" width="12.81640625" style="141" customWidth="1"/>
    <col min="12275" max="12275" width="8.81640625" style="141" customWidth="1"/>
    <col min="12276" max="12277" width="12.81640625" style="141" customWidth="1"/>
    <col min="12278" max="12278" width="8.81640625" style="141" customWidth="1"/>
    <col min="12279" max="12280" width="12.81640625" style="141" customWidth="1"/>
    <col min="12281" max="12281" width="8.81640625" style="141" customWidth="1"/>
    <col min="12282" max="12282" width="3.81640625" style="141" customWidth="1"/>
    <col min="12283" max="12283" width="3.1796875" style="141" customWidth="1"/>
    <col min="12284" max="12284" width="9.1796875" style="141"/>
    <col min="12285" max="12285" width="12.1796875" style="141" customWidth="1"/>
    <col min="12286" max="12286" width="1.1796875" style="141" customWidth="1"/>
    <col min="12287" max="12288" width="12.81640625" style="141" customWidth="1"/>
    <col min="12289" max="12289" width="8.81640625" style="141" customWidth="1"/>
    <col min="12290" max="12291" width="12.81640625" style="141" customWidth="1"/>
    <col min="12292" max="12292" width="8.81640625" style="141" customWidth="1"/>
    <col min="12293" max="12294" width="12.81640625" style="141" customWidth="1"/>
    <col min="12295" max="12295" width="8.81640625" style="141" customWidth="1"/>
    <col min="12296" max="12297" width="12.81640625" style="141" customWidth="1"/>
    <col min="12298" max="12298" width="8.81640625" style="141" customWidth="1"/>
    <col min="12299" max="12300" width="12.81640625" style="141" customWidth="1"/>
    <col min="12301" max="12301" width="8.81640625" style="141" customWidth="1"/>
    <col min="12302" max="12302" width="14" style="141" bestFit="1" customWidth="1"/>
    <col min="12303" max="12303" width="12.81640625" style="141" customWidth="1"/>
    <col min="12304" max="12304" width="8.81640625" style="141" customWidth="1"/>
    <col min="12305" max="12306" width="12.81640625" style="141" customWidth="1"/>
    <col min="12307" max="12307" width="8.81640625" style="141" customWidth="1"/>
    <col min="12308" max="12308" width="5.1796875" style="141" customWidth="1"/>
    <col min="12309" max="12309" width="4.54296875" style="141" customWidth="1"/>
    <col min="12310" max="12514" width="9.1796875" style="141"/>
    <col min="12515" max="12515" width="12.81640625" style="141" customWidth="1"/>
    <col min="12516" max="12516" width="1" style="141" customWidth="1"/>
    <col min="12517" max="12518" width="12.81640625" style="141" customWidth="1"/>
    <col min="12519" max="12519" width="8.81640625" style="141" customWidth="1"/>
    <col min="12520" max="12521" width="12.81640625" style="141" customWidth="1"/>
    <col min="12522" max="12522" width="8.81640625" style="141" customWidth="1"/>
    <col min="12523" max="12524" width="12.81640625" style="141" customWidth="1"/>
    <col min="12525" max="12525" width="8.81640625" style="141" customWidth="1"/>
    <col min="12526" max="12527" width="12.81640625" style="141" customWidth="1"/>
    <col min="12528" max="12528" width="8.81640625" style="141" customWidth="1"/>
    <col min="12529" max="12530" width="12.81640625" style="141" customWidth="1"/>
    <col min="12531" max="12531" width="8.81640625" style="141" customWidth="1"/>
    <col min="12532" max="12533" width="12.81640625" style="141" customWidth="1"/>
    <col min="12534" max="12534" width="8.81640625" style="141" customWidth="1"/>
    <col min="12535" max="12536" width="12.81640625" style="141" customWidth="1"/>
    <col min="12537" max="12537" width="8.81640625" style="141" customWidth="1"/>
    <col min="12538" max="12538" width="3.81640625" style="141" customWidth="1"/>
    <col min="12539" max="12539" width="3.1796875" style="141" customWidth="1"/>
    <col min="12540" max="12540" width="9.1796875" style="141"/>
    <col min="12541" max="12541" width="12.1796875" style="141" customWidth="1"/>
    <col min="12542" max="12542" width="1.1796875" style="141" customWidth="1"/>
    <col min="12543" max="12544" width="12.81640625" style="141" customWidth="1"/>
    <col min="12545" max="12545" width="8.81640625" style="141" customWidth="1"/>
    <col min="12546" max="12547" width="12.81640625" style="141" customWidth="1"/>
    <col min="12548" max="12548" width="8.81640625" style="141" customWidth="1"/>
    <col min="12549" max="12550" width="12.81640625" style="141" customWidth="1"/>
    <col min="12551" max="12551" width="8.81640625" style="141" customWidth="1"/>
    <col min="12552" max="12553" width="12.81640625" style="141" customWidth="1"/>
    <col min="12554" max="12554" width="8.81640625" style="141" customWidth="1"/>
    <col min="12555" max="12556" width="12.81640625" style="141" customWidth="1"/>
    <col min="12557" max="12557" width="8.81640625" style="141" customWidth="1"/>
    <col min="12558" max="12558" width="14" style="141" bestFit="1" customWidth="1"/>
    <col min="12559" max="12559" width="12.81640625" style="141" customWidth="1"/>
    <col min="12560" max="12560" width="8.81640625" style="141" customWidth="1"/>
    <col min="12561" max="12562" width="12.81640625" style="141" customWidth="1"/>
    <col min="12563" max="12563" width="8.81640625" style="141" customWidth="1"/>
    <col min="12564" max="12564" width="5.1796875" style="141" customWidth="1"/>
    <col min="12565" max="12565" width="4.54296875" style="141" customWidth="1"/>
    <col min="12566" max="12770" width="9.1796875" style="141"/>
    <col min="12771" max="12771" width="12.81640625" style="141" customWidth="1"/>
    <col min="12772" max="12772" width="1" style="141" customWidth="1"/>
    <col min="12773" max="12774" width="12.81640625" style="141" customWidth="1"/>
    <col min="12775" max="12775" width="8.81640625" style="141" customWidth="1"/>
    <col min="12776" max="12777" width="12.81640625" style="141" customWidth="1"/>
    <col min="12778" max="12778" width="8.81640625" style="141" customWidth="1"/>
    <col min="12779" max="12780" width="12.81640625" style="141" customWidth="1"/>
    <col min="12781" max="12781" width="8.81640625" style="141" customWidth="1"/>
    <col min="12782" max="12783" width="12.81640625" style="141" customWidth="1"/>
    <col min="12784" max="12784" width="8.81640625" style="141" customWidth="1"/>
    <col min="12785" max="12786" width="12.81640625" style="141" customWidth="1"/>
    <col min="12787" max="12787" width="8.81640625" style="141" customWidth="1"/>
    <col min="12788" max="12789" width="12.81640625" style="141" customWidth="1"/>
    <col min="12790" max="12790" width="8.81640625" style="141" customWidth="1"/>
    <col min="12791" max="12792" width="12.81640625" style="141" customWidth="1"/>
    <col min="12793" max="12793" width="8.81640625" style="141" customWidth="1"/>
    <col min="12794" max="12794" width="3.81640625" style="141" customWidth="1"/>
    <col min="12795" max="12795" width="3.1796875" style="141" customWidth="1"/>
    <col min="12796" max="12796" width="9.1796875" style="141"/>
    <col min="12797" max="12797" width="12.1796875" style="141" customWidth="1"/>
    <col min="12798" max="12798" width="1.1796875" style="141" customWidth="1"/>
    <col min="12799" max="12800" width="12.81640625" style="141" customWidth="1"/>
    <col min="12801" max="12801" width="8.81640625" style="141" customWidth="1"/>
    <col min="12802" max="12803" width="12.81640625" style="141" customWidth="1"/>
    <col min="12804" max="12804" width="8.81640625" style="141" customWidth="1"/>
    <col min="12805" max="12806" width="12.81640625" style="141" customWidth="1"/>
    <col min="12807" max="12807" width="8.81640625" style="141" customWidth="1"/>
    <col min="12808" max="12809" width="12.81640625" style="141" customWidth="1"/>
    <col min="12810" max="12810" width="8.81640625" style="141" customWidth="1"/>
    <col min="12811" max="12812" width="12.81640625" style="141" customWidth="1"/>
    <col min="12813" max="12813" width="8.81640625" style="141" customWidth="1"/>
    <col min="12814" max="12814" width="14" style="141" bestFit="1" customWidth="1"/>
    <col min="12815" max="12815" width="12.81640625" style="141" customWidth="1"/>
    <col min="12816" max="12816" width="8.81640625" style="141" customWidth="1"/>
    <col min="12817" max="12818" width="12.81640625" style="141" customWidth="1"/>
    <col min="12819" max="12819" width="8.81640625" style="141" customWidth="1"/>
    <col min="12820" max="12820" width="5.1796875" style="141" customWidth="1"/>
    <col min="12821" max="12821" width="4.54296875" style="141" customWidth="1"/>
    <col min="12822" max="13026" width="9.1796875" style="141"/>
    <col min="13027" max="13027" width="12.81640625" style="141" customWidth="1"/>
    <col min="13028" max="13028" width="1" style="141" customWidth="1"/>
    <col min="13029" max="13030" width="12.81640625" style="141" customWidth="1"/>
    <col min="13031" max="13031" width="8.81640625" style="141" customWidth="1"/>
    <col min="13032" max="13033" width="12.81640625" style="141" customWidth="1"/>
    <col min="13034" max="13034" width="8.81640625" style="141" customWidth="1"/>
    <col min="13035" max="13036" width="12.81640625" style="141" customWidth="1"/>
    <col min="13037" max="13037" width="8.81640625" style="141" customWidth="1"/>
    <col min="13038" max="13039" width="12.81640625" style="141" customWidth="1"/>
    <col min="13040" max="13040" width="8.81640625" style="141" customWidth="1"/>
    <col min="13041" max="13042" width="12.81640625" style="141" customWidth="1"/>
    <col min="13043" max="13043" width="8.81640625" style="141" customWidth="1"/>
    <col min="13044" max="13045" width="12.81640625" style="141" customWidth="1"/>
    <col min="13046" max="13046" width="8.81640625" style="141" customWidth="1"/>
    <col min="13047" max="13048" width="12.81640625" style="141" customWidth="1"/>
    <col min="13049" max="13049" width="8.81640625" style="141" customWidth="1"/>
    <col min="13050" max="13050" width="3.81640625" style="141" customWidth="1"/>
    <col min="13051" max="13051" width="3.1796875" style="141" customWidth="1"/>
    <col min="13052" max="13052" width="9.1796875" style="141"/>
    <col min="13053" max="13053" width="12.1796875" style="141" customWidth="1"/>
    <col min="13054" max="13054" width="1.1796875" style="141" customWidth="1"/>
    <col min="13055" max="13056" width="12.81640625" style="141" customWidth="1"/>
    <col min="13057" max="13057" width="8.81640625" style="141" customWidth="1"/>
    <col min="13058" max="13059" width="12.81640625" style="141" customWidth="1"/>
    <col min="13060" max="13060" width="8.81640625" style="141" customWidth="1"/>
    <col min="13061" max="13062" width="12.81640625" style="141" customWidth="1"/>
    <col min="13063" max="13063" width="8.81640625" style="141" customWidth="1"/>
    <col min="13064" max="13065" width="12.81640625" style="141" customWidth="1"/>
    <col min="13066" max="13066" width="8.81640625" style="141" customWidth="1"/>
    <col min="13067" max="13068" width="12.81640625" style="141" customWidth="1"/>
    <col min="13069" max="13069" width="8.81640625" style="141" customWidth="1"/>
    <col min="13070" max="13070" width="14" style="141" bestFit="1" customWidth="1"/>
    <col min="13071" max="13071" width="12.81640625" style="141" customWidth="1"/>
    <col min="13072" max="13072" width="8.81640625" style="141" customWidth="1"/>
    <col min="13073" max="13074" width="12.81640625" style="141" customWidth="1"/>
    <col min="13075" max="13075" width="8.81640625" style="141" customWidth="1"/>
    <col min="13076" max="13076" width="5.1796875" style="141" customWidth="1"/>
    <col min="13077" max="13077" width="4.54296875" style="141" customWidth="1"/>
    <col min="13078" max="13282" width="9.1796875" style="141"/>
    <col min="13283" max="13283" width="12.81640625" style="141" customWidth="1"/>
    <col min="13284" max="13284" width="1" style="141" customWidth="1"/>
    <col min="13285" max="13286" width="12.81640625" style="141" customWidth="1"/>
    <col min="13287" max="13287" width="8.81640625" style="141" customWidth="1"/>
    <col min="13288" max="13289" width="12.81640625" style="141" customWidth="1"/>
    <col min="13290" max="13290" width="8.81640625" style="141" customWidth="1"/>
    <col min="13291" max="13292" width="12.81640625" style="141" customWidth="1"/>
    <col min="13293" max="13293" width="8.81640625" style="141" customWidth="1"/>
    <col min="13294" max="13295" width="12.81640625" style="141" customWidth="1"/>
    <col min="13296" max="13296" width="8.81640625" style="141" customWidth="1"/>
    <col min="13297" max="13298" width="12.81640625" style="141" customWidth="1"/>
    <col min="13299" max="13299" width="8.81640625" style="141" customWidth="1"/>
    <col min="13300" max="13301" width="12.81640625" style="141" customWidth="1"/>
    <col min="13302" max="13302" width="8.81640625" style="141" customWidth="1"/>
    <col min="13303" max="13304" width="12.81640625" style="141" customWidth="1"/>
    <col min="13305" max="13305" width="8.81640625" style="141" customWidth="1"/>
    <col min="13306" max="13306" width="3.81640625" style="141" customWidth="1"/>
    <col min="13307" max="13307" width="3.1796875" style="141" customWidth="1"/>
    <col min="13308" max="13308" width="9.1796875" style="141"/>
    <col min="13309" max="13309" width="12.1796875" style="141" customWidth="1"/>
    <col min="13310" max="13310" width="1.1796875" style="141" customWidth="1"/>
    <col min="13311" max="13312" width="12.81640625" style="141" customWidth="1"/>
    <col min="13313" max="13313" width="8.81640625" style="141" customWidth="1"/>
    <col min="13314" max="13315" width="12.81640625" style="141" customWidth="1"/>
    <col min="13316" max="13316" width="8.81640625" style="141" customWidth="1"/>
    <col min="13317" max="13318" width="12.81640625" style="141" customWidth="1"/>
    <col min="13319" max="13319" width="8.81640625" style="141" customWidth="1"/>
    <col min="13320" max="13321" width="12.81640625" style="141" customWidth="1"/>
    <col min="13322" max="13322" width="8.81640625" style="141" customWidth="1"/>
    <col min="13323" max="13324" width="12.81640625" style="141" customWidth="1"/>
    <col min="13325" max="13325" width="8.81640625" style="141" customWidth="1"/>
    <col min="13326" max="13326" width="14" style="141" bestFit="1" customWidth="1"/>
    <col min="13327" max="13327" width="12.81640625" style="141" customWidth="1"/>
    <col min="13328" max="13328" width="8.81640625" style="141" customWidth="1"/>
    <col min="13329" max="13330" width="12.81640625" style="141" customWidth="1"/>
    <col min="13331" max="13331" width="8.81640625" style="141" customWidth="1"/>
    <col min="13332" max="13332" width="5.1796875" style="141" customWidth="1"/>
    <col min="13333" max="13333" width="4.54296875" style="141" customWidth="1"/>
    <col min="13334" max="13538" width="9.1796875" style="141"/>
    <col min="13539" max="13539" width="12.81640625" style="141" customWidth="1"/>
    <col min="13540" max="13540" width="1" style="141" customWidth="1"/>
    <col min="13541" max="13542" width="12.81640625" style="141" customWidth="1"/>
    <col min="13543" max="13543" width="8.81640625" style="141" customWidth="1"/>
    <col min="13544" max="13545" width="12.81640625" style="141" customWidth="1"/>
    <col min="13546" max="13546" width="8.81640625" style="141" customWidth="1"/>
    <col min="13547" max="13548" width="12.81640625" style="141" customWidth="1"/>
    <col min="13549" max="13549" width="8.81640625" style="141" customWidth="1"/>
    <col min="13550" max="13551" width="12.81640625" style="141" customWidth="1"/>
    <col min="13552" max="13552" width="8.81640625" style="141" customWidth="1"/>
    <col min="13553" max="13554" width="12.81640625" style="141" customWidth="1"/>
    <col min="13555" max="13555" width="8.81640625" style="141" customWidth="1"/>
    <col min="13556" max="13557" width="12.81640625" style="141" customWidth="1"/>
    <col min="13558" max="13558" width="8.81640625" style="141" customWidth="1"/>
    <col min="13559" max="13560" width="12.81640625" style="141" customWidth="1"/>
    <col min="13561" max="13561" width="8.81640625" style="141" customWidth="1"/>
    <col min="13562" max="13562" width="3.81640625" style="141" customWidth="1"/>
    <col min="13563" max="13563" width="3.1796875" style="141" customWidth="1"/>
    <col min="13564" max="13564" width="9.1796875" style="141"/>
    <col min="13565" max="13565" width="12.1796875" style="141" customWidth="1"/>
    <col min="13566" max="13566" width="1.1796875" style="141" customWidth="1"/>
    <col min="13567" max="13568" width="12.81640625" style="141" customWidth="1"/>
    <col min="13569" max="13569" width="8.81640625" style="141" customWidth="1"/>
    <col min="13570" max="13571" width="12.81640625" style="141" customWidth="1"/>
    <col min="13572" max="13572" width="8.81640625" style="141" customWidth="1"/>
    <col min="13573" max="13574" width="12.81640625" style="141" customWidth="1"/>
    <col min="13575" max="13575" width="8.81640625" style="141" customWidth="1"/>
    <col min="13576" max="13577" width="12.81640625" style="141" customWidth="1"/>
    <col min="13578" max="13578" width="8.81640625" style="141" customWidth="1"/>
    <col min="13579" max="13580" width="12.81640625" style="141" customWidth="1"/>
    <col min="13581" max="13581" width="8.81640625" style="141" customWidth="1"/>
    <col min="13582" max="13582" width="14" style="141" bestFit="1" customWidth="1"/>
    <col min="13583" max="13583" width="12.81640625" style="141" customWidth="1"/>
    <col min="13584" max="13584" width="8.81640625" style="141" customWidth="1"/>
    <col min="13585" max="13586" width="12.81640625" style="141" customWidth="1"/>
    <col min="13587" max="13587" width="8.81640625" style="141" customWidth="1"/>
    <col min="13588" max="13588" width="5.1796875" style="141" customWidth="1"/>
    <col min="13589" max="13589" width="4.54296875" style="141" customWidth="1"/>
    <col min="13590" max="13794" width="9.1796875" style="141"/>
    <col min="13795" max="13795" width="12.81640625" style="141" customWidth="1"/>
    <col min="13796" max="13796" width="1" style="141" customWidth="1"/>
    <col min="13797" max="13798" width="12.81640625" style="141" customWidth="1"/>
    <col min="13799" max="13799" width="8.81640625" style="141" customWidth="1"/>
    <col min="13800" max="13801" width="12.81640625" style="141" customWidth="1"/>
    <col min="13802" max="13802" width="8.81640625" style="141" customWidth="1"/>
    <col min="13803" max="13804" width="12.81640625" style="141" customWidth="1"/>
    <col min="13805" max="13805" width="8.81640625" style="141" customWidth="1"/>
    <col min="13806" max="13807" width="12.81640625" style="141" customWidth="1"/>
    <col min="13808" max="13808" width="8.81640625" style="141" customWidth="1"/>
    <col min="13809" max="13810" width="12.81640625" style="141" customWidth="1"/>
    <col min="13811" max="13811" width="8.81640625" style="141" customWidth="1"/>
    <col min="13812" max="13813" width="12.81640625" style="141" customWidth="1"/>
    <col min="13814" max="13814" width="8.81640625" style="141" customWidth="1"/>
    <col min="13815" max="13816" width="12.81640625" style="141" customWidth="1"/>
    <col min="13817" max="13817" width="8.81640625" style="141" customWidth="1"/>
    <col min="13818" max="13818" width="3.81640625" style="141" customWidth="1"/>
    <col min="13819" max="13819" width="3.1796875" style="141" customWidth="1"/>
    <col min="13820" max="13820" width="9.1796875" style="141"/>
    <col min="13821" max="13821" width="12.1796875" style="141" customWidth="1"/>
    <col min="13822" max="13822" width="1.1796875" style="141" customWidth="1"/>
    <col min="13823" max="13824" width="12.81640625" style="141" customWidth="1"/>
    <col min="13825" max="13825" width="8.81640625" style="141" customWidth="1"/>
    <col min="13826" max="13827" width="12.81640625" style="141" customWidth="1"/>
    <col min="13828" max="13828" width="8.81640625" style="141" customWidth="1"/>
    <col min="13829" max="13830" width="12.81640625" style="141" customWidth="1"/>
    <col min="13831" max="13831" width="8.81640625" style="141" customWidth="1"/>
    <col min="13832" max="13833" width="12.81640625" style="141" customWidth="1"/>
    <col min="13834" max="13834" width="8.81640625" style="141" customWidth="1"/>
    <col min="13835" max="13836" width="12.81640625" style="141" customWidth="1"/>
    <col min="13837" max="13837" width="8.81640625" style="141" customWidth="1"/>
    <col min="13838" max="13838" width="14" style="141" bestFit="1" customWidth="1"/>
    <col min="13839" max="13839" width="12.81640625" style="141" customWidth="1"/>
    <col min="13840" max="13840" width="8.81640625" style="141" customWidth="1"/>
    <col min="13841" max="13842" width="12.81640625" style="141" customWidth="1"/>
    <col min="13843" max="13843" width="8.81640625" style="141" customWidth="1"/>
    <col min="13844" max="13844" width="5.1796875" style="141" customWidth="1"/>
    <col min="13845" max="13845" width="4.54296875" style="141" customWidth="1"/>
    <col min="13846" max="14050" width="9.1796875" style="141"/>
    <col min="14051" max="14051" width="12.81640625" style="141" customWidth="1"/>
    <col min="14052" max="14052" width="1" style="141" customWidth="1"/>
    <col min="14053" max="14054" width="12.81640625" style="141" customWidth="1"/>
    <col min="14055" max="14055" width="8.81640625" style="141" customWidth="1"/>
    <col min="14056" max="14057" width="12.81640625" style="141" customWidth="1"/>
    <col min="14058" max="14058" width="8.81640625" style="141" customWidth="1"/>
    <col min="14059" max="14060" width="12.81640625" style="141" customWidth="1"/>
    <col min="14061" max="14061" width="8.81640625" style="141" customWidth="1"/>
    <col min="14062" max="14063" width="12.81640625" style="141" customWidth="1"/>
    <col min="14064" max="14064" width="8.81640625" style="141" customWidth="1"/>
    <col min="14065" max="14066" width="12.81640625" style="141" customWidth="1"/>
    <col min="14067" max="14067" width="8.81640625" style="141" customWidth="1"/>
    <col min="14068" max="14069" width="12.81640625" style="141" customWidth="1"/>
    <col min="14070" max="14070" width="8.81640625" style="141" customWidth="1"/>
    <col min="14071" max="14072" width="12.81640625" style="141" customWidth="1"/>
    <col min="14073" max="14073" width="8.81640625" style="141" customWidth="1"/>
    <col min="14074" max="14074" width="3.81640625" style="141" customWidth="1"/>
    <col min="14075" max="14075" width="3.1796875" style="141" customWidth="1"/>
    <col min="14076" max="14076" width="9.1796875" style="141"/>
    <col min="14077" max="14077" width="12.1796875" style="141" customWidth="1"/>
    <col min="14078" max="14078" width="1.1796875" style="141" customWidth="1"/>
    <col min="14079" max="14080" width="12.81640625" style="141" customWidth="1"/>
    <col min="14081" max="14081" width="8.81640625" style="141" customWidth="1"/>
    <col min="14082" max="14083" width="12.81640625" style="141" customWidth="1"/>
    <col min="14084" max="14084" width="8.81640625" style="141" customWidth="1"/>
    <col min="14085" max="14086" width="12.81640625" style="141" customWidth="1"/>
    <col min="14087" max="14087" width="8.81640625" style="141" customWidth="1"/>
    <col min="14088" max="14089" width="12.81640625" style="141" customWidth="1"/>
    <col min="14090" max="14090" width="8.81640625" style="141" customWidth="1"/>
    <col min="14091" max="14092" width="12.81640625" style="141" customWidth="1"/>
    <col min="14093" max="14093" width="8.81640625" style="141" customWidth="1"/>
    <col min="14094" max="14094" width="14" style="141" bestFit="1" customWidth="1"/>
    <col min="14095" max="14095" width="12.81640625" style="141" customWidth="1"/>
    <col min="14096" max="14096" width="8.81640625" style="141" customWidth="1"/>
    <col min="14097" max="14098" width="12.81640625" style="141" customWidth="1"/>
    <col min="14099" max="14099" width="8.81640625" style="141" customWidth="1"/>
    <col min="14100" max="14100" width="5.1796875" style="141" customWidth="1"/>
    <col min="14101" max="14101" width="4.54296875" style="141" customWidth="1"/>
    <col min="14102" max="14306" width="9.1796875" style="141"/>
    <col min="14307" max="14307" width="12.81640625" style="141" customWidth="1"/>
    <col min="14308" max="14308" width="1" style="141" customWidth="1"/>
    <col min="14309" max="14310" width="12.81640625" style="141" customWidth="1"/>
    <col min="14311" max="14311" width="8.81640625" style="141" customWidth="1"/>
    <col min="14312" max="14313" width="12.81640625" style="141" customWidth="1"/>
    <col min="14314" max="14314" width="8.81640625" style="141" customWidth="1"/>
    <col min="14315" max="14316" width="12.81640625" style="141" customWidth="1"/>
    <col min="14317" max="14317" width="8.81640625" style="141" customWidth="1"/>
    <col min="14318" max="14319" width="12.81640625" style="141" customWidth="1"/>
    <col min="14320" max="14320" width="8.81640625" style="141" customWidth="1"/>
    <col min="14321" max="14322" width="12.81640625" style="141" customWidth="1"/>
    <col min="14323" max="14323" width="8.81640625" style="141" customWidth="1"/>
    <col min="14324" max="14325" width="12.81640625" style="141" customWidth="1"/>
    <col min="14326" max="14326" width="8.81640625" style="141" customWidth="1"/>
    <col min="14327" max="14328" width="12.81640625" style="141" customWidth="1"/>
    <col min="14329" max="14329" width="8.81640625" style="141" customWidth="1"/>
    <col min="14330" max="14330" width="3.81640625" style="141" customWidth="1"/>
    <col min="14331" max="14331" width="3.1796875" style="141" customWidth="1"/>
    <col min="14332" max="14332" width="9.1796875" style="141"/>
    <col min="14333" max="14333" width="12.1796875" style="141" customWidth="1"/>
    <col min="14334" max="14334" width="1.1796875" style="141" customWidth="1"/>
    <col min="14335" max="14336" width="12.81640625" style="141" customWidth="1"/>
    <col min="14337" max="14337" width="8.81640625" style="141" customWidth="1"/>
    <col min="14338" max="14339" width="12.81640625" style="141" customWidth="1"/>
    <col min="14340" max="14340" width="8.81640625" style="141" customWidth="1"/>
    <col min="14341" max="14342" width="12.81640625" style="141" customWidth="1"/>
    <col min="14343" max="14343" width="8.81640625" style="141" customWidth="1"/>
    <col min="14344" max="14345" width="12.81640625" style="141" customWidth="1"/>
    <col min="14346" max="14346" width="8.81640625" style="141" customWidth="1"/>
    <col min="14347" max="14348" width="12.81640625" style="141" customWidth="1"/>
    <col min="14349" max="14349" width="8.81640625" style="141" customWidth="1"/>
    <col min="14350" max="14350" width="14" style="141" bestFit="1" customWidth="1"/>
    <col min="14351" max="14351" width="12.81640625" style="141" customWidth="1"/>
    <col min="14352" max="14352" width="8.81640625" style="141" customWidth="1"/>
    <col min="14353" max="14354" width="12.81640625" style="141" customWidth="1"/>
    <col min="14355" max="14355" width="8.81640625" style="141" customWidth="1"/>
    <col min="14356" max="14356" width="5.1796875" style="141" customWidth="1"/>
    <col min="14357" max="14357" width="4.54296875" style="141" customWidth="1"/>
    <col min="14358" max="14562" width="9.1796875" style="141"/>
    <col min="14563" max="14563" width="12.81640625" style="141" customWidth="1"/>
    <col min="14564" max="14564" width="1" style="141" customWidth="1"/>
    <col min="14565" max="14566" width="12.81640625" style="141" customWidth="1"/>
    <col min="14567" max="14567" width="8.81640625" style="141" customWidth="1"/>
    <col min="14568" max="14569" width="12.81640625" style="141" customWidth="1"/>
    <col min="14570" max="14570" width="8.81640625" style="141" customWidth="1"/>
    <col min="14571" max="14572" width="12.81640625" style="141" customWidth="1"/>
    <col min="14573" max="14573" width="8.81640625" style="141" customWidth="1"/>
    <col min="14574" max="14575" width="12.81640625" style="141" customWidth="1"/>
    <col min="14576" max="14576" width="8.81640625" style="141" customWidth="1"/>
    <col min="14577" max="14578" width="12.81640625" style="141" customWidth="1"/>
    <col min="14579" max="14579" width="8.81640625" style="141" customWidth="1"/>
    <col min="14580" max="14581" width="12.81640625" style="141" customWidth="1"/>
    <col min="14582" max="14582" width="8.81640625" style="141" customWidth="1"/>
    <col min="14583" max="14584" width="12.81640625" style="141" customWidth="1"/>
    <col min="14585" max="14585" width="8.81640625" style="141" customWidth="1"/>
    <col min="14586" max="14586" width="3.81640625" style="141" customWidth="1"/>
    <col min="14587" max="14587" width="3.1796875" style="141" customWidth="1"/>
    <col min="14588" max="14588" width="9.1796875" style="141"/>
    <col min="14589" max="14589" width="12.1796875" style="141" customWidth="1"/>
    <col min="14590" max="14590" width="1.1796875" style="141" customWidth="1"/>
    <col min="14591" max="14592" width="12.81640625" style="141" customWidth="1"/>
    <col min="14593" max="14593" width="8.81640625" style="141" customWidth="1"/>
    <col min="14594" max="14595" width="12.81640625" style="141" customWidth="1"/>
    <col min="14596" max="14596" width="8.81640625" style="141" customWidth="1"/>
    <col min="14597" max="14598" width="12.81640625" style="141" customWidth="1"/>
    <col min="14599" max="14599" width="8.81640625" style="141" customWidth="1"/>
    <col min="14600" max="14601" width="12.81640625" style="141" customWidth="1"/>
    <col min="14602" max="14602" width="8.81640625" style="141" customWidth="1"/>
    <col min="14603" max="14604" width="12.81640625" style="141" customWidth="1"/>
    <col min="14605" max="14605" width="8.81640625" style="141" customWidth="1"/>
    <col min="14606" max="14606" width="14" style="141" bestFit="1" customWidth="1"/>
    <col min="14607" max="14607" width="12.81640625" style="141" customWidth="1"/>
    <col min="14608" max="14608" width="8.81640625" style="141" customWidth="1"/>
    <col min="14609" max="14610" width="12.81640625" style="141" customWidth="1"/>
    <col min="14611" max="14611" width="8.81640625" style="141" customWidth="1"/>
    <col min="14612" max="14612" width="5.1796875" style="141" customWidth="1"/>
    <col min="14613" max="14613" width="4.54296875" style="141" customWidth="1"/>
    <col min="14614" max="14818" width="9.1796875" style="141"/>
    <col min="14819" max="14819" width="12.81640625" style="141" customWidth="1"/>
    <col min="14820" max="14820" width="1" style="141" customWidth="1"/>
    <col min="14821" max="14822" width="12.81640625" style="141" customWidth="1"/>
    <col min="14823" max="14823" width="8.81640625" style="141" customWidth="1"/>
    <col min="14824" max="14825" width="12.81640625" style="141" customWidth="1"/>
    <col min="14826" max="14826" width="8.81640625" style="141" customWidth="1"/>
    <col min="14827" max="14828" width="12.81640625" style="141" customWidth="1"/>
    <col min="14829" max="14829" width="8.81640625" style="141" customWidth="1"/>
    <col min="14830" max="14831" width="12.81640625" style="141" customWidth="1"/>
    <col min="14832" max="14832" width="8.81640625" style="141" customWidth="1"/>
    <col min="14833" max="14834" width="12.81640625" style="141" customWidth="1"/>
    <col min="14835" max="14835" width="8.81640625" style="141" customWidth="1"/>
    <col min="14836" max="14837" width="12.81640625" style="141" customWidth="1"/>
    <col min="14838" max="14838" width="8.81640625" style="141" customWidth="1"/>
    <col min="14839" max="14840" width="12.81640625" style="141" customWidth="1"/>
    <col min="14841" max="14841" width="8.81640625" style="141" customWidth="1"/>
    <col min="14842" max="14842" width="3.81640625" style="141" customWidth="1"/>
    <col min="14843" max="14843" width="3.1796875" style="141" customWidth="1"/>
    <col min="14844" max="14844" width="9.1796875" style="141"/>
    <col min="14845" max="14845" width="12.1796875" style="141" customWidth="1"/>
    <col min="14846" max="14846" width="1.1796875" style="141" customWidth="1"/>
    <col min="14847" max="14848" width="12.81640625" style="141" customWidth="1"/>
    <col min="14849" max="14849" width="8.81640625" style="141" customWidth="1"/>
    <col min="14850" max="14851" width="12.81640625" style="141" customWidth="1"/>
    <col min="14852" max="14852" width="8.81640625" style="141" customWidth="1"/>
    <col min="14853" max="14854" width="12.81640625" style="141" customWidth="1"/>
    <col min="14855" max="14855" width="8.81640625" style="141" customWidth="1"/>
    <col min="14856" max="14857" width="12.81640625" style="141" customWidth="1"/>
    <col min="14858" max="14858" width="8.81640625" style="141" customWidth="1"/>
    <col min="14859" max="14860" width="12.81640625" style="141" customWidth="1"/>
    <col min="14861" max="14861" width="8.81640625" style="141" customWidth="1"/>
    <col min="14862" max="14862" width="14" style="141" bestFit="1" customWidth="1"/>
    <col min="14863" max="14863" width="12.81640625" style="141" customWidth="1"/>
    <col min="14864" max="14864" width="8.81640625" style="141" customWidth="1"/>
    <col min="14865" max="14866" width="12.81640625" style="141" customWidth="1"/>
    <col min="14867" max="14867" width="8.81640625" style="141" customWidth="1"/>
    <col min="14868" max="14868" width="5.1796875" style="141" customWidth="1"/>
    <col min="14869" max="14869" width="4.54296875" style="141" customWidth="1"/>
    <col min="14870" max="15074" width="9.1796875" style="141"/>
    <col min="15075" max="15075" width="12.81640625" style="141" customWidth="1"/>
    <col min="15076" max="15076" width="1" style="141" customWidth="1"/>
    <col min="15077" max="15078" width="12.81640625" style="141" customWidth="1"/>
    <col min="15079" max="15079" width="8.81640625" style="141" customWidth="1"/>
    <col min="15080" max="15081" width="12.81640625" style="141" customWidth="1"/>
    <col min="15082" max="15082" width="8.81640625" style="141" customWidth="1"/>
    <col min="15083" max="15084" width="12.81640625" style="141" customWidth="1"/>
    <col min="15085" max="15085" width="8.81640625" style="141" customWidth="1"/>
    <col min="15086" max="15087" width="12.81640625" style="141" customWidth="1"/>
    <col min="15088" max="15088" width="8.81640625" style="141" customWidth="1"/>
    <col min="15089" max="15090" width="12.81640625" style="141" customWidth="1"/>
    <col min="15091" max="15091" width="8.81640625" style="141" customWidth="1"/>
    <col min="15092" max="15093" width="12.81640625" style="141" customWidth="1"/>
    <col min="15094" max="15094" width="8.81640625" style="141" customWidth="1"/>
    <col min="15095" max="15096" width="12.81640625" style="141" customWidth="1"/>
    <col min="15097" max="15097" width="8.81640625" style="141" customWidth="1"/>
    <col min="15098" max="15098" width="3.81640625" style="141" customWidth="1"/>
    <col min="15099" max="15099" width="3.1796875" style="141" customWidth="1"/>
    <col min="15100" max="15100" width="9.1796875" style="141"/>
    <col min="15101" max="15101" width="12.1796875" style="141" customWidth="1"/>
    <col min="15102" max="15102" width="1.1796875" style="141" customWidth="1"/>
    <col min="15103" max="15104" width="12.81640625" style="141" customWidth="1"/>
    <col min="15105" max="15105" width="8.81640625" style="141" customWidth="1"/>
    <col min="15106" max="15107" width="12.81640625" style="141" customWidth="1"/>
    <col min="15108" max="15108" width="8.81640625" style="141" customWidth="1"/>
    <col min="15109" max="15110" width="12.81640625" style="141" customWidth="1"/>
    <col min="15111" max="15111" width="8.81640625" style="141" customWidth="1"/>
    <col min="15112" max="15113" width="12.81640625" style="141" customWidth="1"/>
    <col min="15114" max="15114" width="8.81640625" style="141" customWidth="1"/>
    <col min="15115" max="15116" width="12.81640625" style="141" customWidth="1"/>
    <col min="15117" max="15117" width="8.81640625" style="141" customWidth="1"/>
    <col min="15118" max="15118" width="14" style="141" bestFit="1" customWidth="1"/>
    <col min="15119" max="15119" width="12.81640625" style="141" customWidth="1"/>
    <col min="15120" max="15120" width="8.81640625" style="141" customWidth="1"/>
    <col min="15121" max="15122" width="12.81640625" style="141" customWidth="1"/>
    <col min="15123" max="15123" width="8.81640625" style="141" customWidth="1"/>
    <col min="15124" max="15124" width="5.1796875" style="141" customWidth="1"/>
    <col min="15125" max="15125" width="4.54296875" style="141" customWidth="1"/>
    <col min="15126" max="15330" width="9.1796875" style="141"/>
    <col min="15331" max="15331" width="12.81640625" style="141" customWidth="1"/>
    <col min="15332" max="15332" width="1" style="141" customWidth="1"/>
    <col min="15333" max="15334" width="12.81640625" style="141" customWidth="1"/>
    <col min="15335" max="15335" width="8.81640625" style="141" customWidth="1"/>
    <col min="15336" max="15337" width="12.81640625" style="141" customWidth="1"/>
    <col min="15338" max="15338" width="8.81640625" style="141" customWidth="1"/>
    <col min="15339" max="15340" width="12.81640625" style="141" customWidth="1"/>
    <col min="15341" max="15341" width="8.81640625" style="141" customWidth="1"/>
    <col min="15342" max="15343" width="12.81640625" style="141" customWidth="1"/>
    <col min="15344" max="15344" width="8.81640625" style="141" customWidth="1"/>
    <col min="15345" max="15346" width="12.81640625" style="141" customWidth="1"/>
    <col min="15347" max="15347" width="8.81640625" style="141" customWidth="1"/>
    <col min="15348" max="15349" width="12.81640625" style="141" customWidth="1"/>
    <col min="15350" max="15350" width="8.81640625" style="141" customWidth="1"/>
    <col min="15351" max="15352" width="12.81640625" style="141" customWidth="1"/>
    <col min="15353" max="15353" width="8.81640625" style="141" customWidth="1"/>
    <col min="15354" max="15354" width="3.81640625" style="141" customWidth="1"/>
    <col min="15355" max="15355" width="3.1796875" style="141" customWidth="1"/>
    <col min="15356" max="15356" width="9.1796875" style="141"/>
    <col min="15357" max="15357" width="12.1796875" style="141" customWidth="1"/>
    <col min="15358" max="15358" width="1.1796875" style="141" customWidth="1"/>
    <col min="15359" max="15360" width="12.81640625" style="141" customWidth="1"/>
    <col min="15361" max="15361" width="8.81640625" style="141" customWidth="1"/>
    <col min="15362" max="15363" width="12.81640625" style="141" customWidth="1"/>
    <col min="15364" max="15364" width="8.81640625" style="141" customWidth="1"/>
    <col min="15365" max="15366" width="12.81640625" style="141" customWidth="1"/>
    <col min="15367" max="15367" width="8.81640625" style="141" customWidth="1"/>
    <col min="15368" max="15369" width="12.81640625" style="141" customWidth="1"/>
    <col min="15370" max="15370" width="8.81640625" style="141" customWidth="1"/>
    <col min="15371" max="15372" width="12.81640625" style="141" customWidth="1"/>
    <col min="15373" max="15373" width="8.81640625" style="141" customWidth="1"/>
    <col min="15374" max="15374" width="14" style="141" bestFit="1" customWidth="1"/>
    <col min="15375" max="15375" width="12.81640625" style="141" customWidth="1"/>
    <col min="15376" max="15376" width="8.81640625" style="141" customWidth="1"/>
    <col min="15377" max="15378" width="12.81640625" style="141" customWidth="1"/>
    <col min="15379" max="15379" width="8.81640625" style="141" customWidth="1"/>
    <col min="15380" max="15380" width="5.1796875" style="141" customWidth="1"/>
    <col min="15381" max="15381" width="4.54296875" style="141" customWidth="1"/>
    <col min="15382" max="15586" width="9.1796875" style="141"/>
    <col min="15587" max="15587" width="12.81640625" style="141" customWidth="1"/>
    <col min="15588" max="15588" width="1" style="141" customWidth="1"/>
    <col min="15589" max="15590" width="12.81640625" style="141" customWidth="1"/>
    <col min="15591" max="15591" width="8.81640625" style="141" customWidth="1"/>
    <col min="15592" max="15593" width="12.81640625" style="141" customWidth="1"/>
    <col min="15594" max="15594" width="8.81640625" style="141" customWidth="1"/>
    <col min="15595" max="15596" width="12.81640625" style="141" customWidth="1"/>
    <col min="15597" max="15597" width="8.81640625" style="141" customWidth="1"/>
    <col min="15598" max="15599" width="12.81640625" style="141" customWidth="1"/>
    <col min="15600" max="15600" width="8.81640625" style="141" customWidth="1"/>
    <col min="15601" max="15602" width="12.81640625" style="141" customWidth="1"/>
    <col min="15603" max="15603" width="8.81640625" style="141" customWidth="1"/>
    <col min="15604" max="15605" width="12.81640625" style="141" customWidth="1"/>
    <col min="15606" max="15606" width="8.81640625" style="141" customWidth="1"/>
    <col min="15607" max="15608" width="12.81640625" style="141" customWidth="1"/>
    <col min="15609" max="15609" width="8.81640625" style="141" customWidth="1"/>
    <col min="15610" max="15610" width="3.81640625" style="141" customWidth="1"/>
    <col min="15611" max="15611" width="3.1796875" style="141" customWidth="1"/>
    <col min="15612" max="15612" width="9.1796875" style="141"/>
    <col min="15613" max="15613" width="12.1796875" style="141" customWidth="1"/>
    <col min="15614" max="15614" width="1.1796875" style="141" customWidth="1"/>
    <col min="15615" max="15616" width="12.81640625" style="141" customWidth="1"/>
    <col min="15617" max="15617" width="8.81640625" style="141" customWidth="1"/>
    <col min="15618" max="15619" width="12.81640625" style="141" customWidth="1"/>
    <col min="15620" max="15620" width="8.81640625" style="141" customWidth="1"/>
    <col min="15621" max="15622" width="12.81640625" style="141" customWidth="1"/>
    <col min="15623" max="15623" width="8.81640625" style="141" customWidth="1"/>
    <col min="15624" max="15625" width="12.81640625" style="141" customWidth="1"/>
    <col min="15626" max="15626" width="8.81640625" style="141" customWidth="1"/>
    <col min="15627" max="15628" width="12.81640625" style="141" customWidth="1"/>
    <col min="15629" max="15629" width="8.81640625" style="141" customWidth="1"/>
    <col min="15630" max="15630" width="14" style="141" bestFit="1" customWidth="1"/>
    <col min="15631" max="15631" width="12.81640625" style="141" customWidth="1"/>
    <col min="15632" max="15632" width="8.81640625" style="141" customWidth="1"/>
    <col min="15633" max="15634" width="12.81640625" style="141" customWidth="1"/>
    <col min="15635" max="15635" width="8.81640625" style="141" customWidth="1"/>
    <col min="15636" max="15636" width="5.1796875" style="141" customWidth="1"/>
    <col min="15637" max="15637" width="4.54296875" style="141" customWidth="1"/>
    <col min="15638" max="15842" width="9.1796875" style="141"/>
    <col min="15843" max="15843" width="12.81640625" style="141" customWidth="1"/>
    <col min="15844" max="15844" width="1" style="141" customWidth="1"/>
    <col min="15845" max="15846" width="12.81640625" style="141" customWidth="1"/>
    <col min="15847" max="15847" width="8.81640625" style="141" customWidth="1"/>
    <col min="15848" max="15849" width="12.81640625" style="141" customWidth="1"/>
    <col min="15850" max="15850" width="8.81640625" style="141" customWidth="1"/>
    <col min="15851" max="15852" width="12.81640625" style="141" customWidth="1"/>
    <col min="15853" max="15853" width="8.81640625" style="141" customWidth="1"/>
    <col min="15854" max="15855" width="12.81640625" style="141" customWidth="1"/>
    <col min="15856" max="15856" width="8.81640625" style="141" customWidth="1"/>
    <col min="15857" max="15858" width="12.81640625" style="141" customWidth="1"/>
    <col min="15859" max="15859" width="8.81640625" style="141" customWidth="1"/>
    <col min="15860" max="15861" width="12.81640625" style="141" customWidth="1"/>
    <col min="15862" max="15862" width="8.81640625" style="141" customWidth="1"/>
    <col min="15863" max="15864" width="12.81640625" style="141" customWidth="1"/>
    <col min="15865" max="15865" width="8.81640625" style="141" customWidth="1"/>
    <col min="15866" max="15866" width="3.81640625" style="141" customWidth="1"/>
    <col min="15867" max="15867" width="3.1796875" style="141" customWidth="1"/>
    <col min="15868" max="15868" width="9.1796875" style="141"/>
    <col min="15869" max="15869" width="12.1796875" style="141" customWidth="1"/>
    <col min="15870" max="15870" width="1.1796875" style="141" customWidth="1"/>
    <col min="15871" max="15872" width="12.81640625" style="141" customWidth="1"/>
    <col min="15873" max="15873" width="8.81640625" style="141" customWidth="1"/>
    <col min="15874" max="15875" width="12.81640625" style="141" customWidth="1"/>
    <col min="15876" max="15876" width="8.81640625" style="141" customWidth="1"/>
    <col min="15877" max="15878" width="12.81640625" style="141" customWidth="1"/>
    <col min="15879" max="15879" width="8.81640625" style="141" customWidth="1"/>
    <col min="15880" max="15881" width="12.81640625" style="141" customWidth="1"/>
    <col min="15882" max="15882" width="8.81640625" style="141" customWidth="1"/>
    <col min="15883" max="15884" width="12.81640625" style="141" customWidth="1"/>
    <col min="15885" max="15885" width="8.81640625" style="141" customWidth="1"/>
    <col min="15886" max="15886" width="14" style="141" bestFit="1" customWidth="1"/>
    <col min="15887" max="15887" width="12.81640625" style="141" customWidth="1"/>
    <col min="15888" max="15888" width="8.81640625" style="141" customWidth="1"/>
    <col min="15889" max="15890" width="12.81640625" style="141" customWidth="1"/>
    <col min="15891" max="15891" width="8.81640625" style="141" customWidth="1"/>
    <col min="15892" max="15892" width="5.1796875" style="141" customWidth="1"/>
    <col min="15893" max="15893" width="4.54296875" style="141" customWidth="1"/>
    <col min="15894" max="16098" width="9.1796875" style="141"/>
    <col min="16099" max="16099" width="12.81640625" style="141" customWidth="1"/>
    <col min="16100" max="16100" width="1" style="141" customWidth="1"/>
    <col min="16101" max="16102" width="12.81640625" style="141" customWidth="1"/>
    <col min="16103" max="16103" width="8.81640625" style="141" customWidth="1"/>
    <col min="16104" max="16105" width="12.81640625" style="141" customWidth="1"/>
    <col min="16106" max="16106" width="8.81640625" style="141" customWidth="1"/>
    <col min="16107" max="16108" width="12.81640625" style="141" customWidth="1"/>
    <col min="16109" max="16109" width="8.81640625" style="141" customWidth="1"/>
    <col min="16110" max="16111" width="12.81640625" style="141" customWidth="1"/>
    <col min="16112" max="16112" width="8.81640625" style="141" customWidth="1"/>
    <col min="16113" max="16114" width="12.81640625" style="141" customWidth="1"/>
    <col min="16115" max="16115" width="8.81640625" style="141" customWidth="1"/>
    <col min="16116" max="16117" width="12.81640625" style="141" customWidth="1"/>
    <col min="16118" max="16118" width="8.81640625" style="141" customWidth="1"/>
    <col min="16119" max="16120" width="12.81640625" style="141" customWidth="1"/>
    <col min="16121" max="16121" width="8.81640625" style="141" customWidth="1"/>
    <col min="16122" max="16122" width="3.81640625" style="141" customWidth="1"/>
    <col min="16123" max="16123" width="3.1796875" style="141" customWidth="1"/>
    <col min="16124" max="16124" width="9.1796875" style="141"/>
    <col min="16125" max="16125" width="12.1796875" style="141" customWidth="1"/>
    <col min="16126" max="16126" width="1.1796875" style="141" customWidth="1"/>
    <col min="16127" max="16128" width="12.81640625" style="141" customWidth="1"/>
    <col min="16129" max="16129" width="8.81640625" style="141" customWidth="1"/>
    <col min="16130" max="16131" width="12.81640625" style="141" customWidth="1"/>
    <col min="16132" max="16132" width="8.81640625" style="141" customWidth="1"/>
    <col min="16133" max="16134" width="12.81640625" style="141" customWidth="1"/>
    <col min="16135" max="16135" width="8.81640625" style="141" customWidth="1"/>
    <col min="16136" max="16137" width="12.81640625" style="141" customWidth="1"/>
    <col min="16138" max="16138" width="8.81640625" style="141" customWidth="1"/>
    <col min="16139" max="16140" width="12.81640625" style="141" customWidth="1"/>
    <col min="16141" max="16141" width="8.81640625" style="141" customWidth="1"/>
    <col min="16142" max="16142" width="14" style="141" bestFit="1" customWidth="1"/>
    <col min="16143" max="16143" width="12.81640625" style="141" customWidth="1"/>
    <col min="16144" max="16144" width="8.81640625" style="141" customWidth="1"/>
    <col min="16145" max="16146" width="12.81640625" style="141" customWidth="1"/>
    <col min="16147" max="16147" width="8.81640625" style="141" customWidth="1"/>
    <col min="16148" max="16148" width="5.1796875" style="141" customWidth="1"/>
    <col min="16149" max="16149" width="4.54296875" style="141" customWidth="1"/>
    <col min="16150" max="16384" width="9.1796875" style="141"/>
  </cols>
  <sheetData>
    <row r="1" spans="1:67" s="85" customFormat="1" ht="24.9" customHeight="1" thickBot="1" x14ac:dyDescent="0.4"/>
    <row r="2" spans="1:67" s="90" customFormat="1" ht="63.15" customHeight="1" thickBot="1" x14ac:dyDescent="0.4">
      <c r="A2" s="86"/>
      <c r="B2" s="87"/>
      <c r="C2" s="200" t="s">
        <v>71</v>
      </c>
      <c r="D2" s="200"/>
      <c r="E2" s="200"/>
      <c r="F2" s="200"/>
      <c r="G2" s="200"/>
      <c r="H2" s="200"/>
      <c r="I2" s="88"/>
      <c r="J2" s="88"/>
      <c r="K2" s="89"/>
      <c r="L2" s="86"/>
      <c r="M2" s="87"/>
      <c r="N2" s="200" t="s">
        <v>71</v>
      </c>
      <c r="O2" s="200"/>
      <c r="P2" s="200"/>
      <c r="Q2" s="200"/>
      <c r="R2" s="200"/>
      <c r="S2" s="200"/>
      <c r="T2" s="88"/>
      <c r="U2" s="88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</row>
    <row r="3" spans="1:67" s="97" customFormat="1" ht="35.25" customHeight="1" thickBot="1" x14ac:dyDescent="0.4">
      <c r="A3" s="91" t="s">
        <v>51</v>
      </c>
      <c r="B3" s="92"/>
      <c r="C3" s="3" t="s">
        <v>69</v>
      </c>
      <c r="D3" s="4" t="s">
        <v>70</v>
      </c>
      <c r="E3" s="3" t="s">
        <v>3</v>
      </c>
      <c r="F3" s="4" t="s">
        <v>4</v>
      </c>
      <c r="G3" s="1" t="s">
        <v>1</v>
      </c>
      <c r="H3" s="2" t="s">
        <v>2</v>
      </c>
      <c r="I3" s="95"/>
      <c r="J3" s="95"/>
      <c r="K3" s="96"/>
      <c r="L3" s="91" t="s">
        <v>51</v>
      </c>
      <c r="M3" s="92"/>
      <c r="N3" s="3" t="s">
        <v>69</v>
      </c>
      <c r="O3" s="4" t="s">
        <v>70</v>
      </c>
      <c r="P3" s="3" t="s">
        <v>54</v>
      </c>
      <c r="Q3" s="4" t="s">
        <v>56</v>
      </c>
      <c r="R3" s="1" t="s">
        <v>55</v>
      </c>
      <c r="S3" s="2" t="s">
        <v>57</v>
      </c>
      <c r="T3" s="95"/>
      <c r="U3" s="95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</row>
    <row r="4" spans="1:67" s="107" customFormat="1" ht="14.25" customHeight="1" x14ac:dyDescent="0.35">
      <c r="A4" s="98">
        <f>[1]Control!$AX$11</f>
        <v>45986</v>
      </c>
      <c r="B4" s="99"/>
      <c r="C4" s="142">
        <f>[2]Distribute!O51+[2]Distribute!U51</f>
        <v>0</v>
      </c>
      <c r="D4" s="143">
        <v>1880.0050735667173</v>
      </c>
      <c r="E4" s="144">
        <f>[2]Distribute!O11+[2]Distribute!U11</f>
        <v>0</v>
      </c>
      <c r="F4" s="145">
        <v>1015.2027397260274</v>
      </c>
      <c r="G4" s="145">
        <f>[2]Distribute!P11+[2]Distribute!V11</f>
        <v>0</v>
      </c>
      <c r="H4" s="145">
        <v>1015.2027397260274</v>
      </c>
      <c r="I4" s="103"/>
      <c r="J4" s="103"/>
      <c r="K4" s="104"/>
      <c r="L4" s="98">
        <f>A4</f>
        <v>45986</v>
      </c>
      <c r="M4" s="99"/>
      <c r="N4" s="142">
        <f>[2]Distribute!O51+[2]Distribute!U51</f>
        <v>0</v>
      </c>
      <c r="O4" s="143">
        <v>1880.0050735667173</v>
      </c>
      <c r="P4" s="146">
        <f>[2]Distribute!AO11+[2]Distribute!AU11</f>
        <v>0</v>
      </c>
      <c r="Q4" s="147">
        <v>15837162.739726027</v>
      </c>
      <c r="R4" s="147">
        <f>[2]Distribute!AP11+[2]Distribute!AV11</f>
        <v>0</v>
      </c>
      <c r="S4" s="147">
        <v>15837162.739726027</v>
      </c>
      <c r="T4" s="103"/>
      <c r="U4" s="103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</row>
    <row r="5" spans="1:67" s="107" customFormat="1" ht="14.25" customHeight="1" x14ac:dyDescent="0.35">
      <c r="A5" s="108">
        <f>[1]Control!AX12</f>
        <v>45987</v>
      </c>
      <c r="B5" s="99"/>
      <c r="C5" s="142">
        <f>[2]Distribute!O52+[2]Distribute!U52</f>
        <v>0</v>
      </c>
      <c r="D5" s="143">
        <v>1880.0050735667173</v>
      </c>
      <c r="E5" s="144">
        <f>[2]Distribute!O12+[2]Distribute!U12</f>
        <v>0</v>
      </c>
      <c r="F5" s="145">
        <v>1015.2027397260274</v>
      </c>
      <c r="G5" s="145">
        <f>[2]Distribute!P12+[2]Distribute!V12</f>
        <v>0</v>
      </c>
      <c r="H5" s="145">
        <v>1015.2027397260274</v>
      </c>
      <c r="I5" s="103"/>
      <c r="J5" s="103"/>
      <c r="K5" s="104"/>
      <c r="L5" s="108">
        <f>A5</f>
        <v>45987</v>
      </c>
      <c r="M5" s="99"/>
      <c r="N5" s="142">
        <f>[2]Distribute!O52+[2]Distribute!U52</f>
        <v>0</v>
      </c>
      <c r="O5" s="143">
        <v>1880.0050735667173</v>
      </c>
      <c r="P5" s="146">
        <f>[2]Distribute!AO12+[2]Distribute!AU12</f>
        <v>0</v>
      </c>
      <c r="Q5" s="147">
        <v>15837162.739726027</v>
      </c>
      <c r="R5" s="147">
        <f>[2]Distribute!AP12+[2]Distribute!AV12</f>
        <v>0</v>
      </c>
      <c r="S5" s="147">
        <v>15837162.739726027</v>
      </c>
      <c r="T5" s="103"/>
      <c r="U5" s="103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</row>
    <row r="6" spans="1:67" s="107" customFormat="1" ht="14.25" customHeight="1" x14ac:dyDescent="0.35">
      <c r="A6" s="108">
        <f>[1]Control!AX13</f>
        <v>45988</v>
      </c>
      <c r="B6" s="99"/>
      <c r="C6" s="142">
        <f>[2]Distribute!O53+[2]Distribute!U53</f>
        <v>0</v>
      </c>
      <c r="D6" s="143">
        <v>1880.0050735667173</v>
      </c>
      <c r="E6" s="144">
        <f>[2]Distribute!O13+[2]Distribute!U13</f>
        <v>0</v>
      </c>
      <c r="F6" s="145">
        <v>1015.2027397260274</v>
      </c>
      <c r="G6" s="145">
        <f>[2]Distribute!P13+[2]Distribute!V13</f>
        <v>0</v>
      </c>
      <c r="H6" s="145">
        <v>1015.2027397260274</v>
      </c>
      <c r="I6" s="103"/>
      <c r="J6" s="103"/>
      <c r="K6" s="104"/>
      <c r="L6" s="108">
        <f t="shared" ref="L6:L34" si="0">A6</f>
        <v>45988</v>
      </c>
      <c r="M6" s="99"/>
      <c r="N6" s="142">
        <f>[2]Distribute!O53+[2]Distribute!U53</f>
        <v>0</v>
      </c>
      <c r="O6" s="143">
        <v>1880.0050735667173</v>
      </c>
      <c r="P6" s="146">
        <f>[2]Distribute!AO13+[2]Distribute!AU13</f>
        <v>0</v>
      </c>
      <c r="Q6" s="147">
        <v>15837162.739726027</v>
      </c>
      <c r="R6" s="147">
        <f>[2]Distribute!AP13+[2]Distribute!AV13</f>
        <v>0</v>
      </c>
      <c r="S6" s="147">
        <v>15837162.739726027</v>
      </c>
      <c r="T6" s="103"/>
      <c r="U6" s="103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</row>
    <row r="7" spans="1:67" s="107" customFormat="1" ht="14.25" customHeight="1" x14ac:dyDescent="0.35">
      <c r="A7" s="108">
        <f>[1]Control!AX14</f>
        <v>45989</v>
      </c>
      <c r="B7" s="99"/>
      <c r="C7" s="142">
        <f>[2]Distribute!O54+[2]Distribute!U54</f>
        <v>0</v>
      </c>
      <c r="D7" s="143">
        <v>1880.0050735667173</v>
      </c>
      <c r="E7" s="144">
        <f>[2]Distribute!O14+[2]Distribute!U14</f>
        <v>0</v>
      </c>
      <c r="F7" s="145">
        <v>1015.2027397260274</v>
      </c>
      <c r="G7" s="145">
        <f>[2]Distribute!P14+[2]Distribute!V14</f>
        <v>0</v>
      </c>
      <c r="H7" s="145">
        <v>1015.2027397260274</v>
      </c>
      <c r="I7" s="103"/>
      <c r="J7" s="103"/>
      <c r="K7" s="104"/>
      <c r="L7" s="108">
        <f t="shared" si="0"/>
        <v>45989</v>
      </c>
      <c r="M7" s="99"/>
      <c r="N7" s="142">
        <f>[2]Distribute!O54+[2]Distribute!U54</f>
        <v>0</v>
      </c>
      <c r="O7" s="143">
        <v>1880.0050735667173</v>
      </c>
      <c r="P7" s="146">
        <f>[2]Distribute!AO14+[2]Distribute!AU14</f>
        <v>0</v>
      </c>
      <c r="Q7" s="147">
        <v>15837162.739726027</v>
      </c>
      <c r="R7" s="147">
        <f>[2]Distribute!AP14+[2]Distribute!AV14</f>
        <v>0</v>
      </c>
      <c r="S7" s="147">
        <v>15837162.739726027</v>
      </c>
      <c r="T7" s="103"/>
      <c r="U7" s="103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</row>
    <row r="8" spans="1:67" s="107" customFormat="1" ht="14.25" customHeight="1" x14ac:dyDescent="0.35">
      <c r="A8" s="108">
        <f>[1]Control!AX15</f>
        <v>45990</v>
      </c>
      <c r="B8" s="99"/>
      <c r="C8" s="142">
        <f>[2]Distribute!O55+[2]Distribute!U55</f>
        <v>0</v>
      </c>
      <c r="D8" s="143">
        <v>1880.0050735667173</v>
      </c>
      <c r="E8" s="144">
        <f>[2]Distribute!O15+[2]Distribute!U15</f>
        <v>0</v>
      </c>
      <c r="F8" s="145">
        <v>1015.2027397260274</v>
      </c>
      <c r="G8" s="145">
        <f>[2]Distribute!P15+[2]Distribute!V15</f>
        <v>0</v>
      </c>
      <c r="H8" s="145">
        <v>1015.2027397260274</v>
      </c>
      <c r="I8" s="103"/>
      <c r="J8" s="103"/>
      <c r="K8" s="104"/>
      <c r="L8" s="108">
        <f t="shared" si="0"/>
        <v>45990</v>
      </c>
      <c r="M8" s="99"/>
      <c r="N8" s="142">
        <f>[2]Distribute!O55+[2]Distribute!U55</f>
        <v>0</v>
      </c>
      <c r="O8" s="143">
        <v>1880.0050735667173</v>
      </c>
      <c r="P8" s="146">
        <f>[2]Distribute!AO15+[2]Distribute!AU15</f>
        <v>0</v>
      </c>
      <c r="Q8" s="147">
        <v>15837162.739726027</v>
      </c>
      <c r="R8" s="147">
        <f>[2]Distribute!AP15+[2]Distribute!AV15</f>
        <v>0</v>
      </c>
      <c r="S8" s="147">
        <v>15837162.739726027</v>
      </c>
      <c r="T8" s="103"/>
      <c r="U8" s="103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</row>
    <row r="9" spans="1:67" s="107" customFormat="1" ht="14.25" customHeight="1" x14ac:dyDescent="0.35">
      <c r="A9" s="108">
        <f>[1]Control!AX16</f>
        <v>45991</v>
      </c>
      <c r="B9" s="99"/>
      <c r="C9" s="142">
        <f>[2]Distribute!O56+[2]Distribute!U56</f>
        <v>0</v>
      </c>
      <c r="D9" s="143">
        <v>1880.0050735667173</v>
      </c>
      <c r="E9" s="144">
        <f>[2]Distribute!O16+[2]Distribute!U16</f>
        <v>0</v>
      </c>
      <c r="F9" s="145">
        <v>1015.2027397260274</v>
      </c>
      <c r="G9" s="145">
        <f>[2]Distribute!P16+[2]Distribute!V16</f>
        <v>0</v>
      </c>
      <c r="H9" s="145">
        <v>1015.2027397260274</v>
      </c>
      <c r="I9" s="103"/>
      <c r="J9" s="103"/>
      <c r="K9" s="104"/>
      <c r="L9" s="108">
        <f t="shared" si="0"/>
        <v>45991</v>
      </c>
      <c r="M9" s="99"/>
      <c r="N9" s="142">
        <f>[2]Distribute!O56+[2]Distribute!U56</f>
        <v>0</v>
      </c>
      <c r="O9" s="143">
        <v>1880.0050735667173</v>
      </c>
      <c r="P9" s="146">
        <f>[2]Distribute!AO16+[2]Distribute!AU16</f>
        <v>0</v>
      </c>
      <c r="Q9" s="147">
        <v>15837162.739726027</v>
      </c>
      <c r="R9" s="147">
        <f>[2]Distribute!AP16+[2]Distribute!AV16</f>
        <v>0</v>
      </c>
      <c r="S9" s="147">
        <v>15837162.739726027</v>
      </c>
      <c r="T9" s="103"/>
      <c r="U9" s="103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</row>
    <row r="10" spans="1:67" s="107" customFormat="1" ht="14.25" customHeight="1" x14ac:dyDescent="0.35">
      <c r="A10" s="108">
        <f>[1]Control!AX17</f>
        <v>45992</v>
      </c>
      <c r="B10" s="99"/>
      <c r="C10" s="142">
        <f>[2]Distribute!O57+[2]Distribute!U57</f>
        <v>0</v>
      </c>
      <c r="D10" s="143">
        <v>1880.0050735667173</v>
      </c>
      <c r="E10" s="144">
        <f>[2]Distribute!O17+[2]Distribute!U17</f>
        <v>0</v>
      </c>
      <c r="F10" s="145">
        <v>1015.2027397260274</v>
      </c>
      <c r="G10" s="145">
        <f>[2]Distribute!P17+[2]Distribute!V17</f>
        <v>0</v>
      </c>
      <c r="H10" s="145">
        <v>1015.2027397260274</v>
      </c>
      <c r="I10" s="103"/>
      <c r="J10" s="103"/>
      <c r="K10" s="104"/>
      <c r="L10" s="108">
        <f t="shared" si="0"/>
        <v>45992</v>
      </c>
      <c r="M10" s="99"/>
      <c r="N10" s="142">
        <f>[2]Distribute!O57+[2]Distribute!U57</f>
        <v>0</v>
      </c>
      <c r="O10" s="143">
        <v>1880.0050735667173</v>
      </c>
      <c r="P10" s="146">
        <f>[2]Distribute!AO17+[2]Distribute!AU17</f>
        <v>0</v>
      </c>
      <c r="Q10" s="147">
        <v>15837162.739726027</v>
      </c>
      <c r="R10" s="147">
        <f>[2]Distribute!AP17+[2]Distribute!AV17</f>
        <v>0</v>
      </c>
      <c r="S10" s="147">
        <v>15837162.739726027</v>
      </c>
      <c r="T10" s="103"/>
      <c r="U10" s="103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</row>
    <row r="11" spans="1:67" s="107" customFormat="1" ht="14.25" customHeight="1" x14ac:dyDescent="0.35">
      <c r="A11" s="108">
        <f>[1]Control!AX18</f>
        <v>45993</v>
      </c>
      <c r="B11" s="99"/>
      <c r="C11" s="142">
        <f>[2]Distribute!O58+[2]Distribute!U58</f>
        <v>0</v>
      </c>
      <c r="D11" s="143">
        <v>1880.0050735667173</v>
      </c>
      <c r="E11" s="144">
        <f>[2]Distribute!O18+[2]Distribute!U18</f>
        <v>0</v>
      </c>
      <c r="F11" s="145">
        <v>1015.2027397260274</v>
      </c>
      <c r="G11" s="145">
        <f>[2]Distribute!P18+[2]Distribute!V18</f>
        <v>0</v>
      </c>
      <c r="H11" s="145">
        <v>1015.2027397260274</v>
      </c>
      <c r="I11" s="103"/>
      <c r="J11" s="103"/>
      <c r="K11" s="104"/>
      <c r="L11" s="108">
        <f t="shared" si="0"/>
        <v>45993</v>
      </c>
      <c r="M11" s="99"/>
      <c r="N11" s="142">
        <f>[2]Distribute!O58+[2]Distribute!U58</f>
        <v>0</v>
      </c>
      <c r="O11" s="143">
        <v>1880.0050735667173</v>
      </c>
      <c r="P11" s="146">
        <f>[2]Distribute!AO18+[2]Distribute!AU18</f>
        <v>0</v>
      </c>
      <c r="Q11" s="147">
        <v>15837162.739726027</v>
      </c>
      <c r="R11" s="147">
        <f>[2]Distribute!AP18+[2]Distribute!AV18</f>
        <v>0</v>
      </c>
      <c r="S11" s="147">
        <v>15837162.739726027</v>
      </c>
      <c r="T11" s="103"/>
      <c r="U11" s="103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</row>
    <row r="12" spans="1:67" s="107" customFormat="1" ht="14.25" customHeight="1" x14ac:dyDescent="0.35">
      <c r="A12" s="108">
        <f>[1]Control!AX19</f>
        <v>45994</v>
      </c>
      <c r="B12" s="99"/>
      <c r="C12" s="142">
        <f>[2]Distribute!O59+[2]Distribute!U59</f>
        <v>0</v>
      </c>
      <c r="D12" s="143">
        <v>1880.0050735667173</v>
      </c>
      <c r="E12" s="144">
        <f>[2]Distribute!O19+[2]Distribute!U19</f>
        <v>0</v>
      </c>
      <c r="F12" s="145">
        <v>1015.2027397260274</v>
      </c>
      <c r="G12" s="145">
        <f>[2]Distribute!P19+[2]Distribute!V19</f>
        <v>0</v>
      </c>
      <c r="H12" s="145">
        <v>1015.2027397260274</v>
      </c>
      <c r="I12" s="103"/>
      <c r="J12" s="103"/>
      <c r="K12" s="104"/>
      <c r="L12" s="108">
        <f t="shared" si="0"/>
        <v>45994</v>
      </c>
      <c r="M12" s="99"/>
      <c r="N12" s="142">
        <f>[2]Distribute!O59+[2]Distribute!U59</f>
        <v>0</v>
      </c>
      <c r="O12" s="143">
        <v>1880.0050735667173</v>
      </c>
      <c r="P12" s="146">
        <f>[2]Distribute!AO19+[2]Distribute!AU19</f>
        <v>0</v>
      </c>
      <c r="Q12" s="147">
        <v>15837162.739726027</v>
      </c>
      <c r="R12" s="147">
        <f>[2]Distribute!AP19+[2]Distribute!AV19</f>
        <v>0</v>
      </c>
      <c r="S12" s="147">
        <v>15837162.739726027</v>
      </c>
      <c r="T12" s="103"/>
      <c r="U12" s="103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</row>
    <row r="13" spans="1:67" s="107" customFormat="1" ht="14.25" customHeight="1" x14ac:dyDescent="0.35">
      <c r="A13" s="108">
        <f>[1]Control!AX20</f>
        <v>45995</v>
      </c>
      <c r="B13" s="99"/>
      <c r="C13" s="142">
        <f>[2]Distribute!O60+[2]Distribute!U60</f>
        <v>0</v>
      </c>
      <c r="D13" s="143">
        <v>1880.0050735667173</v>
      </c>
      <c r="E13" s="144">
        <f>[2]Distribute!O20+[2]Distribute!U20</f>
        <v>0</v>
      </c>
      <c r="F13" s="145">
        <v>1015.2027397260274</v>
      </c>
      <c r="G13" s="145">
        <f>[2]Distribute!P20+[2]Distribute!V20</f>
        <v>0</v>
      </c>
      <c r="H13" s="145">
        <v>1015.2027397260274</v>
      </c>
      <c r="I13" s="103"/>
      <c r="J13" s="103"/>
      <c r="K13" s="104"/>
      <c r="L13" s="108">
        <f t="shared" si="0"/>
        <v>45995</v>
      </c>
      <c r="M13" s="99"/>
      <c r="N13" s="142">
        <f>[2]Distribute!O60+[2]Distribute!U60</f>
        <v>0</v>
      </c>
      <c r="O13" s="143">
        <v>1880.0050735667173</v>
      </c>
      <c r="P13" s="146">
        <f>[2]Distribute!AO20+[2]Distribute!AU20</f>
        <v>0</v>
      </c>
      <c r="Q13" s="147">
        <v>15837162.739726027</v>
      </c>
      <c r="R13" s="147">
        <f>[2]Distribute!AP20+[2]Distribute!AV20</f>
        <v>0</v>
      </c>
      <c r="S13" s="147">
        <v>15837162.739726027</v>
      </c>
      <c r="T13" s="103"/>
      <c r="U13" s="103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</row>
    <row r="14" spans="1:67" s="107" customFormat="1" ht="14.25" customHeight="1" x14ac:dyDescent="0.35">
      <c r="A14" s="108">
        <f>[1]Control!AX21</f>
        <v>45996</v>
      </c>
      <c r="B14" s="99"/>
      <c r="C14" s="142">
        <f>[2]Distribute!O61+[2]Distribute!U61</f>
        <v>0</v>
      </c>
      <c r="D14" s="143">
        <v>1880.0050735667173</v>
      </c>
      <c r="E14" s="144">
        <f>[2]Distribute!O21+[2]Distribute!U21</f>
        <v>0</v>
      </c>
      <c r="F14" s="145">
        <v>1015.2027397260274</v>
      </c>
      <c r="G14" s="145">
        <f>[2]Distribute!P21+[2]Distribute!V21</f>
        <v>0</v>
      </c>
      <c r="H14" s="145">
        <v>1015.2027397260274</v>
      </c>
      <c r="I14" s="103"/>
      <c r="J14" s="103"/>
      <c r="K14" s="104"/>
      <c r="L14" s="108">
        <f t="shared" si="0"/>
        <v>45996</v>
      </c>
      <c r="M14" s="99"/>
      <c r="N14" s="142">
        <f>[2]Distribute!O61+[2]Distribute!U61</f>
        <v>0</v>
      </c>
      <c r="O14" s="143">
        <v>1880.0050735667173</v>
      </c>
      <c r="P14" s="146">
        <f>[2]Distribute!AO21+[2]Distribute!AU21</f>
        <v>0</v>
      </c>
      <c r="Q14" s="147">
        <v>15837162.739726027</v>
      </c>
      <c r="R14" s="147">
        <f>[2]Distribute!AP21+[2]Distribute!AV21</f>
        <v>0</v>
      </c>
      <c r="S14" s="147">
        <v>15837162.739726027</v>
      </c>
      <c r="T14" s="103"/>
      <c r="U14" s="103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</row>
    <row r="15" spans="1:67" s="107" customFormat="1" ht="14.25" customHeight="1" x14ac:dyDescent="0.35">
      <c r="A15" s="108">
        <f>[1]Control!AX22</f>
        <v>45997</v>
      </c>
      <c r="B15" s="99"/>
      <c r="C15" s="142">
        <f>[2]Distribute!O62+[2]Distribute!U62</f>
        <v>0</v>
      </c>
      <c r="D15" s="143">
        <v>1880.0050735667173</v>
      </c>
      <c r="E15" s="144">
        <f>[2]Distribute!O22+[2]Distribute!U22</f>
        <v>0</v>
      </c>
      <c r="F15" s="145">
        <v>1015.2027397260274</v>
      </c>
      <c r="G15" s="145">
        <f>[2]Distribute!P22+[2]Distribute!V22</f>
        <v>0</v>
      </c>
      <c r="H15" s="145">
        <v>1015.2027397260274</v>
      </c>
      <c r="I15" s="103"/>
      <c r="J15" s="103"/>
      <c r="K15" s="104"/>
      <c r="L15" s="108">
        <f t="shared" si="0"/>
        <v>45997</v>
      </c>
      <c r="M15" s="99"/>
      <c r="N15" s="142">
        <f>[2]Distribute!O62+[2]Distribute!U62</f>
        <v>0</v>
      </c>
      <c r="O15" s="143">
        <v>1880.0050735667173</v>
      </c>
      <c r="P15" s="146">
        <f>[2]Distribute!AO22+[2]Distribute!AU22</f>
        <v>0</v>
      </c>
      <c r="Q15" s="147">
        <v>15837162.739726027</v>
      </c>
      <c r="R15" s="147">
        <f>[2]Distribute!AP22+[2]Distribute!AV22</f>
        <v>0</v>
      </c>
      <c r="S15" s="147">
        <v>15837162.739726027</v>
      </c>
      <c r="T15" s="103"/>
      <c r="U15" s="103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</row>
    <row r="16" spans="1:67" s="107" customFormat="1" ht="14.25" customHeight="1" x14ac:dyDescent="0.35">
      <c r="A16" s="108">
        <f>[1]Control!AX23</f>
        <v>45998</v>
      </c>
      <c r="B16" s="99"/>
      <c r="C16" s="142">
        <f>[2]Distribute!O63+[2]Distribute!U63</f>
        <v>0</v>
      </c>
      <c r="D16" s="143">
        <v>1880.0050735667173</v>
      </c>
      <c r="E16" s="144">
        <f>[2]Distribute!O23+[2]Distribute!U23</f>
        <v>0</v>
      </c>
      <c r="F16" s="145">
        <v>1015.2027397260274</v>
      </c>
      <c r="G16" s="145">
        <f>[2]Distribute!P23+[2]Distribute!V23</f>
        <v>0</v>
      </c>
      <c r="H16" s="145">
        <v>1015.2027397260274</v>
      </c>
      <c r="I16" s="103"/>
      <c r="J16" s="103"/>
      <c r="K16" s="104"/>
      <c r="L16" s="108">
        <f t="shared" si="0"/>
        <v>45998</v>
      </c>
      <c r="M16" s="99"/>
      <c r="N16" s="142">
        <f>[2]Distribute!O63+[2]Distribute!U63</f>
        <v>0</v>
      </c>
      <c r="O16" s="143">
        <v>1880.0050735667173</v>
      </c>
      <c r="P16" s="146">
        <f>[2]Distribute!AO23+[2]Distribute!AU23</f>
        <v>0</v>
      </c>
      <c r="Q16" s="147">
        <v>15837162.739726027</v>
      </c>
      <c r="R16" s="147">
        <f>[2]Distribute!AP23+[2]Distribute!AV23</f>
        <v>0</v>
      </c>
      <c r="S16" s="147">
        <v>15837162.739726027</v>
      </c>
      <c r="T16" s="103"/>
      <c r="U16" s="103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</row>
    <row r="17" spans="1:67" s="107" customFormat="1" ht="14.25" customHeight="1" x14ac:dyDescent="0.35">
      <c r="A17" s="108">
        <f>[1]Control!AX24</f>
        <v>45999</v>
      </c>
      <c r="B17" s="99"/>
      <c r="C17" s="142">
        <f>[2]Distribute!O64+[2]Distribute!U64</f>
        <v>0</v>
      </c>
      <c r="D17" s="143">
        <v>1880.0050735667173</v>
      </c>
      <c r="E17" s="144">
        <f>[2]Distribute!O24+[2]Distribute!U24</f>
        <v>0</v>
      </c>
      <c r="F17" s="145">
        <v>1015.2027397260274</v>
      </c>
      <c r="G17" s="145">
        <f>[2]Distribute!P24+[2]Distribute!V24</f>
        <v>0</v>
      </c>
      <c r="H17" s="145">
        <v>1015.2027397260274</v>
      </c>
      <c r="I17" s="103"/>
      <c r="J17" s="103"/>
      <c r="K17" s="104"/>
      <c r="L17" s="108">
        <f t="shared" si="0"/>
        <v>45999</v>
      </c>
      <c r="M17" s="99"/>
      <c r="N17" s="142">
        <f>[2]Distribute!O64+[2]Distribute!U64</f>
        <v>0</v>
      </c>
      <c r="O17" s="143">
        <v>1880.0050735667173</v>
      </c>
      <c r="P17" s="146">
        <f>[2]Distribute!AO24+[2]Distribute!AU24</f>
        <v>0</v>
      </c>
      <c r="Q17" s="147">
        <v>15837162.739726027</v>
      </c>
      <c r="R17" s="147">
        <f>[2]Distribute!AP24+[2]Distribute!AV24</f>
        <v>0</v>
      </c>
      <c r="S17" s="147">
        <v>15837162.739726027</v>
      </c>
      <c r="T17" s="103"/>
      <c r="U17" s="103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</row>
    <row r="18" spans="1:67" s="107" customFormat="1" ht="14.25" customHeight="1" x14ac:dyDescent="0.35">
      <c r="A18" s="108">
        <f>[1]Control!AX25</f>
        <v>46000</v>
      </c>
      <c r="B18" s="99"/>
      <c r="C18" s="142">
        <f>[2]Distribute!O65+[2]Distribute!U65</f>
        <v>0</v>
      </c>
      <c r="D18" s="143">
        <v>1880.0050735667173</v>
      </c>
      <c r="E18" s="144">
        <f>[2]Distribute!O25+[2]Distribute!U25</f>
        <v>0</v>
      </c>
      <c r="F18" s="145">
        <v>1015.2027397260274</v>
      </c>
      <c r="G18" s="145">
        <f>[2]Distribute!P25+[2]Distribute!V25</f>
        <v>0</v>
      </c>
      <c r="H18" s="145">
        <v>1015.2027397260274</v>
      </c>
      <c r="I18" s="103"/>
      <c r="J18" s="103"/>
      <c r="K18" s="104"/>
      <c r="L18" s="108">
        <f t="shared" si="0"/>
        <v>46000</v>
      </c>
      <c r="M18" s="99"/>
      <c r="N18" s="142">
        <f>[2]Distribute!O65+[2]Distribute!U65</f>
        <v>0</v>
      </c>
      <c r="O18" s="143">
        <v>1880.0050735667173</v>
      </c>
      <c r="P18" s="146">
        <f>[2]Distribute!AO25+[2]Distribute!AU25</f>
        <v>0</v>
      </c>
      <c r="Q18" s="147">
        <v>15837162.739726027</v>
      </c>
      <c r="R18" s="147">
        <f>[2]Distribute!AP25+[2]Distribute!AV25</f>
        <v>0</v>
      </c>
      <c r="S18" s="147">
        <v>15837162.739726027</v>
      </c>
      <c r="T18" s="103"/>
      <c r="U18" s="103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</row>
    <row r="19" spans="1:67" s="107" customFormat="1" ht="14.25" customHeight="1" x14ac:dyDescent="0.35">
      <c r="A19" s="108">
        <f>[1]Control!AX26</f>
        <v>46001</v>
      </c>
      <c r="B19" s="99"/>
      <c r="C19" s="142">
        <f>[2]Distribute!O66+[2]Distribute!U66</f>
        <v>0</v>
      </c>
      <c r="D19" s="143">
        <v>1880.0050735667173</v>
      </c>
      <c r="E19" s="144">
        <f>[2]Distribute!O26+[2]Distribute!U26</f>
        <v>0</v>
      </c>
      <c r="F19" s="145">
        <v>1015.2027397260274</v>
      </c>
      <c r="G19" s="145">
        <f>[2]Distribute!P26+[2]Distribute!V26</f>
        <v>0</v>
      </c>
      <c r="H19" s="145">
        <v>1015.2027397260274</v>
      </c>
      <c r="I19" s="103"/>
      <c r="J19" s="103"/>
      <c r="K19" s="104"/>
      <c r="L19" s="108">
        <f t="shared" si="0"/>
        <v>46001</v>
      </c>
      <c r="M19" s="99"/>
      <c r="N19" s="142">
        <f>[2]Distribute!O66+[2]Distribute!U66</f>
        <v>0</v>
      </c>
      <c r="O19" s="143">
        <v>1880.0050735667173</v>
      </c>
      <c r="P19" s="146">
        <f>[2]Distribute!AO26+[2]Distribute!AU26</f>
        <v>0</v>
      </c>
      <c r="Q19" s="147">
        <v>15837162.739726027</v>
      </c>
      <c r="R19" s="147">
        <f>[2]Distribute!AP26+[2]Distribute!AV26</f>
        <v>0</v>
      </c>
      <c r="S19" s="147">
        <v>15837162.739726027</v>
      </c>
      <c r="T19" s="103"/>
      <c r="U19" s="103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</row>
    <row r="20" spans="1:67" s="107" customFormat="1" ht="14.25" customHeight="1" x14ac:dyDescent="0.35">
      <c r="A20" s="108">
        <f>[1]Control!AX27</f>
        <v>46002</v>
      </c>
      <c r="B20" s="99"/>
      <c r="C20" s="142">
        <f>[2]Distribute!O67+[2]Distribute!U67</f>
        <v>0</v>
      </c>
      <c r="D20" s="143">
        <v>1880.0050735667173</v>
      </c>
      <c r="E20" s="144">
        <f>[2]Distribute!O27+[2]Distribute!U27</f>
        <v>0</v>
      </c>
      <c r="F20" s="145">
        <v>1015.2027397260274</v>
      </c>
      <c r="G20" s="145">
        <f>[2]Distribute!P27+[2]Distribute!V27</f>
        <v>0</v>
      </c>
      <c r="H20" s="145">
        <v>1015.2027397260274</v>
      </c>
      <c r="I20" s="103"/>
      <c r="J20" s="103"/>
      <c r="K20" s="104"/>
      <c r="L20" s="108">
        <f t="shared" si="0"/>
        <v>46002</v>
      </c>
      <c r="M20" s="99"/>
      <c r="N20" s="142">
        <f>[2]Distribute!O67+[2]Distribute!U67</f>
        <v>0</v>
      </c>
      <c r="O20" s="143">
        <v>1880.0050735667173</v>
      </c>
      <c r="P20" s="146">
        <f>[2]Distribute!AO27+[2]Distribute!AU27</f>
        <v>0</v>
      </c>
      <c r="Q20" s="147">
        <v>15837162.739726027</v>
      </c>
      <c r="R20" s="147">
        <f>[2]Distribute!AP27+[2]Distribute!AV27</f>
        <v>0</v>
      </c>
      <c r="S20" s="147">
        <v>15837162.739726027</v>
      </c>
      <c r="T20" s="103"/>
      <c r="U20" s="103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</row>
    <row r="21" spans="1:67" s="107" customFormat="1" ht="14.25" customHeight="1" x14ac:dyDescent="0.35">
      <c r="A21" s="108">
        <f>[1]Control!AX28</f>
        <v>46003</v>
      </c>
      <c r="B21" s="99"/>
      <c r="C21" s="142">
        <f>[2]Distribute!O68+[2]Distribute!U68</f>
        <v>0</v>
      </c>
      <c r="D21" s="143">
        <v>1880.0050735667173</v>
      </c>
      <c r="E21" s="144">
        <f>[2]Distribute!O28+[2]Distribute!U28</f>
        <v>0</v>
      </c>
      <c r="F21" s="145">
        <v>1015.2027397260274</v>
      </c>
      <c r="G21" s="145">
        <f>[2]Distribute!P28+[2]Distribute!V28</f>
        <v>0</v>
      </c>
      <c r="H21" s="145">
        <v>1015.2027397260274</v>
      </c>
      <c r="I21" s="103"/>
      <c r="J21" s="103"/>
      <c r="K21" s="104"/>
      <c r="L21" s="108">
        <f t="shared" si="0"/>
        <v>46003</v>
      </c>
      <c r="M21" s="99"/>
      <c r="N21" s="142">
        <f>[2]Distribute!O68+[2]Distribute!U68</f>
        <v>0</v>
      </c>
      <c r="O21" s="143">
        <v>1880.0050735667173</v>
      </c>
      <c r="P21" s="146">
        <f>[2]Distribute!AO28+[2]Distribute!AU28</f>
        <v>0</v>
      </c>
      <c r="Q21" s="147">
        <v>15837162.739726027</v>
      </c>
      <c r="R21" s="147">
        <f>[2]Distribute!AP28+[2]Distribute!AV28</f>
        <v>0</v>
      </c>
      <c r="S21" s="147">
        <v>15837162.739726027</v>
      </c>
      <c r="T21" s="103"/>
      <c r="U21" s="103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</row>
    <row r="22" spans="1:67" s="107" customFormat="1" ht="14.25" customHeight="1" x14ac:dyDescent="0.35">
      <c r="A22" s="108">
        <f>[1]Control!AX29</f>
        <v>46004</v>
      </c>
      <c r="B22" s="99"/>
      <c r="C22" s="142">
        <f>[2]Distribute!O69+[2]Distribute!U69</f>
        <v>0</v>
      </c>
      <c r="D22" s="143">
        <v>1880.0050735667173</v>
      </c>
      <c r="E22" s="144">
        <f>[2]Distribute!O29+[2]Distribute!U29</f>
        <v>0</v>
      </c>
      <c r="F22" s="145">
        <v>1015.2027397260274</v>
      </c>
      <c r="G22" s="145">
        <f>[2]Distribute!P29+[2]Distribute!V29</f>
        <v>0</v>
      </c>
      <c r="H22" s="145">
        <v>1015.2027397260274</v>
      </c>
      <c r="I22" s="103"/>
      <c r="J22" s="103"/>
      <c r="K22" s="104"/>
      <c r="L22" s="108">
        <f t="shared" si="0"/>
        <v>46004</v>
      </c>
      <c r="M22" s="99"/>
      <c r="N22" s="142">
        <f>[2]Distribute!O69+[2]Distribute!U69</f>
        <v>0</v>
      </c>
      <c r="O22" s="143">
        <v>1880.0050735667173</v>
      </c>
      <c r="P22" s="146">
        <f>[2]Distribute!AO29+[2]Distribute!AU29</f>
        <v>0</v>
      </c>
      <c r="Q22" s="147">
        <v>15837162.739726027</v>
      </c>
      <c r="R22" s="147">
        <f>[2]Distribute!AP29+[2]Distribute!AV29</f>
        <v>0</v>
      </c>
      <c r="S22" s="147">
        <v>15837162.739726027</v>
      </c>
      <c r="T22" s="103"/>
      <c r="U22" s="103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</row>
    <row r="23" spans="1:67" s="107" customFormat="1" ht="14.25" customHeight="1" x14ac:dyDescent="0.35">
      <c r="A23" s="108">
        <f>[1]Control!AX30</f>
        <v>46005</v>
      </c>
      <c r="B23" s="99"/>
      <c r="C23" s="142">
        <f>[2]Distribute!O70+[2]Distribute!U70</f>
        <v>0</v>
      </c>
      <c r="D23" s="143">
        <v>1880.0050735667173</v>
      </c>
      <c r="E23" s="144">
        <f>[2]Distribute!O30+[2]Distribute!U30</f>
        <v>0</v>
      </c>
      <c r="F23" s="145">
        <v>1015.2027397260274</v>
      </c>
      <c r="G23" s="145">
        <f>[2]Distribute!P30+[2]Distribute!V30</f>
        <v>0</v>
      </c>
      <c r="H23" s="145">
        <v>1015.2027397260274</v>
      </c>
      <c r="I23" s="103"/>
      <c r="J23" s="103"/>
      <c r="K23" s="104"/>
      <c r="L23" s="108">
        <f t="shared" si="0"/>
        <v>46005</v>
      </c>
      <c r="M23" s="99"/>
      <c r="N23" s="142">
        <f>[2]Distribute!O70+[2]Distribute!U70</f>
        <v>0</v>
      </c>
      <c r="O23" s="143">
        <v>1880.0050735667173</v>
      </c>
      <c r="P23" s="146">
        <f>[2]Distribute!AO30+[2]Distribute!AU30</f>
        <v>0</v>
      </c>
      <c r="Q23" s="147">
        <v>15837162.739726027</v>
      </c>
      <c r="R23" s="147">
        <f>[2]Distribute!AP30+[2]Distribute!AV30</f>
        <v>0</v>
      </c>
      <c r="S23" s="147">
        <v>15837162.739726027</v>
      </c>
      <c r="T23" s="103"/>
      <c r="U23" s="103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</row>
    <row r="24" spans="1:67" s="107" customFormat="1" ht="14.25" customHeight="1" x14ac:dyDescent="0.35">
      <c r="A24" s="108">
        <f>[1]Control!AX31</f>
        <v>46006</v>
      </c>
      <c r="B24" s="99"/>
      <c r="C24" s="142">
        <f>[2]Distribute!O71+[2]Distribute!U71</f>
        <v>0</v>
      </c>
      <c r="D24" s="143">
        <v>1880.0050735667173</v>
      </c>
      <c r="E24" s="144">
        <f>[2]Distribute!O31+[2]Distribute!U31</f>
        <v>0</v>
      </c>
      <c r="F24" s="145">
        <v>1015.2027397260274</v>
      </c>
      <c r="G24" s="145">
        <f>[2]Distribute!P31+[2]Distribute!V31</f>
        <v>0</v>
      </c>
      <c r="H24" s="145">
        <v>1015.2027397260274</v>
      </c>
      <c r="I24" s="103"/>
      <c r="J24" s="103"/>
      <c r="K24" s="104"/>
      <c r="L24" s="108">
        <f t="shared" si="0"/>
        <v>46006</v>
      </c>
      <c r="M24" s="99"/>
      <c r="N24" s="142">
        <f>[2]Distribute!O71+[2]Distribute!U71</f>
        <v>0</v>
      </c>
      <c r="O24" s="143">
        <v>1880.0050735667173</v>
      </c>
      <c r="P24" s="146">
        <f>[2]Distribute!AO31+[2]Distribute!AU31</f>
        <v>0</v>
      </c>
      <c r="Q24" s="147">
        <v>15837162.739726027</v>
      </c>
      <c r="R24" s="147">
        <f>[2]Distribute!AP31+[2]Distribute!AV31</f>
        <v>0</v>
      </c>
      <c r="S24" s="147">
        <v>15837162.739726027</v>
      </c>
      <c r="T24" s="103"/>
      <c r="U24" s="103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</row>
    <row r="25" spans="1:67" s="107" customFormat="1" ht="14.25" customHeight="1" x14ac:dyDescent="0.35">
      <c r="A25" s="108">
        <f>[1]Control!AX32</f>
        <v>46007</v>
      </c>
      <c r="B25" s="99"/>
      <c r="C25" s="142">
        <f>[2]Distribute!O72+[2]Distribute!U72</f>
        <v>0</v>
      </c>
      <c r="D25" s="143">
        <v>1880.0050735667173</v>
      </c>
      <c r="E25" s="144">
        <f>[2]Distribute!O32+[2]Distribute!U32</f>
        <v>0</v>
      </c>
      <c r="F25" s="145">
        <v>1015.2027397260274</v>
      </c>
      <c r="G25" s="145">
        <f>[2]Distribute!P32+[2]Distribute!V32</f>
        <v>0</v>
      </c>
      <c r="H25" s="145">
        <v>1015.2027397260274</v>
      </c>
      <c r="I25" s="103"/>
      <c r="J25" s="103"/>
      <c r="K25" s="104"/>
      <c r="L25" s="108">
        <f t="shared" si="0"/>
        <v>46007</v>
      </c>
      <c r="M25" s="99"/>
      <c r="N25" s="142">
        <f>[2]Distribute!O72+[2]Distribute!U72</f>
        <v>0</v>
      </c>
      <c r="O25" s="143">
        <v>1880.0050735667173</v>
      </c>
      <c r="P25" s="146">
        <f>[2]Distribute!AO32+[2]Distribute!AU32</f>
        <v>0</v>
      </c>
      <c r="Q25" s="147">
        <v>15837162.739726027</v>
      </c>
      <c r="R25" s="147">
        <f>[2]Distribute!AP32+[2]Distribute!AV32</f>
        <v>0</v>
      </c>
      <c r="S25" s="147">
        <v>15837162.739726027</v>
      </c>
      <c r="T25" s="103"/>
      <c r="U25" s="103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</row>
    <row r="26" spans="1:67" s="107" customFormat="1" ht="14.25" customHeight="1" x14ac:dyDescent="0.35">
      <c r="A26" s="108">
        <f>[1]Control!AX33</f>
        <v>46008</v>
      </c>
      <c r="B26" s="99"/>
      <c r="C26" s="142">
        <f>[2]Distribute!O73+[2]Distribute!U73</f>
        <v>0</v>
      </c>
      <c r="D26" s="143">
        <v>1880.0050735667173</v>
      </c>
      <c r="E26" s="144">
        <f>[2]Distribute!O33+[2]Distribute!U33</f>
        <v>0</v>
      </c>
      <c r="F26" s="145">
        <v>1015.2027397260274</v>
      </c>
      <c r="G26" s="145">
        <f>[2]Distribute!P33+[2]Distribute!V33</f>
        <v>0</v>
      </c>
      <c r="H26" s="145">
        <v>1015.2027397260274</v>
      </c>
      <c r="I26" s="103"/>
      <c r="J26" s="103"/>
      <c r="K26" s="104"/>
      <c r="L26" s="108">
        <f t="shared" si="0"/>
        <v>46008</v>
      </c>
      <c r="M26" s="99"/>
      <c r="N26" s="142">
        <f>[2]Distribute!O73+[2]Distribute!U73</f>
        <v>0</v>
      </c>
      <c r="O26" s="143">
        <v>1880.0050735667173</v>
      </c>
      <c r="P26" s="146">
        <f>[2]Distribute!AO33+[2]Distribute!AU33</f>
        <v>0</v>
      </c>
      <c r="Q26" s="147">
        <v>15837162.739726027</v>
      </c>
      <c r="R26" s="147">
        <f>[2]Distribute!AP33+[2]Distribute!AV33</f>
        <v>0</v>
      </c>
      <c r="S26" s="147">
        <v>15837162.739726027</v>
      </c>
      <c r="T26" s="103"/>
      <c r="U26" s="103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</row>
    <row r="27" spans="1:67" s="107" customFormat="1" ht="14.25" customHeight="1" x14ac:dyDescent="0.35">
      <c r="A27" s="108">
        <f>[1]Control!AX34</f>
        <v>46009</v>
      </c>
      <c r="B27" s="99"/>
      <c r="C27" s="142">
        <f>[2]Distribute!O74+[2]Distribute!U74</f>
        <v>0</v>
      </c>
      <c r="D27" s="143">
        <v>1880.0050735667173</v>
      </c>
      <c r="E27" s="144">
        <f>[2]Distribute!O34+[2]Distribute!U34</f>
        <v>0</v>
      </c>
      <c r="F27" s="145">
        <v>1015.2027397260274</v>
      </c>
      <c r="G27" s="145">
        <f>[2]Distribute!P34+[2]Distribute!V34</f>
        <v>0</v>
      </c>
      <c r="H27" s="145">
        <v>1015.2027397260274</v>
      </c>
      <c r="I27" s="103"/>
      <c r="J27" s="103"/>
      <c r="K27" s="104"/>
      <c r="L27" s="108">
        <f t="shared" si="0"/>
        <v>46009</v>
      </c>
      <c r="M27" s="99"/>
      <c r="N27" s="142">
        <f>[2]Distribute!O74+[2]Distribute!U74</f>
        <v>0</v>
      </c>
      <c r="O27" s="143">
        <v>1880.0050735667173</v>
      </c>
      <c r="P27" s="146">
        <f>[2]Distribute!AO34+[2]Distribute!AU34</f>
        <v>0</v>
      </c>
      <c r="Q27" s="147">
        <v>15837162.739726027</v>
      </c>
      <c r="R27" s="147">
        <f>[2]Distribute!AP34+[2]Distribute!AV34</f>
        <v>0</v>
      </c>
      <c r="S27" s="147">
        <v>15837162.739726027</v>
      </c>
      <c r="T27" s="103"/>
      <c r="U27" s="103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</row>
    <row r="28" spans="1:67" s="107" customFormat="1" ht="14.25" customHeight="1" x14ac:dyDescent="0.35">
      <c r="A28" s="108">
        <f>[1]Control!AX35</f>
        <v>46010</v>
      </c>
      <c r="B28" s="99"/>
      <c r="C28" s="142">
        <f>[2]Distribute!O75+[2]Distribute!U75</f>
        <v>0</v>
      </c>
      <c r="D28" s="143">
        <v>1880.0050735667173</v>
      </c>
      <c r="E28" s="144">
        <f>[2]Distribute!O35+[2]Distribute!U35</f>
        <v>0</v>
      </c>
      <c r="F28" s="145">
        <v>1015.2027397260274</v>
      </c>
      <c r="G28" s="145">
        <f>[2]Distribute!P35+[2]Distribute!V35</f>
        <v>0</v>
      </c>
      <c r="H28" s="145">
        <v>1015.2027397260274</v>
      </c>
      <c r="I28" s="103"/>
      <c r="J28" s="103"/>
      <c r="K28" s="104"/>
      <c r="L28" s="108">
        <f t="shared" si="0"/>
        <v>46010</v>
      </c>
      <c r="M28" s="99"/>
      <c r="N28" s="142">
        <f>[2]Distribute!O75+[2]Distribute!U75</f>
        <v>0</v>
      </c>
      <c r="O28" s="143">
        <v>1880.0050735667173</v>
      </c>
      <c r="P28" s="146">
        <f>[2]Distribute!AO35+[2]Distribute!AU35</f>
        <v>0</v>
      </c>
      <c r="Q28" s="147">
        <v>15837162.739726027</v>
      </c>
      <c r="R28" s="147">
        <f>[2]Distribute!AP35+[2]Distribute!AV35</f>
        <v>0</v>
      </c>
      <c r="S28" s="147">
        <v>15837162.739726027</v>
      </c>
      <c r="T28" s="103"/>
      <c r="U28" s="103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</row>
    <row r="29" spans="1:67" s="107" customFormat="1" ht="14.25" customHeight="1" x14ac:dyDescent="0.35">
      <c r="A29" s="108">
        <f>[1]Control!AX36</f>
        <v>46011</v>
      </c>
      <c r="B29" s="99"/>
      <c r="C29" s="142">
        <f>[2]Distribute!O76+[2]Distribute!U76</f>
        <v>0</v>
      </c>
      <c r="D29" s="143">
        <v>1880.0050735667173</v>
      </c>
      <c r="E29" s="144">
        <f>[2]Distribute!O36+[2]Distribute!U36</f>
        <v>0</v>
      </c>
      <c r="F29" s="145">
        <v>1015.2027397260274</v>
      </c>
      <c r="G29" s="145">
        <f>[2]Distribute!P36+[2]Distribute!V36</f>
        <v>0</v>
      </c>
      <c r="H29" s="145">
        <v>1015.2027397260274</v>
      </c>
      <c r="I29" s="103"/>
      <c r="J29" s="103"/>
      <c r="K29" s="104"/>
      <c r="L29" s="108">
        <f t="shared" si="0"/>
        <v>46011</v>
      </c>
      <c r="M29" s="99"/>
      <c r="N29" s="142">
        <f>[2]Distribute!O76+[2]Distribute!U76</f>
        <v>0</v>
      </c>
      <c r="O29" s="143">
        <v>1880.0050735667173</v>
      </c>
      <c r="P29" s="146">
        <f>[2]Distribute!AO36+[2]Distribute!AU36</f>
        <v>0</v>
      </c>
      <c r="Q29" s="147">
        <v>15837162.739726027</v>
      </c>
      <c r="R29" s="147">
        <f>[2]Distribute!AP36+[2]Distribute!AV36</f>
        <v>0</v>
      </c>
      <c r="S29" s="147">
        <v>15837162.739726027</v>
      </c>
      <c r="T29" s="103"/>
      <c r="U29" s="103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</row>
    <row r="30" spans="1:67" s="107" customFormat="1" ht="14.25" customHeight="1" x14ac:dyDescent="0.35">
      <c r="A30" s="108">
        <f>[1]Control!AX37</f>
        <v>46012</v>
      </c>
      <c r="B30" s="99"/>
      <c r="C30" s="142">
        <f>[2]Distribute!O77+[2]Distribute!U77</f>
        <v>0</v>
      </c>
      <c r="D30" s="143">
        <v>1880.0050735667173</v>
      </c>
      <c r="E30" s="144">
        <f>[2]Distribute!O37+[2]Distribute!U37</f>
        <v>0</v>
      </c>
      <c r="F30" s="145">
        <v>1015.2027397260274</v>
      </c>
      <c r="G30" s="145">
        <f>[2]Distribute!P37+[2]Distribute!V37</f>
        <v>0</v>
      </c>
      <c r="H30" s="145">
        <v>1015.2027397260274</v>
      </c>
      <c r="I30" s="103"/>
      <c r="J30" s="103"/>
      <c r="K30" s="104"/>
      <c r="L30" s="108">
        <f t="shared" si="0"/>
        <v>46012</v>
      </c>
      <c r="M30" s="99"/>
      <c r="N30" s="142">
        <f>[2]Distribute!O77+[2]Distribute!U77</f>
        <v>0</v>
      </c>
      <c r="O30" s="143">
        <v>1880.0050735667173</v>
      </c>
      <c r="P30" s="146">
        <f>[2]Distribute!AO37+[2]Distribute!AU37</f>
        <v>0</v>
      </c>
      <c r="Q30" s="147">
        <v>15837162.739726027</v>
      </c>
      <c r="R30" s="147">
        <f>[2]Distribute!AP37+[2]Distribute!AV37</f>
        <v>0</v>
      </c>
      <c r="S30" s="147">
        <v>15837162.739726027</v>
      </c>
      <c r="T30" s="103"/>
      <c r="U30" s="103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</row>
    <row r="31" spans="1:67" s="107" customFormat="1" ht="14.25" customHeight="1" x14ac:dyDescent="0.35">
      <c r="A31" s="108">
        <f>[1]Control!AX38</f>
        <v>46013</v>
      </c>
      <c r="B31" s="99"/>
      <c r="C31" s="142">
        <f>[2]Distribute!O78+[2]Distribute!U78</f>
        <v>0</v>
      </c>
      <c r="D31" s="143">
        <v>1880.0050735667173</v>
      </c>
      <c r="E31" s="144">
        <f>[2]Distribute!O38+[2]Distribute!U38</f>
        <v>0</v>
      </c>
      <c r="F31" s="145">
        <v>1015.2027397260274</v>
      </c>
      <c r="G31" s="145">
        <f>[2]Distribute!P38+[2]Distribute!V38</f>
        <v>0</v>
      </c>
      <c r="H31" s="145">
        <v>1015.2027397260274</v>
      </c>
      <c r="I31" s="103"/>
      <c r="J31" s="103"/>
      <c r="K31" s="104"/>
      <c r="L31" s="108">
        <f t="shared" si="0"/>
        <v>46013</v>
      </c>
      <c r="M31" s="99"/>
      <c r="N31" s="142">
        <f>[2]Distribute!O78+[2]Distribute!U78</f>
        <v>0</v>
      </c>
      <c r="O31" s="143">
        <v>1880.0050735667173</v>
      </c>
      <c r="P31" s="146">
        <f>[2]Distribute!AO38+[2]Distribute!AU38</f>
        <v>0</v>
      </c>
      <c r="Q31" s="147">
        <v>15837162.739726027</v>
      </c>
      <c r="R31" s="147">
        <f>[2]Distribute!AP38+[2]Distribute!AV38</f>
        <v>0</v>
      </c>
      <c r="S31" s="147">
        <v>15837162.739726027</v>
      </c>
      <c r="T31" s="103"/>
      <c r="U31" s="103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</row>
    <row r="32" spans="1:67" s="107" customFormat="1" ht="14.25" customHeight="1" x14ac:dyDescent="0.35">
      <c r="A32" s="108">
        <f>[1]Control!AX39</f>
        <v>46014</v>
      </c>
      <c r="B32" s="99"/>
      <c r="C32" s="142">
        <f>[2]Distribute!O79+[2]Distribute!U79</f>
        <v>0</v>
      </c>
      <c r="D32" s="143">
        <v>1880.0050735667173</v>
      </c>
      <c r="E32" s="144">
        <f>[2]Distribute!O39+[2]Distribute!U39</f>
        <v>0</v>
      </c>
      <c r="F32" s="145">
        <v>1015.2027397260274</v>
      </c>
      <c r="G32" s="145">
        <f>[2]Distribute!P39+[2]Distribute!V39</f>
        <v>0</v>
      </c>
      <c r="H32" s="145">
        <v>1015.2027397260274</v>
      </c>
      <c r="I32" s="103"/>
      <c r="J32" s="103"/>
      <c r="K32" s="104"/>
      <c r="L32" s="108">
        <f t="shared" si="0"/>
        <v>46014</v>
      </c>
      <c r="M32" s="99"/>
      <c r="N32" s="142">
        <f>[2]Distribute!O79+[2]Distribute!U79</f>
        <v>0</v>
      </c>
      <c r="O32" s="143">
        <v>1880.0050735667173</v>
      </c>
      <c r="P32" s="146">
        <f>[2]Distribute!AO39+[2]Distribute!AU39</f>
        <v>0</v>
      </c>
      <c r="Q32" s="147">
        <v>15837162.739726027</v>
      </c>
      <c r="R32" s="147">
        <f>[2]Distribute!AP39+[2]Distribute!AV39</f>
        <v>0</v>
      </c>
      <c r="S32" s="147">
        <v>15837162.739726027</v>
      </c>
      <c r="T32" s="103"/>
      <c r="U32" s="103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</row>
    <row r="33" spans="1:67" s="107" customFormat="1" ht="14.25" customHeight="1" x14ac:dyDescent="0.35">
      <c r="A33" s="108">
        <f>[1]Control!AX40</f>
        <v>46015</v>
      </c>
      <c r="B33" s="99"/>
      <c r="C33" s="142">
        <f>[2]Distribute!O80+[2]Distribute!U80</f>
        <v>0</v>
      </c>
      <c r="D33" s="143">
        <v>1880.0050735667173</v>
      </c>
      <c r="E33" s="144">
        <f>[2]Distribute!O40+[2]Distribute!U40</f>
        <v>0</v>
      </c>
      <c r="F33" s="145">
        <v>1015.2027397260274</v>
      </c>
      <c r="G33" s="145">
        <f>[2]Distribute!P40+[2]Distribute!V40</f>
        <v>0</v>
      </c>
      <c r="H33" s="145">
        <v>1015.2027397260274</v>
      </c>
      <c r="I33" s="103"/>
      <c r="J33" s="103"/>
      <c r="K33" s="104"/>
      <c r="L33" s="108">
        <f t="shared" si="0"/>
        <v>46015</v>
      </c>
      <c r="M33" s="99"/>
      <c r="N33" s="142">
        <f>[2]Distribute!O80+[2]Distribute!U80</f>
        <v>0</v>
      </c>
      <c r="O33" s="143">
        <v>1880.0050735667173</v>
      </c>
      <c r="P33" s="146">
        <f>[2]Distribute!AO40+[2]Distribute!AU40</f>
        <v>0</v>
      </c>
      <c r="Q33" s="147">
        <v>15837162.739726027</v>
      </c>
      <c r="R33" s="147">
        <f>[2]Distribute!AP40+[2]Distribute!AV40</f>
        <v>0</v>
      </c>
      <c r="S33" s="147">
        <v>15837162.739726027</v>
      </c>
      <c r="T33" s="103"/>
      <c r="U33" s="103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</row>
    <row r="34" spans="1:67" s="107" customFormat="1" ht="14.25" customHeight="1" thickBot="1" x14ac:dyDescent="0.4">
      <c r="A34" s="108" t="str">
        <f>[1]Control!AX41</f>
        <v>-</v>
      </c>
      <c r="B34" s="99"/>
      <c r="C34" s="142">
        <f>[2]Distribute!O81+[2]Distribute!U81</f>
        <v>0</v>
      </c>
      <c r="D34" s="143"/>
      <c r="E34" s="144">
        <f>[2]Distribute!O41+[2]Distribute!U41</f>
        <v>0</v>
      </c>
      <c r="F34" s="145"/>
      <c r="G34" s="145">
        <f>[2]Distribute!P41+[2]Distribute!V41</f>
        <v>0</v>
      </c>
      <c r="H34" s="145"/>
      <c r="I34" s="103"/>
      <c r="J34" s="103"/>
      <c r="K34" s="104"/>
      <c r="L34" s="108" t="str">
        <f t="shared" si="0"/>
        <v>-</v>
      </c>
      <c r="M34" s="99"/>
      <c r="N34" s="142">
        <f>[2]Distribute!O81+[2]Distribute!U81</f>
        <v>0</v>
      </c>
      <c r="O34" s="143"/>
      <c r="P34" s="146">
        <f>[2]Distribute!AO41+[2]Distribute!AU41</f>
        <v>0</v>
      </c>
      <c r="Q34" s="147"/>
      <c r="R34" s="147">
        <f>[2]Distribute!AP41+[2]Distribute!AV41</f>
        <v>0</v>
      </c>
      <c r="S34" s="147"/>
      <c r="T34" s="103"/>
      <c r="U34" s="103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</row>
    <row r="35" spans="1:67" s="116" customFormat="1" ht="27.75" customHeight="1" thickBot="1" x14ac:dyDescent="0.4">
      <c r="A35" s="109" t="s">
        <v>58</v>
      </c>
      <c r="B35" s="110"/>
      <c r="C35" s="111">
        <f>SUM(C4:C34)</f>
        <v>0</v>
      </c>
      <c r="D35" s="111">
        <f>SUM(D4:D34)</f>
        <v>56400.15220700152</v>
      </c>
      <c r="E35" s="112">
        <f t="shared" ref="E35:H35" si="1">SUM(E4:E34)</f>
        <v>0</v>
      </c>
      <c r="F35" s="112">
        <f t="shared" si="1"/>
        <v>30456.082191780835</v>
      </c>
      <c r="G35" s="112">
        <f t="shared" si="1"/>
        <v>0</v>
      </c>
      <c r="H35" s="112">
        <f t="shared" si="1"/>
        <v>30456.082191780835</v>
      </c>
      <c r="I35" s="113"/>
      <c r="J35" s="113"/>
      <c r="K35" s="114"/>
      <c r="L35" s="109" t="s">
        <v>59</v>
      </c>
      <c r="M35" s="110"/>
      <c r="N35" s="111">
        <f>SUM(N4:N34)</f>
        <v>0</v>
      </c>
      <c r="O35" s="111">
        <f>SUM(O4:O34)</f>
        <v>56400.15220700152</v>
      </c>
      <c r="P35" s="115">
        <f>SUM(P4:P34)</f>
        <v>0</v>
      </c>
      <c r="Q35" s="115">
        <f>SUM(Q4:Q34)</f>
        <v>475114882.19178063</v>
      </c>
      <c r="R35" s="115">
        <f t="shared" ref="R35:S35" si="2">SUM(R4:R34)</f>
        <v>0</v>
      </c>
      <c r="S35" s="115">
        <f t="shared" si="2"/>
        <v>475114882.19178063</v>
      </c>
      <c r="T35" s="113"/>
      <c r="U35" s="113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  <c r="BO35" s="114"/>
    </row>
    <row r="36" spans="1:67" s="116" customFormat="1" ht="27.75" customHeight="1" thickBot="1" x14ac:dyDescent="0.4">
      <c r="A36" s="148" t="s">
        <v>60</v>
      </c>
      <c r="B36" s="110"/>
      <c r="C36" s="118">
        <f>AVERAGE(C4:C34)</f>
        <v>0</v>
      </c>
      <c r="D36" s="118">
        <f t="shared" ref="D36:H36" si="3">AVERAGE(D4:D34)</f>
        <v>1880.0050735667173</v>
      </c>
      <c r="E36" s="119">
        <f t="shared" si="3"/>
        <v>0</v>
      </c>
      <c r="F36" s="119">
        <f t="shared" si="3"/>
        <v>1015.2027397260279</v>
      </c>
      <c r="G36" s="119">
        <f t="shared" si="3"/>
        <v>0</v>
      </c>
      <c r="H36" s="119">
        <f t="shared" si="3"/>
        <v>1015.2027397260279</v>
      </c>
      <c r="I36" s="113"/>
      <c r="J36" s="113"/>
      <c r="K36" s="114"/>
      <c r="L36" s="117" t="s">
        <v>61</v>
      </c>
      <c r="M36" s="110"/>
      <c r="N36" s="118">
        <f>AVERAGE(N4:N34)</f>
        <v>0</v>
      </c>
      <c r="O36" s="118">
        <f t="shared" ref="O36:S36" si="4">AVERAGE(O4:O34)</f>
        <v>1880.0050735667173</v>
      </c>
      <c r="P36" s="120">
        <f t="shared" si="4"/>
        <v>0</v>
      </c>
      <c r="Q36" s="120">
        <f t="shared" si="4"/>
        <v>15837162.73972602</v>
      </c>
      <c r="R36" s="120">
        <f t="shared" si="4"/>
        <v>0</v>
      </c>
      <c r="S36" s="120">
        <f t="shared" si="4"/>
        <v>15837162.73972602</v>
      </c>
      <c r="T36" s="113"/>
      <c r="U36" s="113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  <c r="BO36" s="114"/>
    </row>
    <row r="37" spans="1:67" s="116" customFormat="1" ht="27.75" customHeight="1" thickBot="1" x14ac:dyDescent="0.4">
      <c r="A37" s="121"/>
      <c r="B37" s="110"/>
      <c r="C37" s="201" t="s">
        <v>62</v>
      </c>
      <c r="D37" s="201"/>
      <c r="E37" s="201" t="s">
        <v>63</v>
      </c>
      <c r="F37" s="201"/>
      <c r="G37" s="201" t="s">
        <v>64</v>
      </c>
      <c r="H37" s="201"/>
      <c r="I37" s="113"/>
      <c r="J37" s="113"/>
      <c r="K37" s="114"/>
      <c r="L37" s="121"/>
      <c r="M37" s="110"/>
      <c r="N37" s="201" t="s">
        <v>62</v>
      </c>
      <c r="O37" s="201"/>
      <c r="P37" s="201" t="s">
        <v>65</v>
      </c>
      <c r="Q37" s="201"/>
      <c r="R37" s="201" t="s">
        <v>66</v>
      </c>
      <c r="S37" s="201"/>
      <c r="T37" s="113"/>
      <c r="U37" s="113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14"/>
    </row>
    <row r="38" spans="1:67" s="116" customFormat="1" ht="27.75" customHeight="1" thickBot="1" x14ac:dyDescent="0.4">
      <c r="A38" s="117" t="s">
        <v>67</v>
      </c>
      <c r="B38" s="110"/>
      <c r="C38" s="202">
        <f>D35-C35</f>
        <v>56400.15220700152</v>
      </c>
      <c r="D38" s="203"/>
      <c r="E38" s="204">
        <f>F35-E35</f>
        <v>30456.082191780835</v>
      </c>
      <c r="F38" s="205"/>
      <c r="G38" s="204">
        <f>H35-G35</f>
        <v>30456.082191780835</v>
      </c>
      <c r="H38" s="205"/>
      <c r="I38" s="113"/>
      <c r="J38" s="113"/>
      <c r="K38" s="114"/>
      <c r="L38" s="117" t="s">
        <v>0</v>
      </c>
      <c r="M38" s="110"/>
      <c r="N38" s="202">
        <f>O35-N35</f>
        <v>56400.15220700152</v>
      </c>
      <c r="O38" s="203"/>
      <c r="P38" s="198">
        <f>Q35-P35</f>
        <v>475114882.19178063</v>
      </c>
      <c r="Q38" s="199"/>
      <c r="R38" s="198">
        <f>S35-R35</f>
        <v>475114882.19178063</v>
      </c>
      <c r="S38" s="199"/>
      <c r="T38" s="113"/>
      <c r="U38" s="113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4"/>
      <c r="BK38" s="114"/>
      <c r="BL38" s="114"/>
      <c r="BM38" s="114"/>
      <c r="BN38" s="114"/>
      <c r="BO38" s="114"/>
    </row>
    <row r="39" spans="1:67" s="126" customFormat="1" ht="17.25" customHeight="1" x14ac:dyDescent="0.35">
      <c r="A39" s="122"/>
      <c r="B39" s="123"/>
      <c r="C39" s="123"/>
      <c r="D39" s="123"/>
      <c r="E39" s="123"/>
      <c r="F39" s="123"/>
      <c r="G39" s="123"/>
      <c r="H39" s="123"/>
      <c r="I39" s="124"/>
      <c r="J39" s="124"/>
      <c r="K39" s="125"/>
      <c r="L39" s="122"/>
      <c r="M39" s="123"/>
      <c r="N39" s="123"/>
      <c r="O39" s="123"/>
      <c r="P39" s="123"/>
      <c r="Q39" s="123"/>
      <c r="R39" s="123"/>
      <c r="S39" s="123"/>
      <c r="T39" s="124"/>
      <c r="U39" s="124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</row>
    <row r="40" spans="1:67" s="152" customFormat="1" ht="17.25" customHeight="1" x14ac:dyDescent="0.35">
      <c r="A40" s="149"/>
      <c r="B40" s="150"/>
      <c r="C40" s="150"/>
      <c r="D40" s="150"/>
      <c r="E40" s="150"/>
      <c r="F40" s="150"/>
      <c r="G40" s="150"/>
      <c r="H40" s="150"/>
      <c r="I40" s="151"/>
      <c r="J40" s="151"/>
      <c r="K40" s="133"/>
      <c r="L40" s="149"/>
      <c r="M40" s="150"/>
      <c r="N40" s="150"/>
      <c r="O40" s="150"/>
      <c r="P40" s="150"/>
      <c r="Q40" s="150"/>
      <c r="R40" s="150"/>
      <c r="S40" s="150"/>
      <c r="T40" s="151"/>
      <c r="U40" s="151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</row>
    <row r="41" spans="1:67" s="126" customFormat="1" ht="17.25" customHeight="1" x14ac:dyDescent="0.35">
      <c r="A41" s="121"/>
      <c r="B41" s="123"/>
      <c r="C41" s="123"/>
      <c r="D41" s="123"/>
      <c r="E41" s="123"/>
      <c r="F41" s="123"/>
      <c r="G41" s="123"/>
      <c r="H41" s="123"/>
      <c r="I41" s="124"/>
      <c r="J41" s="124"/>
      <c r="K41" s="125"/>
      <c r="L41" s="121"/>
      <c r="M41" s="123"/>
      <c r="N41" s="123"/>
      <c r="O41" s="123"/>
      <c r="P41" s="123"/>
      <c r="Q41" s="123"/>
      <c r="R41" s="123"/>
      <c r="S41" s="123"/>
      <c r="T41" s="124"/>
      <c r="U41" s="124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</row>
    <row r="42" spans="1:67" s="126" customFormat="1" ht="17.25" customHeight="1" x14ac:dyDescent="0.35">
      <c r="A42" s="128"/>
      <c r="B42" s="129"/>
      <c r="C42" s="130"/>
      <c r="D42" s="130"/>
      <c r="E42" s="130"/>
      <c r="F42" s="130"/>
      <c r="G42" s="130"/>
      <c r="H42" s="130"/>
      <c r="I42" s="124"/>
      <c r="J42" s="124"/>
      <c r="K42" s="125"/>
      <c r="L42" s="128"/>
      <c r="M42" s="129"/>
      <c r="N42" s="130"/>
      <c r="O42" s="130"/>
      <c r="P42" s="130"/>
      <c r="Q42" s="130"/>
      <c r="R42" s="130"/>
      <c r="S42" s="130"/>
      <c r="T42" s="124"/>
      <c r="U42" s="124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</row>
    <row r="43" spans="1:67" s="126" customFormat="1" ht="17.25" customHeight="1" thickBot="1" x14ac:dyDescent="0.4">
      <c r="A43" s="131"/>
      <c r="B43" s="132"/>
      <c r="C43" s="132"/>
      <c r="D43" s="132"/>
      <c r="E43" s="132"/>
      <c r="F43" s="132"/>
      <c r="G43" s="132"/>
      <c r="H43" s="132"/>
      <c r="I43" s="124"/>
      <c r="J43" s="124"/>
      <c r="K43" s="125"/>
      <c r="L43" s="131"/>
      <c r="M43" s="132"/>
      <c r="N43" s="132"/>
      <c r="O43" s="132"/>
      <c r="P43" s="132"/>
      <c r="Q43" s="132"/>
      <c r="R43" s="132"/>
      <c r="S43" s="132"/>
      <c r="T43" s="124"/>
      <c r="U43" s="124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</row>
    <row r="44" spans="1:67" s="133" customFormat="1" ht="17.25" customHeight="1" x14ac:dyDescent="0.35">
      <c r="I44" s="134"/>
      <c r="J44" s="134"/>
    </row>
  </sheetData>
  <mergeCells count="14">
    <mergeCell ref="R38:S38"/>
    <mergeCell ref="C2:H2"/>
    <mergeCell ref="N2:S2"/>
    <mergeCell ref="C37:D37"/>
    <mergeCell ref="E37:F37"/>
    <mergeCell ref="G37:H37"/>
    <mergeCell ref="N37:O37"/>
    <mergeCell ref="P37:Q37"/>
    <mergeCell ref="R37:S37"/>
    <mergeCell ref="C38:D38"/>
    <mergeCell ref="E38:F38"/>
    <mergeCell ref="G38:H38"/>
    <mergeCell ref="N38:O38"/>
    <mergeCell ref="P38:Q38"/>
  </mergeCells>
  <conditionalFormatting sqref="H4:H34 C4:D34">
    <cfRule type="cellIs" dxfId="17" priority="18" stopIfTrue="1" operator="lessThanOrEqual">
      <formula>0</formula>
    </cfRule>
  </conditionalFormatting>
  <conditionalFormatting sqref="E4:F34">
    <cfRule type="cellIs" dxfId="16" priority="17" stopIfTrue="1" operator="lessThanOrEqual">
      <formula>0</formula>
    </cfRule>
  </conditionalFormatting>
  <conditionalFormatting sqref="G4:G34">
    <cfRule type="cellIs" dxfId="15" priority="4" operator="greaterThan">
      <formula>$H$30</formula>
    </cfRule>
    <cfRule type="cellIs" dxfId="14" priority="16" stopIfTrue="1" operator="lessThanOrEqual">
      <formula>0</formula>
    </cfRule>
  </conditionalFormatting>
  <conditionalFormatting sqref="S4:S34 N4:O34">
    <cfRule type="cellIs" dxfId="13" priority="15" stopIfTrue="1" operator="lessThanOrEqual">
      <formula>0</formula>
    </cfRule>
  </conditionalFormatting>
  <conditionalFormatting sqref="P4:Q34">
    <cfRule type="cellIs" dxfId="12" priority="14" stopIfTrue="1" operator="lessThanOrEqual">
      <formula>0</formula>
    </cfRule>
  </conditionalFormatting>
  <conditionalFormatting sqref="R4:R34">
    <cfRule type="cellIs" dxfId="11" priority="1" operator="greaterThan">
      <formula>$S$31</formula>
    </cfRule>
    <cfRule type="cellIs" dxfId="10" priority="13" stopIfTrue="1" operator="lessThanOrEqual">
      <formula>0</formula>
    </cfRule>
  </conditionalFormatting>
  <conditionalFormatting sqref="C36:D36">
    <cfRule type="cellIs" dxfId="9" priority="12" stopIfTrue="1" operator="equal">
      <formula>#DIV/0!</formula>
    </cfRule>
  </conditionalFormatting>
  <conditionalFormatting sqref="N36:O36">
    <cfRule type="cellIs" dxfId="8" priority="11" stopIfTrue="1" operator="equal">
      <formula>#DIV/0!</formula>
    </cfRule>
  </conditionalFormatting>
  <conditionalFormatting sqref="C38 E38 G38">
    <cfRule type="cellIs" dxfId="7" priority="10" stopIfTrue="1" operator="equal">
      <formula>#DIV/0!</formula>
    </cfRule>
  </conditionalFormatting>
  <conditionalFormatting sqref="N38">
    <cfRule type="cellIs" dxfId="6" priority="9" stopIfTrue="1" operator="equal">
      <formula>#DIV/0!</formula>
    </cfRule>
  </conditionalFormatting>
  <conditionalFormatting sqref="R38">
    <cfRule type="cellIs" dxfId="5" priority="8" stopIfTrue="1" operator="equal">
      <formula>#DIV/0!</formula>
    </cfRule>
  </conditionalFormatting>
  <conditionalFormatting sqref="P38">
    <cfRule type="cellIs" dxfId="4" priority="7" stopIfTrue="1" operator="equal">
      <formula>#DIV/0!</formula>
    </cfRule>
  </conditionalFormatting>
  <conditionalFormatting sqref="C4:C34">
    <cfRule type="cellIs" dxfId="3" priority="6" operator="greaterThan">
      <formula>$D$23</formula>
    </cfRule>
  </conditionalFormatting>
  <conditionalFormatting sqref="E4:E34">
    <cfRule type="cellIs" dxfId="2" priority="5" operator="greaterThan">
      <formula>$F$29</formula>
    </cfRule>
  </conditionalFormatting>
  <conditionalFormatting sqref="N4:N34">
    <cfRule type="cellIs" dxfId="1" priority="3" operator="greaterThan">
      <formula>$O$29</formula>
    </cfRule>
  </conditionalFormatting>
  <conditionalFormatting sqref="P4:P34">
    <cfRule type="cellIs" dxfId="0" priority="2" operator="greaterThan">
      <formula>$Q$30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P98"/>
  <sheetViews>
    <sheetView showGridLines="0" tabSelected="1" zoomScale="85" zoomScaleNormal="85" workbookViewId="0">
      <pane xSplit="2" ySplit="3" topLeftCell="C75" activePane="bottomRight" state="frozen"/>
      <selection pane="topRight" activeCell="C1" sqref="C1"/>
      <selection pane="bottomLeft" activeCell="A4" sqref="A4"/>
      <selection pane="bottomRight" activeCell="B81" sqref="B81"/>
    </sheetView>
  </sheetViews>
  <sheetFormatPr defaultRowHeight="14.5" x14ac:dyDescent="0.35"/>
  <cols>
    <col min="1" max="1" width="3.36328125" bestFit="1" customWidth="1"/>
    <col min="2" max="2" width="44.1796875" bestFit="1" customWidth="1"/>
    <col min="3" max="3" width="14.6328125" bestFit="1" customWidth="1"/>
    <col min="4" max="5" width="12.90625" bestFit="1" customWidth="1"/>
    <col min="6" max="6" width="11.1796875" bestFit="1" customWidth="1"/>
    <col min="7" max="7" width="9.6328125" customWidth="1"/>
    <col min="8" max="8" width="9.7265625" bestFit="1" customWidth="1"/>
    <col min="9" max="9" width="11.1796875" bestFit="1" customWidth="1"/>
    <col min="10" max="10" width="5" bestFit="1" customWidth="1"/>
    <col min="11" max="11" width="11.81640625" bestFit="1" customWidth="1"/>
    <col min="12" max="12" width="8.54296875" bestFit="1" customWidth="1"/>
    <col min="13" max="13" width="12.36328125" bestFit="1" customWidth="1"/>
    <col min="14" max="14" width="7.54296875" bestFit="1" customWidth="1"/>
    <col min="15" max="15" width="11.81640625" bestFit="1" customWidth="1"/>
    <col min="16" max="17" width="10.81640625" bestFit="1" customWidth="1"/>
    <col min="18" max="18" width="5" bestFit="1" customWidth="1"/>
    <col min="19" max="19" width="10.81640625" bestFit="1" customWidth="1"/>
    <col min="20" max="21" width="11.81640625" bestFit="1" customWidth="1"/>
    <col min="22" max="22" width="9.7265625" bestFit="1" customWidth="1"/>
    <col min="23" max="23" width="11.81640625" bestFit="1" customWidth="1"/>
    <col min="24" max="24" width="9.7265625" bestFit="1" customWidth="1"/>
    <col min="25" max="25" width="10.81640625" bestFit="1" customWidth="1"/>
    <col min="26" max="26" width="9.1796875" bestFit="1" customWidth="1"/>
    <col min="27" max="27" width="12.90625" bestFit="1" customWidth="1"/>
    <col min="28" max="28" width="11.81640625" bestFit="1" customWidth="1"/>
    <col min="29" max="29" width="6.08984375" bestFit="1" customWidth="1"/>
    <col min="30" max="30" width="10.81640625" bestFit="1" customWidth="1"/>
    <col min="31" max="31" width="19.26953125" bestFit="1" customWidth="1"/>
    <col min="32" max="32" width="6.08984375" bestFit="1" customWidth="1"/>
    <col min="33" max="33" width="12.90625" bestFit="1" customWidth="1"/>
    <col min="34" max="34" width="8.54296875" bestFit="1" customWidth="1"/>
    <col min="35" max="35" width="13.6328125" bestFit="1" customWidth="1"/>
    <col min="36" max="36" width="7.54296875" bestFit="1" customWidth="1"/>
    <col min="37" max="37" width="12.90625" bestFit="1" customWidth="1"/>
    <col min="38" max="39" width="11.81640625" bestFit="1" customWidth="1"/>
    <col min="40" max="40" width="9.90625" bestFit="1" customWidth="1"/>
    <col min="41" max="43" width="12.90625" bestFit="1" customWidth="1"/>
    <col min="44" max="44" width="10.81640625" bestFit="1" customWidth="1"/>
    <col min="45" max="45" width="12.90625" bestFit="1" customWidth="1"/>
    <col min="46" max="47" width="10.81640625" bestFit="1" customWidth="1"/>
    <col min="48" max="48" width="9.6328125" bestFit="1" customWidth="1"/>
    <col min="49" max="49" width="12.90625" bestFit="1" customWidth="1"/>
    <col min="50" max="50" width="11.81640625" bestFit="1" customWidth="1"/>
    <col min="51" max="51" width="9.6328125" bestFit="1" customWidth="1"/>
    <col min="52" max="52" width="10.81640625" bestFit="1" customWidth="1"/>
    <col min="53" max="53" width="19.26953125" bestFit="1" customWidth="1"/>
    <col min="54" max="54" width="9.6328125" bestFit="1" customWidth="1"/>
    <col min="55" max="55" width="12.90625" bestFit="1" customWidth="1"/>
    <col min="56" max="56" width="9.6328125" bestFit="1" customWidth="1"/>
    <col min="57" max="57" width="13.6328125" bestFit="1" customWidth="1"/>
    <col min="58" max="58" width="9.6328125" bestFit="1" customWidth="1"/>
    <col min="59" max="59" width="12.90625" bestFit="1" customWidth="1"/>
    <col min="60" max="61" width="11.81640625" bestFit="1" customWidth="1"/>
    <col min="62" max="62" width="9.6328125" bestFit="1" customWidth="1"/>
    <col min="63" max="63" width="11.81640625" bestFit="1" customWidth="1"/>
    <col min="64" max="64" width="12.90625" bestFit="1" customWidth="1"/>
    <col min="65" max="66" width="14.453125" bestFit="1" customWidth="1"/>
    <col min="67" max="67" width="12.90625" bestFit="1" customWidth="1"/>
    <col min="68" max="68" width="14.453125" bestFit="1" customWidth="1"/>
  </cols>
  <sheetData>
    <row r="2" spans="1:68" ht="15.5" x14ac:dyDescent="0.35">
      <c r="A2" s="211" t="s">
        <v>19</v>
      </c>
      <c r="B2" s="211" t="s">
        <v>24</v>
      </c>
      <c r="C2" s="216" t="s">
        <v>23</v>
      </c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2" t="s">
        <v>22</v>
      </c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3" t="s">
        <v>21</v>
      </c>
      <c r="AV2" s="213"/>
      <c r="AW2" s="213"/>
      <c r="AX2" s="213"/>
      <c r="AY2" s="213"/>
      <c r="AZ2" s="213"/>
      <c r="BA2" s="213"/>
      <c r="BB2" s="213"/>
      <c r="BC2" s="213"/>
      <c r="BD2" s="213"/>
      <c r="BE2" s="213"/>
      <c r="BF2" s="213"/>
      <c r="BG2" s="213"/>
      <c r="BH2" s="213"/>
      <c r="BI2" s="213"/>
      <c r="BJ2" s="213"/>
      <c r="BK2" s="213"/>
      <c r="BL2" s="213"/>
      <c r="BM2" s="213"/>
      <c r="BN2" s="213"/>
      <c r="BO2" s="213"/>
      <c r="BP2" s="213"/>
    </row>
    <row r="3" spans="1:68" s="14" customFormat="1" ht="69" x14ac:dyDescent="0.3">
      <c r="A3" s="211"/>
      <c r="B3" s="211"/>
      <c r="C3" s="65" t="str">
        <f>'[4]AHTS-1'!AG48</f>
        <v>RUN EXPLOSIVE</v>
      </c>
      <c r="D3" s="65" t="str">
        <f>'[4]AHTS-1'!AH48</f>
        <v>ASSET</v>
      </c>
      <c r="E3" s="65" t="str">
        <f>'[4]AHTS-1'!AI48</f>
        <v>TIRTA RAJAWALI</v>
      </c>
      <c r="F3" s="65" t="str">
        <f>'[4]AHTS-1'!AJ48</f>
        <v>S: SLICKLINE UNIT</v>
      </c>
      <c r="G3" s="65" t="str">
        <f>'[4]AHTS-1'!AK48</f>
        <v>N: SLICKLINE (1)</v>
      </c>
      <c r="H3" s="65" t="str">
        <f>'[4]AHTS-1'!AL48</f>
        <v>LAIN-LAIN</v>
      </c>
      <c r="I3" s="65" t="str">
        <f>'[4]AHTS-1'!AM48</f>
        <v>SOIL BORING</v>
      </c>
      <c r="J3" s="65" t="str">
        <f>'[4]AHTS-1'!AN48</f>
        <v>N: SLICKLINE
(2)</v>
      </c>
      <c r="K3" s="65" t="str">
        <f>'[4]AHTS-1'!AO48</f>
        <v>DEBRIS SURVEY</v>
      </c>
      <c r="L3" s="65" t="str">
        <f>'[4]AHTS-1'!AP48</f>
        <v>STORK
(WLI)</v>
      </c>
      <c r="M3" s="65" t="str">
        <f>'[4]AHTS-1'!AQ48</f>
        <v>-</v>
      </c>
      <c r="N3" s="65" t="str">
        <f>'[4]AHTS-1'!AR48</f>
        <v>-</v>
      </c>
      <c r="O3" s="65" t="str">
        <f>'[4]AHTS-1'!AS48</f>
        <v>-</v>
      </c>
      <c r="P3" s="65" t="str">
        <f>'[4]AHTS-1'!AT48</f>
        <v>SOUTH
OSF</v>
      </c>
      <c r="Q3" s="65" t="str">
        <f>'[4]AHTS-1'!AU48</f>
        <v>NORTH
OSF</v>
      </c>
      <c r="R3" s="65" t="str">
        <f>'[4]AHTS-1'!AV48</f>
        <v>-</v>
      </c>
      <c r="S3" s="65" t="str">
        <f>'[4]AHTS-1'!AW48</f>
        <v xml:space="preserve"> P_NORTH
ATTAKA</v>
      </c>
      <c r="T3" s="65" t="str">
        <f>'[4]AHTS-1'!AX48</f>
        <v>P_NORTH
NIB</v>
      </c>
      <c r="U3" s="65" t="str">
        <f>'[4]AHTS-1'!AY48</f>
        <v>P_NORTH
SANTAN
TERMINAL</v>
      </c>
      <c r="V3" s="65" t="str">
        <f>'[4]AHTS-1'!AZ48</f>
        <v>P_NORTH
SECURITY PATROL</v>
      </c>
      <c r="W3" s="65" t="str">
        <f>'[4]AHTS-1'!BA48</f>
        <v>P_SOUTH</v>
      </c>
      <c r="X3" s="65" t="str">
        <f>'[4]AHTS-1'!BB48</f>
        <v>P_SOUTH SECURITY PATROL</v>
      </c>
      <c r="Y3" s="66" t="str">
        <f>'[4]AHTS-1'!AG10</f>
        <v>DAILY
FUEL
RUN EXPLOSIVE</v>
      </c>
      <c r="Z3" s="66" t="str">
        <f>'[4]AHTS-1'!AH10</f>
        <v>DAILY
FUEL
ASSET</v>
      </c>
      <c r="AA3" s="66" t="str">
        <f>'[4]AHTS-1'!AI10</f>
        <v>DAILY
FUEL
'TIRTA RAJAWALI</v>
      </c>
      <c r="AB3" s="66" t="str">
        <f>'[4]AHTS-1'!AJ10</f>
        <v>DAILY
FUEL 
S: SLICKLINE UNIT</v>
      </c>
      <c r="AC3" s="66" t="str">
        <f>'[4]AHTS-1'!AK10</f>
        <v>DAILY
FUEL
N: SLICKLINE (1)</v>
      </c>
      <c r="AD3" s="66" t="str">
        <f>'[4]AHTS-1'!AL10</f>
        <v>DAILY
FUEL
LAIN-LAIN</v>
      </c>
      <c r="AE3" s="66" t="str">
        <f>'[4]AHTS-1'!AM10</f>
        <v>DAILY
FUEL
SOIL BORING</v>
      </c>
      <c r="AF3" s="66" t="str">
        <f>'[4]AHTS-1'!AN10</f>
        <v>DAILY
FUEL
N: SLICKLINE
(2)</v>
      </c>
      <c r="AG3" s="66" t="str">
        <f>'[4]AHTS-1'!AO10</f>
        <v>DAILY
FUEL
DEBRIS SURVEY</v>
      </c>
      <c r="AH3" s="66" t="str">
        <f>'[4]AHTS-1'!AP10</f>
        <v>DAILY
FUEL
STORK
(WLI)</v>
      </c>
      <c r="AI3" s="66" t="str">
        <f>'[4]AHTS-1'!AQ10</f>
        <v>DAILY
FUEL
-</v>
      </c>
      <c r="AJ3" s="66" t="str">
        <f>'[4]AHTS-1'!AR10</f>
        <v>DAILY
FUEL
-</v>
      </c>
      <c r="AK3" s="66" t="str">
        <f>'[4]AHTS-1'!AS10</f>
        <v>DAILY
FUEL
-</v>
      </c>
      <c r="AL3" s="66" t="str">
        <f>'[4]AHTS-1'!AT10</f>
        <v>DAILY FUEL
SOUTH
OSF</v>
      </c>
      <c r="AM3" s="66" t="str">
        <f>'[4]AHTS-1'!AU10</f>
        <v>DAILY FUEL
NORTH
OSF</v>
      </c>
      <c r="AN3" s="66" t="str">
        <f>'[4]AHTS-1'!AV10</f>
        <v>DAILY FUEL  
-</v>
      </c>
      <c r="AO3" s="66" t="str">
        <f>'[4]AHTS-1'!AW10</f>
        <v>DAILY FUEL 
P_NORTH
ATTAKA</v>
      </c>
      <c r="AP3" s="66" t="str">
        <f>'[4]AHTS-1'!AX10</f>
        <v>DAILY FUEL
P_NORTH
NIB</v>
      </c>
      <c r="AQ3" s="66" t="str">
        <f>'[4]AHTS-1'!AY10</f>
        <v>DAILY FUEL
P_NORTH
SANTAN
TERMINAL</v>
      </c>
      <c r="AR3" s="66" t="str">
        <f>'[4]AHTS-1'!AZ10</f>
        <v>DAILY FUEL
P_NORTH
SECURITY PATROL</v>
      </c>
      <c r="AS3" s="66" t="str">
        <f>'[4]AHTS-1'!BA10</f>
        <v>DAILY FUEL
P_SOUTH</v>
      </c>
      <c r="AT3" s="66" t="str">
        <f>'[4]AHTS-1'!BB10</f>
        <v>DAILY FUEL
P_SOUTH SECURITY PATROL</v>
      </c>
      <c r="AU3" s="67" t="str">
        <f>'[4]AHTS-1'!BC10</f>
        <v>DAILY
HIRE RATE
RUN EXPLOSIVE</v>
      </c>
      <c r="AV3" s="67" t="str">
        <f>'[4]AHTS-1'!BD10</f>
        <v>DAILY
HIRE RATE
ASSET</v>
      </c>
      <c r="AW3" s="67" t="str">
        <f>'[4]AHTS-1'!BE10</f>
        <v>DAILY
HIRE RATE
'TIRTA RAJAWALI</v>
      </c>
      <c r="AX3" s="67" t="str">
        <f>'[4]AHTS-1'!BF10</f>
        <v>DAILY
HIRE RATE
S: SLICKLINE UNIT</v>
      </c>
      <c r="AY3" s="67" t="str">
        <f>'[4]AHTS-1'!BG10</f>
        <v>DAILY
HIRE RATE
N: SLICKLINE (1)</v>
      </c>
      <c r="AZ3" s="67" t="str">
        <f>'[4]AHTS-1'!BH10</f>
        <v>DAILY
HIRE RATE
LAIN-LAIN</v>
      </c>
      <c r="BA3" s="67" t="str">
        <f>'[4]AHTS-1'!BI10</f>
        <v>DAILY
HIRE RATE
SOIL BORING</v>
      </c>
      <c r="BB3" s="67" t="str">
        <f>'[4]AHTS-1'!BJ10</f>
        <v>DAILY
HIRE RATE
N: SLICKLINE
(2)</v>
      </c>
      <c r="BC3" s="67" t="str">
        <f>'[4]AHTS-1'!BK10</f>
        <v>DAILY
HIRE RATE
DEBRIS SURVEY</v>
      </c>
      <c r="BD3" s="67" t="str">
        <f>'[4]AHTS-1'!BL10</f>
        <v>DAILY
HIRE RATE
STORK
(WLI)</v>
      </c>
      <c r="BE3" s="67" t="str">
        <f>'[4]AHTS-1'!BM10</f>
        <v>DAILY
HIRE RATE
-</v>
      </c>
      <c r="BF3" s="67" t="str">
        <f>'[4]AHTS-1'!BN10</f>
        <v>DAILY
HIRE RATE
-</v>
      </c>
      <c r="BG3" s="67" t="str">
        <f>'[4]AHTS-1'!BO10</f>
        <v>DAILY
HIRE RATE
-</v>
      </c>
      <c r="BH3" s="67" t="str">
        <f>'[4]AHTS-1'!BP10</f>
        <v>DAILY HIRE RATE
SOUTH
OSF</v>
      </c>
      <c r="BI3" s="67" t="str">
        <f>'[4]AHTS-1'!BQ10</f>
        <v>DAILY HIRE RATE
NORTH
OSF</v>
      </c>
      <c r="BJ3" s="67" t="str">
        <f>'[4]AHTS-1'!BR10</f>
        <v>DAILY HIRE RATE
-</v>
      </c>
      <c r="BK3" s="67" t="str">
        <f>'[4]AHTS-1'!BS10</f>
        <v>DAILY HIRE RATE 
P_NORTH
ATTAKA</v>
      </c>
      <c r="BL3" s="67" t="str">
        <f>'[4]AHTS-1'!BT10</f>
        <v>DAILY HIRE RATE
P_NORTH
NIB</v>
      </c>
      <c r="BM3" s="67" t="str">
        <f>'[4]AHTS-1'!BU10</f>
        <v>DAILY HIRE RATE
P_NORTH
SANTAN
TERMINAL</v>
      </c>
      <c r="BN3" s="67" t="str">
        <f>'[4]AHTS-1'!BV10</f>
        <v>DAILY HIRE RATE
P_NORTH
SECURITY PATROL</v>
      </c>
      <c r="BO3" s="67" t="str">
        <f>'[4]AHTS-1'!BW10</f>
        <v>DAILY HIRE RATE
P_SOUTH</v>
      </c>
      <c r="BP3" s="67" t="str">
        <f>'[4]AHTS-1'!BX10</f>
        <v>DAILY HIRE RATE
P_SOUTH SECURITY PATROL</v>
      </c>
    </row>
    <row r="4" spans="1:68" x14ac:dyDescent="0.35">
      <c r="A4" s="13">
        <v>1</v>
      </c>
      <c r="B4" s="62" t="str">
        <f>'[4]AHTS-1'!$C$8</f>
        <v>AHTS AMBER</v>
      </c>
      <c r="C4" s="72">
        <f>'[4]AHTS-1'!AG80</f>
        <v>0</v>
      </c>
      <c r="D4" s="72">
        <f>'[4]AHTS-1'!AH80</f>
        <v>0</v>
      </c>
      <c r="E4" s="72">
        <f>'[4]AHTS-1'!AI80</f>
        <v>0</v>
      </c>
      <c r="F4" s="72">
        <f>'[4]AHTS-1'!AJ80</f>
        <v>0</v>
      </c>
      <c r="G4" s="72">
        <f>'[4]AHTS-1'!AK80</f>
        <v>0</v>
      </c>
      <c r="H4" s="72">
        <f>'[4]AHTS-1'!AL80</f>
        <v>0</v>
      </c>
      <c r="I4" s="72">
        <f>'[4]AHTS-1'!AM80</f>
        <v>0</v>
      </c>
      <c r="J4" s="72">
        <f>'[4]AHTS-1'!AN80</f>
        <v>0</v>
      </c>
      <c r="K4" s="72">
        <f>'[4]AHTS-1'!AO80</f>
        <v>0</v>
      </c>
      <c r="L4" s="72">
        <f>'[4]AHTS-1'!AP80</f>
        <v>0</v>
      </c>
      <c r="M4" s="72">
        <f>'[4]AHTS-1'!AQ80</f>
        <v>0</v>
      </c>
      <c r="N4" s="72">
        <f>'[4]AHTS-1'!AR80</f>
        <v>0</v>
      </c>
      <c r="O4" s="72">
        <f>'[4]AHTS-1'!AS80</f>
        <v>0</v>
      </c>
      <c r="P4" s="72">
        <f>'[4]AHTS-1'!AT80</f>
        <v>0</v>
      </c>
      <c r="Q4" s="72">
        <f>'[4]AHTS-1'!AU80</f>
        <v>0</v>
      </c>
      <c r="R4" s="72">
        <f>'[4]AHTS-1'!AV80</f>
        <v>0</v>
      </c>
      <c r="S4" s="72">
        <f>'[4]AHTS-1'!AW80</f>
        <v>0</v>
      </c>
      <c r="T4" s="72">
        <f>'[4]AHTS-1'!AX80</f>
        <v>0</v>
      </c>
      <c r="U4" s="72">
        <f>'[4]AHTS-1'!AY80</f>
        <v>0</v>
      </c>
      <c r="V4" s="72">
        <f>'[4]AHTS-1'!AZ80</f>
        <v>0</v>
      </c>
      <c r="W4" s="72">
        <f>'[4]AHTS-1'!BA80</f>
        <v>0</v>
      </c>
      <c r="X4" s="68">
        <f>'[4]AHTS-1'!BB80</f>
        <v>0</v>
      </c>
      <c r="Y4" s="74">
        <f>'[4]AHTS-1'!AG42</f>
        <v>0</v>
      </c>
      <c r="Z4" s="74">
        <f>'[4]AHTS-1'!AH42</f>
        <v>0</v>
      </c>
      <c r="AA4" s="74">
        <f>'[4]AHTS-1'!AI42</f>
        <v>0</v>
      </c>
      <c r="AB4" s="74">
        <f>'[4]AHTS-1'!AJ42</f>
        <v>0</v>
      </c>
      <c r="AC4" s="74">
        <f>'[4]AHTS-1'!AK42</f>
        <v>0</v>
      </c>
      <c r="AD4" s="74">
        <f>'[4]AHTS-1'!AL42</f>
        <v>0</v>
      </c>
      <c r="AE4" s="74">
        <f>'[4]AHTS-1'!AM42</f>
        <v>0</v>
      </c>
      <c r="AF4" s="74">
        <f>'[4]AHTS-1'!AN42</f>
        <v>0</v>
      </c>
      <c r="AG4" s="74">
        <f>'[4]AHTS-1'!AO42</f>
        <v>0</v>
      </c>
      <c r="AH4" s="74">
        <f>'[4]AHTS-1'!AP42</f>
        <v>0</v>
      </c>
      <c r="AI4" s="74">
        <f>'[4]AHTS-1'!AQ42</f>
        <v>0</v>
      </c>
      <c r="AJ4" s="74">
        <f>'[4]AHTS-1'!AR42</f>
        <v>0</v>
      </c>
      <c r="AK4" s="74">
        <f>'[4]AHTS-1'!AS42</f>
        <v>0</v>
      </c>
      <c r="AL4" s="74">
        <f>'[4]AHTS-1'!AT42</f>
        <v>0</v>
      </c>
      <c r="AM4" s="74">
        <f>'[4]AHTS-1'!AU42</f>
        <v>0</v>
      </c>
      <c r="AN4" s="74">
        <f>'[4]AHTS-1'!AV42</f>
        <v>0</v>
      </c>
      <c r="AO4" s="74">
        <f>'[4]AHTS-1'!AW42</f>
        <v>0</v>
      </c>
      <c r="AP4" s="74">
        <f>'[4]AHTS-1'!AX42</f>
        <v>0</v>
      </c>
      <c r="AQ4" s="74">
        <f>'[4]AHTS-1'!AY42</f>
        <v>0</v>
      </c>
      <c r="AR4" s="74">
        <f>'[4]AHTS-1'!AZ42</f>
        <v>0</v>
      </c>
      <c r="AS4" s="74">
        <f>'[4]AHTS-1'!BA42</f>
        <v>0</v>
      </c>
      <c r="AT4" s="63">
        <f>'[4]AHTS-1'!BB42</f>
        <v>0</v>
      </c>
      <c r="AU4" s="73">
        <f>'[4]AHTS-1'!BC42</f>
        <v>0</v>
      </c>
      <c r="AV4" s="73">
        <f>'[4]AHTS-1'!BD42</f>
        <v>0</v>
      </c>
      <c r="AW4" s="73">
        <f>'[4]AHTS-1'!BE42</f>
        <v>0</v>
      </c>
      <c r="AX4" s="73">
        <f>'[4]AHTS-1'!BF42</f>
        <v>0</v>
      </c>
      <c r="AY4" s="73">
        <f>'[4]AHTS-1'!BG42</f>
        <v>0</v>
      </c>
      <c r="AZ4" s="73">
        <f>'[4]AHTS-1'!BH42</f>
        <v>0</v>
      </c>
      <c r="BA4" s="73">
        <f>'[4]AHTS-1'!BI42</f>
        <v>0</v>
      </c>
      <c r="BB4" s="73">
        <f>'[4]AHTS-1'!BJ42</f>
        <v>0</v>
      </c>
      <c r="BC4" s="73">
        <f>'[4]AHTS-1'!BK42</f>
        <v>0</v>
      </c>
      <c r="BD4" s="73">
        <f>'[4]AHTS-1'!BL42</f>
        <v>0</v>
      </c>
      <c r="BE4" s="73">
        <f>'[4]AHTS-1'!BM42</f>
        <v>0</v>
      </c>
      <c r="BF4" s="73">
        <f>'[4]AHTS-1'!BN42</f>
        <v>0</v>
      </c>
      <c r="BG4" s="73">
        <f>'[4]AHTS-1'!BO42</f>
        <v>0</v>
      </c>
      <c r="BH4" s="73">
        <f>'[4]AHTS-1'!BP42</f>
        <v>0</v>
      </c>
      <c r="BI4" s="73">
        <f>'[4]AHTS-1'!BQ42</f>
        <v>0</v>
      </c>
      <c r="BJ4" s="73">
        <f>'[4]AHTS-1'!BR42</f>
        <v>0</v>
      </c>
      <c r="BK4" s="73">
        <f>'[4]AHTS-1'!BS42</f>
        <v>0</v>
      </c>
      <c r="BL4" s="73">
        <f>'[4]AHTS-1'!BT42</f>
        <v>0</v>
      </c>
      <c r="BM4" s="73">
        <f>'[4]AHTS-1'!BU42</f>
        <v>0</v>
      </c>
      <c r="BN4" s="73">
        <f>'[4]AHTS-1'!BV42</f>
        <v>0</v>
      </c>
      <c r="BO4" s="73">
        <f>'[4]AHTS-1'!BW42</f>
        <v>0</v>
      </c>
      <c r="BP4" s="64">
        <f>'[4]AHTS-1'!BX42</f>
        <v>0</v>
      </c>
    </row>
    <row r="5" spans="1:68" x14ac:dyDescent="0.35">
      <c r="A5" s="13">
        <v>2</v>
      </c>
      <c r="B5" s="62" t="str">
        <f>'[4]AHTS-2'!$C$8</f>
        <v>AHTS Temasek Sepinggan</v>
      </c>
      <c r="C5" s="72">
        <f>'[4]AHTS-2'!AG80</f>
        <v>0</v>
      </c>
      <c r="D5" s="72">
        <f>'[4]AHTS-2'!AH80</f>
        <v>0</v>
      </c>
      <c r="E5" s="72">
        <f>'[4]AHTS-2'!AI80</f>
        <v>0</v>
      </c>
      <c r="F5" s="72">
        <f>'[4]AHTS-2'!AJ80</f>
        <v>0</v>
      </c>
      <c r="G5" s="72">
        <f>'[4]AHTS-2'!AK80</f>
        <v>0</v>
      </c>
      <c r="H5" s="72">
        <f>'[4]AHTS-2'!AL80</f>
        <v>0</v>
      </c>
      <c r="I5" s="72">
        <f>'[4]AHTS-2'!AM80</f>
        <v>0</v>
      </c>
      <c r="J5" s="72">
        <f>'[4]AHTS-2'!AN80</f>
        <v>0</v>
      </c>
      <c r="K5" s="72">
        <f>'[4]AHTS-2'!AO80</f>
        <v>0</v>
      </c>
      <c r="L5" s="72">
        <f>'[4]AHTS-2'!AP80</f>
        <v>0</v>
      </c>
      <c r="M5" s="72">
        <f>'[4]AHTS-2'!AQ80</f>
        <v>0</v>
      </c>
      <c r="N5" s="72">
        <f>'[4]AHTS-2'!AR80</f>
        <v>0</v>
      </c>
      <c r="O5" s="72">
        <f>'[4]AHTS-2'!AS80</f>
        <v>0</v>
      </c>
      <c r="P5" s="72">
        <f>'[4]AHTS-2'!AT80</f>
        <v>0</v>
      </c>
      <c r="Q5" s="72">
        <f>'[4]AHTS-2'!AU80</f>
        <v>0</v>
      </c>
      <c r="R5" s="72">
        <f>'[4]AHTS-2'!AV80</f>
        <v>0</v>
      </c>
      <c r="S5" s="72">
        <f>'[4]AHTS-2'!AW80</f>
        <v>0</v>
      </c>
      <c r="T5" s="72">
        <f>'[4]AHTS-2'!AX80</f>
        <v>0</v>
      </c>
      <c r="U5" s="72">
        <f>'[4]AHTS-2'!AY80</f>
        <v>0</v>
      </c>
      <c r="V5" s="72">
        <f>'[4]AHTS-2'!AZ80</f>
        <v>0</v>
      </c>
      <c r="W5" s="72">
        <f>'[4]AHTS-2'!BA80</f>
        <v>0</v>
      </c>
      <c r="X5" s="68">
        <f>'[4]AHTS-2'!BB80</f>
        <v>0</v>
      </c>
      <c r="Y5" s="74">
        <f>'[4]AHTS-2'!AG42</f>
        <v>0</v>
      </c>
      <c r="Z5" s="74">
        <f>'[4]AHTS-2'!AH42</f>
        <v>0</v>
      </c>
      <c r="AA5" s="74">
        <f>'[4]AHTS-2'!AI42</f>
        <v>0</v>
      </c>
      <c r="AB5" s="74">
        <f>'[4]AHTS-2'!AJ42</f>
        <v>0</v>
      </c>
      <c r="AC5" s="74">
        <f>'[4]AHTS-2'!AK42</f>
        <v>0</v>
      </c>
      <c r="AD5" s="74">
        <f>'[4]AHTS-2'!AL42</f>
        <v>0</v>
      </c>
      <c r="AE5" s="74">
        <f>'[4]AHTS-2'!AM42</f>
        <v>0</v>
      </c>
      <c r="AF5" s="74">
        <f>'[4]AHTS-2'!AN42</f>
        <v>0</v>
      </c>
      <c r="AG5" s="74">
        <f>'[4]AHTS-2'!AO42</f>
        <v>0</v>
      </c>
      <c r="AH5" s="74">
        <f>'[4]AHTS-2'!AP42</f>
        <v>0</v>
      </c>
      <c r="AI5" s="74">
        <f>'[4]AHTS-2'!AQ42</f>
        <v>0</v>
      </c>
      <c r="AJ5" s="74">
        <f>'[4]AHTS-2'!AR42</f>
        <v>0</v>
      </c>
      <c r="AK5" s="74">
        <f>'[4]AHTS-2'!AS42</f>
        <v>0</v>
      </c>
      <c r="AL5" s="74">
        <f>'[4]AHTS-2'!AT42</f>
        <v>0</v>
      </c>
      <c r="AM5" s="74">
        <f>'[4]AHTS-2'!AU42</f>
        <v>0</v>
      </c>
      <c r="AN5" s="74">
        <f>'[4]AHTS-2'!AV42</f>
        <v>0</v>
      </c>
      <c r="AO5" s="74">
        <f>'[4]AHTS-2'!AW42</f>
        <v>0</v>
      </c>
      <c r="AP5" s="74">
        <f>'[4]AHTS-2'!AX42</f>
        <v>0</v>
      </c>
      <c r="AQ5" s="74">
        <f>'[4]AHTS-2'!AY42</f>
        <v>0</v>
      </c>
      <c r="AR5" s="74">
        <f>'[4]AHTS-2'!AZ42</f>
        <v>0</v>
      </c>
      <c r="AS5" s="74">
        <f>'[4]AHTS-2'!BA42</f>
        <v>0</v>
      </c>
      <c r="AT5" s="63">
        <f>'[4]AHTS-2'!BB42</f>
        <v>0</v>
      </c>
      <c r="AU5" s="73">
        <f>'[4]AHTS-2'!BC42</f>
        <v>0</v>
      </c>
      <c r="AV5" s="73">
        <f>'[4]AHTS-2'!BD42</f>
        <v>0</v>
      </c>
      <c r="AW5" s="73">
        <f>'[4]AHTS-2'!BE42</f>
        <v>0</v>
      </c>
      <c r="AX5" s="73">
        <f>'[4]AHTS-2'!BF42</f>
        <v>0</v>
      </c>
      <c r="AY5" s="73">
        <f>'[4]AHTS-2'!BG42</f>
        <v>0</v>
      </c>
      <c r="AZ5" s="73">
        <f>'[4]AHTS-2'!BH42</f>
        <v>0</v>
      </c>
      <c r="BA5" s="73">
        <f>'[4]AHTS-2'!BI42</f>
        <v>0</v>
      </c>
      <c r="BB5" s="73">
        <f>'[4]AHTS-2'!BJ42</f>
        <v>0</v>
      </c>
      <c r="BC5" s="73">
        <f>'[4]AHTS-2'!BK42</f>
        <v>0</v>
      </c>
      <c r="BD5" s="73">
        <f>'[4]AHTS-2'!BL42</f>
        <v>0</v>
      </c>
      <c r="BE5" s="73">
        <f>'[4]AHTS-2'!BM42</f>
        <v>0</v>
      </c>
      <c r="BF5" s="73">
        <f>'[4]AHTS-2'!BN42</f>
        <v>0</v>
      </c>
      <c r="BG5" s="73">
        <f>'[4]AHTS-2'!BO42</f>
        <v>0</v>
      </c>
      <c r="BH5" s="73">
        <f>'[4]AHTS-2'!BP42</f>
        <v>0</v>
      </c>
      <c r="BI5" s="73">
        <f>'[4]AHTS-2'!BQ42</f>
        <v>0</v>
      </c>
      <c r="BJ5" s="73">
        <f>'[4]AHTS-2'!BR42</f>
        <v>0</v>
      </c>
      <c r="BK5" s="73">
        <f>'[4]AHTS-2'!BS42</f>
        <v>0</v>
      </c>
      <c r="BL5" s="73">
        <f>'[4]AHTS-2'!BT42</f>
        <v>0</v>
      </c>
      <c r="BM5" s="73">
        <f>'[4]AHTS-2'!BU42</f>
        <v>0</v>
      </c>
      <c r="BN5" s="73">
        <f>'[4]AHTS-2'!BV42</f>
        <v>0</v>
      </c>
      <c r="BO5" s="73">
        <f>'[4]AHTS-2'!BW42</f>
        <v>0</v>
      </c>
      <c r="BP5" s="64">
        <f>'[4]AHTS-2'!BX42</f>
        <v>0</v>
      </c>
    </row>
    <row r="6" spans="1:68" x14ac:dyDescent="0.35">
      <c r="A6" s="13">
        <v>3</v>
      </c>
      <c r="B6" s="62" t="str">
        <f>'[4]AHTS-3'!$C$8</f>
        <v>AHTS Temasek Attaka</v>
      </c>
      <c r="C6" s="72">
        <f>'[4]AHTS-3'!AG80</f>
        <v>0</v>
      </c>
      <c r="D6" s="72">
        <f>'[4]AHTS-3'!AH80</f>
        <v>0</v>
      </c>
      <c r="E6" s="72">
        <f>'[4]AHTS-3'!AI80</f>
        <v>0</v>
      </c>
      <c r="F6" s="72">
        <f>'[4]AHTS-3'!AJ80</f>
        <v>0</v>
      </c>
      <c r="G6" s="72">
        <f>'[4]AHTS-3'!AK80</f>
        <v>0</v>
      </c>
      <c r="H6" s="72">
        <f>'[4]AHTS-3'!AL80</f>
        <v>0</v>
      </c>
      <c r="I6" s="72">
        <f>'[4]AHTS-3'!AM80</f>
        <v>0</v>
      </c>
      <c r="J6" s="72">
        <f>'[4]AHTS-3'!AN80</f>
        <v>0</v>
      </c>
      <c r="K6" s="72">
        <f>'[4]AHTS-3'!AO80</f>
        <v>0</v>
      </c>
      <c r="L6" s="72">
        <f>'[4]AHTS-3'!AP80</f>
        <v>0</v>
      </c>
      <c r="M6" s="72">
        <f>'[4]AHTS-3'!AQ80</f>
        <v>0</v>
      </c>
      <c r="N6" s="72">
        <f>'[4]AHTS-3'!AR80</f>
        <v>0</v>
      </c>
      <c r="O6" s="72">
        <f>'[4]AHTS-3'!AS80</f>
        <v>0</v>
      </c>
      <c r="P6" s="72">
        <f>'[4]AHTS-3'!AT80</f>
        <v>0</v>
      </c>
      <c r="Q6" s="72">
        <f>'[4]AHTS-3'!AU80</f>
        <v>0</v>
      </c>
      <c r="R6" s="72">
        <f>'[4]AHTS-3'!AV80</f>
        <v>0</v>
      </c>
      <c r="S6" s="72">
        <f>'[4]AHTS-3'!AW80</f>
        <v>0</v>
      </c>
      <c r="T6" s="72">
        <f>'[4]AHTS-3'!AX80</f>
        <v>0</v>
      </c>
      <c r="U6" s="72">
        <f>'[4]AHTS-3'!AY80</f>
        <v>0</v>
      </c>
      <c r="V6" s="72">
        <f>'[4]AHTS-3'!AZ80</f>
        <v>0</v>
      </c>
      <c r="W6" s="72">
        <f>'[4]AHTS-3'!BA80</f>
        <v>0</v>
      </c>
      <c r="X6" s="68">
        <f>'[4]AHTS-3'!BB80</f>
        <v>0</v>
      </c>
      <c r="Y6" s="74">
        <f>'[4]AHTS-3'!AG42</f>
        <v>0</v>
      </c>
      <c r="Z6" s="74">
        <f>'[4]AHTS-3'!AH42</f>
        <v>0</v>
      </c>
      <c r="AA6" s="74">
        <f>'[4]AHTS-3'!AI42</f>
        <v>0</v>
      </c>
      <c r="AB6" s="74">
        <f>'[4]AHTS-3'!AJ42</f>
        <v>0</v>
      </c>
      <c r="AC6" s="74">
        <f>'[4]AHTS-3'!AK42</f>
        <v>0</v>
      </c>
      <c r="AD6" s="74">
        <f>'[4]AHTS-3'!AL42</f>
        <v>0</v>
      </c>
      <c r="AE6" s="74">
        <f>'[4]AHTS-3'!AM42</f>
        <v>0</v>
      </c>
      <c r="AF6" s="74">
        <f>'[4]AHTS-3'!AN42</f>
        <v>0</v>
      </c>
      <c r="AG6" s="74">
        <f>'[4]AHTS-3'!AO42</f>
        <v>0</v>
      </c>
      <c r="AH6" s="74">
        <f>'[4]AHTS-3'!AP42</f>
        <v>0</v>
      </c>
      <c r="AI6" s="74">
        <f>'[4]AHTS-3'!AQ42</f>
        <v>0</v>
      </c>
      <c r="AJ6" s="74">
        <f>'[4]AHTS-3'!AR42</f>
        <v>0</v>
      </c>
      <c r="AK6" s="74">
        <f>'[4]AHTS-3'!AS42</f>
        <v>0</v>
      </c>
      <c r="AL6" s="74">
        <f>'[4]AHTS-3'!AT42</f>
        <v>0</v>
      </c>
      <c r="AM6" s="74">
        <f>'[4]AHTS-3'!AU42</f>
        <v>0</v>
      </c>
      <c r="AN6" s="74">
        <f>'[4]AHTS-3'!AV42</f>
        <v>0</v>
      </c>
      <c r="AO6" s="74">
        <f>'[4]AHTS-3'!AW42</f>
        <v>0</v>
      </c>
      <c r="AP6" s="74">
        <f>'[4]AHTS-3'!AX42</f>
        <v>0</v>
      </c>
      <c r="AQ6" s="74">
        <f>'[4]AHTS-3'!AY42</f>
        <v>0</v>
      </c>
      <c r="AR6" s="74">
        <f>'[4]AHTS-3'!AZ42</f>
        <v>0</v>
      </c>
      <c r="AS6" s="74">
        <f>'[4]AHTS-3'!BA42</f>
        <v>0</v>
      </c>
      <c r="AT6" s="63">
        <f>'[4]AHTS-3'!BB42</f>
        <v>0</v>
      </c>
      <c r="AU6" s="73">
        <f>'[4]AHTS-3'!BC42</f>
        <v>0</v>
      </c>
      <c r="AV6" s="73">
        <f>'[4]AHTS-3'!BD42</f>
        <v>0</v>
      </c>
      <c r="AW6" s="73">
        <f>'[4]AHTS-3'!BE42</f>
        <v>0</v>
      </c>
      <c r="AX6" s="73">
        <f>'[4]AHTS-3'!BF42</f>
        <v>0</v>
      </c>
      <c r="AY6" s="73">
        <f>'[4]AHTS-3'!BG42</f>
        <v>0</v>
      </c>
      <c r="AZ6" s="73">
        <f>'[4]AHTS-3'!BH42</f>
        <v>0</v>
      </c>
      <c r="BA6" s="73">
        <f>'[4]AHTS-3'!BI42</f>
        <v>0</v>
      </c>
      <c r="BB6" s="73">
        <f>'[4]AHTS-3'!BJ42</f>
        <v>0</v>
      </c>
      <c r="BC6" s="73">
        <f>'[4]AHTS-3'!BK42</f>
        <v>0</v>
      </c>
      <c r="BD6" s="73">
        <f>'[4]AHTS-3'!BL42</f>
        <v>0</v>
      </c>
      <c r="BE6" s="73">
        <f>'[4]AHTS-3'!BM42</f>
        <v>0</v>
      </c>
      <c r="BF6" s="73">
        <f>'[4]AHTS-3'!BN42</f>
        <v>0</v>
      </c>
      <c r="BG6" s="73">
        <f>'[4]AHTS-3'!BO42</f>
        <v>0</v>
      </c>
      <c r="BH6" s="73">
        <f>'[4]AHTS-3'!BP42</f>
        <v>0</v>
      </c>
      <c r="BI6" s="73">
        <f>'[4]AHTS-3'!BQ42</f>
        <v>0</v>
      </c>
      <c r="BJ6" s="73">
        <f>'[4]AHTS-3'!BR42</f>
        <v>0</v>
      </c>
      <c r="BK6" s="73">
        <f>'[4]AHTS-3'!BS42</f>
        <v>0</v>
      </c>
      <c r="BL6" s="73">
        <f>'[4]AHTS-3'!BT42</f>
        <v>0</v>
      </c>
      <c r="BM6" s="73">
        <f>'[4]AHTS-3'!BU42</f>
        <v>0</v>
      </c>
      <c r="BN6" s="73">
        <f>'[4]AHTS-3'!BV42</f>
        <v>0</v>
      </c>
      <c r="BO6" s="73">
        <f>'[4]AHTS-3'!BW42</f>
        <v>0</v>
      </c>
      <c r="BP6" s="64">
        <f>'[4]AHTS-3'!BX42</f>
        <v>0</v>
      </c>
    </row>
    <row r="7" spans="1:68" x14ac:dyDescent="0.35">
      <c r="A7" s="13">
        <v>4</v>
      </c>
      <c r="B7" s="62">
        <f>'[4]AHTS-4'!$C$8</f>
        <v>0</v>
      </c>
      <c r="C7" s="72">
        <f>'[4]AHTS-4'!AG80</f>
        <v>0</v>
      </c>
      <c r="D7" s="72">
        <f>'[4]AHTS-4'!AH80</f>
        <v>0</v>
      </c>
      <c r="E7" s="72">
        <f>'[4]AHTS-4'!AI80</f>
        <v>0</v>
      </c>
      <c r="F7" s="72">
        <f>'[4]AHTS-4'!AJ80</f>
        <v>0</v>
      </c>
      <c r="G7" s="72">
        <f>'[4]AHTS-4'!AK80</f>
        <v>0</v>
      </c>
      <c r="H7" s="72">
        <f>'[4]AHTS-4'!AL80</f>
        <v>0</v>
      </c>
      <c r="I7" s="72">
        <f>'[4]AHTS-4'!AM80</f>
        <v>0</v>
      </c>
      <c r="J7" s="72">
        <f>'[4]AHTS-4'!AN80</f>
        <v>0</v>
      </c>
      <c r="K7" s="72">
        <f>'[4]AHTS-4'!AO80</f>
        <v>0</v>
      </c>
      <c r="L7" s="72">
        <f>'[4]AHTS-4'!AP80</f>
        <v>0</v>
      </c>
      <c r="M7" s="72">
        <f>'[4]AHTS-4'!AQ80</f>
        <v>0</v>
      </c>
      <c r="N7" s="72">
        <f>'[4]AHTS-4'!AR80</f>
        <v>0</v>
      </c>
      <c r="O7" s="72">
        <f>'[4]AHTS-4'!AS80</f>
        <v>0</v>
      </c>
      <c r="P7" s="72">
        <f>'[4]AHTS-4'!AT80</f>
        <v>0</v>
      </c>
      <c r="Q7" s="72">
        <f>'[4]AHTS-4'!AU80</f>
        <v>0</v>
      </c>
      <c r="R7" s="72">
        <f>'[4]AHTS-4'!AV80</f>
        <v>0</v>
      </c>
      <c r="S7" s="72">
        <f>'[4]AHTS-4'!AW80</f>
        <v>0</v>
      </c>
      <c r="T7" s="72">
        <f>'[4]AHTS-4'!AX80</f>
        <v>0</v>
      </c>
      <c r="U7" s="72">
        <f>'[4]AHTS-4'!AY80</f>
        <v>0</v>
      </c>
      <c r="V7" s="72">
        <f>'[4]AHTS-4'!AZ80</f>
        <v>0</v>
      </c>
      <c r="W7" s="72">
        <f>'[4]AHTS-4'!BA80</f>
        <v>0</v>
      </c>
      <c r="X7" s="68">
        <f>'[4]AHTS-4'!BB80</f>
        <v>0</v>
      </c>
      <c r="Y7" s="74">
        <f>'[4]AHTS-4'!AG42</f>
        <v>0</v>
      </c>
      <c r="Z7" s="74">
        <f>'[4]AHTS-4'!AH42</f>
        <v>0</v>
      </c>
      <c r="AA7" s="74">
        <f>'[4]AHTS-4'!AI42</f>
        <v>0</v>
      </c>
      <c r="AB7" s="74">
        <f>'[4]AHTS-4'!AJ42</f>
        <v>0</v>
      </c>
      <c r="AC7" s="74">
        <f>'[4]AHTS-4'!AK42</f>
        <v>0</v>
      </c>
      <c r="AD7" s="74">
        <f>'[4]AHTS-4'!AL42</f>
        <v>0</v>
      </c>
      <c r="AE7" s="74">
        <f>'[4]AHTS-4'!AM42</f>
        <v>0</v>
      </c>
      <c r="AF7" s="74">
        <f>'[4]AHTS-4'!AN42</f>
        <v>0</v>
      </c>
      <c r="AG7" s="74">
        <f>'[4]AHTS-4'!AO42</f>
        <v>0</v>
      </c>
      <c r="AH7" s="74">
        <f>'[4]AHTS-4'!AP42</f>
        <v>0</v>
      </c>
      <c r="AI7" s="74">
        <f>'[4]AHTS-4'!AQ42</f>
        <v>0</v>
      </c>
      <c r="AJ7" s="74">
        <f>'[4]AHTS-4'!AR42</f>
        <v>0</v>
      </c>
      <c r="AK7" s="74">
        <f>'[4]AHTS-4'!AS42</f>
        <v>0</v>
      </c>
      <c r="AL7" s="74">
        <f>'[4]AHTS-4'!AT42</f>
        <v>0</v>
      </c>
      <c r="AM7" s="74">
        <f>'[4]AHTS-4'!AU42</f>
        <v>0</v>
      </c>
      <c r="AN7" s="74">
        <f>'[4]AHTS-4'!AV42</f>
        <v>0</v>
      </c>
      <c r="AO7" s="74">
        <f>'[4]AHTS-4'!AW42</f>
        <v>0</v>
      </c>
      <c r="AP7" s="74">
        <f>'[4]AHTS-4'!AX42</f>
        <v>0</v>
      </c>
      <c r="AQ7" s="74">
        <f>'[4]AHTS-4'!AY42</f>
        <v>0</v>
      </c>
      <c r="AR7" s="74">
        <f>'[4]AHTS-4'!AZ42</f>
        <v>0</v>
      </c>
      <c r="AS7" s="74">
        <f>'[4]AHTS-4'!BA42</f>
        <v>0</v>
      </c>
      <c r="AT7" s="63">
        <f>'[4]AHTS-4'!BB42</f>
        <v>0</v>
      </c>
      <c r="AU7" s="73">
        <f>'[4]AHTS-4'!BC42</f>
        <v>0</v>
      </c>
      <c r="AV7" s="73">
        <f>'[4]AHTS-4'!BD42</f>
        <v>0</v>
      </c>
      <c r="AW7" s="73">
        <f>'[4]AHTS-4'!BE42</f>
        <v>0</v>
      </c>
      <c r="AX7" s="73">
        <f>'[4]AHTS-4'!BF42</f>
        <v>0</v>
      </c>
      <c r="AY7" s="73">
        <f>'[4]AHTS-4'!BG42</f>
        <v>0</v>
      </c>
      <c r="AZ7" s="73">
        <f>'[4]AHTS-4'!BH42</f>
        <v>0</v>
      </c>
      <c r="BA7" s="73">
        <f>'[4]AHTS-4'!BI42</f>
        <v>0</v>
      </c>
      <c r="BB7" s="73">
        <f>'[4]AHTS-4'!BJ42</f>
        <v>0</v>
      </c>
      <c r="BC7" s="73">
        <f>'[4]AHTS-4'!BK42</f>
        <v>0</v>
      </c>
      <c r="BD7" s="73">
        <f>'[4]AHTS-4'!BL42</f>
        <v>0</v>
      </c>
      <c r="BE7" s="73">
        <f>'[4]AHTS-4'!BM42</f>
        <v>0</v>
      </c>
      <c r="BF7" s="73">
        <f>'[4]AHTS-4'!BN42</f>
        <v>0</v>
      </c>
      <c r="BG7" s="73">
        <f>'[4]AHTS-4'!BO42</f>
        <v>0</v>
      </c>
      <c r="BH7" s="73">
        <f>'[4]AHTS-4'!BP42</f>
        <v>0</v>
      </c>
      <c r="BI7" s="73">
        <f>'[4]AHTS-4'!BQ42</f>
        <v>0</v>
      </c>
      <c r="BJ7" s="73">
        <f>'[4]AHTS-4'!BR42</f>
        <v>0</v>
      </c>
      <c r="BK7" s="73">
        <f>'[4]AHTS-4'!BS42</f>
        <v>0</v>
      </c>
      <c r="BL7" s="73">
        <f>'[4]AHTS-4'!BT42</f>
        <v>0</v>
      </c>
      <c r="BM7" s="73">
        <f>'[4]AHTS-4'!BU42</f>
        <v>0</v>
      </c>
      <c r="BN7" s="73">
        <f>'[4]AHTS-4'!BV42</f>
        <v>0</v>
      </c>
      <c r="BO7" s="73">
        <f>'[4]AHTS-4'!BW42</f>
        <v>0</v>
      </c>
      <c r="BP7" s="64">
        <f>'[4]AHTS-4'!BX42</f>
        <v>0</v>
      </c>
    </row>
    <row r="8" spans="1:68" x14ac:dyDescent="0.35">
      <c r="A8" s="13">
        <v>5</v>
      </c>
      <c r="B8" s="62">
        <f>'[4]AHTS-5'!$C$8</f>
        <v>0</v>
      </c>
      <c r="C8" s="72">
        <f>'[4]AHTS-5'!AG80</f>
        <v>0</v>
      </c>
      <c r="D8" s="72">
        <f>'[4]AHTS-5'!AH80</f>
        <v>0</v>
      </c>
      <c r="E8" s="72">
        <f>'[4]AHTS-5'!AI80</f>
        <v>0</v>
      </c>
      <c r="F8" s="72">
        <f>'[4]AHTS-5'!AJ80</f>
        <v>0</v>
      </c>
      <c r="G8" s="72">
        <f>'[4]AHTS-5'!AK80</f>
        <v>0</v>
      </c>
      <c r="H8" s="72">
        <f>'[4]AHTS-5'!AL80</f>
        <v>0</v>
      </c>
      <c r="I8" s="72">
        <f>'[4]AHTS-5'!AM80</f>
        <v>0</v>
      </c>
      <c r="J8" s="72">
        <f>'[4]AHTS-5'!AN80</f>
        <v>0</v>
      </c>
      <c r="K8" s="72">
        <f>'[4]AHTS-5'!AO80</f>
        <v>0</v>
      </c>
      <c r="L8" s="72">
        <f>'[4]AHTS-5'!AP80</f>
        <v>0</v>
      </c>
      <c r="M8" s="72">
        <f>'[4]AHTS-5'!AQ80</f>
        <v>0</v>
      </c>
      <c r="N8" s="72">
        <f>'[4]AHTS-5'!AR80</f>
        <v>0</v>
      </c>
      <c r="O8" s="72">
        <f>'[4]AHTS-5'!AS80</f>
        <v>0</v>
      </c>
      <c r="P8" s="72">
        <f>'[4]AHTS-5'!AT80</f>
        <v>0</v>
      </c>
      <c r="Q8" s="72">
        <f>'[4]AHTS-5'!AU80</f>
        <v>0</v>
      </c>
      <c r="R8" s="72">
        <f>'[4]AHTS-5'!AV80</f>
        <v>0</v>
      </c>
      <c r="S8" s="72">
        <f>'[4]AHTS-5'!AW80</f>
        <v>0</v>
      </c>
      <c r="T8" s="72">
        <f>'[4]AHTS-5'!AX80</f>
        <v>0</v>
      </c>
      <c r="U8" s="72">
        <f>'[4]AHTS-5'!AY80</f>
        <v>0</v>
      </c>
      <c r="V8" s="72">
        <f>'[4]AHTS-5'!AZ80</f>
        <v>0</v>
      </c>
      <c r="W8" s="72">
        <f>'[4]AHTS-5'!BA80</f>
        <v>0</v>
      </c>
      <c r="X8" s="68">
        <f>'[4]AHTS-5'!BB80</f>
        <v>0</v>
      </c>
      <c r="Y8" s="74">
        <f>'[4]AHTS-5'!AG42</f>
        <v>0</v>
      </c>
      <c r="Z8" s="74">
        <f>'[4]AHTS-5'!AH42</f>
        <v>0</v>
      </c>
      <c r="AA8" s="74">
        <f>'[4]AHTS-5'!AI42</f>
        <v>0</v>
      </c>
      <c r="AB8" s="74">
        <f>'[4]AHTS-5'!AJ42</f>
        <v>0</v>
      </c>
      <c r="AC8" s="74">
        <f>'[4]AHTS-5'!AK42</f>
        <v>0</v>
      </c>
      <c r="AD8" s="74">
        <f>'[4]AHTS-5'!AL42</f>
        <v>0</v>
      </c>
      <c r="AE8" s="74">
        <f>'[4]AHTS-5'!AM42</f>
        <v>0</v>
      </c>
      <c r="AF8" s="74">
        <f>'[4]AHTS-5'!AN42</f>
        <v>0</v>
      </c>
      <c r="AG8" s="74">
        <f>'[4]AHTS-5'!AO42</f>
        <v>0</v>
      </c>
      <c r="AH8" s="74">
        <f>'[4]AHTS-5'!AP42</f>
        <v>0</v>
      </c>
      <c r="AI8" s="74">
        <f>'[4]AHTS-5'!AQ42</f>
        <v>0</v>
      </c>
      <c r="AJ8" s="74">
        <f>'[4]AHTS-5'!AR42</f>
        <v>0</v>
      </c>
      <c r="AK8" s="74">
        <f>'[4]AHTS-5'!AS42</f>
        <v>0</v>
      </c>
      <c r="AL8" s="74">
        <f>'[4]AHTS-5'!AT42</f>
        <v>0</v>
      </c>
      <c r="AM8" s="74">
        <f>'[4]AHTS-5'!AU42</f>
        <v>0</v>
      </c>
      <c r="AN8" s="74">
        <f>'[4]AHTS-5'!AV42</f>
        <v>0</v>
      </c>
      <c r="AO8" s="74">
        <f>'[4]AHTS-5'!AW42</f>
        <v>0</v>
      </c>
      <c r="AP8" s="74">
        <f>'[4]AHTS-5'!AX42</f>
        <v>0</v>
      </c>
      <c r="AQ8" s="74">
        <f>'[4]AHTS-5'!AY42</f>
        <v>0</v>
      </c>
      <c r="AR8" s="74">
        <f>'[4]AHTS-5'!AZ42</f>
        <v>0</v>
      </c>
      <c r="AS8" s="74">
        <f>'[4]AHTS-5'!BA42</f>
        <v>0</v>
      </c>
      <c r="AT8" s="63">
        <f>'[4]AHTS-5'!BB42</f>
        <v>0</v>
      </c>
      <c r="AU8" s="73">
        <f>'[4]AHTS-5'!BC42</f>
        <v>0</v>
      </c>
      <c r="AV8" s="73">
        <f>'[4]AHTS-5'!BD42</f>
        <v>0</v>
      </c>
      <c r="AW8" s="73">
        <f>'[4]AHTS-5'!BE42</f>
        <v>0</v>
      </c>
      <c r="AX8" s="73">
        <f>'[4]AHTS-5'!BF42</f>
        <v>0</v>
      </c>
      <c r="AY8" s="73">
        <f>'[4]AHTS-5'!BG42</f>
        <v>0</v>
      </c>
      <c r="AZ8" s="73">
        <f>'[4]AHTS-5'!BH42</f>
        <v>0</v>
      </c>
      <c r="BA8" s="73">
        <f>'[4]AHTS-5'!BI42</f>
        <v>0</v>
      </c>
      <c r="BB8" s="73">
        <f>'[4]AHTS-5'!BJ42</f>
        <v>0</v>
      </c>
      <c r="BC8" s="73">
        <f>'[4]AHTS-5'!BK42</f>
        <v>0</v>
      </c>
      <c r="BD8" s="73">
        <f>'[4]AHTS-5'!BL42</f>
        <v>0</v>
      </c>
      <c r="BE8" s="73">
        <f>'[4]AHTS-5'!BM42</f>
        <v>0</v>
      </c>
      <c r="BF8" s="73">
        <f>'[4]AHTS-5'!BN42</f>
        <v>0</v>
      </c>
      <c r="BG8" s="73">
        <f>'[4]AHTS-5'!BO42</f>
        <v>0</v>
      </c>
      <c r="BH8" s="73">
        <f>'[4]AHTS-5'!BP42</f>
        <v>0</v>
      </c>
      <c r="BI8" s="73">
        <f>'[4]AHTS-5'!BQ42</f>
        <v>0</v>
      </c>
      <c r="BJ8" s="73">
        <f>'[4]AHTS-5'!BR42</f>
        <v>0</v>
      </c>
      <c r="BK8" s="73">
        <f>'[4]AHTS-5'!BS42</f>
        <v>0</v>
      </c>
      <c r="BL8" s="73">
        <f>'[4]AHTS-5'!BT42</f>
        <v>0</v>
      </c>
      <c r="BM8" s="73">
        <f>'[4]AHTS-5'!BU42</f>
        <v>0</v>
      </c>
      <c r="BN8" s="73">
        <f>'[4]AHTS-5'!BV42</f>
        <v>0</v>
      </c>
      <c r="BO8" s="73">
        <f>'[4]AHTS-5'!BW42</f>
        <v>0</v>
      </c>
      <c r="BP8" s="64">
        <f>'[4]AHTS-5'!BX42</f>
        <v>0</v>
      </c>
    </row>
    <row r="9" spans="1:68" x14ac:dyDescent="0.35">
      <c r="A9" s="13">
        <v>6</v>
      </c>
      <c r="B9" s="62">
        <f>'[4]AHTS-6'!$C$8</f>
        <v>0</v>
      </c>
      <c r="C9" s="72">
        <f>'[4]AHTS-6'!AG80</f>
        <v>0</v>
      </c>
      <c r="D9" s="72">
        <f>'[4]AHTS-6'!AH80</f>
        <v>0</v>
      </c>
      <c r="E9" s="72">
        <f>'[4]AHTS-6'!AI80</f>
        <v>0</v>
      </c>
      <c r="F9" s="72">
        <f>'[4]AHTS-6'!AJ80</f>
        <v>0</v>
      </c>
      <c r="G9" s="72">
        <f>'[4]AHTS-6'!AK80</f>
        <v>0</v>
      </c>
      <c r="H9" s="72">
        <f>'[4]AHTS-6'!AL80</f>
        <v>0</v>
      </c>
      <c r="I9" s="72">
        <f>'[4]AHTS-6'!AM80</f>
        <v>0</v>
      </c>
      <c r="J9" s="72">
        <f>'[4]AHTS-6'!AN80</f>
        <v>0</v>
      </c>
      <c r="K9" s="72">
        <f>'[4]AHTS-6'!AO80</f>
        <v>0</v>
      </c>
      <c r="L9" s="72">
        <f>'[4]AHTS-6'!AP80</f>
        <v>0</v>
      </c>
      <c r="M9" s="72">
        <f>'[4]AHTS-6'!AQ80</f>
        <v>0</v>
      </c>
      <c r="N9" s="72">
        <f>'[4]AHTS-6'!AR80</f>
        <v>0</v>
      </c>
      <c r="O9" s="72">
        <f>'[4]AHTS-6'!AS80</f>
        <v>0</v>
      </c>
      <c r="P9" s="72">
        <f>'[4]AHTS-6'!AT80</f>
        <v>0</v>
      </c>
      <c r="Q9" s="72">
        <f>'[4]AHTS-6'!AU80</f>
        <v>0</v>
      </c>
      <c r="R9" s="72">
        <f>'[4]AHTS-6'!AV80</f>
        <v>0</v>
      </c>
      <c r="S9" s="72">
        <f>'[4]AHTS-6'!AW80</f>
        <v>0</v>
      </c>
      <c r="T9" s="72">
        <f>'[4]AHTS-6'!AX80</f>
        <v>0</v>
      </c>
      <c r="U9" s="72">
        <f>'[4]AHTS-6'!AY80</f>
        <v>0</v>
      </c>
      <c r="V9" s="72">
        <f>'[4]AHTS-6'!AZ80</f>
        <v>0</v>
      </c>
      <c r="W9" s="72">
        <f>'[4]AHTS-6'!BA80</f>
        <v>0</v>
      </c>
      <c r="X9" s="68">
        <f>'[4]AHTS-6'!BB80</f>
        <v>0</v>
      </c>
      <c r="Y9" s="74">
        <f>'[4]AHTS-6'!AG42</f>
        <v>0</v>
      </c>
      <c r="Z9" s="74">
        <f>'[4]AHTS-6'!AH42</f>
        <v>0</v>
      </c>
      <c r="AA9" s="74">
        <f>'[4]AHTS-6'!AI42</f>
        <v>0</v>
      </c>
      <c r="AB9" s="74">
        <f>'[4]AHTS-6'!AJ42</f>
        <v>0</v>
      </c>
      <c r="AC9" s="74">
        <f>'[4]AHTS-6'!AK42</f>
        <v>0</v>
      </c>
      <c r="AD9" s="74">
        <f>'[4]AHTS-6'!AL42</f>
        <v>0</v>
      </c>
      <c r="AE9" s="74">
        <f>'[4]AHTS-6'!AM42</f>
        <v>0</v>
      </c>
      <c r="AF9" s="74">
        <f>'[4]AHTS-6'!AN42</f>
        <v>0</v>
      </c>
      <c r="AG9" s="74">
        <f>'[4]AHTS-6'!AO42</f>
        <v>0</v>
      </c>
      <c r="AH9" s="74">
        <f>'[4]AHTS-6'!AP42</f>
        <v>0</v>
      </c>
      <c r="AI9" s="74">
        <f>'[4]AHTS-6'!AQ42</f>
        <v>0</v>
      </c>
      <c r="AJ9" s="74">
        <f>'[4]AHTS-6'!AR42</f>
        <v>0</v>
      </c>
      <c r="AK9" s="74">
        <f>'[4]AHTS-6'!AS42</f>
        <v>0</v>
      </c>
      <c r="AL9" s="74">
        <f>'[4]AHTS-6'!AT42</f>
        <v>0</v>
      </c>
      <c r="AM9" s="74">
        <f>'[4]AHTS-6'!AU42</f>
        <v>0</v>
      </c>
      <c r="AN9" s="74">
        <f>'[4]AHTS-6'!AV42</f>
        <v>0</v>
      </c>
      <c r="AO9" s="74">
        <f>'[4]AHTS-6'!AW42</f>
        <v>0</v>
      </c>
      <c r="AP9" s="74">
        <f>'[4]AHTS-6'!AX42</f>
        <v>0</v>
      </c>
      <c r="AQ9" s="74">
        <f>'[4]AHTS-6'!AY42</f>
        <v>0</v>
      </c>
      <c r="AR9" s="74">
        <f>'[4]AHTS-6'!AZ42</f>
        <v>0</v>
      </c>
      <c r="AS9" s="74">
        <f>'[4]AHTS-6'!BA42</f>
        <v>0</v>
      </c>
      <c r="AT9" s="63">
        <f>'[4]AHTS-6'!BB42</f>
        <v>0</v>
      </c>
      <c r="AU9" s="73">
        <f>'[4]AHTS-6'!BC42</f>
        <v>0</v>
      </c>
      <c r="AV9" s="73">
        <f>'[4]AHTS-6'!BD42</f>
        <v>0</v>
      </c>
      <c r="AW9" s="73">
        <f>'[4]AHTS-6'!BE42</f>
        <v>0</v>
      </c>
      <c r="AX9" s="73">
        <f>'[4]AHTS-6'!BF42</f>
        <v>0</v>
      </c>
      <c r="AY9" s="73">
        <f>'[4]AHTS-6'!BG42</f>
        <v>0</v>
      </c>
      <c r="AZ9" s="73">
        <f>'[4]AHTS-6'!BH42</f>
        <v>0</v>
      </c>
      <c r="BA9" s="73">
        <f>'[4]AHTS-6'!BI42</f>
        <v>0</v>
      </c>
      <c r="BB9" s="73">
        <f>'[4]AHTS-6'!BJ42</f>
        <v>0</v>
      </c>
      <c r="BC9" s="73">
        <f>'[4]AHTS-6'!BK42</f>
        <v>0</v>
      </c>
      <c r="BD9" s="73">
        <f>'[4]AHTS-6'!BL42</f>
        <v>0</v>
      </c>
      <c r="BE9" s="73">
        <f>'[4]AHTS-6'!BM42</f>
        <v>0</v>
      </c>
      <c r="BF9" s="73">
        <f>'[4]AHTS-6'!BN42</f>
        <v>0</v>
      </c>
      <c r="BG9" s="73">
        <f>'[4]AHTS-6'!BO42</f>
        <v>0</v>
      </c>
      <c r="BH9" s="73">
        <f>'[4]AHTS-6'!BP42</f>
        <v>0</v>
      </c>
      <c r="BI9" s="73">
        <f>'[4]AHTS-6'!BQ42</f>
        <v>0</v>
      </c>
      <c r="BJ9" s="73">
        <f>'[4]AHTS-6'!BR42</f>
        <v>0</v>
      </c>
      <c r="BK9" s="73">
        <f>'[4]AHTS-6'!BS42</f>
        <v>0</v>
      </c>
      <c r="BL9" s="73">
        <f>'[4]AHTS-6'!BT42</f>
        <v>0</v>
      </c>
      <c r="BM9" s="73">
        <f>'[4]AHTS-6'!BU42</f>
        <v>0</v>
      </c>
      <c r="BN9" s="73">
        <f>'[4]AHTS-6'!BV42</f>
        <v>0</v>
      </c>
      <c r="BO9" s="73">
        <f>'[4]AHTS-6'!BW42</f>
        <v>0</v>
      </c>
      <c r="BP9" s="64">
        <f>'[4]AHTS-6'!BX42</f>
        <v>0</v>
      </c>
    </row>
    <row r="10" spans="1:68" x14ac:dyDescent="0.35">
      <c r="A10" s="13">
        <v>7</v>
      </c>
      <c r="B10" s="62">
        <f>'[4]AHTS-7'!$C$8</f>
        <v>0</v>
      </c>
      <c r="C10" s="72">
        <f>'[4]AHTS-7'!AG80</f>
        <v>0</v>
      </c>
      <c r="D10" s="72">
        <f>'[4]AHTS-7'!AH80</f>
        <v>0</v>
      </c>
      <c r="E10" s="72">
        <f>'[4]AHTS-7'!AI80</f>
        <v>0</v>
      </c>
      <c r="F10" s="72">
        <f>'[4]AHTS-7'!AJ80</f>
        <v>0</v>
      </c>
      <c r="G10" s="72">
        <f>'[4]AHTS-7'!AK80</f>
        <v>0</v>
      </c>
      <c r="H10" s="72">
        <f>'[4]AHTS-7'!AL80</f>
        <v>0</v>
      </c>
      <c r="I10" s="72">
        <f>'[4]AHTS-7'!AM80</f>
        <v>0</v>
      </c>
      <c r="J10" s="72">
        <f>'[4]AHTS-7'!AN80</f>
        <v>0</v>
      </c>
      <c r="K10" s="72">
        <f>'[4]AHTS-7'!AO80</f>
        <v>0</v>
      </c>
      <c r="L10" s="72">
        <f>'[4]AHTS-7'!AP80</f>
        <v>0</v>
      </c>
      <c r="M10" s="72">
        <f>'[4]AHTS-7'!AQ80</f>
        <v>0</v>
      </c>
      <c r="N10" s="72">
        <f>'[4]AHTS-7'!AR80</f>
        <v>0</v>
      </c>
      <c r="O10" s="72">
        <f>'[4]AHTS-7'!AS80</f>
        <v>0</v>
      </c>
      <c r="P10" s="72">
        <f>'[4]AHTS-7'!AT80</f>
        <v>0</v>
      </c>
      <c r="Q10" s="72">
        <f>'[4]AHTS-7'!AU80</f>
        <v>0</v>
      </c>
      <c r="R10" s="72">
        <f>'[4]AHTS-7'!AV80</f>
        <v>0</v>
      </c>
      <c r="S10" s="72">
        <f>'[4]AHTS-7'!AW80</f>
        <v>0</v>
      </c>
      <c r="T10" s="72">
        <f>'[4]AHTS-7'!AX80</f>
        <v>0</v>
      </c>
      <c r="U10" s="72">
        <f>'[4]AHTS-7'!AY80</f>
        <v>0</v>
      </c>
      <c r="V10" s="72">
        <f>'[4]AHTS-7'!AZ80</f>
        <v>0</v>
      </c>
      <c r="W10" s="72">
        <f>'[4]AHTS-7'!BA80</f>
        <v>0</v>
      </c>
      <c r="X10" s="68">
        <f>'[4]AHTS-7'!BB80</f>
        <v>0</v>
      </c>
      <c r="Y10" s="74">
        <f>'[4]AHTS-7'!AG42</f>
        <v>0</v>
      </c>
      <c r="Z10" s="74">
        <f>'[4]AHTS-7'!AH42</f>
        <v>0</v>
      </c>
      <c r="AA10" s="74">
        <f>'[4]AHTS-7'!AI42</f>
        <v>0</v>
      </c>
      <c r="AB10" s="74">
        <f>'[4]AHTS-7'!AJ42</f>
        <v>0</v>
      </c>
      <c r="AC10" s="74">
        <f>'[4]AHTS-7'!AK42</f>
        <v>0</v>
      </c>
      <c r="AD10" s="74">
        <f>'[4]AHTS-7'!AL42</f>
        <v>0</v>
      </c>
      <c r="AE10" s="74">
        <f>'[4]AHTS-7'!AM42</f>
        <v>0</v>
      </c>
      <c r="AF10" s="74">
        <f>'[4]AHTS-7'!AN42</f>
        <v>0</v>
      </c>
      <c r="AG10" s="74">
        <f>'[4]AHTS-7'!AO42</f>
        <v>0</v>
      </c>
      <c r="AH10" s="74">
        <f>'[4]AHTS-7'!AP42</f>
        <v>0</v>
      </c>
      <c r="AI10" s="74">
        <f>'[4]AHTS-7'!AQ42</f>
        <v>0</v>
      </c>
      <c r="AJ10" s="74">
        <f>'[4]AHTS-7'!AR42</f>
        <v>0</v>
      </c>
      <c r="AK10" s="74">
        <f>'[4]AHTS-7'!AS42</f>
        <v>0</v>
      </c>
      <c r="AL10" s="74">
        <f>'[4]AHTS-7'!AT42</f>
        <v>0</v>
      </c>
      <c r="AM10" s="74">
        <f>'[4]AHTS-7'!AU42</f>
        <v>0</v>
      </c>
      <c r="AN10" s="74">
        <f>'[4]AHTS-7'!AV42</f>
        <v>0</v>
      </c>
      <c r="AO10" s="74">
        <f>'[4]AHTS-7'!AW42</f>
        <v>0</v>
      </c>
      <c r="AP10" s="74">
        <f>'[4]AHTS-7'!AX42</f>
        <v>0</v>
      </c>
      <c r="AQ10" s="74">
        <f>'[4]AHTS-7'!AY42</f>
        <v>0</v>
      </c>
      <c r="AR10" s="74">
        <f>'[4]AHTS-7'!AZ42</f>
        <v>0</v>
      </c>
      <c r="AS10" s="74">
        <f>'[4]AHTS-7'!BA42</f>
        <v>0</v>
      </c>
      <c r="AT10" s="63">
        <f>'[4]AHTS-7'!BB42</f>
        <v>0</v>
      </c>
      <c r="AU10" s="73">
        <f>'[4]AHTS-7'!BC42</f>
        <v>0</v>
      </c>
      <c r="AV10" s="73">
        <f>'[4]AHTS-7'!BD42</f>
        <v>0</v>
      </c>
      <c r="AW10" s="73">
        <f>'[4]AHTS-7'!BE42</f>
        <v>0</v>
      </c>
      <c r="AX10" s="73">
        <f>'[4]AHTS-7'!BF42</f>
        <v>0</v>
      </c>
      <c r="AY10" s="73">
        <f>'[4]AHTS-7'!BG42</f>
        <v>0</v>
      </c>
      <c r="AZ10" s="73">
        <f>'[4]AHTS-7'!BH42</f>
        <v>0</v>
      </c>
      <c r="BA10" s="73">
        <f>'[4]AHTS-7'!BI42</f>
        <v>0</v>
      </c>
      <c r="BB10" s="73">
        <f>'[4]AHTS-7'!BJ42</f>
        <v>0</v>
      </c>
      <c r="BC10" s="73">
        <f>'[4]AHTS-7'!BK42</f>
        <v>0</v>
      </c>
      <c r="BD10" s="73">
        <f>'[4]AHTS-7'!BL42</f>
        <v>0</v>
      </c>
      <c r="BE10" s="73">
        <f>'[4]AHTS-7'!BM42</f>
        <v>0</v>
      </c>
      <c r="BF10" s="73">
        <f>'[4]AHTS-7'!BN42</f>
        <v>0</v>
      </c>
      <c r="BG10" s="73">
        <f>'[4]AHTS-7'!BO42</f>
        <v>0</v>
      </c>
      <c r="BH10" s="73">
        <f>'[4]AHTS-7'!BP42</f>
        <v>0</v>
      </c>
      <c r="BI10" s="73">
        <f>'[4]AHTS-7'!BQ42</f>
        <v>0</v>
      </c>
      <c r="BJ10" s="73">
        <f>'[4]AHTS-7'!BR42</f>
        <v>0</v>
      </c>
      <c r="BK10" s="73">
        <f>'[4]AHTS-7'!BS42</f>
        <v>0</v>
      </c>
      <c r="BL10" s="73">
        <f>'[4]AHTS-7'!BT42</f>
        <v>0</v>
      </c>
      <c r="BM10" s="73">
        <f>'[4]AHTS-7'!BU42</f>
        <v>0</v>
      </c>
      <c r="BN10" s="73">
        <f>'[4]AHTS-7'!BV42</f>
        <v>0</v>
      </c>
      <c r="BO10" s="73">
        <f>'[4]AHTS-7'!BW42</f>
        <v>0</v>
      </c>
      <c r="BP10" s="64">
        <f>'[4]AHTS-7'!BX42</f>
        <v>0</v>
      </c>
    </row>
    <row r="11" spans="1:68" x14ac:dyDescent="0.35">
      <c r="A11" s="13">
        <v>8</v>
      </c>
      <c r="B11" s="62">
        <f>'[4]AHTS-8'!$C$8</f>
        <v>0</v>
      </c>
      <c r="C11" s="72">
        <f>'[4]AHTS-8'!AG80</f>
        <v>0</v>
      </c>
      <c r="D11" s="72">
        <f>'[4]AHTS-8'!AH80</f>
        <v>0</v>
      </c>
      <c r="E11" s="72">
        <f>'[4]AHTS-8'!AI80</f>
        <v>0</v>
      </c>
      <c r="F11" s="72">
        <f>'[4]AHTS-8'!AJ80</f>
        <v>0</v>
      </c>
      <c r="G11" s="72">
        <f>'[4]AHTS-8'!AK80</f>
        <v>0</v>
      </c>
      <c r="H11" s="72">
        <f>'[4]AHTS-8'!AL80</f>
        <v>0</v>
      </c>
      <c r="I11" s="72">
        <f>'[4]AHTS-8'!AM80</f>
        <v>0</v>
      </c>
      <c r="J11" s="72">
        <f>'[4]AHTS-8'!AN80</f>
        <v>0</v>
      </c>
      <c r="K11" s="72">
        <f>'[4]AHTS-8'!AO80</f>
        <v>0</v>
      </c>
      <c r="L11" s="72">
        <f>'[4]AHTS-8'!AP80</f>
        <v>0</v>
      </c>
      <c r="M11" s="72">
        <f>'[4]AHTS-8'!AQ80</f>
        <v>0</v>
      </c>
      <c r="N11" s="72">
        <f>'[4]AHTS-8'!AR80</f>
        <v>0</v>
      </c>
      <c r="O11" s="72">
        <f>'[4]AHTS-8'!AS80</f>
        <v>0</v>
      </c>
      <c r="P11" s="72">
        <f>'[4]AHTS-8'!AT80</f>
        <v>0</v>
      </c>
      <c r="Q11" s="72">
        <f>'[4]AHTS-8'!AU80</f>
        <v>0</v>
      </c>
      <c r="R11" s="72">
        <f>'[4]AHTS-8'!AV80</f>
        <v>0</v>
      </c>
      <c r="S11" s="72">
        <f>'[4]AHTS-8'!AW80</f>
        <v>0</v>
      </c>
      <c r="T11" s="72">
        <f>'[4]AHTS-8'!AX80</f>
        <v>0</v>
      </c>
      <c r="U11" s="72">
        <f>'[4]AHTS-8'!AY80</f>
        <v>0</v>
      </c>
      <c r="V11" s="72">
        <f>'[4]AHTS-8'!AZ80</f>
        <v>0</v>
      </c>
      <c r="W11" s="72">
        <f>'[4]AHTS-8'!BA80</f>
        <v>0</v>
      </c>
      <c r="X11" s="68">
        <f>'[4]AHTS-8'!BB80</f>
        <v>0</v>
      </c>
      <c r="Y11" s="74">
        <f>'[4]AHTS-8'!AG42</f>
        <v>0</v>
      </c>
      <c r="Z11" s="74">
        <f>'[4]AHTS-8'!AH42</f>
        <v>0</v>
      </c>
      <c r="AA11" s="74">
        <f>'[4]AHTS-8'!AI42</f>
        <v>0</v>
      </c>
      <c r="AB11" s="74">
        <f>'[4]AHTS-8'!AJ42</f>
        <v>0</v>
      </c>
      <c r="AC11" s="74">
        <f>'[4]AHTS-8'!AK42</f>
        <v>0</v>
      </c>
      <c r="AD11" s="74">
        <f>'[4]AHTS-8'!AL42</f>
        <v>0</v>
      </c>
      <c r="AE11" s="74">
        <f>'[4]AHTS-8'!AM42</f>
        <v>0</v>
      </c>
      <c r="AF11" s="74">
        <f>'[4]AHTS-8'!AN42</f>
        <v>0</v>
      </c>
      <c r="AG11" s="74">
        <f>'[4]AHTS-8'!AO42</f>
        <v>0</v>
      </c>
      <c r="AH11" s="74">
        <f>'[4]AHTS-8'!AP42</f>
        <v>0</v>
      </c>
      <c r="AI11" s="74">
        <f>'[4]AHTS-8'!AQ42</f>
        <v>0</v>
      </c>
      <c r="AJ11" s="74">
        <f>'[4]AHTS-8'!AR42</f>
        <v>0</v>
      </c>
      <c r="AK11" s="74">
        <f>'[4]AHTS-8'!AS42</f>
        <v>0</v>
      </c>
      <c r="AL11" s="74">
        <f>'[4]AHTS-8'!AT42</f>
        <v>0</v>
      </c>
      <c r="AM11" s="74">
        <f>'[4]AHTS-8'!AU42</f>
        <v>0</v>
      </c>
      <c r="AN11" s="74">
        <f>'[4]AHTS-8'!AV42</f>
        <v>0</v>
      </c>
      <c r="AO11" s="74">
        <f>'[4]AHTS-8'!AW42</f>
        <v>0</v>
      </c>
      <c r="AP11" s="74">
        <f>'[4]AHTS-8'!AX42</f>
        <v>0</v>
      </c>
      <c r="AQ11" s="74">
        <f>'[4]AHTS-8'!AY42</f>
        <v>0</v>
      </c>
      <c r="AR11" s="74">
        <f>'[4]AHTS-8'!AZ42</f>
        <v>0</v>
      </c>
      <c r="AS11" s="74">
        <f>'[4]AHTS-8'!BA42</f>
        <v>0</v>
      </c>
      <c r="AT11" s="63">
        <f>'[4]AHTS-8'!BB42</f>
        <v>0</v>
      </c>
      <c r="AU11" s="73">
        <f>'[4]AHTS-8'!BC42</f>
        <v>0</v>
      </c>
      <c r="AV11" s="73">
        <f>'[4]AHTS-8'!BD42</f>
        <v>0</v>
      </c>
      <c r="AW11" s="73">
        <f>'[4]AHTS-8'!BE42</f>
        <v>0</v>
      </c>
      <c r="AX11" s="73">
        <f>'[4]AHTS-8'!BF42</f>
        <v>0</v>
      </c>
      <c r="AY11" s="73">
        <f>'[4]AHTS-8'!BG42</f>
        <v>0</v>
      </c>
      <c r="AZ11" s="73">
        <f>'[4]AHTS-8'!BH42</f>
        <v>0</v>
      </c>
      <c r="BA11" s="73">
        <f>'[4]AHTS-8'!BI42</f>
        <v>0</v>
      </c>
      <c r="BB11" s="73">
        <f>'[4]AHTS-8'!BJ42</f>
        <v>0</v>
      </c>
      <c r="BC11" s="73">
        <f>'[4]AHTS-8'!BK42</f>
        <v>0</v>
      </c>
      <c r="BD11" s="73">
        <f>'[4]AHTS-8'!BL42</f>
        <v>0</v>
      </c>
      <c r="BE11" s="73">
        <f>'[4]AHTS-8'!BM42</f>
        <v>0</v>
      </c>
      <c r="BF11" s="73">
        <f>'[4]AHTS-8'!BN42</f>
        <v>0</v>
      </c>
      <c r="BG11" s="73">
        <f>'[4]AHTS-8'!BO42</f>
        <v>0</v>
      </c>
      <c r="BH11" s="73">
        <f>'[4]AHTS-8'!BP42</f>
        <v>0</v>
      </c>
      <c r="BI11" s="73">
        <f>'[4]AHTS-8'!BQ42</f>
        <v>0</v>
      </c>
      <c r="BJ11" s="73">
        <f>'[4]AHTS-8'!BR42</f>
        <v>0</v>
      </c>
      <c r="BK11" s="73">
        <f>'[4]AHTS-8'!BS42</f>
        <v>0</v>
      </c>
      <c r="BL11" s="73">
        <f>'[4]AHTS-8'!BT42</f>
        <v>0</v>
      </c>
      <c r="BM11" s="73">
        <f>'[4]AHTS-8'!BU42</f>
        <v>0</v>
      </c>
      <c r="BN11" s="73">
        <f>'[4]AHTS-8'!BV42</f>
        <v>0</v>
      </c>
      <c r="BO11" s="73">
        <f>'[4]AHTS-8'!BW42</f>
        <v>0</v>
      </c>
      <c r="BP11" s="64">
        <f>'[4]AHTS-8'!BX42</f>
        <v>0</v>
      </c>
    </row>
    <row r="12" spans="1:68" x14ac:dyDescent="0.35">
      <c r="A12" s="13">
        <v>9</v>
      </c>
      <c r="B12" s="62">
        <f>'[5]Barge-1'!$C$8</f>
        <v>0</v>
      </c>
      <c r="C12" s="72">
        <f>'[5]Barge-1'!AG80</f>
        <v>0</v>
      </c>
      <c r="D12" s="72">
        <f>'[5]Barge-1'!AH80</f>
        <v>0</v>
      </c>
      <c r="E12" s="72">
        <f>'[5]Barge-1'!AI80</f>
        <v>0</v>
      </c>
      <c r="F12" s="72">
        <f>'[5]Barge-1'!AJ80</f>
        <v>0</v>
      </c>
      <c r="G12" s="72">
        <f>'[5]Barge-1'!AK80</f>
        <v>0</v>
      </c>
      <c r="H12" s="72">
        <f>'[5]Barge-1'!AL80</f>
        <v>0</v>
      </c>
      <c r="I12" s="72">
        <f>'[5]Barge-1'!AM80</f>
        <v>0</v>
      </c>
      <c r="J12" s="72">
        <f>'[5]Barge-1'!AN80</f>
        <v>0</v>
      </c>
      <c r="K12" s="72">
        <f>'[5]Barge-1'!AO80</f>
        <v>0</v>
      </c>
      <c r="L12" s="72">
        <f>'[5]Barge-1'!AP80</f>
        <v>0</v>
      </c>
      <c r="M12" s="72">
        <f>'[5]Barge-1'!AQ80</f>
        <v>0</v>
      </c>
      <c r="N12" s="72">
        <f>'[5]Barge-1'!AR80</f>
        <v>0</v>
      </c>
      <c r="O12" s="72">
        <f>'[5]Barge-1'!AS80</f>
        <v>0</v>
      </c>
      <c r="P12" s="72">
        <f>'[5]Barge-1'!AT80</f>
        <v>0</v>
      </c>
      <c r="Q12" s="72">
        <f>'[5]Barge-1'!AU80</f>
        <v>0</v>
      </c>
      <c r="R12" s="72">
        <f>'[5]Barge-1'!AV80</f>
        <v>0</v>
      </c>
      <c r="S12" s="72">
        <f>'[5]Barge-1'!AW80</f>
        <v>0</v>
      </c>
      <c r="T12" s="72">
        <f>'[5]Barge-1'!AX80</f>
        <v>0</v>
      </c>
      <c r="U12" s="72">
        <f>'[5]Barge-1'!AY80</f>
        <v>0</v>
      </c>
      <c r="V12" s="72">
        <f>'[5]Barge-1'!AZ80</f>
        <v>0</v>
      </c>
      <c r="W12" s="72">
        <f>'[5]Barge-1'!BA80</f>
        <v>0</v>
      </c>
      <c r="X12" s="68">
        <f>'[5]Barge-1'!BB80</f>
        <v>0</v>
      </c>
      <c r="Y12" s="74">
        <f>'[5]Barge-1'!AG42</f>
        <v>0</v>
      </c>
      <c r="Z12" s="74">
        <f>'[5]Barge-1'!AH42</f>
        <v>0</v>
      </c>
      <c r="AA12" s="74">
        <f>'[5]Barge-1'!AI42</f>
        <v>0</v>
      </c>
      <c r="AB12" s="74">
        <f>'[5]Barge-1'!AJ42</f>
        <v>0</v>
      </c>
      <c r="AC12" s="74">
        <f>'[5]Barge-1'!AK42</f>
        <v>0</v>
      </c>
      <c r="AD12" s="74">
        <f>'[5]Barge-1'!AL42</f>
        <v>0</v>
      </c>
      <c r="AE12" s="74">
        <f>'[5]Barge-1'!AM42</f>
        <v>0</v>
      </c>
      <c r="AF12" s="74">
        <f>'[5]Barge-1'!AN42</f>
        <v>0</v>
      </c>
      <c r="AG12" s="74">
        <f>'[5]Barge-1'!AO42</f>
        <v>0</v>
      </c>
      <c r="AH12" s="74">
        <f>'[5]Barge-1'!AP42</f>
        <v>0</v>
      </c>
      <c r="AI12" s="74">
        <f>'[5]Barge-1'!AQ42</f>
        <v>0</v>
      </c>
      <c r="AJ12" s="74">
        <f>'[5]Barge-1'!AR42</f>
        <v>0</v>
      </c>
      <c r="AK12" s="74">
        <f>'[5]Barge-1'!AS42</f>
        <v>0</v>
      </c>
      <c r="AL12" s="74">
        <f>'[5]Barge-1'!AT42</f>
        <v>0</v>
      </c>
      <c r="AM12" s="74">
        <f>'[5]Barge-1'!AU42</f>
        <v>0</v>
      </c>
      <c r="AN12" s="74">
        <f>'[5]Barge-1'!AV42</f>
        <v>0</v>
      </c>
      <c r="AO12" s="74">
        <f>'[5]Barge-1'!AW42</f>
        <v>0</v>
      </c>
      <c r="AP12" s="74">
        <f>'[5]Barge-1'!AX42</f>
        <v>0</v>
      </c>
      <c r="AQ12" s="74">
        <f>'[5]Barge-1'!AY42</f>
        <v>0</v>
      </c>
      <c r="AR12" s="74">
        <f>'[5]Barge-1'!AZ42</f>
        <v>0</v>
      </c>
      <c r="AS12" s="74">
        <f>'[5]Barge-1'!BA42</f>
        <v>0</v>
      </c>
      <c r="AT12" s="63">
        <f>'[5]Barge-1'!BB42</f>
        <v>0</v>
      </c>
      <c r="AU12" s="73">
        <f>'[5]Barge-1'!BC42</f>
        <v>0</v>
      </c>
      <c r="AV12" s="73">
        <f>'[5]Barge-1'!BD42</f>
        <v>0</v>
      </c>
      <c r="AW12" s="73">
        <f>'[5]Barge-1'!BE42</f>
        <v>0</v>
      </c>
      <c r="AX12" s="73">
        <f>'[5]Barge-1'!BF42</f>
        <v>0</v>
      </c>
      <c r="AY12" s="73">
        <f>'[5]Barge-1'!BG42</f>
        <v>0</v>
      </c>
      <c r="AZ12" s="73">
        <f>'[5]Barge-1'!BH42</f>
        <v>0</v>
      </c>
      <c r="BA12" s="73">
        <f>'[5]Barge-1'!BI42</f>
        <v>0</v>
      </c>
      <c r="BB12" s="73">
        <f>'[5]Barge-1'!BJ42</f>
        <v>0</v>
      </c>
      <c r="BC12" s="73">
        <f>'[5]Barge-1'!BK42</f>
        <v>0</v>
      </c>
      <c r="BD12" s="73">
        <f>'[5]Barge-1'!BL42</f>
        <v>0</v>
      </c>
      <c r="BE12" s="73">
        <f>'[5]Barge-1'!BM42</f>
        <v>0</v>
      </c>
      <c r="BF12" s="73">
        <f>'[5]Barge-1'!BN42</f>
        <v>0</v>
      </c>
      <c r="BG12" s="73">
        <f>'[5]Barge-1'!BO42</f>
        <v>0</v>
      </c>
      <c r="BH12" s="73">
        <f>'[5]Barge-1'!BP42</f>
        <v>0</v>
      </c>
      <c r="BI12" s="73">
        <f>'[5]Barge-1'!BQ42</f>
        <v>0</v>
      </c>
      <c r="BJ12" s="73">
        <f>'[5]Barge-1'!BR42</f>
        <v>0</v>
      </c>
      <c r="BK12" s="73">
        <f>'[5]Barge-1'!BS42</f>
        <v>0</v>
      </c>
      <c r="BL12" s="73">
        <f>'[5]Barge-1'!BT42</f>
        <v>0</v>
      </c>
      <c r="BM12" s="73">
        <f>'[5]Barge-1'!BU42</f>
        <v>0</v>
      </c>
      <c r="BN12" s="73">
        <f>'[5]Barge-1'!BV42</f>
        <v>0</v>
      </c>
      <c r="BO12" s="73">
        <f>'[5]Barge-1'!BW42</f>
        <v>0</v>
      </c>
      <c r="BP12" s="64">
        <f>'[5]Barge-1'!BX42</f>
        <v>0</v>
      </c>
    </row>
    <row r="13" spans="1:68" x14ac:dyDescent="0.35">
      <c r="A13" s="13">
        <v>10</v>
      </c>
      <c r="B13" s="62" t="str">
        <f>'[6]CB-1'!$C$8</f>
        <v>CB PEREGRIN</v>
      </c>
      <c r="C13" s="72">
        <f>'[6]CB-1'!AG80</f>
        <v>0</v>
      </c>
      <c r="D13" s="72">
        <f>'[6]CB-1'!AH80</f>
        <v>0</v>
      </c>
      <c r="E13" s="72">
        <f>'[6]CB-1'!AI80</f>
        <v>0</v>
      </c>
      <c r="F13" s="72">
        <f>'[6]CB-1'!AJ80</f>
        <v>0</v>
      </c>
      <c r="G13" s="72">
        <f>'[6]CB-1'!AK80</f>
        <v>0</v>
      </c>
      <c r="H13" s="72">
        <f>'[6]CB-1'!AL80</f>
        <v>0</v>
      </c>
      <c r="I13" s="72">
        <f>'[6]CB-1'!AM80</f>
        <v>0</v>
      </c>
      <c r="J13" s="72">
        <f>'[6]CB-1'!AN80</f>
        <v>0</v>
      </c>
      <c r="K13" s="72">
        <f>'[6]CB-1'!AO80</f>
        <v>0</v>
      </c>
      <c r="L13" s="72">
        <f>'[6]CB-1'!AP80</f>
        <v>0</v>
      </c>
      <c r="M13" s="72">
        <f>'[6]CB-1'!AQ80</f>
        <v>0</v>
      </c>
      <c r="N13" s="72">
        <f>'[6]CB-1'!AR80</f>
        <v>0</v>
      </c>
      <c r="O13" s="72">
        <f>'[6]CB-1'!AS80</f>
        <v>0</v>
      </c>
      <c r="P13" s="72">
        <f>'[6]CB-1'!AT80</f>
        <v>0</v>
      </c>
      <c r="Q13" s="72">
        <f>'[6]CB-1'!AU80</f>
        <v>0</v>
      </c>
      <c r="R13" s="72">
        <f>'[6]CB-1'!AV80</f>
        <v>0</v>
      </c>
      <c r="S13" s="72">
        <f>'[6]CB-1'!AW80</f>
        <v>0</v>
      </c>
      <c r="T13" s="72">
        <f>'[6]CB-1'!AX80</f>
        <v>0</v>
      </c>
      <c r="U13" s="72">
        <f>'[6]CB-1'!AY80</f>
        <v>0</v>
      </c>
      <c r="V13" s="72">
        <f>'[6]CB-1'!AZ80</f>
        <v>0</v>
      </c>
      <c r="W13" s="72">
        <f>'[6]CB-1'!BA80</f>
        <v>0</v>
      </c>
      <c r="X13" s="68">
        <f>'[6]CB-1'!BB80</f>
        <v>0</v>
      </c>
      <c r="Y13" s="74">
        <f>'[6]CB-1'!AG42</f>
        <v>0</v>
      </c>
      <c r="Z13" s="74">
        <f>'[6]CB-1'!AH42</f>
        <v>0</v>
      </c>
      <c r="AA13" s="74">
        <f>'[6]CB-1'!AI42</f>
        <v>0</v>
      </c>
      <c r="AB13" s="74">
        <f>'[6]CB-1'!AJ42</f>
        <v>0</v>
      </c>
      <c r="AC13" s="74">
        <f>'[6]CB-1'!AK42</f>
        <v>0</v>
      </c>
      <c r="AD13" s="74">
        <f>'[6]CB-1'!AL42</f>
        <v>0</v>
      </c>
      <c r="AE13" s="74">
        <f>'[6]CB-1'!AM42</f>
        <v>0</v>
      </c>
      <c r="AF13" s="74">
        <f>'[6]CB-1'!AN42</f>
        <v>0</v>
      </c>
      <c r="AG13" s="74">
        <f>'[6]CB-1'!AO42</f>
        <v>0</v>
      </c>
      <c r="AH13" s="74">
        <f>'[6]CB-1'!AP42</f>
        <v>0</v>
      </c>
      <c r="AI13" s="74">
        <f>'[6]CB-1'!AQ42</f>
        <v>0</v>
      </c>
      <c r="AJ13" s="74">
        <f>'[6]CB-1'!AR42</f>
        <v>0</v>
      </c>
      <c r="AK13" s="74">
        <f>'[6]CB-1'!AS42</f>
        <v>0</v>
      </c>
      <c r="AL13" s="74">
        <f>'[6]CB-1'!AT42</f>
        <v>0</v>
      </c>
      <c r="AM13" s="74">
        <f>'[6]CB-1'!AU42</f>
        <v>0</v>
      </c>
      <c r="AN13" s="74">
        <f>'[6]CB-1'!AV42</f>
        <v>0</v>
      </c>
      <c r="AO13" s="74">
        <f>'[6]CB-1'!AW42</f>
        <v>0</v>
      </c>
      <c r="AP13" s="74">
        <f>'[6]CB-1'!AX42</f>
        <v>0</v>
      </c>
      <c r="AQ13" s="74">
        <f>'[6]CB-1'!AY42</f>
        <v>0</v>
      </c>
      <c r="AR13" s="74">
        <f>'[6]CB-1'!AZ42</f>
        <v>0</v>
      </c>
      <c r="AS13" s="74">
        <f>'[6]CB-1'!BA42</f>
        <v>0</v>
      </c>
      <c r="AT13" s="63">
        <f>'[6]CB-1'!BB42</f>
        <v>0</v>
      </c>
      <c r="AU13" s="73">
        <f>'[6]CB-1'!BC42</f>
        <v>0</v>
      </c>
      <c r="AV13" s="73">
        <f>'[6]CB-1'!BD42</f>
        <v>0</v>
      </c>
      <c r="AW13" s="73">
        <f>'[6]CB-1'!BE42</f>
        <v>0</v>
      </c>
      <c r="AX13" s="73">
        <f>'[6]CB-1'!BF42</f>
        <v>0</v>
      </c>
      <c r="AY13" s="73">
        <f>'[6]CB-1'!BG42</f>
        <v>0</v>
      </c>
      <c r="AZ13" s="73">
        <f>'[6]CB-1'!BH42</f>
        <v>0</v>
      </c>
      <c r="BA13" s="73">
        <f>'[6]CB-1'!BI42</f>
        <v>0</v>
      </c>
      <c r="BB13" s="73">
        <f>'[6]CB-1'!BJ42</f>
        <v>0</v>
      </c>
      <c r="BC13" s="73">
        <f>'[6]CB-1'!BK42</f>
        <v>0</v>
      </c>
      <c r="BD13" s="73">
        <f>'[6]CB-1'!BL42</f>
        <v>0</v>
      </c>
      <c r="BE13" s="73">
        <f>'[6]CB-1'!BM42</f>
        <v>0</v>
      </c>
      <c r="BF13" s="73">
        <f>'[6]CB-1'!BN42</f>
        <v>0</v>
      </c>
      <c r="BG13" s="73">
        <f>'[6]CB-1'!BO42</f>
        <v>0</v>
      </c>
      <c r="BH13" s="73">
        <f>'[6]CB-1'!BP42</f>
        <v>0</v>
      </c>
      <c r="BI13" s="73">
        <f>'[6]CB-1'!BQ42</f>
        <v>0</v>
      </c>
      <c r="BJ13" s="73">
        <f>'[6]CB-1'!BR42</f>
        <v>0</v>
      </c>
      <c r="BK13" s="73">
        <f>'[6]CB-1'!BS42</f>
        <v>0</v>
      </c>
      <c r="BL13" s="73">
        <f>'[6]CB-1'!BT42</f>
        <v>0</v>
      </c>
      <c r="BM13" s="73">
        <f>'[6]CB-1'!BU42</f>
        <v>0</v>
      </c>
      <c r="BN13" s="73">
        <f>'[6]CB-1'!BV42</f>
        <v>0</v>
      </c>
      <c r="BO13" s="73">
        <f>'[6]CB-1'!BW42</f>
        <v>0</v>
      </c>
      <c r="BP13" s="64">
        <f>'[6]CB-1'!BX42</f>
        <v>0</v>
      </c>
    </row>
    <row r="14" spans="1:68" x14ac:dyDescent="0.35">
      <c r="A14" s="13">
        <v>11</v>
      </c>
      <c r="B14" s="62" t="str">
        <f>'[6]CB-2'!$C$8</f>
        <v>CB MALEO</v>
      </c>
      <c r="C14" s="72">
        <f>'[6]CB-2'!AG80</f>
        <v>0</v>
      </c>
      <c r="D14" s="72">
        <f>'[6]CB-2'!AH80</f>
        <v>0</v>
      </c>
      <c r="E14" s="72">
        <f>'[6]CB-2'!AI80</f>
        <v>0</v>
      </c>
      <c r="F14" s="72">
        <f>'[6]CB-2'!AJ80</f>
        <v>0</v>
      </c>
      <c r="G14" s="72">
        <f>'[6]CB-2'!AK80</f>
        <v>0</v>
      </c>
      <c r="H14" s="72">
        <f>'[6]CB-2'!AL80</f>
        <v>0</v>
      </c>
      <c r="I14" s="72">
        <f>'[6]CB-2'!AM80</f>
        <v>0</v>
      </c>
      <c r="J14" s="72">
        <f>'[6]CB-2'!AN80</f>
        <v>0</v>
      </c>
      <c r="K14" s="72">
        <f>'[6]CB-2'!AO80</f>
        <v>0</v>
      </c>
      <c r="L14" s="72">
        <f>'[6]CB-2'!AP80</f>
        <v>0</v>
      </c>
      <c r="M14" s="72">
        <f>'[6]CB-2'!AQ80</f>
        <v>0</v>
      </c>
      <c r="N14" s="72">
        <f>'[6]CB-2'!AR80</f>
        <v>0</v>
      </c>
      <c r="O14" s="72">
        <f>'[6]CB-2'!AS80</f>
        <v>0</v>
      </c>
      <c r="P14" s="72">
        <f>'[6]CB-2'!AT80</f>
        <v>0</v>
      </c>
      <c r="Q14" s="72">
        <f>'[6]CB-2'!AU80</f>
        <v>0</v>
      </c>
      <c r="R14" s="72">
        <f>'[6]CB-2'!AV80</f>
        <v>0</v>
      </c>
      <c r="S14" s="72">
        <f>'[6]CB-2'!AW80</f>
        <v>0</v>
      </c>
      <c r="T14" s="72">
        <f>'[6]CB-2'!AX80</f>
        <v>0</v>
      </c>
      <c r="U14" s="72">
        <f>'[6]CB-2'!AY80</f>
        <v>0</v>
      </c>
      <c r="V14" s="72">
        <f>'[6]CB-2'!AZ80</f>
        <v>0</v>
      </c>
      <c r="W14" s="72">
        <f>'[6]CB-2'!BA80</f>
        <v>0</v>
      </c>
      <c r="X14" s="68">
        <f>'[6]CB-2'!BB80</f>
        <v>0</v>
      </c>
      <c r="Y14" s="74">
        <f>'[6]CB-2'!AG42</f>
        <v>0</v>
      </c>
      <c r="Z14" s="74">
        <f>'[6]CB-2'!AH42</f>
        <v>0</v>
      </c>
      <c r="AA14" s="74">
        <f>'[6]CB-2'!AI42</f>
        <v>0</v>
      </c>
      <c r="AB14" s="74">
        <f>'[6]CB-2'!AJ42</f>
        <v>0</v>
      </c>
      <c r="AC14" s="74">
        <f>'[6]CB-2'!AK42</f>
        <v>0</v>
      </c>
      <c r="AD14" s="74">
        <f>'[6]CB-2'!AL42</f>
        <v>0</v>
      </c>
      <c r="AE14" s="74">
        <f>'[6]CB-2'!AM42</f>
        <v>0</v>
      </c>
      <c r="AF14" s="74">
        <f>'[6]CB-2'!AN42</f>
        <v>0</v>
      </c>
      <c r="AG14" s="74">
        <f>'[6]CB-2'!AO42</f>
        <v>0</v>
      </c>
      <c r="AH14" s="74">
        <f>'[6]CB-2'!AP42</f>
        <v>0</v>
      </c>
      <c r="AI14" s="74">
        <f>'[6]CB-2'!AQ42</f>
        <v>0</v>
      </c>
      <c r="AJ14" s="74">
        <f>'[6]CB-2'!AR42</f>
        <v>0</v>
      </c>
      <c r="AK14" s="74">
        <f>'[6]CB-2'!AS42</f>
        <v>0</v>
      </c>
      <c r="AL14" s="74">
        <f>'[6]CB-2'!AT42</f>
        <v>0</v>
      </c>
      <c r="AM14" s="74">
        <f>'[6]CB-2'!AU42</f>
        <v>0</v>
      </c>
      <c r="AN14" s="74">
        <f>'[6]CB-2'!AV42</f>
        <v>0</v>
      </c>
      <c r="AO14" s="74">
        <f>'[6]CB-2'!AW42</f>
        <v>0</v>
      </c>
      <c r="AP14" s="74">
        <f>'[6]CB-2'!AX42</f>
        <v>0</v>
      </c>
      <c r="AQ14" s="74">
        <f>'[6]CB-2'!AY42</f>
        <v>0</v>
      </c>
      <c r="AR14" s="74">
        <f>'[6]CB-2'!AZ42</f>
        <v>0</v>
      </c>
      <c r="AS14" s="74">
        <f>'[6]CB-2'!BA42</f>
        <v>0</v>
      </c>
      <c r="AT14" s="63">
        <f>'[6]CB-2'!BB42</f>
        <v>0</v>
      </c>
      <c r="AU14" s="73">
        <f>'[6]CB-2'!BC42</f>
        <v>0</v>
      </c>
      <c r="AV14" s="73">
        <f>'[6]CB-2'!BD42</f>
        <v>0</v>
      </c>
      <c r="AW14" s="73">
        <f>'[6]CB-2'!BE42</f>
        <v>0</v>
      </c>
      <c r="AX14" s="73">
        <f>'[6]CB-2'!BF42</f>
        <v>0</v>
      </c>
      <c r="AY14" s="73">
        <f>'[6]CB-2'!BG42</f>
        <v>0</v>
      </c>
      <c r="AZ14" s="73">
        <f>'[6]CB-2'!BH42</f>
        <v>0</v>
      </c>
      <c r="BA14" s="73">
        <f>'[6]CB-2'!BI42</f>
        <v>0</v>
      </c>
      <c r="BB14" s="73">
        <f>'[6]CB-2'!BJ42</f>
        <v>0</v>
      </c>
      <c r="BC14" s="73">
        <f>'[6]CB-2'!BK42</f>
        <v>0</v>
      </c>
      <c r="BD14" s="73">
        <f>'[6]CB-2'!BL42</f>
        <v>0</v>
      </c>
      <c r="BE14" s="73">
        <f>'[6]CB-2'!BM42</f>
        <v>0</v>
      </c>
      <c r="BF14" s="73">
        <f>'[6]CB-2'!BN42</f>
        <v>0</v>
      </c>
      <c r="BG14" s="73">
        <f>'[6]CB-2'!BO42</f>
        <v>0</v>
      </c>
      <c r="BH14" s="73">
        <f>'[6]CB-2'!BP42</f>
        <v>0</v>
      </c>
      <c r="BI14" s="73">
        <f>'[6]CB-2'!BQ42</f>
        <v>0</v>
      </c>
      <c r="BJ14" s="73">
        <f>'[6]CB-2'!BR42</f>
        <v>0</v>
      </c>
      <c r="BK14" s="73">
        <f>'[6]CB-2'!BS42</f>
        <v>0</v>
      </c>
      <c r="BL14" s="73">
        <f>'[6]CB-2'!BT42</f>
        <v>0</v>
      </c>
      <c r="BM14" s="73">
        <f>'[6]CB-2'!BU42</f>
        <v>0</v>
      </c>
      <c r="BN14" s="73">
        <f>'[6]CB-2'!BV42</f>
        <v>0</v>
      </c>
      <c r="BO14" s="73">
        <f>'[6]CB-2'!BW42</f>
        <v>0</v>
      </c>
      <c r="BP14" s="64">
        <f>'[6]CB-2'!BX42</f>
        <v>0</v>
      </c>
    </row>
    <row r="15" spans="1:68" x14ac:dyDescent="0.35">
      <c r="A15" s="13">
        <v>12</v>
      </c>
      <c r="B15" s="62" t="str">
        <f>'[6]CB-3'!$C$8</f>
        <v>CB COLIBRI-1 (2nd call out EXPRESS 68)</v>
      </c>
      <c r="C15" s="72">
        <f>'[6]CB-3'!AG80</f>
        <v>0</v>
      </c>
      <c r="D15" s="72">
        <f>'[6]CB-3'!AH80</f>
        <v>0</v>
      </c>
      <c r="E15" s="72">
        <f>'[6]CB-3'!AI80</f>
        <v>0</v>
      </c>
      <c r="F15" s="72">
        <f>'[6]CB-3'!AJ80</f>
        <v>0</v>
      </c>
      <c r="G15" s="72">
        <f>'[6]CB-3'!AK80</f>
        <v>0</v>
      </c>
      <c r="H15" s="72">
        <f>'[6]CB-3'!AL80</f>
        <v>0</v>
      </c>
      <c r="I15" s="72">
        <f>'[6]CB-3'!AM80</f>
        <v>0</v>
      </c>
      <c r="J15" s="72">
        <f>'[6]CB-3'!AN80</f>
        <v>0</v>
      </c>
      <c r="K15" s="72">
        <f>'[6]CB-3'!AO80</f>
        <v>0</v>
      </c>
      <c r="L15" s="72">
        <f>'[6]CB-3'!AP80</f>
        <v>0</v>
      </c>
      <c r="M15" s="72">
        <f>'[6]CB-3'!AQ80</f>
        <v>0</v>
      </c>
      <c r="N15" s="72">
        <f>'[6]CB-3'!AR80</f>
        <v>0</v>
      </c>
      <c r="O15" s="72">
        <f>'[6]CB-3'!AS80</f>
        <v>0</v>
      </c>
      <c r="P15" s="72">
        <f>'[6]CB-3'!AT80</f>
        <v>0</v>
      </c>
      <c r="Q15" s="72">
        <f>'[6]CB-3'!AU80</f>
        <v>0</v>
      </c>
      <c r="R15" s="72">
        <f>'[6]CB-3'!AV80</f>
        <v>0</v>
      </c>
      <c r="S15" s="72">
        <f>'[6]CB-3'!AW80</f>
        <v>0</v>
      </c>
      <c r="T15" s="72">
        <f>'[6]CB-3'!AX80</f>
        <v>0</v>
      </c>
      <c r="U15" s="72">
        <f>'[6]CB-3'!AY80</f>
        <v>0</v>
      </c>
      <c r="V15" s="72">
        <f>'[6]CB-3'!AZ80</f>
        <v>0</v>
      </c>
      <c r="W15" s="72">
        <f>'[6]CB-3'!BA80</f>
        <v>0</v>
      </c>
      <c r="X15" s="68">
        <f>'[6]CB-3'!BB80</f>
        <v>0</v>
      </c>
      <c r="Y15" s="74">
        <f>'[6]CB-3'!AG42</f>
        <v>0</v>
      </c>
      <c r="Z15" s="74">
        <f>'[6]CB-3'!AH42</f>
        <v>0</v>
      </c>
      <c r="AA15" s="74">
        <f>'[6]CB-3'!AI42</f>
        <v>0</v>
      </c>
      <c r="AB15" s="74">
        <f>'[6]CB-3'!AJ42</f>
        <v>0</v>
      </c>
      <c r="AC15" s="74">
        <f>'[6]CB-3'!AK42</f>
        <v>0</v>
      </c>
      <c r="AD15" s="74">
        <f>'[6]CB-3'!AL42</f>
        <v>0</v>
      </c>
      <c r="AE15" s="74">
        <f>'[6]CB-3'!AM42</f>
        <v>0</v>
      </c>
      <c r="AF15" s="74">
        <f>'[6]CB-3'!AN42</f>
        <v>0</v>
      </c>
      <c r="AG15" s="74">
        <f>'[6]CB-3'!AO42</f>
        <v>0</v>
      </c>
      <c r="AH15" s="74">
        <f>'[6]CB-3'!AP42</f>
        <v>0</v>
      </c>
      <c r="AI15" s="74">
        <f>'[6]CB-3'!AQ42</f>
        <v>0</v>
      </c>
      <c r="AJ15" s="74">
        <f>'[6]CB-3'!AR42</f>
        <v>0</v>
      </c>
      <c r="AK15" s="74">
        <f>'[6]CB-3'!AS42</f>
        <v>0</v>
      </c>
      <c r="AL15" s="74">
        <f>'[6]CB-3'!AT42</f>
        <v>0</v>
      </c>
      <c r="AM15" s="74">
        <f>'[6]CB-3'!AU42</f>
        <v>0</v>
      </c>
      <c r="AN15" s="74">
        <f>'[6]CB-3'!AV42</f>
        <v>0</v>
      </c>
      <c r="AO15" s="74">
        <f>'[6]CB-3'!AW42</f>
        <v>0</v>
      </c>
      <c r="AP15" s="74">
        <f>'[6]CB-3'!AX42</f>
        <v>0</v>
      </c>
      <c r="AQ15" s="74">
        <f>'[6]CB-3'!AY42</f>
        <v>0</v>
      </c>
      <c r="AR15" s="74">
        <f>'[6]CB-3'!AZ42</f>
        <v>0</v>
      </c>
      <c r="AS15" s="74">
        <f>'[6]CB-3'!BA42</f>
        <v>0</v>
      </c>
      <c r="AT15" s="63">
        <f>'[6]CB-3'!BB42</f>
        <v>0</v>
      </c>
      <c r="AU15" s="73">
        <f>'[6]CB-3'!BC42</f>
        <v>0</v>
      </c>
      <c r="AV15" s="73">
        <f>'[6]CB-3'!BD42</f>
        <v>0</v>
      </c>
      <c r="AW15" s="73">
        <f>'[6]CB-3'!BE42</f>
        <v>0</v>
      </c>
      <c r="AX15" s="73">
        <f>'[6]CB-3'!BF42</f>
        <v>0</v>
      </c>
      <c r="AY15" s="73">
        <f>'[6]CB-3'!BG42</f>
        <v>0</v>
      </c>
      <c r="AZ15" s="73">
        <f>'[6]CB-3'!BH42</f>
        <v>0</v>
      </c>
      <c r="BA15" s="73">
        <f>'[6]CB-3'!BI42</f>
        <v>0</v>
      </c>
      <c r="BB15" s="73">
        <f>'[6]CB-3'!BJ42</f>
        <v>0</v>
      </c>
      <c r="BC15" s="73">
        <f>'[6]CB-3'!BK42</f>
        <v>0</v>
      </c>
      <c r="BD15" s="73">
        <f>'[6]CB-3'!BL42</f>
        <v>0</v>
      </c>
      <c r="BE15" s="73">
        <f>'[6]CB-3'!BM42</f>
        <v>0</v>
      </c>
      <c r="BF15" s="73">
        <f>'[6]CB-3'!BN42</f>
        <v>0</v>
      </c>
      <c r="BG15" s="73">
        <f>'[6]CB-3'!BO42</f>
        <v>0</v>
      </c>
      <c r="BH15" s="73">
        <f>'[6]CB-3'!BP42</f>
        <v>0</v>
      </c>
      <c r="BI15" s="73">
        <f>'[6]CB-3'!BQ42</f>
        <v>0</v>
      </c>
      <c r="BJ15" s="73">
        <f>'[6]CB-3'!BR42</f>
        <v>0</v>
      </c>
      <c r="BK15" s="73">
        <f>'[6]CB-3'!BS42</f>
        <v>0</v>
      </c>
      <c r="BL15" s="73">
        <f>'[6]CB-3'!BT42</f>
        <v>0</v>
      </c>
      <c r="BM15" s="73">
        <f>'[6]CB-3'!BU42</f>
        <v>0</v>
      </c>
      <c r="BN15" s="73">
        <f>'[6]CB-3'!BV42</f>
        <v>0</v>
      </c>
      <c r="BO15" s="73">
        <f>'[6]CB-3'!BW42</f>
        <v>0</v>
      </c>
      <c r="BP15" s="64">
        <f>'[6]CB-3'!BX42</f>
        <v>0</v>
      </c>
    </row>
    <row r="16" spans="1:68" x14ac:dyDescent="0.35">
      <c r="A16" s="13">
        <v>13</v>
      </c>
      <c r="B16" s="62" t="str">
        <f>'[6]CB-4'!$C$8</f>
        <v>CB COCABORA (2nd call out EP ALFA)</v>
      </c>
      <c r="C16" s="72">
        <f>'[6]CB-4'!AG80</f>
        <v>0</v>
      </c>
      <c r="D16" s="72">
        <f>'[6]CB-4'!AH80</f>
        <v>0</v>
      </c>
      <c r="E16" s="72">
        <f>'[6]CB-4'!AI80</f>
        <v>0</v>
      </c>
      <c r="F16" s="72">
        <f>'[6]CB-4'!AJ80</f>
        <v>0</v>
      </c>
      <c r="G16" s="72">
        <f>'[6]CB-4'!AK80</f>
        <v>0</v>
      </c>
      <c r="H16" s="72">
        <f>'[6]CB-4'!AL80</f>
        <v>0</v>
      </c>
      <c r="I16" s="72">
        <f>'[6]CB-4'!AM80</f>
        <v>0</v>
      </c>
      <c r="J16" s="72">
        <f>'[6]CB-4'!AN80</f>
        <v>0</v>
      </c>
      <c r="K16" s="72">
        <f>'[6]CB-4'!AO80</f>
        <v>0</v>
      </c>
      <c r="L16" s="72">
        <f>'[6]CB-4'!AP80</f>
        <v>0</v>
      </c>
      <c r="M16" s="72">
        <f>'[6]CB-4'!AQ80</f>
        <v>0</v>
      </c>
      <c r="N16" s="72">
        <f>'[6]CB-4'!AR80</f>
        <v>0</v>
      </c>
      <c r="O16" s="72">
        <f>'[6]CB-4'!AS80</f>
        <v>0</v>
      </c>
      <c r="P16" s="72">
        <f>'[6]CB-4'!AT80</f>
        <v>0</v>
      </c>
      <c r="Q16" s="72">
        <f>'[6]CB-4'!AU80</f>
        <v>0</v>
      </c>
      <c r="R16" s="72">
        <f>'[6]CB-4'!AV80</f>
        <v>0</v>
      </c>
      <c r="S16" s="72">
        <f>'[6]CB-4'!AW80</f>
        <v>0</v>
      </c>
      <c r="T16" s="72">
        <f>'[6]CB-4'!AX80</f>
        <v>0</v>
      </c>
      <c r="U16" s="72">
        <f>'[6]CB-4'!AY80</f>
        <v>0</v>
      </c>
      <c r="V16" s="72">
        <f>'[6]CB-4'!AZ80</f>
        <v>0</v>
      </c>
      <c r="W16" s="72">
        <f>'[6]CB-4'!BA80</f>
        <v>0</v>
      </c>
      <c r="X16" s="68">
        <f>'[6]CB-4'!BB80</f>
        <v>0</v>
      </c>
      <c r="Y16" s="74">
        <f>'[6]CB-4'!AG42</f>
        <v>0</v>
      </c>
      <c r="Z16" s="74">
        <f>'[6]CB-4'!AH42</f>
        <v>0</v>
      </c>
      <c r="AA16" s="74">
        <f>'[6]CB-4'!AI42</f>
        <v>0</v>
      </c>
      <c r="AB16" s="74">
        <f>'[6]CB-4'!AJ42</f>
        <v>0</v>
      </c>
      <c r="AC16" s="74">
        <f>'[6]CB-4'!AK42</f>
        <v>0</v>
      </c>
      <c r="AD16" s="74">
        <f>'[6]CB-4'!AL42</f>
        <v>0</v>
      </c>
      <c r="AE16" s="74">
        <f>'[6]CB-4'!AM42</f>
        <v>0</v>
      </c>
      <c r="AF16" s="74">
        <f>'[6]CB-4'!AN42</f>
        <v>0</v>
      </c>
      <c r="AG16" s="74">
        <f>'[6]CB-4'!AO42</f>
        <v>0</v>
      </c>
      <c r="AH16" s="74">
        <f>'[6]CB-4'!AP42</f>
        <v>0</v>
      </c>
      <c r="AI16" s="74">
        <f>'[6]CB-4'!AQ42</f>
        <v>0</v>
      </c>
      <c r="AJ16" s="74">
        <f>'[6]CB-4'!AR42</f>
        <v>0</v>
      </c>
      <c r="AK16" s="74">
        <f>'[6]CB-4'!AS42</f>
        <v>0</v>
      </c>
      <c r="AL16" s="74">
        <f>'[6]CB-4'!AT42</f>
        <v>0</v>
      </c>
      <c r="AM16" s="74">
        <f>'[6]CB-4'!AU42</f>
        <v>0</v>
      </c>
      <c r="AN16" s="74">
        <f>'[6]CB-4'!AV42</f>
        <v>0</v>
      </c>
      <c r="AO16" s="74">
        <f>'[6]CB-4'!AW42</f>
        <v>0</v>
      </c>
      <c r="AP16" s="74">
        <f>'[6]CB-4'!AX42</f>
        <v>0</v>
      </c>
      <c r="AQ16" s="74">
        <f>'[6]CB-4'!AY42</f>
        <v>0</v>
      </c>
      <c r="AR16" s="74">
        <f>'[6]CB-4'!AZ42</f>
        <v>0</v>
      </c>
      <c r="AS16" s="74">
        <f>'[6]CB-4'!BA42</f>
        <v>0</v>
      </c>
      <c r="AT16" s="63">
        <f>'[6]CB-4'!BB42</f>
        <v>0</v>
      </c>
      <c r="AU16" s="73">
        <f>'[6]CB-4'!BC42</f>
        <v>0</v>
      </c>
      <c r="AV16" s="73">
        <f>'[6]CB-4'!BD42</f>
        <v>0</v>
      </c>
      <c r="AW16" s="73">
        <f>'[6]CB-4'!BE42</f>
        <v>0</v>
      </c>
      <c r="AX16" s="73">
        <f>'[6]CB-4'!BF42</f>
        <v>0</v>
      </c>
      <c r="AY16" s="73">
        <f>'[6]CB-4'!BG42</f>
        <v>0</v>
      </c>
      <c r="AZ16" s="73">
        <f>'[6]CB-4'!BH42</f>
        <v>0</v>
      </c>
      <c r="BA16" s="73">
        <f>'[6]CB-4'!BI42</f>
        <v>0</v>
      </c>
      <c r="BB16" s="73">
        <f>'[6]CB-4'!BJ42</f>
        <v>0</v>
      </c>
      <c r="BC16" s="73">
        <f>'[6]CB-4'!BK42</f>
        <v>0</v>
      </c>
      <c r="BD16" s="73">
        <f>'[6]CB-4'!BL42</f>
        <v>0</v>
      </c>
      <c r="BE16" s="73">
        <f>'[6]CB-4'!BM42</f>
        <v>0</v>
      </c>
      <c r="BF16" s="73">
        <f>'[6]CB-4'!BN42</f>
        <v>0</v>
      </c>
      <c r="BG16" s="73">
        <f>'[6]CB-4'!BO42</f>
        <v>0</v>
      </c>
      <c r="BH16" s="73">
        <f>'[6]CB-4'!BP42</f>
        <v>0</v>
      </c>
      <c r="BI16" s="73">
        <f>'[6]CB-4'!BQ42</f>
        <v>0</v>
      </c>
      <c r="BJ16" s="73">
        <f>'[6]CB-4'!BR42</f>
        <v>0</v>
      </c>
      <c r="BK16" s="73">
        <f>'[6]CB-4'!BS42</f>
        <v>0</v>
      </c>
      <c r="BL16" s="73">
        <f>'[6]CB-4'!BT42</f>
        <v>0</v>
      </c>
      <c r="BM16" s="73">
        <f>'[6]CB-4'!BU42</f>
        <v>0</v>
      </c>
      <c r="BN16" s="73">
        <f>'[6]CB-4'!BV42</f>
        <v>0</v>
      </c>
      <c r="BO16" s="73">
        <f>'[6]CB-4'!BW42</f>
        <v>0</v>
      </c>
      <c r="BP16" s="64">
        <f>'[6]CB-4'!BX42</f>
        <v>0</v>
      </c>
    </row>
    <row r="17" spans="1:68" x14ac:dyDescent="0.35">
      <c r="A17" s="13">
        <v>14</v>
      </c>
      <c r="B17" s="62" t="str">
        <f>'[6]CB-5'!$C$8</f>
        <v>CB TEGUH 16 (sub EP ALFA)</v>
      </c>
      <c r="C17" s="72">
        <f>'[6]CB-5'!AG80</f>
        <v>0</v>
      </c>
      <c r="D17" s="72">
        <f>'[6]CB-5'!AH80</f>
        <v>0</v>
      </c>
      <c r="E17" s="72">
        <f>'[6]CB-5'!AI80</f>
        <v>0</v>
      </c>
      <c r="F17" s="72">
        <f>'[6]CB-5'!AJ80</f>
        <v>0</v>
      </c>
      <c r="G17" s="72">
        <f>'[6]CB-5'!AK80</f>
        <v>0</v>
      </c>
      <c r="H17" s="72">
        <f>'[6]CB-5'!AL80</f>
        <v>0</v>
      </c>
      <c r="I17" s="72">
        <f>'[6]CB-5'!AM80</f>
        <v>0</v>
      </c>
      <c r="J17" s="72">
        <f>'[6]CB-5'!AN80</f>
        <v>0</v>
      </c>
      <c r="K17" s="72">
        <f>'[6]CB-5'!AO80</f>
        <v>0</v>
      </c>
      <c r="L17" s="72">
        <f>'[6]CB-5'!AP80</f>
        <v>0</v>
      </c>
      <c r="M17" s="72">
        <f>'[6]CB-5'!AQ80</f>
        <v>0</v>
      </c>
      <c r="N17" s="72">
        <f>'[6]CB-5'!AR80</f>
        <v>0</v>
      </c>
      <c r="O17" s="72">
        <f>'[6]CB-5'!AS80</f>
        <v>0</v>
      </c>
      <c r="P17" s="72">
        <f>'[6]CB-5'!AT80</f>
        <v>0</v>
      </c>
      <c r="Q17" s="72">
        <f>'[6]CB-5'!AU80</f>
        <v>0</v>
      </c>
      <c r="R17" s="72">
        <f>'[6]CB-5'!AV80</f>
        <v>0</v>
      </c>
      <c r="S17" s="72">
        <f>'[6]CB-5'!AW80</f>
        <v>0</v>
      </c>
      <c r="T17" s="72">
        <f>'[6]CB-5'!AX80</f>
        <v>0</v>
      </c>
      <c r="U17" s="72">
        <f>'[6]CB-5'!AY80</f>
        <v>0</v>
      </c>
      <c r="V17" s="72">
        <f>'[6]CB-5'!AZ80</f>
        <v>0</v>
      </c>
      <c r="W17" s="72">
        <f>'[6]CB-5'!BA80</f>
        <v>0</v>
      </c>
      <c r="X17" s="68">
        <f>'[6]CB-5'!BB80</f>
        <v>0</v>
      </c>
      <c r="Y17" s="74">
        <f>'[6]CB-5'!AG42</f>
        <v>0</v>
      </c>
      <c r="Z17" s="74">
        <f>'[6]CB-5'!AH42</f>
        <v>0</v>
      </c>
      <c r="AA17" s="74">
        <f>'[6]CB-5'!AI42</f>
        <v>0</v>
      </c>
      <c r="AB17" s="74">
        <f>'[6]CB-5'!AJ42</f>
        <v>0</v>
      </c>
      <c r="AC17" s="74">
        <f>'[6]CB-5'!AK42</f>
        <v>0</v>
      </c>
      <c r="AD17" s="74">
        <f>'[6]CB-5'!AL42</f>
        <v>0</v>
      </c>
      <c r="AE17" s="74">
        <f>'[6]CB-5'!AM42</f>
        <v>0</v>
      </c>
      <c r="AF17" s="74">
        <f>'[6]CB-5'!AN42</f>
        <v>0</v>
      </c>
      <c r="AG17" s="74">
        <f>'[6]CB-5'!AO42</f>
        <v>0</v>
      </c>
      <c r="AH17" s="74">
        <f>'[6]CB-5'!AP42</f>
        <v>0</v>
      </c>
      <c r="AI17" s="74">
        <f>'[6]CB-5'!AQ42</f>
        <v>0</v>
      </c>
      <c r="AJ17" s="74">
        <f>'[6]CB-5'!AR42</f>
        <v>0</v>
      </c>
      <c r="AK17" s="74">
        <f>'[6]CB-5'!AS42</f>
        <v>0</v>
      </c>
      <c r="AL17" s="74">
        <f>'[6]CB-5'!AT42</f>
        <v>0</v>
      </c>
      <c r="AM17" s="74">
        <f>'[6]CB-5'!AU42</f>
        <v>0</v>
      </c>
      <c r="AN17" s="74">
        <f>'[6]CB-5'!AV42</f>
        <v>0</v>
      </c>
      <c r="AO17" s="74">
        <f>'[6]CB-5'!AW42</f>
        <v>0</v>
      </c>
      <c r="AP17" s="74">
        <f>'[6]CB-5'!AX42</f>
        <v>0</v>
      </c>
      <c r="AQ17" s="74">
        <f>'[6]CB-5'!AY42</f>
        <v>0</v>
      </c>
      <c r="AR17" s="74">
        <f>'[6]CB-5'!AZ42</f>
        <v>0</v>
      </c>
      <c r="AS17" s="74">
        <f>'[6]CB-5'!BA42</f>
        <v>0</v>
      </c>
      <c r="AT17" s="63">
        <f>'[6]CB-5'!BB42</f>
        <v>0</v>
      </c>
      <c r="AU17" s="73">
        <f>'[6]CB-5'!BC42</f>
        <v>0</v>
      </c>
      <c r="AV17" s="73">
        <f>'[6]CB-5'!BD42</f>
        <v>0</v>
      </c>
      <c r="AW17" s="73">
        <f>'[6]CB-5'!BE42</f>
        <v>0</v>
      </c>
      <c r="AX17" s="73">
        <f>'[6]CB-5'!BF42</f>
        <v>0</v>
      </c>
      <c r="AY17" s="73">
        <f>'[6]CB-5'!BG42</f>
        <v>0</v>
      </c>
      <c r="AZ17" s="73">
        <f>'[6]CB-5'!BH42</f>
        <v>0</v>
      </c>
      <c r="BA17" s="73">
        <f>'[6]CB-5'!BI42</f>
        <v>0</v>
      </c>
      <c r="BB17" s="73">
        <f>'[6]CB-5'!BJ42</f>
        <v>0</v>
      </c>
      <c r="BC17" s="73">
        <f>'[6]CB-5'!BK42</f>
        <v>0</v>
      </c>
      <c r="BD17" s="73">
        <f>'[6]CB-5'!BL42</f>
        <v>0</v>
      </c>
      <c r="BE17" s="73">
        <f>'[6]CB-5'!BM42</f>
        <v>0</v>
      </c>
      <c r="BF17" s="73">
        <f>'[6]CB-5'!BN42</f>
        <v>0</v>
      </c>
      <c r="BG17" s="73">
        <f>'[6]CB-5'!BO42</f>
        <v>0</v>
      </c>
      <c r="BH17" s="73">
        <f>'[6]CB-5'!BP42</f>
        <v>0</v>
      </c>
      <c r="BI17" s="73">
        <f>'[6]CB-5'!BQ42</f>
        <v>0</v>
      </c>
      <c r="BJ17" s="73">
        <f>'[6]CB-5'!BR42</f>
        <v>0</v>
      </c>
      <c r="BK17" s="73">
        <f>'[6]CB-5'!BS42</f>
        <v>0</v>
      </c>
      <c r="BL17" s="73">
        <f>'[6]CB-5'!BT42</f>
        <v>0</v>
      </c>
      <c r="BM17" s="73">
        <f>'[6]CB-5'!BU42</f>
        <v>0</v>
      </c>
      <c r="BN17" s="73">
        <f>'[6]CB-5'!BV42</f>
        <v>0</v>
      </c>
      <c r="BO17" s="73">
        <f>'[6]CB-5'!BW42</f>
        <v>0</v>
      </c>
      <c r="BP17" s="64">
        <f>'[6]CB-5'!BX42</f>
        <v>0</v>
      </c>
    </row>
    <row r="18" spans="1:68" x14ac:dyDescent="0.35">
      <c r="A18" s="13">
        <v>15</v>
      </c>
      <c r="B18" s="62" t="str">
        <f>'[6]CB-6'!$C$8</f>
        <v>CB MANDAR (2nd call out CB GELATIK)</v>
      </c>
      <c r="C18" s="72">
        <f>'[6]CB-6'!AG80</f>
        <v>0</v>
      </c>
      <c r="D18" s="72">
        <f>'[6]CB-6'!AH80</f>
        <v>0</v>
      </c>
      <c r="E18" s="72">
        <f>'[6]CB-6'!AI80</f>
        <v>0</v>
      </c>
      <c r="F18" s="72">
        <f>'[6]CB-6'!AJ80</f>
        <v>0</v>
      </c>
      <c r="G18" s="72">
        <f>'[6]CB-6'!AK80</f>
        <v>0</v>
      </c>
      <c r="H18" s="72">
        <f>'[6]CB-6'!AL80</f>
        <v>0</v>
      </c>
      <c r="I18" s="72">
        <f>'[6]CB-6'!AM80</f>
        <v>0</v>
      </c>
      <c r="J18" s="72">
        <f>'[6]CB-6'!AN80</f>
        <v>0</v>
      </c>
      <c r="K18" s="72">
        <f>'[6]CB-6'!AO80</f>
        <v>0</v>
      </c>
      <c r="L18" s="72">
        <f>'[6]CB-6'!AP80</f>
        <v>0</v>
      </c>
      <c r="M18" s="72">
        <f>'[6]CB-6'!AQ80</f>
        <v>0</v>
      </c>
      <c r="N18" s="72">
        <f>'[6]CB-6'!AR80</f>
        <v>0</v>
      </c>
      <c r="O18" s="72">
        <f>'[6]CB-6'!AS80</f>
        <v>0</v>
      </c>
      <c r="P18" s="72">
        <f>'[6]CB-6'!AT80</f>
        <v>0</v>
      </c>
      <c r="Q18" s="72">
        <f>'[6]CB-6'!AU80</f>
        <v>0</v>
      </c>
      <c r="R18" s="72">
        <f>'[6]CB-6'!AV80</f>
        <v>0</v>
      </c>
      <c r="S18" s="72">
        <f>'[6]CB-6'!AW80</f>
        <v>0</v>
      </c>
      <c r="T18" s="72">
        <f>'[6]CB-6'!AX80</f>
        <v>0</v>
      </c>
      <c r="U18" s="72">
        <f>'[6]CB-6'!AY80</f>
        <v>0</v>
      </c>
      <c r="V18" s="72">
        <f>'[6]CB-6'!AZ80</f>
        <v>0</v>
      </c>
      <c r="W18" s="72">
        <f>'[6]CB-6'!BA80</f>
        <v>0</v>
      </c>
      <c r="X18" s="68">
        <f>'[6]CB-6'!BB80</f>
        <v>0</v>
      </c>
      <c r="Y18" s="74">
        <f>'[6]CB-6'!AG42</f>
        <v>0</v>
      </c>
      <c r="Z18" s="74">
        <f>'[6]CB-6'!AH42</f>
        <v>0</v>
      </c>
      <c r="AA18" s="74">
        <f>'[6]CB-6'!AI42</f>
        <v>0</v>
      </c>
      <c r="AB18" s="74">
        <f>'[6]CB-6'!AJ42</f>
        <v>0</v>
      </c>
      <c r="AC18" s="74">
        <f>'[6]CB-6'!AK42</f>
        <v>0</v>
      </c>
      <c r="AD18" s="74">
        <f>'[6]CB-6'!AL42</f>
        <v>0</v>
      </c>
      <c r="AE18" s="74">
        <f>'[6]CB-6'!AM42</f>
        <v>0</v>
      </c>
      <c r="AF18" s="74">
        <f>'[6]CB-6'!AN42</f>
        <v>0</v>
      </c>
      <c r="AG18" s="74">
        <f>'[6]CB-6'!AO42</f>
        <v>0</v>
      </c>
      <c r="AH18" s="74">
        <f>'[6]CB-6'!AP42</f>
        <v>0</v>
      </c>
      <c r="AI18" s="74">
        <f>'[6]CB-6'!AQ42</f>
        <v>0</v>
      </c>
      <c r="AJ18" s="74">
        <f>'[6]CB-6'!AR42</f>
        <v>0</v>
      </c>
      <c r="AK18" s="74">
        <f>'[6]CB-6'!AS42</f>
        <v>0</v>
      </c>
      <c r="AL18" s="74">
        <f>'[6]CB-6'!AT42</f>
        <v>0</v>
      </c>
      <c r="AM18" s="74">
        <f>'[6]CB-6'!AU42</f>
        <v>0</v>
      </c>
      <c r="AN18" s="74">
        <f>'[6]CB-6'!AV42</f>
        <v>0</v>
      </c>
      <c r="AO18" s="74">
        <f>'[6]CB-6'!AW42</f>
        <v>0</v>
      </c>
      <c r="AP18" s="74">
        <f>'[6]CB-6'!AX42</f>
        <v>0</v>
      </c>
      <c r="AQ18" s="74">
        <f>'[6]CB-6'!AY42</f>
        <v>0</v>
      </c>
      <c r="AR18" s="74">
        <f>'[6]CB-6'!AZ42</f>
        <v>0</v>
      </c>
      <c r="AS18" s="74">
        <f>'[6]CB-6'!BA42</f>
        <v>0</v>
      </c>
      <c r="AT18" s="63">
        <f>'[6]CB-6'!BB42</f>
        <v>0</v>
      </c>
      <c r="AU18" s="73">
        <f>'[6]CB-6'!BC42</f>
        <v>0</v>
      </c>
      <c r="AV18" s="73">
        <f>'[6]CB-6'!BD42</f>
        <v>0</v>
      </c>
      <c r="AW18" s="73">
        <f>'[6]CB-6'!BE42</f>
        <v>0</v>
      </c>
      <c r="AX18" s="73">
        <f>'[6]CB-6'!BF42</f>
        <v>0</v>
      </c>
      <c r="AY18" s="73">
        <f>'[6]CB-6'!BG42</f>
        <v>0</v>
      </c>
      <c r="AZ18" s="73">
        <f>'[6]CB-6'!BH42</f>
        <v>0</v>
      </c>
      <c r="BA18" s="73">
        <f>'[6]CB-6'!BI42</f>
        <v>0</v>
      </c>
      <c r="BB18" s="73">
        <f>'[6]CB-6'!BJ42</f>
        <v>0</v>
      </c>
      <c r="BC18" s="73">
        <f>'[6]CB-6'!BK42</f>
        <v>0</v>
      </c>
      <c r="BD18" s="73">
        <f>'[6]CB-6'!BL42</f>
        <v>0</v>
      </c>
      <c r="BE18" s="73">
        <f>'[6]CB-6'!BM42</f>
        <v>0</v>
      </c>
      <c r="BF18" s="73">
        <f>'[6]CB-6'!BN42</f>
        <v>0</v>
      </c>
      <c r="BG18" s="73">
        <f>'[6]CB-6'!BO42</f>
        <v>0</v>
      </c>
      <c r="BH18" s="73">
        <f>'[6]CB-6'!BP42</f>
        <v>0</v>
      </c>
      <c r="BI18" s="73">
        <f>'[6]CB-6'!BQ42</f>
        <v>0</v>
      </c>
      <c r="BJ18" s="73">
        <f>'[6]CB-6'!BR42</f>
        <v>0</v>
      </c>
      <c r="BK18" s="73">
        <f>'[6]CB-6'!BS42</f>
        <v>0</v>
      </c>
      <c r="BL18" s="73">
        <f>'[6]CB-6'!BT42</f>
        <v>0</v>
      </c>
      <c r="BM18" s="73">
        <f>'[6]CB-6'!BU42</f>
        <v>0</v>
      </c>
      <c r="BN18" s="73">
        <f>'[6]CB-6'!BV42</f>
        <v>0</v>
      </c>
      <c r="BO18" s="73">
        <f>'[6]CB-6'!BW42</f>
        <v>0</v>
      </c>
      <c r="BP18" s="64">
        <f>'[6]CB-6'!BX42</f>
        <v>0</v>
      </c>
    </row>
    <row r="19" spans="1:68" x14ac:dyDescent="0.35">
      <c r="A19" s="13">
        <v>16</v>
      </c>
      <c r="B19" s="62" t="str">
        <f>'[6]CB-7'!$C$8</f>
        <v>CB GELATIK</v>
      </c>
      <c r="C19" s="72">
        <f>'[6]CB-7'!AG80</f>
        <v>0</v>
      </c>
      <c r="D19" s="72">
        <f>'[6]CB-7'!AH80</f>
        <v>0</v>
      </c>
      <c r="E19" s="72">
        <f>'[6]CB-7'!AI80</f>
        <v>0</v>
      </c>
      <c r="F19" s="72">
        <f>'[6]CB-7'!AJ80</f>
        <v>0</v>
      </c>
      <c r="G19" s="72">
        <f>'[6]CB-7'!AK80</f>
        <v>0</v>
      </c>
      <c r="H19" s="72">
        <f>'[6]CB-7'!AL80</f>
        <v>0</v>
      </c>
      <c r="I19" s="72">
        <f>'[6]CB-7'!AM80</f>
        <v>0</v>
      </c>
      <c r="J19" s="72">
        <f>'[6]CB-7'!AN80</f>
        <v>0</v>
      </c>
      <c r="K19" s="72">
        <f>'[6]CB-7'!AO80</f>
        <v>0</v>
      </c>
      <c r="L19" s="72">
        <f>'[6]CB-7'!AP80</f>
        <v>0</v>
      </c>
      <c r="M19" s="72">
        <f>'[6]CB-7'!AQ80</f>
        <v>0</v>
      </c>
      <c r="N19" s="72">
        <f>'[6]CB-7'!AR80</f>
        <v>0</v>
      </c>
      <c r="O19" s="72">
        <f>'[6]CB-7'!AS80</f>
        <v>0</v>
      </c>
      <c r="P19" s="72">
        <f>'[6]CB-7'!AT80</f>
        <v>0</v>
      </c>
      <c r="Q19" s="72">
        <f>'[6]CB-7'!AU80</f>
        <v>0</v>
      </c>
      <c r="R19" s="72">
        <f>'[6]CB-7'!AV80</f>
        <v>0</v>
      </c>
      <c r="S19" s="72">
        <f>'[6]CB-7'!AW80</f>
        <v>0</v>
      </c>
      <c r="T19" s="72">
        <f>'[6]CB-7'!AX80</f>
        <v>0</v>
      </c>
      <c r="U19" s="72">
        <f>'[6]CB-7'!AY80</f>
        <v>0</v>
      </c>
      <c r="V19" s="72">
        <f>'[6]CB-7'!AZ80</f>
        <v>0</v>
      </c>
      <c r="W19" s="72">
        <f>'[6]CB-7'!BA80</f>
        <v>0</v>
      </c>
      <c r="X19" s="68">
        <f>'[6]CB-7'!BB80</f>
        <v>0</v>
      </c>
      <c r="Y19" s="74">
        <f>'[6]CB-7'!AG42</f>
        <v>0</v>
      </c>
      <c r="Z19" s="74">
        <f>'[6]CB-7'!AH42</f>
        <v>0</v>
      </c>
      <c r="AA19" s="74">
        <f>'[6]CB-7'!AI42</f>
        <v>0</v>
      </c>
      <c r="AB19" s="74">
        <f>'[6]CB-7'!AJ42</f>
        <v>0</v>
      </c>
      <c r="AC19" s="74">
        <f>'[6]CB-7'!AK42</f>
        <v>0</v>
      </c>
      <c r="AD19" s="74">
        <f>'[6]CB-7'!AL42</f>
        <v>0</v>
      </c>
      <c r="AE19" s="74">
        <f>'[6]CB-7'!AM42</f>
        <v>0</v>
      </c>
      <c r="AF19" s="74">
        <f>'[6]CB-7'!AN42</f>
        <v>0</v>
      </c>
      <c r="AG19" s="74">
        <f>'[6]CB-7'!AO42</f>
        <v>0</v>
      </c>
      <c r="AH19" s="74">
        <f>'[6]CB-7'!AP42</f>
        <v>0</v>
      </c>
      <c r="AI19" s="74">
        <f>'[6]CB-7'!AQ42</f>
        <v>0</v>
      </c>
      <c r="AJ19" s="74">
        <f>'[6]CB-7'!AR42</f>
        <v>0</v>
      </c>
      <c r="AK19" s="74">
        <f>'[6]CB-7'!AS42</f>
        <v>0</v>
      </c>
      <c r="AL19" s="74">
        <f>'[6]CB-7'!AT42</f>
        <v>0</v>
      </c>
      <c r="AM19" s="74">
        <f>'[6]CB-7'!AU42</f>
        <v>0</v>
      </c>
      <c r="AN19" s="74">
        <f>'[6]CB-7'!AV42</f>
        <v>0</v>
      </c>
      <c r="AO19" s="74">
        <f>'[6]CB-7'!AW42</f>
        <v>0</v>
      </c>
      <c r="AP19" s="74">
        <f>'[6]CB-7'!AX42</f>
        <v>0</v>
      </c>
      <c r="AQ19" s="74">
        <f>'[6]CB-7'!AY42</f>
        <v>0</v>
      </c>
      <c r="AR19" s="74">
        <f>'[6]CB-7'!AZ42</f>
        <v>0</v>
      </c>
      <c r="AS19" s="74">
        <f>'[6]CB-7'!BA42</f>
        <v>0</v>
      </c>
      <c r="AT19" s="63">
        <f>'[6]CB-7'!BB42</f>
        <v>0</v>
      </c>
      <c r="AU19" s="73">
        <f>'[6]CB-7'!BC42</f>
        <v>0</v>
      </c>
      <c r="AV19" s="73">
        <f>'[6]CB-7'!BD42</f>
        <v>0</v>
      </c>
      <c r="AW19" s="73">
        <f>'[6]CB-7'!BE42</f>
        <v>0</v>
      </c>
      <c r="AX19" s="73">
        <f>'[6]CB-7'!BF42</f>
        <v>0</v>
      </c>
      <c r="AY19" s="73">
        <f>'[6]CB-7'!BG42</f>
        <v>0</v>
      </c>
      <c r="AZ19" s="73">
        <f>'[6]CB-7'!BH42</f>
        <v>0</v>
      </c>
      <c r="BA19" s="73">
        <f>'[6]CB-7'!BI42</f>
        <v>0</v>
      </c>
      <c r="BB19" s="73">
        <f>'[6]CB-7'!BJ42</f>
        <v>0</v>
      </c>
      <c r="BC19" s="73">
        <f>'[6]CB-7'!BK42</f>
        <v>0</v>
      </c>
      <c r="BD19" s="73">
        <f>'[6]CB-7'!BL42</f>
        <v>0</v>
      </c>
      <c r="BE19" s="73">
        <f>'[6]CB-7'!BM42</f>
        <v>0</v>
      </c>
      <c r="BF19" s="73">
        <f>'[6]CB-7'!BN42</f>
        <v>0</v>
      </c>
      <c r="BG19" s="73">
        <f>'[6]CB-7'!BO42</f>
        <v>0</v>
      </c>
      <c r="BH19" s="73">
        <f>'[6]CB-7'!BP42</f>
        <v>0</v>
      </c>
      <c r="BI19" s="73">
        <f>'[6]CB-7'!BQ42</f>
        <v>0</v>
      </c>
      <c r="BJ19" s="73">
        <f>'[6]CB-7'!BR42</f>
        <v>0</v>
      </c>
      <c r="BK19" s="73">
        <f>'[6]CB-7'!BS42</f>
        <v>0</v>
      </c>
      <c r="BL19" s="73">
        <f>'[6]CB-7'!BT42</f>
        <v>0</v>
      </c>
      <c r="BM19" s="73">
        <f>'[6]CB-7'!BU42</f>
        <v>0</v>
      </c>
      <c r="BN19" s="73">
        <f>'[6]CB-7'!BV42</f>
        <v>0</v>
      </c>
      <c r="BO19" s="73">
        <f>'[6]CB-7'!BW42</f>
        <v>0</v>
      </c>
      <c r="BP19" s="64">
        <f>'[6]CB-7'!BX42</f>
        <v>0</v>
      </c>
    </row>
    <row r="20" spans="1:68" x14ac:dyDescent="0.35">
      <c r="A20" s="13">
        <v>17</v>
      </c>
      <c r="B20" s="62" t="str">
        <f>'[6]CB-8'!$C$8</f>
        <v>CB NURI</v>
      </c>
      <c r="C20" s="72">
        <f>'[6]CB-8'!AG80</f>
        <v>0</v>
      </c>
      <c r="D20" s="72">
        <f>'[6]CB-8'!AH80</f>
        <v>0</v>
      </c>
      <c r="E20" s="72">
        <f>'[6]CB-8'!AI80</f>
        <v>0</v>
      </c>
      <c r="F20" s="72">
        <f>'[6]CB-8'!AJ80</f>
        <v>0</v>
      </c>
      <c r="G20" s="72">
        <f>'[6]CB-8'!AK80</f>
        <v>0</v>
      </c>
      <c r="H20" s="72">
        <f>'[6]CB-8'!AL80</f>
        <v>0</v>
      </c>
      <c r="I20" s="72">
        <f>'[6]CB-8'!AM80</f>
        <v>0</v>
      </c>
      <c r="J20" s="72">
        <f>'[6]CB-8'!AN80</f>
        <v>0</v>
      </c>
      <c r="K20" s="72">
        <f>'[6]CB-8'!AO80</f>
        <v>0</v>
      </c>
      <c r="L20" s="72">
        <f>'[6]CB-8'!AP80</f>
        <v>0</v>
      </c>
      <c r="M20" s="72">
        <f>'[6]CB-8'!AQ80</f>
        <v>0</v>
      </c>
      <c r="N20" s="72">
        <f>'[6]CB-8'!AR80</f>
        <v>0</v>
      </c>
      <c r="O20" s="72">
        <f>'[6]CB-8'!AS80</f>
        <v>0</v>
      </c>
      <c r="P20" s="72">
        <f>'[6]CB-8'!AT80</f>
        <v>0</v>
      </c>
      <c r="Q20" s="72">
        <f>'[6]CB-8'!AU80</f>
        <v>0</v>
      </c>
      <c r="R20" s="72">
        <f>'[6]CB-8'!AV80</f>
        <v>0</v>
      </c>
      <c r="S20" s="72">
        <f>'[6]CB-8'!AW80</f>
        <v>0</v>
      </c>
      <c r="T20" s="72">
        <f>'[6]CB-8'!AX80</f>
        <v>0</v>
      </c>
      <c r="U20" s="72">
        <f>'[6]CB-8'!AY80</f>
        <v>0</v>
      </c>
      <c r="V20" s="72">
        <f>'[6]CB-8'!AZ80</f>
        <v>0</v>
      </c>
      <c r="W20" s="72">
        <f>'[6]CB-8'!BA80</f>
        <v>0</v>
      </c>
      <c r="X20" s="68">
        <f>'[6]CB-8'!BB80</f>
        <v>0</v>
      </c>
      <c r="Y20" s="74">
        <f>'[6]CB-8'!AG42</f>
        <v>0</v>
      </c>
      <c r="Z20" s="74">
        <f>'[6]CB-8'!AH42</f>
        <v>0</v>
      </c>
      <c r="AA20" s="74">
        <f>'[6]CB-8'!AI42</f>
        <v>0</v>
      </c>
      <c r="AB20" s="74">
        <f>'[6]CB-8'!AJ42</f>
        <v>0</v>
      </c>
      <c r="AC20" s="74">
        <f>'[6]CB-8'!AK42</f>
        <v>0</v>
      </c>
      <c r="AD20" s="74">
        <f>'[6]CB-8'!AL42</f>
        <v>0</v>
      </c>
      <c r="AE20" s="74">
        <f>'[6]CB-8'!AM42</f>
        <v>0</v>
      </c>
      <c r="AF20" s="74">
        <f>'[6]CB-8'!AN42</f>
        <v>0</v>
      </c>
      <c r="AG20" s="74">
        <f>'[6]CB-8'!AO42</f>
        <v>0</v>
      </c>
      <c r="AH20" s="74">
        <f>'[6]CB-8'!AP42</f>
        <v>0</v>
      </c>
      <c r="AI20" s="74">
        <f>'[6]CB-8'!AQ42</f>
        <v>0</v>
      </c>
      <c r="AJ20" s="74">
        <f>'[6]CB-8'!AR42</f>
        <v>0</v>
      </c>
      <c r="AK20" s="74">
        <f>'[6]CB-8'!AS42</f>
        <v>0</v>
      </c>
      <c r="AL20" s="74">
        <f>'[6]CB-8'!AT42</f>
        <v>0</v>
      </c>
      <c r="AM20" s="74">
        <f>'[6]CB-8'!AU42</f>
        <v>0</v>
      </c>
      <c r="AN20" s="74">
        <f>'[6]CB-8'!AV42</f>
        <v>0</v>
      </c>
      <c r="AO20" s="74">
        <f>'[6]CB-8'!AW42</f>
        <v>0</v>
      </c>
      <c r="AP20" s="74">
        <f>'[6]CB-8'!AX42</f>
        <v>0</v>
      </c>
      <c r="AQ20" s="74">
        <f>'[6]CB-8'!AY42</f>
        <v>0</v>
      </c>
      <c r="AR20" s="74">
        <f>'[6]CB-8'!AZ42</f>
        <v>0</v>
      </c>
      <c r="AS20" s="74">
        <f>'[6]CB-8'!BA42</f>
        <v>0</v>
      </c>
      <c r="AT20" s="63">
        <f>'[6]CB-8'!BB42</f>
        <v>0</v>
      </c>
      <c r="AU20" s="73">
        <f>'[6]CB-8'!BC42</f>
        <v>0</v>
      </c>
      <c r="AV20" s="73">
        <f>'[6]CB-8'!BD42</f>
        <v>0</v>
      </c>
      <c r="AW20" s="73">
        <f>'[6]CB-8'!BE42</f>
        <v>0</v>
      </c>
      <c r="AX20" s="73">
        <f>'[6]CB-8'!BF42</f>
        <v>0</v>
      </c>
      <c r="AY20" s="73">
        <f>'[6]CB-8'!BG42</f>
        <v>0</v>
      </c>
      <c r="AZ20" s="73">
        <f>'[6]CB-8'!BH42</f>
        <v>0</v>
      </c>
      <c r="BA20" s="73">
        <f>'[6]CB-8'!BI42</f>
        <v>0</v>
      </c>
      <c r="BB20" s="73">
        <f>'[6]CB-8'!BJ42</f>
        <v>0</v>
      </c>
      <c r="BC20" s="73">
        <f>'[6]CB-8'!BK42</f>
        <v>0</v>
      </c>
      <c r="BD20" s="73">
        <f>'[6]CB-8'!BL42</f>
        <v>0</v>
      </c>
      <c r="BE20" s="73">
        <f>'[6]CB-8'!BM42</f>
        <v>0</v>
      </c>
      <c r="BF20" s="73">
        <f>'[6]CB-8'!BN42</f>
        <v>0</v>
      </c>
      <c r="BG20" s="73">
        <f>'[6]CB-8'!BO42</f>
        <v>0</v>
      </c>
      <c r="BH20" s="73">
        <f>'[6]CB-8'!BP42</f>
        <v>0</v>
      </c>
      <c r="BI20" s="73">
        <f>'[6]CB-8'!BQ42</f>
        <v>0</v>
      </c>
      <c r="BJ20" s="73">
        <f>'[6]CB-8'!BR42</f>
        <v>0</v>
      </c>
      <c r="BK20" s="73">
        <f>'[6]CB-8'!BS42</f>
        <v>0</v>
      </c>
      <c r="BL20" s="73">
        <f>'[6]CB-8'!BT42</f>
        <v>0</v>
      </c>
      <c r="BM20" s="73">
        <f>'[6]CB-8'!BU42</f>
        <v>0</v>
      </c>
      <c r="BN20" s="73">
        <f>'[6]CB-8'!BV42</f>
        <v>0</v>
      </c>
      <c r="BO20" s="73">
        <f>'[6]CB-8'!BW42</f>
        <v>0</v>
      </c>
      <c r="BP20" s="64">
        <f>'[6]CB-8'!BX42</f>
        <v>0</v>
      </c>
    </row>
    <row r="21" spans="1:68" x14ac:dyDescent="0.35">
      <c r="A21" s="13">
        <v>18</v>
      </c>
      <c r="B21" s="62" t="str">
        <f>'[6]CB-9'!$C$8</f>
        <v>CB PUYUH (sub CB PEREGRIN)</v>
      </c>
      <c r="C21" s="72">
        <f>'[6]CB-9'!AG80</f>
        <v>0</v>
      </c>
      <c r="D21" s="72">
        <f>'[6]CB-9'!AH80</f>
        <v>0</v>
      </c>
      <c r="E21" s="72">
        <f>'[6]CB-9'!AI80</f>
        <v>0</v>
      </c>
      <c r="F21" s="72">
        <f>'[6]CB-9'!AJ80</f>
        <v>0</v>
      </c>
      <c r="G21" s="72">
        <f>'[6]CB-9'!AK80</f>
        <v>0</v>
      </c>
      <c r="H21" s="72">
        <f>'[6]CB-9'!AL80</f>
        <v>0</v>
      </c>
      <c r="I21" s="72">
        <f>'[6]CB-9'!AM80</f>
        <v>0</v>
      </c>
      <c r="J21" s="72">
        <f>'[6]CB-9'!AN80</f>
        <v>0</v>
      </c>
      <c r="K21" s="72">
        <f>'[6]CB-9'!AO80</f>
        <v>0</v>
      </c>
      <c r="L21" s="72">
        <f>'[6]CB-9'!AP80</f>
        <v>0</v>
      </c>
      <c r="M21" s="72">
        <f>'[6]CB-9'!AQ80</f>
        <v>0</v>
      </c>
      <c r="N21" s="72">
        <f>'[6]CB-9'!AR80</f>
        <v>0</v>
      </c>
      <c r="O21" s="72">
        <f>'[6]CB-9'!AS80</f>
        <v>0</v>
      </c>
      <c r="P21" s="72">
        <f>'[6]CB-9'!AT80</f>
        <v>0</v>
      </c>
      <c r="Q21" s="72">
        <f>'[6]CB-9'!AU80</f>
        <v>0</v>
      </c>
      <c r="R21" s="72">
        <f>'[6]CB-9'!AV80</f>
        <v>0</v>
      </c>
      <c r="S21" s="72">
        <f>'[6]CB-9'!AW80</f>
        <v>0</v>
      </c>
      <c r="T21" s="72">
        <f>'[6]CB-9'!AX80</f>
        <v>0</v>
      </c>
      <c r="U21" s="72">
        <f>'[6]CB-9'!AY80</f>
        <v>0</v>
      </c>
      <c r="V21" s="72">
        <f>'[6]CB-9'!AZ80</f>
        <v>0</v>
      </c>
      <c r="W21" s="72">
        <f>'[6]CB-9'!BA80</f>
        <v>0</v>
      </c>
      <c r="X21" s="68">
        <f>'[6]CB-9'!BB80</f>
        <v>0</v>
      </c>
      <c r="Y21" s="74">
        <f>'[6]CB-9'!AG42</f>
        <v>0</v>
      </c>
      <c r="Z21" s="74">
        <f>'[6]CB-9'!AH42</f>
        <v>0</v>
      </c>
      <c r="AA21" s="74">
        <f>'[6]CB-9'!AI42</f>
        <v>0</v>
      </c>
      <c r="AB21" s="74">
        <f>'[6]CB-9'!AJ42</f>
        <v>0</v>
      </c>
      <c r="AC21" s="74">
        <f>'[6]CB-9'!AK42</f>
        <v>0</v>
      </c>
      <c r="AD21" s="74">
        <f>'[6]CB-9'!AL42</f>
        <v>0</v>
      </c>
      <c r="AE21" s="74">
        <f>'[6]CB-9'!AM42</f>
        <v>0</v>
      </c>
      <c r="AF21" s="74">
        <f>'[6]CB-9'!AN42</f>
        <v>0</v>
      </c>
      <c r="AG21" s="74">
        <f>'[6]CB-9'!AO42</f>
        <v>0</v>
      </c>
      <c r="AH21" s="74">
        <f>'[6]CB-9'!AP42</f>
        <v>0</v>
      </c>
      <c r="AI21" s="74">
        <f>'[6]CB-9'!AQ42</f>
        <v>0</v>
      </c>
      <c r="AJ21" s="74">
        <f>'[6]CB-9'!AR42</f>
        <v>0</v>
      </c>
      <c r="AK21" s="74">
        <f>'[6]CB-9'!AS42</f>
        <v>0</v>
      </c>
      <c r="AL21" s="74">
        <f>'[6]CB-9'!AT42</f>
        <v>0</v>
      </c>
      <c r="AM21" s="74">
        <f>'[6]CB-9'!AU42</f>
        <v>0</v>
      </c>
      <c r="AN21" s="74">
        <f>'[6]CB-9'!AV42</f>
        <v>0</v>
      </c>
      <c r="AO21" s="74">
        <f>'[6]CB-9'!AW42</f>
        <v>0</v>
      </c>
      <c r="AP21" s="74">
        <f>'[6]CB-9'!AX42</f>
        <v>0</v>
      </c>
      <c r="AQ21" s="74">
        <f>'[6]CB-9'!AY42</f>
        <v>0</v>
      </c>
      <c r="AR21" s="74">
        <f>'[6]CB-9'!AZ42</f>
        <v>0</v>
      </c>
      <c r="AS21" s="74">
        <f>'[6]CB-9'!BA42</f>
        <v>0</v>
      </c>
      <c r="AT21" s="63">
        <f>'[6]CB-9'!BB42</f>
        <v>0</v>
      </c>
      <c r="AU21" s="73">
        <f>'[6]CB-9'!BC42</f>
        <v>0</v>
      </c>
      <c r="AV21" s="73">
        <f>'[6]CB-9'!BD42</f>
        <v>0</v>
      </c>
      <c r="AW21" s="73">
        <f>'[6]CB-9'!BE42</f>
        <v>0</v>
      </c>
      <c r="AX21" s="73">
        <f>'[6]CB-9'!BF42</f>
        <v>0</v>
      </c>
      <c r="AY21" s="73">
        <f>'[6]CB-9'!BG42</f>
        <v>0</v>
      </c>
      <c r="AZ21" s="73">
        <f>'[6]CB-9'!BH42</f>
        <v>0</v>
      </c>
      <c r="BA21" s="73">
        <f>'[6]CB-9'!BI42</f>
        <v>0</v>
      </c>
      <c r="BB21" s="73">
        <f>'[6]CB-9'!BJ42</f>
        <v>0</v>
      </c>
      <c r="BC21" s="73">
        <f>'[6]CB-9'!BK42</f>
        <v>0</v>
      </c>
      <c r="BD21" s="73">
        <f>'[6]CB-9'!BL42</f>
        <v>0</v>
      </c>
      <c r="BE21" s="73">
        <f>'[6]CB-9'!BM42</f>
        <v>0</v>
      </c>
      <c r="BF21" s="73">
        <f>'[6]CB-9'!BN42</f>
        <v>0</v>
      </c>
      <c r="BG21" s="73">
        <f>'[6]CB-9'!BO42</f>
        <v>0</v>
      </c>
      <c r="BH21" s="73">
        <f>'[6]CB-9'!BP42</f>
        <v>0</v>
      </c>
      <c r="BI21" s="73">
        <f>'[6]CB-9'!BQ42</f>
        <v>0</v>
      </c>
      <c r="BJ21" s="73">
        <f>'[6]CB-9'!BR42</f>
        <v>0</v>
      </c>
      <c r="BK21" s="73">
        <f>'[6]CB-9'!BS42</f>
        <v>0</v>
      </c>
      <c r="BL21" s="73">
        <f>'[6]CB-9'!BT42</f>
        <v>0</v>
      </c>
      <c r="BM21" s="73">
        <f>'[6]CB-9'!BU42</f>
        <v>0</v>
      </c>
      <c r="BN21" s="73">
        <f>'[6]CB-9'!BV42</f>
        <v>0</v>
      </c>
      <c r="BO21" s="73">
        <f>'[6]CB-9'!BW42</f>
        <v>0</v>
      </c>
      <c r="BP21" s="64">
        <f>'[6]CB-9'!BX42</f>
        <v>0</v>
      </c>
    </row>
    <row r="22" spans="1:68" x14ac:dyDescent="0.35">
      <c r="A22" s="13">
        <v>19</v>
      </c>
      <c r="B22" s="62">
        <f>'[6]CB-10'!$C$8</f>
        <v>0</v>
      </c>
      <c r="C22" s="72">
        <f>'[6]CB-10'!AG80</f>
        <v>0</v>
      </c>
      <c r="D22" s="72">
        <f>'[6]CB-10'!AH80</f>
        <v>0</v>
      </c>
      <c r="E22" s="72">
        <f>'[6]CB-10'!AI80</f>
        <v>0</v>
      </c>
      <c r="F22" s="72">
        <f>'[6]CB-10'!AJ80</f>
        <v>0</v>
      </c>
      <c r="G22" s="72">
        <f>'[6]CB-10'!AK80</f>
        <v>0</v>
      </c>
      <c r="H22" s="72">
        <f>'[6]CB-10'!AL80</f>
        <v>0</v>
      </c>
      <c r="I22" s="72">
        <f>'[6]CB-10'!AM80</f>
        <v>0</v>
      </c>
      <c r="J22" s="72">
        <f>'[6]CB-10'!AN80</f>
        <v>0</v>
      </c>
      <c r="K22" s="72">
        <f>'[6]CB-10'!AO80</f>
        <v>0</v>
      </c>
      <c r="L22" s="72">
        <f>'[6]CB-10'!AP80</f>
        <v>0</v>
      </c>
      <c r="M22" s="72">
        <f>'[6]CB-10'!AQ80</f>
        <v>0</v>
      </c>
      <c r="N22" s="72">
        <f>'[6]CB-10'!AR80</f>
        <v>0</v>
      </c>
      <c r="O22" s="72">
        <f>'[6]CB-10'!AS80</f>
        <v>0</v>
      </c>
      <c r="P22" s="72">
        <f>'[6]CB-10'!AT80</f>
        <v>0</v>
      </c>
      <c r="Q22" s="72">
        <f>'[6]CB-10'!AU80</f>
        <v>0</v>
      </c>
      <c r="R22" s="72">
        <f>'[6]CB-10'!AV80</f>
        <v>0</v>
      </c>
      <c r="S22" s="72">
        <f>'[6]CB-10'!AW80</f>
        <v>0</v>
      </c>
      <c r="T22" s="72">
        <f>'[6]CB-10'!AX80</f>
        <v>0</v>
      </c>
      <c r="U22" s="72">
        <f>'[6]CB-10'!AY80</f>
        <v>0</v>
      </c>
      <c r="V22" s="72">
        <f>'[6]CB-10'!AZ80</f>
        <v>0</v>
      </c>
      <c r="W22" s="72">
        <f>'[6]CB-10'!BA80</f>
        <v>0</v>
      </c>
      <c r="X22" s="68">
        <f>'[6]CB-10'!BB80</f>
        <v>0</v>
      </c>
      <c r="Y22" s="74">
        <f>'[6]CB-10'!AG42</f>
        <v>0</v>
      </c>
      <c r="Z22" s="74">
        <f>'[6]CB-10'!AH42</f>
        <v>0</v>
      </c>
      <c r="AA22" s="74">
        <f>'[6]CB-10'!AI42</f>
        <v>0</v>
      </c>
      <c r="AB22" s="74">
        <f>'[6]CB-10'!AJ42</f>
        <v>0</v>
      </c>
      <c r="AC22" s="74">
        <f>'[6]CB-10'!AK42</f>
        <v>0</v>
      </c>
      <c r="AD22" s="74">
        <f>'[6]CB-10'!AL42</f>
        <v>0</v>
      </c>
      <c r="AE22" s="74">
        <f>'[6]CB-10'!AM42</f>
        <v>0</v>
      </c>
      <c r="AF22" s="74">
        <f>'[6]CB-10'!AN42</f>
        <v>0</v>
      </c>
      <c r="AG22" s="74">
        <f>'[6]CB-10'!AO42</f>
        <v>0</v>
      </c>
      <c r="AH22" s="74">
        <f>'[6]CB-10'!AP42</f>
        <v>0</v>
      </c>
      <c r="AI22" s="74">
        <f>'[6]CB-10'!AQ42</f>
        <v>0</v>
      </c>
      <c r="AJ22" s="74">
        <f>'[6]CB-10'!AR42</f>
        <v>0</v>
      </c>
      <c r="AK22" s="74">
        <f>'[6]CB-10'!AS42</f>
        <v>0</v>
      </c>
      <c r="AL22" s="74">
        <f>'[6]CB-10'!AT42</f>
        <v>0</v>
      </c>
      <c r="AM22" s="74">
        <f>'[6]CB-10'!AU42</f>
        <v>0</v>
      </c>
      <c r="AN22" s="74">
        <f>'[6]CB-10'!AV42</f>
        <v>0</v>
      </c>
      <c r="AO22" s="74">
        <f>'[6]CB-10'!AW42</f>
        <v>0</v>
      </c>
      <c r="AP22" s="74">
        <f>'[6]CB-10'!AX42</f>
        <v>0</v>
      </c>
      <c r="AQ22" s="74">
        <f>'[6]CB-10'!AY42</f>
        <v>0</v>
      </c>
      <c r="AR22" s="74">
        <f>'[6]CB-10'!AZ42</f>
        <v>0</v>
      </c>
      <c r="AS22" s="74">
        <f>'[6]CB-10'!BA42</f>
        <v>0</v>
      </c>
      <c r="AT22" s="63">
        <f>'[6]CB-10'!BB42</f>
        <v>0</v>
      </c>
      <c r="AU22" s="73">
        <f>'[6]CB-10'!BC42</f>
        <v>0</v>
      </c>
      <c r="AV22" s="73">
        <f>'[6]CB-10'!BD42</f>
        <v>0</v>
      </c>
      <c r="AW22" s="73">
        <f>'[6]CB-10'!BE42</f>
        <v>0</v>
      </c>
      <c r="AX22" s="73">
        <f>'[6]CB-10'!BF42</f>
        <v>0</v>
      </c>
      <c r="AY22" s="73">
        <f>'[6]CB-10'!BG42</f>
        <v>0</v>
      </c>
      <c r="AZ22" s="73">
        <f>'[6]CB-10'!BH42</f>
        <v>0</v>
      </c>
      <c r="BA22" s="73">
        <f>'[6]CB-10'!BI42</f>
        <v>0</v>
      </c>
      <c r="BB22" s="73">
        <f>'[6]CB-10'!BJ42</f>
        <v>0</v>
      </c>
      <c r="BC22" s="73">
        <f>'[6]CB-10'!BK42</f>
        <v>0</v>
      </c>
      <c r="BD22" s="73">
        <f>'[6]CB-10'!BL42</f>
        <v>0</v>
      </c>
      <c r="BE22" s="73">
        <f>'[6]CB-10'!BM42</f>
        <v>0</v>
      </c>
      <c r="BF22" s="73">
        <f>'[6]CB-10'!BN42</f>
        <v>0</v>
      </c>
      <c r="BG22" s="73">
        <f>'[6]CB-10'!BO42</f>
        <v>0</v>
      </c>
      <c r="BH22" s="73">
        <f>'[6]CB-10'!BP42</f>
        <v>0</v>
      </c>
      <c r="BI22" s="73">
        <f>'[6]CB-10'!BQ42</f>
        <v>0</v>
      </c>
      <c r="BJ22" s="73">
        <f>'[6]CB-10'!BR42</f>
        <v>0</v>
      </c>
      <c r="BK22" s="73">
        <f>'[6]CB-10'!BS42</f>
        <v>0</v>
      </c>
      <c r="BL22" s="73">
        <f>'[6]CB-10'!BT42</f>
        <v>0</v>
      </c>
      <c r="BM22" s="73">
        <f>'[6]CB-10'!BU42</f>
        <v>0</v>
      </c>
      <c r="BN22" s="73">
        <f>'[6]CB-10'!BV42</f>
        <v>0</v>
      </c>
      <c r="BO22" s="73">
        <f>'[6]CB-10'!BW42</f>
        <v>0</v>
      </c>
      <c r="BP22" s="64">
        <f>'[6]CB-10'!BX42</f>
        <v>0</v>
      </c>
    </row>
    <row r="23" spans="1:68" x14ac:dyDescent="0.35">
      <c r="A23" s="13">
        <v>20</v>
      </c>
      <c r="B23" s="62" t="str">
        <f>'[6]CB-11'!$C$8</f>
        <v>CB KCT 1302 (sub Express 68)</v>
      </c>
      <c r="C23" s="72">
        <f>'[6]CB-11'!AG80</f>
        <v>0</v>
      </c>
      <c r="D23" s="72">
        <f>'[6]CB-11'!AH80</f>
        <v>0</v>
      </c>
      <c r="E23" s="72">
        <f>'[6]CB-11'!AI80</f>
        <v>0</v>
      </c>
      <c r="F23" s="72">
        <f>'[6]CB-11'!AJ80</f>
        <v>0</v>
      </c>
      <c r="G23" s="72">
        <f>'[6]CB-11'!AK80</f>
        <v>0</v>
      </c>
      <c r="H23" s="72">
        <f>'[6]CB-11'!AL80</f>
        <v>0</v>
      </c>
      <c r="I23" s="72">
        <f>'[6]CB-11'!AM80</f>
        <v>0</v>
      </c>
      <c r="J23" s="72">
        <f>'[6]CB-11'!AN80</f>
        <v>0</v>
      </c>
      <c r="K23" s="72">
        <f>'[6]CB-11'!AO80</f>
        <v>0</v>
      </c>
      <c r="L23" s="72">
        <f>'[6]CB-11'!AP80</f>
        <v>0</v>
      </c>
      <c r="M23" s="72">
        <f>'[6]CB-11'!AQ80</f>
        <v>0</v>
      </c>
      <c r="N23" s="72">
        <f>'[6]CB-11'!AR80</f>
        <v>0</v>
      </c>
      <c r="O23" s="72">
        <f>'[6]CB-11'!AS80</f>
        <v>0</v>
      </c>
      <c r="P23" s="72">
        <f>'[6]CB-11'!AT80</f>
        <v>0</v>
      </c>
      <c r="Q23" s="72">
        <f>'[6]CB-11'!AU80</f>
        <v>0</v>
      </c>
      <c r="R23" s="72">
        <f>'[6]CB-11'!AV80</f>
        <v>0</v>
      </c>
      <c r="S23" s="72">
        <f>'[6]CB-11'!AW80</f>
        <v>0</v>
      </c>
      <c r="T23" s="72">
        <f>'[6]CB-11'!AX80</f>
        <v>0</v>
      </c>
      <c r="U23" s="72">
        <f>'[6]CB-11'!AY80</f>
        <v>0</v>
      </c>
      <c r="V23" s="72">
        <f>'[6]CB-11'!AZ80</f>
        <v>0</v>
      </c>
      <c r="W23" s="72">
        <f>'[6]CB-11'!BA80</f>
        <v>0</v>
      </c>
      <c r="X23" s="68">
        <f>'[6]CB-11'!BB80</f>
        <v>0</v>
      </c>
      <c r="Y23" s="74">
        <f>'[6]CB-11'!AG42</f>
        <v>0</v>
      </c>
      <c r="Z23" s="74">
        <f>'[6]CB-11'!AH42</f>
        <v>0</v>
      </c>
      <c r="AA23" s="74">
        <f>'[6]CB-11'!AI42</f>
        <v>0</v>
      </c>
      <c r="AB23" s="74">
        <f>'[6]CB-11'!AJ42</f>
        <v>0</v>
      </c>
      <c r="AC23" s="74">
        <f>'[6]CB-11'!AK42</f>
        <v>0</v>
      </c>
      <c r="AD23" s="74">
        <f>'[6]CB-11'!AL42</f>
        <v>0</v>
      </c>
      <c r="AE23" s="74">
        <f>'[6]CB-11'!AM42</f>
        <v>0</v>
      </c>
      <c r="AF23" s="74">
        <f>'[6]CB-11'!AN42</f>
        <v>0</v>
      </c>
      <c r="AG23" s="74">
        <f>'[6]CB-11'!AO42</f>
        <v>0</v>
      </c>
      <c r="AH23" s="74">
        <f>'[6]CB-11'!AP42</f>
        <v>0</v>
      </c>
      <c r="AI23" s="74">
        <f>'[6]CB-11'!AQ42</f>
        <v>0</v>
      </c>
      <c r="AJ23" s="74">
        <f>'[6]CB-11'!AR42</f>
        <v>0</v>
      </c>
      <c r="AK23" s="74">
        <f>'[6]CB-11'!AS42</f>
        <v>0</v>
      </c>
      <c r="AL23" s="74">
        <f>'[6]CB-11'!AT42</f>
        <v>0</v>
      </c>
      <c r="AM23" s="74">
        <f>'[6]CB-11'!AU42</f>
        <v>0</v>
      </c>
      <c r="AN23" s="74">
        <f>'[6]CB-11'!AV42</f>
        <v>0</v>
      </c>
      <c r="AO23" s="74">
        <f>'[6]CB-11'!AW42</f>
        <v>0</v>
      </c>
      <c r="AP23" s="74">
        <f>'[6]CB-11'!AX42</f>
        <v>0</v>
      </c>
      <c r="AQ23" s="74">
        <f>'[6]CB-11'!AY42</f>
        <v>0</v>
      </c>
      <c r="AR23" s="74">
        <f>'[6]CB-11'!AZ42</f>
        <v>0</v>
      </c>
      <c r="AS23" s="74">
        <f>'[6]CB-11'!BA42</f>
        <v>0</v>
      </c>
      <c r="AT23" s="63">
        <f>'[6]CB-11'!BB42</f>
        <v>0</v>
      </c>
      <c r="AU23" s="73">
        <f>'[6]CB-11'!BC42</f>
        <v>0</v>
      </c>
      <c r="AV23" s="73">
        <f>'[6]CB-11'!BD42</f>
        <v>0</v>
      </c>
      <c r="AW23" s="73">
        <f>'[6]CB-11'!BE42</f>
        <v>0</v>
      </c>
      <c r="AX23" s="73">
        <f>'[6]CB-11'!BF42</f>
        <v>0</v>
      </c>
      <c r="AY23" s="73">
        <f>'[6]CB-11'!BG42</f>
        <v>0</v>
      </c>
      <c r="AZ23" s="73">
        <f>'[6]CB-11'!BH42</f>
        <v>0</v>
      </c>
      <c r="BA23" s="73">
        <f>'[6]CB-11'!BI42</f>
        <v>0</v>
      </c>
      <c r="BB23" s="73">
        <f>'[6]CB-11'!BJ42</f>
        <v>0</v>
      </c>
      <c r="BC23" s="73">
        <f>'[6]CB-11'!BK42</f>
        <v>0</v>
      </c>
      <c r="BD23" s="73">
        <f>'[6]CB-11'!BL42</f>
        <v>0</v>
      </c>
      <c r="BE23" s="73">
        <f>'[6]CB-11'!BM42</f>
        <v>0</v>
      </c>
      <c r="BF23" s="73">
        <f>'[6]CB-11'!BN42</f>
        <v>0</v>
      </c>
      <c r="BG23" s="73">
        <f>'[6]CB-11'!BO42</f>
        <v>0</v>
      </c>
      <c r="BH23" s="73">
        <f>'[6]CB-11'!BP42</f>
        <v>0</v>
      </c>
      <c r="BI23" s="73">
        <f>'[6]CB-11'!BQ42</f>
        <v>0</v>
      </c>
      <c r="BJ23" s="73">
        <f>'[6]CB-11'!BR42</f>
        <v>0</v>
      </c>
      <c r="BK23" s="73">
        <f>'[6]CB-11'!BS42</f>
        <v>0</v>
      </c>
      <c r="BL23" s="73">
        <f>'[6]CB-11'!BT42</f>
        <v>0</v>
      </c>
      <c r="BM23" s="73">
        <f>'[6]CB-11'!BU42</f>
        <v>0</v>
      </c>
      <c r="BN23" s="73">
        <f>'[6]CB-11'!BV42</f>
        <v>0</v>
      </c>
      <c r="BO23" s="73">
        <f>'[6]CB-11'!BW42</f>
        <v>0</v>
      </c>
      <c r="BP23" s="64">
        <f>'[6]CB-11'!BX42</f>
        <v>0</v>
      </c>
    </row>
    <row r="24" spans="1:68" x14ac:dyDescent="0.35">
      <c r="A24" s="13">
        <v>21</v>
      </c>
      <c r="B24" s="62" t="str">
        <f>'[6]CB-12'!$C$8</f>
        <v>CB Baruna 222 (2nd call out CB MALEO)</v>
      </c>
      <c r="C24" s="72">
        <f>'[6]CB-12'!AG80</f>
        <v>0</v>
      </c>
      <c r="D24" s="72">
        <f>'[6]CB-12'!AH80</f>
        <v>0</v>
      </c>
      <c r="E24" s="72">
        <f>'[6]CB-12'!AI80</f>
        <v>0</v>
      </c>
      <c r="F24" s="72">
        <f>'[6]CB-12'!AJ80</f>
        <v>0</v>
      </c>
      <c r="G24" s="72">
        <f>'[6]CB-12'!AK80</f>
        <v>0</v>
      </c>
      <c r="H24" s="72">
        <f>'[6]CB-12'!AL80</f>
        <v>0</v>
      </c>
      <c r="I24" s="72">
        <f>'[6]CB-12'!AM80</f>
        <v>0</v>
      </c>
      <c r="J24" s="72">
        <f>'[6]CB-12'!AN80</f>
        <v>0</v>
      </c>
      <c r="K24" s="72">
        <f>'[6]CB-12'!AO80</f>
        <v>0</v>
      </c>
      <c r="L24" s="72">
        <f>'[6]CB-12'!AP80</f>
        <v>0</v>
      </c>
      <c r="M24" s="72">
        <f>'[6]CB-12'!AQ80</f>
        <v>0</v>
      </c>
      <c r="N24" s="72">
        <f>'[6]CB-12'!AR80</f>
        <v>0</v>
      </c>
      <c r="O24" s="72">
        <f>'[6]CB-12'!AS80</f>
        <v>0</v>
      </c>
      <c r="P24" s="72">
        <f>'[6]CB-12'!AT80</f>
        <v>0</v>
      </c>
      <c r="Q24" s="72">
        <f>'[6]CB-12'!AU80</f>
        <v>0</v>
      </c>
      <c r="R24" s="72">
        <f>'[6]CB-12'!AV80</f>
        <v>0</v>
      </c>
      <c r="S24" s="72">
        <f>'[6]CB-12'!AW80</f>
        <v>0</v>
      </c>
      <c r="T24" s="72">
        <f>'[6]CB-12'!AX80</f>
        <v>0</v>
      </c>
      <c r="U24" s="72">
        <f>'[6]CB-12'!AY80</f>
        <v>0</v>
      </c>
      <c r="V24" s="72">
        <f>'[6]CB-12'!AZ80</f>
        <v>0</v>
      </c>
      <c r="W24" s="72">
        <f>'[6]CB-12'!BA80</f>
        <v>0</v>
      </c>
      <c r="X24" s="68">
        <f>'[6]CB-12'!BB80</f>
        <v>0</v>
      </c>
      <c r="Y24" s="74">
        <f>'[6]CB-12'!AG42</f>
        <v>0</v>
      </c>
      <c r="Z24" s="74">
        <f>'[6]CB-12'!AH42</f>
        <v>0</v>
      </c>
      <c r="AA24" s="74">
        <f>'[6]CB-12'!AI42</f>
        <v>0</v>
      </c>
      <c r="AB24" s="74">
        <f>'[6]CB-12'!AJ42</f>
        <v>0</v>
      </c>
      <c r="AC24" s="74">
        <f>'[6]CB-12'!AK42</f>
        <v>0</v>
      </c>
      <c r="AD24" s="74">
        <f>'[6]CB-12'!AL42</f>
        <v>0</v>
      </c>
      <c r="AE24" s="74">
        <f>'[6]CB-12'!AM42</f>
        <v>0</v>
      </c>
      <c r="AF24" s="74">
        <f>'[6]CB-12'!AN42</f>
        <v>0</v>
      </c>
      <c r="AG24" s="74">
        <f>'[6]CB-12'!AO42</f>
        <v>0</v>
      </c>
      <c r="AH24" s="74">
        <f>'[6]CB-12'!AP42</f>
        <v>0</v>
      </c>
      <c r="AI24" s="74">
        <f>'[6]CB-12'!AQ42</f>
        <v>0</v>
      </c>
      <c r="AJ24" s="74">
        <f>'[6]CB-12'!AR42</f>
        <v>0</v>
      </c>
      <c r="AK24" s="74">
        <f>'[6]CB-12'!AS42</f>
        <v>0</v>
      </c>
      <c r="AL24" s="74">
        <f>'[6]CB-12'!AT42</f>
        <v>0</v>
      </c>
      <c r="AM24" s="74">
        <f>'[6]CB-12'!AU42</f>
        <v>0</v>
      </c>
      <c r="AN24" s="74">
        <f>'[6]CB-12'!AV42</f>
        <v>0</v>
      </c>
      <c r="AO24" s="74">
        <f>'[6]CB-12'!AW42</f>
        <v>0</v>
      </c>
      <c r="AP24" s="74">
        <f>'[6]CB-12'!AX42</f>
        <v>0</v>
      </c>
      <c r="AQ24" s="74">
        <f>'[6]CB-12'!AY42</f>
        <v>0</v>
      </c>
      <c r="AR24" s="74">
        <f>'[6]CB-12'!AZ42</f>
        <v>0</v>
      </c>
      <c r="AS24" s="74">
        <f>'[6]CB-12'!BA42</f>
        <v>0</v>
      </c>
      <c r="AT24" s="63">
        <f>'[6]CB-12'!BB42</f>
        <v>0</v>
      </c>
      <c r="AU24" s="73">
        <f>'[6]CB-12'!BC42</f>
        <v>0</v>
      </c>
      <c r="AV24" s="73">
        <f>'[6]CB-12'!BD42</f>
        <v>0</v>
      </c>
      <c r="AW24" s="73">
        <f>'[6]CB-12'!BE42</f>
        <v>0</v>
      </c>
      <c r="AX24" s="73">
        <f>'[6]CB-12'!BF42</f>
        <v>0</v>
      </c>
      <c r="AY24" s="73">
        <f>'[6]CB-12'!BG42</f>
        <v>0</v>
      </c>
      <c r="AZ24" s="73">
        <f>'[6]CB-12'!BH42</f>
        <v>0</v>
      </c>
      <c r="BA24" s="73">
        <f>'[6]CB-12'!BI42</f>
        <v>0</v>
      </c>
      <c r="BB24" s="73">
        <f>'[6]CB-12'!BJ42</f>
        <v>0</v>
      </c>
      <c r="BC24" s="73">
        <f>'[6]CB-12'!BK42</f>
        <v>0</v>
      </c>
      <c r="BD24" s="73">
        <f>'[6]CB-12'!BL42</f>
        <v>0</v>
      </c>
      <c r="BE24" s="73">
        <f>'[6]CB-12'!BM42</f>
        <v>0</v>
      </c>
      <c r="BF24" s="73">
        <f>'[6]CB-12'!BN42</f>
        <v>0</v>
      </c>
      <c r="BG24" s="73">
        <f>'[6]CB-12'!BO42</f>
        <v>0</v>
      </c>
      <c r="BH24" s="73">
        <f>'[6]CB-12'!BP42</f>
        <v>0</v>
      </c>
      <c r="BI24" s="73">
        <f>'[6]CB-12'!BQ42</f>
        <v>0</v>
      </c>
      <c r="BJ24" s="73">
        <f>'[6]CB-12'!BR42</f>
        <v>0</v>
      </c>
      <c r="BK24" s="73">
        <f>'[6]CB-12'!BS42</f>
        <v>0</v>
      </c>
      <c r="BL24" s="73">
        <f>'[6]CB-12'!BT42</f>
        <v>0</v>
      </c>
      <c r="BM24" s="73">
        <f>'[6]CB-12'!BU42</f>
        <v>0</v>
      </c>
      <c r="BN24" s="73">
        <f>'[6]CB-12'!BV42</f>
        <v>0</v>
      </c>
      <c r="BO24" s="73">
        <f>'[6]CB-12'!BW42</f>
        <v>0</v>
      </c>
      <c r="BP24" s="64">
        <f>'[6]CB-12'!BX42</f>
        <v>0</v>
      </c>
    </row>
    <row r="25" spans="1:68" x14ac:dyDescent="0.35">
      <c r="A25" s="13">
        <v>22</v>
      </c>
      <c r="B25" s="62">
        <f>'[6]CB-13'!$C$8</f>
        <v>0</v>
      </c>
      <c r="C25" s="72">
        <f>'[6]CB-13'!AG80</f>
        <v>0</v>
      </c>
      <c r="D25" s="72">
        <f>'[6]CB-13'!AH80</f>
        <v>0</v>
      </c>
      <c r="E25" s="72">
        <f>'[6]CB-13'!AI80</f>
        <v>0</v>
      </c>
      <c r="F25" s="72">
        <f>'[6]CB-13'!AJ80</f>
        <v>0</v>
      </c>
      <c r="G25" s="72">
        <f>'[6]CB-13'!AK80</f>
        <v>0</v>
      </c>
      <c r="H25" s="72">
        <f>'[6]CB-13'!AL80</f>
        <v>0</v>
      </c>
      <c r="I25" s="72">
        <f>'[6]CB-13'!AM80</f>
        <v>0</v>
      </c>
      <c r="J25" s="72">
        <f>'[6]CB-13'!AN80</f>
        <v>0</v>
      </c>
      <c r="K25" s="72">
        <f>'[6]CB-13'!AO80</f>
        <v>0</v>
      </c>
      <c r="L25" s="72">
        <f>'[6]CB-13'!AP80</f>
        <v>0</v>
      </c>
      <c r="M25" s="72">
        <f>'[6]CB-13'!AQ80</f>
        <v>0</v>
      </c>
      <c r="N25" s="72">
        <f>'[6]CB-13'!AR80</f>
        <v>0</v>
      </c>
      <c r="O25" s="72">
        <f>'[6]CB-13'!AS80</f>
        <v>0</v>
      </c>
      <c r="P25" s="72">
        <f>'[6]CB-13'!AT80</f>
        <v>0</v>
      </c>
      <c r="Q25" s="72">
        <f>'[6]CB-13'!AU80</f>
        <v>0</v>
      </c>
      <c r="R25" s="72">
        <f>'[6]CB-13'!AV80</f>
        <v>0</v>
      </c>
      <c r="S25" s="72">
        <f>'[6]CB-13'!AW80</f>
        <v>0</v>
      </c>
      <c r="T25" s="72">
        <f>'[6]CB-13'!AX80</f>
        <v>0</v>
      </c>
      <c r="U25" s="72">
        <f>'[6]CB-13'!AY80</f>
        <v>0</v>
      </c>
      <c r="V25" s="72">
        <f>'[6]CB-13'!AZ80</f>
        <v>0</v>
      </c>
      <c r="W25" s="72">
        <f>'[6]CB-13'!BA80</f>
        <v>0</v>
      </c>
      <c r="X25" s="68">
        <f>'[6]CB-13'!BB80</f>
        <v>0</v>
      </c>
      <c r="Y25" s="74">
        <f>'[6]CB-13'!AG42</f>
        <v>0</v>
      </c>
      <c r="Z25" s="74">
        <f>'[6]CB-13'!AH42</f>
        <v>0</v>
      </c>
      <c r="AA25" s="74">
        <f>'[6]CB-13'!AI42</f>
        <v>0</v>
      </c>
      <c r="AB25" s="74">
        <f>'[6]CB-13'!AJ42</f>
        <v>0</v>
      </c>
      <c r="AC25" s="74">
        <f>'[6]CB-13'!AK42</f>
        <v>0</v>
      </c>
      <c r="AD25" s="74">
        <f>'[6]CB-13'!AL42</f>
        <v>0</v>
      </c>
      <c r="AE25" s="74">
        <f>'[6]CB-13'!AM42</f>
        <v>0</v>
      </c>
      <c r="AF25" s="74">
        <f>'[6]CB-13'!AN42</f>
        <v>0</v>
      </c>
      <c r="AG25" s="74">
        <f>'[6]CB-13'!AO42</f>
        <v>0</v>
      </c>
      <c r="AH25" s="74">
        <f>'[6]CB-13'!AP42</f>
        <v>0</v>
      </c>
      <c r="AI25" s="74">
        <f>'[6]CB-13'!AQ42</f>
        <v>0</v>
      </c>
      <c r="AJ25" s="74">
        <f>'[6]CB-13'!AR42</f>
        <v>0</v>
      </c>
      <c r="AK25" s="74">
        <f>'[6]CB-13'!AS42</f>
        <v>0</v>
      </c>
      <c r="AL25" s="74">
        <f>'[6]CB-13'!AT42</f>
        <v>0</v>
      </c>
      <c r="AM25" s="74">
        <f>'[6]CB-13'!AU42</f>
        <v>0</v>
      </c>
      <c r="AN25" s="74">
        <f>'[6]CB-13'!AV42</f>
        <v>0</v>
      </c>
      <c r="AO25" s="74">
        <f>'[6]CB-13'!AW42</f>
        <v>0</v>
      </c>
      <c r="AP25" s="74">
        <f>'[6]CB-13'!AX42</f>
        <v>0</v>
      </c>
      <c r="AQ25" s="74">
        <f>'[6]CB-13'!AY42</f>
        <v>0</v>
      </c>
      <c r="AR25" s="74">
        <f>'[6]CB-13'!AZ42</f>
        <v>0</v>
      </c>
      <c r="AS25" s="74">
        <f>'[6]CB-13'!BA42</f>
        <v>0</v>
      </c>
      <c r="AT25" s="63">
        <f>'[6]CB-13'!BB42</f>
        <v>0</v>
      </c>
      <c r="AU25" s="73">
        <f>'[6]CB-13'!BC42</f>
        <v>0</v>
      </c>
      <c r="AV25" s="73">
        <f>'[6]CB-13'!BD42</f>
        <v>0</v>
      </c>
      <c r="AW25" s="73">
        <f>'[6]CB-13'!BE42</f>
        <v>0</v>
      </c>
      <c r="AX25" s="73">
        <f>'[6]CB-13'!BF42</f>
        <v>0</v>
      </c>
      <c r="AY25" s="73">
        <f>'[6]CB-13'!BG42</f>
        <v>0</v>
      </c>
      <c r="AZ25" s="73">
        <f>'[6]CB-13'!BH42</f>
        <v>0</v>
      </c>
      <c r="BA25" s="73">
        <f>'[6]CB-13'!BI42</f>
        <v>0</v>
      </c>
      <c r="BB25" s="73">
        <f>'[6]CB-13'!BJ42</f>
        <v>0</v>
      </c>
      <c r="BC25" s="73">
        <f>'[6]CB-13'!BK42</f>
        <v>0</v>
      </c>
      <c r="BD25" s="73">
        <f>'[6]CB-13'!BL42</f>
        <v>0</v>
      </c>
      <c r="BE25" s="73">
        <f>'[6]CB-13'!BM42</f>
        <v>0</v>
      </c>
      <c r="BF25" s="73">
        <f>'[6]CB-13'!BN42</f>
        <v>0</v>
      </c>
      <c r="BG25" s="73">
        <f>'[6]CB-13'!BO42</f>
        <v>0</v>
      </c>
      <c r="BH25" s="73">
        <f>'[6]CB-13'!BP42</f>
        <v>0</v>
      </c>
      <c r="BI25" s="73">
        <f>'[6]CB-13'!BQ42</f>
        <v>0</v>
      </c>
      <c r="BJ25" s="73">
        <f>'[6]CB-13'!BR42</f>
        <v>0</v>
      </c>
      <c r="BK25" s="73">
        <f>'[6]CB-13'!BS42</f>
        <v>0</v>
      </c>
      <c r="BL25" s="73">
        <f>'[6]CB-13'!BT42</f>
        <v>0</v>
      </c>
      <c r="BM25" s="73">
        <f>'[6]CB-13'!BU42</f>
        <v>0</v>
      </c>
      <c r="BN25" s="73">
        <f>'[6]CB-13'!BV42</f>
        <v>0</v>
      </c>
      <c r="BO25" s="73">
        <f>'[6]CB-13'!BW42</f>
        <v>0</v>
      </c>
      <c r="BP25" s="64">
        <f>'[6]CB-13'!BX42</f>
        <v>0</v>
      </c>
    </row>
    <row r="26" spans="1:68" x14ac:dyDescent="0.35">
      <c r="A26" s="13">
        <v>23</v>
      </c>
      <c r="B26" s="62">
        <f>'[6]CB-14'!$C$8</f>
        <v>0</v>
      </c>
      <c r="C26" s="72">
        <f>'[6]CB-14'!AG80</f>
        <v>0</v>
      </c>
      <c r="D26" s="72">
        <f>'[6]CB-14'!AH80</f>
        <v>0</v>
      </c>
      <c r="E26" s="72">
        <f>'[6]CB-14'!AI80</f>
        <v>0</v>
      </c>
      <c r="F26" s="72">
        <f>'[6]CB-14'!AJ80</f>
        <v>0</v>
      </c>
      <c r="G26" s="72">
        <f>'[6]CB-14'!AK80</f>
        <v>0</v>
      </c>
      <c r="H26" s="72">
        <f>'[6]CB-14'!AL80</f>
        <v>0</v>
      </c>
      <c r="I26" s="72">
        <f>'[6]CB-14'!AM80</f>
        <v>0</v>
      </c>
      <c r="J26" s="72">
        <f>'[6]CB-14'!AN80</f>
        <v>0</v>
      </c>
      <c r="K26" s="72">
        <f>'[6]CB-14'!AO80</f>
        <v>0</v>
      </c>
      <c r="L26" s="72">
        <f>'[6]CB-14'!AP80</f>
        <v>0</v>
      </c>
      <c r="M26" s="72">
        <f>'[6]CB-14'!AQ80</f>
        <v>0</v>
      </c>
      <c r="N26" s="72">
        <f>'[6]CB-14'!AR80</f>
        <v>0</v>
      </c>
      <c r="O26" s="72">
        <f>'[6]CB-14'!AS80</f>
        <v>0</v>
      </c>
      <c r="P26" s="72">
        <f>'[6]CB-14'!AT80</f>
        <v>0</v>
      </c>
      <c r="Q26" s="72">
        <f>'[6]CB-14'!AU80</f>
        <v>0</v>
      </c>
      <c r="R26" s="72">
        <f>'[6]CB-14'!AV80</f>
        <v>0</v>
      </c>
      <c r="S26" s="72">
        <f>'[6]CB-14'!AW80</f>
        <v>0</v>
      </c>
      <c r="T26" s="72">
        <f>'[6]CB-14'!AX80</f>
        <v>0</v>
      </c>
      <c r="U26" s="72">
        <f>'[6]CB-14'!AY80</f>
        <v>0</v>
      </c>
      <c r="V26" s="72">
        <f>'[6]CB-14'!AZ80</f>
        <v>0</v>
      </c>
      <c r="W26" s="72">
        <f>'[6]CB-14'!BA80</f>
        <v>0</v>
      </c>
      <c r="X26" s="68">
        <f>'[6]CB-14'!BB80</f>
        <v>0</v>
      </c>
      <c r="Y26" s="74">
        <f>'[6]CB-14'!AG42</f>
        <v>0</v>
      </c>
      <c r="Z26" s="74">
        <f>'[6]CB-14'!AH42</f>
        <v>0</v>
      </c>
      <c r="AA26" s="74">
        <f>'[6]CB-14'!AI42</f>
        <v>0</v>
      </c>
      <c r="AB26" s="74">
        <f>'[6]CB-14'!AJ42</f>
        <v>0</v>
      </c>
      <c r="AC26" s="74">
        <f>'[6]CB-14'!AK42</f>
        <v>0</v>
      </c>
      <c r="AD26" s="74">
        <f>'[6]CB-14'!AL42</f>
        <v>0</v>
      </c>
      <c r="AE26" s="74">
        <f>'[6]CB-14'!AM42</f>
        <v>0</v>
      </c>
      <c r="AF26" s="74">
        <f>'[6]CB-14'!AN42</f>
        <v>0</v>
      </c>
      <c r="AG26" s="74">
        <f>'[6]CB-14'!AO42</f>
        <v>0</v>
      </c>
      <c r="AH26" s="74">
        <f>'[6]CB-14'!AP42</f>
        <v>0</v>
      </c>
      <c r="AI26" s="74">
        <f>'[6]CB-14'!AQ42</f>
        <v>0</v>
      </c>
      <c r="AJ26" s="74">
        <f>'[6]CB-14'!AR42</f>
        <v>0</v>
      </c>
      <c r="AK26" s="74">
        <f>'[6]CB-14'!AS42</f>
        <v>0</v>
      </c>
      <c r="AL26" s="74">
        <f>'[6]CB-14'!AT42</f>
        <v>0</v>
      </c>
      <c r="AM26" s="74">
        <f>'[6]CB-14'!AU42</f>
        <v>0</v>
      </c>
      <c r="AN26" s="74">
        <f>'[6]CB-14'!AV42</f>
        <v>0</v>
      </c>
      <c r="AO26" s="74">
        <f>'[6]CB-14'!AW42</f>
        <v>0</v>
      </c>
      <c r="AP26" s="74">
        <f>'[6]CB-14'!AX42</f>
        <v>0</v>
      </c>
      <c r="AQ26" s="74">
        <f>'[6]CB-14'!AY42</f>
        <v>0</v>
      </c>
      <c r="AR26" s="74">
        <f>'[6]CB-14'!AZ42</f>
        <v>0</v>
      </c>
      <c r="AS26" s="74">
        <f>'[6]CB-14'!BA42</f>
        <v>0</v>
      </c>
      <c r="AT26" s="63">
        <f>'[6]CB-14'!BB42</f>
        <v>0</v>
      </c>
      <c r="AU26" s="73">
        <f>'[6]CB-14'!BC42</f>
        <v>0</v>
      </c>
      <c r="AV26" s="73">
        <f>'[6]CB-14'!BD42</f>
        <v>0</v>
      </c>
      <c r="AW26" s="73">
        <f>'[6]CB-14'!BE42</f>
        <v>0</v>
      </c>
      <c r="AX26" s="73">
        <f>'[6]CB-14'!BF42</f>
        <v>0</v>
      </c>
      <c r="AY26" s="73">
        <f>'[6]CB-14'!BG42</f>
        <v>0</v>
      </c>
      <c r="AZ26" s="73">
        <f>'[6]CB-14'!BH42</f>
        <v>0</v>
      </c>
      <c r="BA26" s="73">
        <f>'[6]CB-14'!BI42</f>
        <v>0</v>
      </c>
      <c r="BB26" s="73">
        <f>'[6]CB-14'!BJ42</f>
        <v>0</v>
      </c>
      <c r="BC26" s="73">
        <f>'[6]CB-14'!BK42</f>
        <v>0</v>
      </c>
      <c r="BD26" s="73">
        <f>'[6]CB-14'!BL42</f>
        <v>0</v>
      </c>
      <c r="BE26" s="73">
        <f>'[6]CB-14'!BM42</f>
        <v>0</v>
      </c>
      <c r="BF26" s="73">
        <f>'[6]CB-14'!BN42</f>
        <v>0</v>
      </c>
      <c r="BG26" s="73">
        <f>'[6]CB-14'!BO42</f>
        <v>0</v>
      </c>
      <c r="BH26" s="73">
        <f>'[6]CB-14'!BP42</f>
        <v>0</v>
      </c>
      <c r="BI26" s="73">
        <f>'[6]CB-14'!BQ42</f>
        <v>0</v>
      </c>
      <c r="BJ26" s="73">
        <f>'[6]CB-14'!BR42</f>
        <v>0</v>
      </c>
      <c r="BK26" s="73">
        <f>'[6]CB-14'!BS42</f>
        <v>0</v>
      </c>
      <c r="BL26" s="73">
        <f>'[6]CB-14'!BT42</f>
        <v>0</v>
      </c>
      <c r="BM26" s="73">
        <f>'[6]CB-14'!BU42</f>
        <v>0</v>
      </c>
      <c r="BN26" s="73">
        <f>'[6]CB-14'!BV42</f>
        <v>0</v>
      </c>
      <c r="BO26" s="73">
        <f>'[6]CB-14'!BW42</f>
        <v>0</v>
      </c>
      <c r="BP26" s="64">
        <f>'[6]CB-14'!BX42</f>
        <v>0</v>
      </c>
    </row>
    <row r="27" spans="1:68" x14ac:dyDescent="0.35">
      <c r="A27" s="13">
        <v>24</v>
      </c>
      <c r="B27" s="62">
        <f>'[6]CB-15'!$C$8</f>
        <v>0</v>
      </c>
      <c r="C27" s="72">
        <f>'[6]CB-15'!AG80</f>
        <v>0</v>
      </c>
      <c r="D27" s="72">
        <f>'[6]CB-15'!AH80</f>
        <v>0</v>
      </c>
      <c r="E27" s="72">
        <f>'[6]CB-15'!AI80</f>
        <v>0</v>
      </c>
      <c r="F27" s="72">
        <f>'[6]CB-15'!AJ80</f>
        <v>0</v>
      </c>
      <c r="G27" s="72">
        <f>'[6]CB-15'!AK80</f>
        <v>0</v>
      </c>
      <c r="H27" s="72">
        <f>'[6]CB-15'!AL80</f>
        <v>0</v>
      </c>
      <c r="I27" s="72">
        <f>'[6]CB-15'!AM80</f>
        <v>0</v>
      </c>
      <c r="J27" s="72">
        <f>'[6]CB-15'!AN80</f>
        <v>0</v>
      </c>
      <c r="K27" s="72">
        <f>'[6]CB-15'!AO80</f>
        <v>0</v>
      </c>
      <c r="L27" s="72">
        <f>'[6]CB-15'!AP80</f>
        <v>0</v>
      </c>
      <c r="M27" s="72">
        <f>'[6]CB-15'!AQ80</f>
        <v>0</v>
      </c>
      <c r="N27" s="72">
        <f>'[6]CB-15'!AR80</f>
        <v>0</v>
      </c>
      <c r="O27" s="72">
        <f>'[6]CB-15'!AS80</f>
        <v>0</v>
      </c>
      <c r="P27" s="72">
        <f>'[6]CB-15'!AT80</f>
        <v>0</v>
      </c>
      <c r="Q27" s="72">
        <f>'[6]CB-15'!AU80</f>
        <v>0</v>
      </c>
      <c r="R27" s="72">
        <f>'[6]CB-15'!AV80</f>
        <v>0</v>
      </c>
      <c r="S27" s="72">
        <f>'[6]CB-15'!AW80</f>
        <v>0</v>
      </c>
      <c r="T27" s="72">
        <f>'[6]CB-15'!AX80</f>
        <v>0</v>
      </c>
      <c r="U27" s="72">
        <f>'[6]CB-15'!AY80</f>
        <v>0</v>
      </c>
      <c r="V27" s="72">
        <f>'[6]CB-15'!AZ80</f>
        <v>0</v>
      </c>
      <c r="W27" s="72">
        <f>'[6]CB-15'!BA80</f>
        <v>0</v>
      </c>
      <c r="X27" s="68">
        <f>'[6]CB-15'!BB80</f>
        <v>0</v>
      </c>
      <c r="Y27" s="74">
        <f>'[6]CB-15'!AG42</f>
        <v>0</v>
      </c>
      <c r="Z27" s="74">
        <f>'[6]CB-15'!AH42</f>
        <v>0</v>
      </c>
      <c r="AA27" s="74">
        <f>'[6]CB-15'!AI42</f>
        <v>0</v>
      </c>
      <c r="AB27" s="74">
        <f>'[6]CB-15'!AJ42</f>
        <v>0</v>
      </c>
      <c r="AC27" s="74">
        <f>'[6]CB-15'!AK42</f>
        <v>0</v>
      </c>
      <c r="AD27" s="74">
        <f>'[6]CB-15'!AL42</f>
        <v>0</v>
      </c>
      <c r="AE27" s="74">
        <f>'[6]CB-15'!AM42</f>
        <v>0</v>
      </c>
      <c r="AF27" s="74">
        <f>'[6]CB-15'!AN42</f>
        <v>0</v>
      </c>
      <c r="AG27" s="74">
        <f>'[6]CB-15'!AO42</f>
        <v>0</v>
      </c>
      <c r="AH27" s="74">
        <f>'[6]CB-15'!AP42</f>
        <v>0</v>
      </c>
      <c r="AI27" s="74">
        <f>'[6]CB-15'!AQ42</f>
        <v>0</v>
      </c>
      <c r="AJ27" s="74">
        <f>'[6]CB-15'!AR42</f>
        <v>0</v>
      </c>
      <c r="AK27" s="74">
        <f>'[6]CB-15'!AS42</f>
        <v>0</v>
      </c>
      <c r="AL27" s="74">
        <f>'[6]CB-15'!AT42</f>
        <v>0</v>
      </c>
      <c r="AM27" s="74">
        <f>'[6]CB-15'!AU42</f>
        <v>0</v>
      </c>
      <c r="AN27" s="74">
        <f>'[6]CB-15'!AV42</f>
        <v>0</v>
      </c>
      <c r="AO27" s="74">
        <f>'[6]CB-15'!AW42</f>
        <v>0</v>
      </c>
      <c r="AP27" s="74">
        <f>'[6]CB-15'!AX42</f>
        <v>0</v>
      </c>
      <c r="AQ27" s="74">
        <f>'[6]CB-15'!AY42</f>
        <v>0</v>
      </c>
      <c r="AR27" s="74">
        <f>'[6]CB-15'!AZ42</f>
        <v>0</v>
      </c>
      <c r="AS27" s="74">
        <f>'[6]CB-15'!BA42</f>
        <v>0</v>
      </c>
      <c r="AT27" s="63">
        <f>'[6]CB-15'!BB42</f>
        <v>0</v>
      </c>
      <c r="AU27" s="73">
        <f>'[6]CB-15'!BC42</f>
        <v>0</v>
      </c>
      <c r="AV27" s="73">
        <f>'[6]CB-15'!BD42</f>
        <v>0</v>
      </c>
      <c r="AW27" s="73">
        <f>'[6]CB-15'!BE42</f>
        <v>0</v>
      </c>
      <c r="AX27" s="73">
        <f>'[6]CB-15'!BF42</f>
        <v>0</v>
      </c>
      <c r="AY27" s="73">
        <f>'[6]CB-15'!BG42</f>
        <v>0</v>
      </c>
      <c r="AZ27" s="73">
        <f>'[6]CB-15'!BH42</f>
        <v>0</v>
      </c>
      <c r="BA27" s="73">
        <f>'[6]CB-15'!BI42</f>
        <v>0</v>
      </c>
      <c r="BB27" s="73">
        <f>'[6]CB-15'!BJ42</f>
        <v>0</v>
      </c>
      <c r="BC27" s="73">
        <f>'[6]CB-15'!BK42</f>
        <v>0</v>
      </c>
      <c r="BD27" s="73">
        <f>'[6]CB-15'!BL42</f>
        <v>0</v>
      </c>
      <c r="BE27" s="73">
        <f>'[6]CB-15'!BM42</f>
        <v>0</v>
      </c>
      <c r="BF27" s="73">
        <f>'[6]CB-15'!BN42</f>
        <v>0</v>
      </c>
      <c r="BG27" s="73">
        <f>'[6]CB-15'!BO42</f>
        <v>0</v>
      </c>
      <c r="BH27" s="73">
        <f>'[6]CB-15'!BP42</f>
        <v>0</v>
      </c>
      <c r="BI27" s="73">
        <f>'[6]CB-15'!BQ42</f>
        <v>0</v>
      </c>
      <c r="BJ27" s="73">
        <f>'[6]CB-15'!BR42</f>
        <v>0</v>
      </c>
      <c r="BK27" s="73">
        <f>'[6]CB-15'!BS42</f>
        <v>0</v>
      </c>
      <c r="BL27" s="73">
        <f>'[6]CB-15'!BT42</f>
        <v>0</v>
      </c>
      <c r="BM27" s="73">
        <f>'[6]CB-15'!BU42</f>
        <v>0</v>
      </c>
      <c r="BN27" s="73">
        <f>'[6]CB-15'!BV42</f>
        <v>0</v>
      </c>
      <c r="BO27" s="73">
        <f>'[6]CB-15'!BW42</f>
        <v>0</v>
      </c>
      <c r="BP27" s="64">
        <f>'[6]CB-15'!BX42</f>
        <v>0</v>
      </c>
    </row>
    <row r="28" spans="1:68" x14ac:dyDescent="0.35">
      <c r="A28" s="13">
        <v>25</v>
      </c>
      <c r="B28" s="62">
        <f>'[6]CB-16'!$C$8</f>
        <v>0</v>
      </c>
      <c r="C28" s="72">
        <f>'[6]CB-16'!AG80</f>
        <v>0</v>
      </c>
      <c r="D28" s="72">
        <f>'[6]CB-16'!AH80</f>
        <v>0</v>
      </c>
      <c r="E28" s="72">
        <f>'[6]CB-16'!AI80</f>
        <v>0</v>
      </c>
      <c r="F28" s="72">
        <f>'[6]CB-16'!AJ80</f>
        <v>0</v>
      </c>
      <c r="G28" s="72">
        <f>'[6]CB-16'!AK80</f>
        <v>0</v>
      </c>
      <c r="H28" s="72">
        <f>'[6]CB-16'!AL80</f>
        <v>0</v>
      </c>
      <c r="I28" s="72">
        <f>'[6]CB-16'!AM80</f>
        <v>0</v>
      </c>
      <c r="J28" s="72">
        <f>'[6]CB-16'!AN80</f>
        <v>0</v>
      </c>
      <c r="K28" s="72">
        <f>'[6]CB-16'!AO80</f>
        <v>0</v>
      </c>
      <c r="L28" s="72">
        <f>'[6]CB-16'!AP80</f>
        <v>0</v>
      </c>
      <c r="M28" s="72">
        <f>'[6]CB-16'!AQ80</f>
        <v>0</v>
      </c>
      <c r="N28" s="72">
        <f>'[6]CB-16'!AR80</f>
        <v>0</v>
      </c>
      <c r="O28" s="72">
        <f>'[6]CB-16'!AS80</f>
        <v>0</v>
      </c>
      <c r="P28" s="72">
        <f>'[6]CB-16'!AT80</f>
        <v>0</v>
      </c>
      <c r="Q28" s="72">
        <f>'[6]CB-16'!AU80</f>
        <v>0</v>
      </c>
      <c r="R28" s="72">
        <f>'[6]CB-16'!AV80</f>
        <v>0</v>
      </c>
      <c r="S28" s="72">
        <f>'[6]CB-16'!AW80</f>
        <v>0</v>
      </c>
      <c r="T28" s="72">
        <f>'[6]CB-16'!AX80</f>
        <v>0</v>
      </c>
      <c r="U28" s="72">
        <f>'[6]CB-16'!AY80</f>
        <v>0</v>
      </c>
      <c r="V28" s="72">
        <f>'[6]CB-16'!AZ80</f>
        <v>0</v>
      </c>
      <c r="W28" s="72">
        <f>'[6]CB-16'!BA80</f>
        <v>0</v>
      </c>
      <c r="X28" s="68">
        <f>'[6]CB-16'!BB80</f>
        <v>0</v>
      </c>
      <c r="Y28" s="74">
        <f>'[6]CB-16'!AG42</f>
        <v>0</v>
      </c>
      <c r="Z28" s="74">
        <f>'[6]CB-16'!AH42</f>
        <v>0</v>
      </c>
      <c r="AA28" s="74">
        <f>'[6]CB-16'!AI42</f>
        <v>0</v>
      </c>
      <c r="AB28" s="74">
        <f>'[6]CB-16'!AJ42</f>
        <v>0</v>
      </c>
      <c r="AC28" s="74">
        <f>'[6]CB-16'!AK42</f>
        <v>0</v>
      </c>
      <c r="AD28" s="74">
        <f>'[6]CB-16'!AL42</f>
        <v>0</v>
      </c>
      <c r="AE28" s="74">
        <f>'[6]CB-16'!AM42</f>
        <v>0</v>
      </c>
      <c r="AF28" s="74">
        <f>'[6]CB-16'!AN42</f>
        <v>0</v>
      </c>
      <c r="AG28" s="74">
        <f>'[6]CB-16'!AO42</f>
        <v>0</v>
      </c>
      <c r="AH28" s="74">
        <f>'[6]CB-16'!AP42</f>
        <v>0</v>
      </c>
      <c r="AI28" s="74">
        <f>'[6]CB-16'!AQ42</f>
        <v>0</v>
      </c>
      <c r="AJ28" s="74">
        <f>'[6]CB-16'!AR42</f>
        <v>0</v>
      </c>
      <c r="AK28" s="74">
        <f>'[6]CB-16'!AS42</f>
        <v>0</v>
      </c>
      <c r="AL28" s="74">
        <f>'[6]CB-16'!AT42</f>
        <v>0</v>
      </c>
      <c r="AM28" s="74">
        <f>'[6]CB-16'!AU42</f>
        <v>0</v>
      </c>
      <c r="AN28" s="74">
        <f>'[6]CB-16'!AV42</f>
        <v>0</v>
      </c>
      <c r="AO28" s="74">
        <f>'[6]CB-16'!AW42</f>
        <v>0</v>
      </c>
      <c r="AP28" s="74">
        <f>'[6]CB-16'!AX42</f>
        <v>0</v>
      </c>
      <c r="AQ28" s="74">
        <f>'[6]CB-16'!AY42</f>
        <v>0</v>
      </c>
      <c r="AR28" s="74">
        <f>'[6]CB-16'!AZ42</f>
        <v>0</v>
      </c>
      <c r="AS28" s="74">
        <f>'[6]CB-16'!BA42</f>
        <v>0</v>
      </c>
      <c r="AT28" s="63">
        <f>'[6]CB-16'!BB42</f>
        <v>0</v>
      </c>
      <c r="AU28" s="73">
        <f>'[6]CB-16'!BC42</f>
        <v>0</v>
      </c>
      <c r="AV28" s="73">
        <f>'[6]CB-16'!BD42</f>
        <v>0</v>
      </c>
      <c r="AW28" s="73">
        <f>'[6]CB-16'!BE42</f>
        <v>0</v>
      </c>
      <c r="AX28" s="73">
        <f>'[6]CB-16'!BF42</f>
        <v>0</v>
      </c>
      <c r="AY28" s="73">
        <f>'[6]CB-16'!BG42</f>
        <v>0</v>
      </c>
      <c r="AZ28" s="73">
        <f>'[6]CB-16'!BH42</f>
        <v>0</v>
      </c>
      <c r="BA28" s="73">
        <f>'[6]CB-16'!BI42</f>
        <v>0</v>
      </c>
      <c r="BB28" s="73">
        <f>'[6]CB-16'!BJ42</f>
        <v>0</v>
      </c>
      <c r="BC28" s="73">
        <f>'[6]CB-16'!BK42</f>
        <v>0</v>
      </c>
      <c r="BD28" s="73">
        <f>'[6]CB-16'!BL42</f>
        <v>0</v>
      </c>
      <c r="BE28" s="73">
        <f>'[6]CB-16'!BM42</f>
        <v>0</v>
      </c>
      <c r="BF28" s="73">
        <f>'[6]CB-16'!BN42</f>
        <v>0</v>
      </c>
      <c r="BG28" s="73">
        <f>'[6]CB-16'!BO42</f>
        <v>0</v>
      </c>
      <c r="BH28" s="73">
        <f>'[6]CB-16'!BP42</f>
        <v>0</v>
      </c>
      <c r="BI28" s="73">
        <f>'[6]CB-16'!BQ42</f>
        <v>0</v>
      </c>
      <c r="BJ28" s="73">
        <f>'[6]CB-16'!BR42</f>
        <v>0</v>
      </c>
      <c r="BK28" s="73">
        <f>'[6]CB-16'!BS42</f>
        <v>0</v>
      </c>
      <c r="BL28" s="73">
        <f>'[6]CB-16'!BT42</f>
        <v>0</v>
      </c>
      <c r="BM28" s="73">
        <f>'[6]CB-16'!BU42</f>
        <v>0</v>
      </c>
      <c r="BN28" s="73">
        <f>'[6]CB-16'!BV42</f>
        <v>0</v>
      </c>
      <c r="BO28" s="73">
        <f>'[6]CB-16'!BW42</f>
        <v>0</v>
      </c>
      <c r="BP28" s="64">
        <f>'[6]CB-16'!BX42</f>
        <v>0</v>
      </c>
    </row>
    <row r="29" spans="1:68" x14ac:dyDescent="0.35">
      <c r="A29" s="13">
        <v>26</v>
      </c>
      <c r="B29" s="62">
        <f>'[6]CB-17'!$C$8</f>
        <v>0</v>
      </c>
      <c r="C29" s="72">
        <f>'[6]CB-17'!AG80</f>
        <v>0</v>
      </c>
      <c r="D29" s="72">
        <f>'[6]CB-17'!AH80</f>
        <v>0</v>
      </c>
      <c r="E29" s="72">
        <f>'[6]CB-17'!AI80</f>
        <v>0</v>
      </c>
      <c r="F29" s="72">
        <f>'[6]CB-17'!AJ80</f>
        <v>0</v>
      </c>
      <c r="G29" s="72">
        <f>'[6]CB-17'!AK80</f>
        <v>0</v>
      </c>
      <c r="H29" s="72">
        <f>'[6]CB-17'!AL80</f>
        <v>0</v>
      </c>
      <c r="I29" s="72">
        <f>'[6]CB-17'!AM80</f>
        <v>0</v>
      </c>
      <c r="J29" s="72">
        <f>'[6]CB-17'!AN80</f>
        <v>0</v>
      </c>
      <c r="K29" s="72">
        <f>'[6]CB-17'!AO80</f>
        <v>0</v>
      </c>
      <c r="L29" s="72">
        <f>'[6]CB-17'!AP80</f>
        <v>0</v>
      </c>
      <c r="M29" s="72">
        <f>'[6]CB-17'!AQ80</f>
        <v>0</v>
      </c>
      <c r="N29" s="72">
        <f>'[6]CB-17'!AR80</f>
        <v>0</v>
      </c>
      <c r="O29" s="72">
        <f>'[6]CB-17'!AS80</f>
        <v>0</v>
      </c>
      <c r="P29" s="72">
        <f>'[6]CB-17'!AT80</f>
        <v>0</v>
      </c>
      <c r="Q29" s="72">
        <f>'[6]CB-17'!AU80</f>
        <v>0</v>
      </c>
      <c r="R29" s="72">
        <f>'[6]CB-17'!AV80</f>
        <v>0</v>
      </c>
      <c r="S29" s="72">
        <f>'[6]CB-17'!AW80</f>
        <v>0</v>
      </c>
      <c r="T29" s="72">
        <f>'[6]CB-17'!AX80</f>
        <v>0</v>
      </c>
      <c r="U29" s="72">
        <f>'[6]CB-17'!AY80</f>
        <v>0</v>
      </c>
      <c r="V29" s="72">
        <f>'[6]CB-17'!AZ80</f>
        <v>0</v>
      </c>
      <c r="W29" s="72">
        <f>'[6]CB-17'!BA80</f>
        <v>0</v>
      </c>
      <c r="X29" s="68">
        <f>'[6]CB-17'!BB80</f>
        <v>0</v>
      </c>
      <c r="Y29" s="74">
        <f>'[6]CB-17'!AG42</f>
        <v>0</v>
      </c>
      <c r="Z29" s="74">
        <f>'[6]CB-17'!AH42</f>
        <v>0</v>
      </c>
      <c r="AA29" s="74">
        <f>'[6]CB-17'!AI42</f>
        <v>0</v>
      </c>
      <c r="AB29" s="74">
        <f>'[6]CB-17'!AJ42</f>
        <v>0</v>
      </c>
      <c r="AC29" s="74">
        <f>'[6]CB-17'!AK42</f>
        <v>0</v>
      </c>
      <c r="AD29" s="74">
        <f>'[6]CB-17'!AL42</f>
        <v>0</v>
      </c>
      <c r="AE29" s="74">
        <f>'[6]CB-17'!AM42</f>
        <v>0</v>
      </c>
      <c r="AF29" s="74">
        <f>'[6]CB-17'!AN42</f>
        <v>0</v>
      </c>
      <c r="AG29" s="74">
        <f>'[6]CB-17'!AO42</f>
        <v>0</v>
      </c>
      <c r="AH29" s="74">
        <f>'[6]CB-17'!AP42</f>
        <v>0</v>
      </c>
      <c r="AI29" s="74">
        <f>'[6]CB-17'!AQ42</f>
        <v>0</v>
      </c>
      <c r="AJ29" s="74">
        <f>'[6]CB-17'!AR42</f>
        <v>0</v>
      </c>
      <c r="AK29" s="74">
        <f>'[6]CB-17'!AS42</f>
        <v>0</v>
      </c>
      <c r="AL29" s="74">
        <f>'[6]CB-17'!AT42</f>
        <v>0</v>
      </c>
      <c r="AM29" s="74">
        <f>'[6]CB-17'!AU42</f>
        <v>0</v>
      </c>
      <c r="AN29" s="74">
        <f>'[6]CB-17'!AV42</f>
        <v>0</v>
      </c>
      <c r="AO29" s="74">
        <f>'[6]CB-17'!AW42</f>
        <v>0</v>
      </c>
      <c r="AP29" s="74">
        <f>'[6]CB-17'!AX42</f>
        <v>0</v>
      </c>
      <c r="AQ29" s="74">
        <f>'[6]CB-17'!AY42</f>
        <v>0</v>
      </c>
      <c r="AR29" s="74">
        <f>'[6]CB-17'!AZ42</f>
        <v>0</v>
      </c>
      <c r="AS29" s="74">
        <f>'[6]CB-17'!BA42</f>
        <v>0</v>
      </c>
      <c r="AT29" s="63">
        <f>'[6]CB-17'!BB42</f>
        <v>0</v>
      </c>
      <c r="AU29" s="73">
        <f>'[6]CB-17'!BC42</f>
        <v>0</v>
      </c>
      <c r="AV29" s="73">
        <f>'[6]CB-17'!BD42</f>
        <v>0</v>
      </c>
      <c r="AW29" s="73">
        <f>'[6]CB-17'!BE42</f>
        <v>0</v>
      </c>
      <c r="AX29" s="73">
        <f>'[6]CB-17'!BF42</f>
        <v>0</v>
      </c>
      <c r="AY29" s="73">
        <f>'[6]CB-17'!BG42</f>
        <v>0</v>
      </c>
      <c r="AZ29" s="73">
        <f>'[6]CB-17'!BH42</f>
        <v>0</v>
      </c>
      <c r="BA29" s="73">
        <f>'[6]CB-17'!BI42</f>
        <v>0</v>
      </c>
      <c r="BB29" s="73">
        <f>'[6]CB-17'!BJ42</f>
        <v>0</v>
      </c>
      <c r="BC29" s="73">
        <f>'[6]CB-17'!BK42</f>
        <v>0</v>
      </c>
      <c r="BD29" s="73">
        <f>'[6]CB-17'!BL42</f>
        <v>0</v>
      </c>
      <c r="BE29" s="73">
        <f>'[6]CB-17'!BM42</f>
        <v>0</v>
      </c>
      <c r="BF29" s="73">
        <f>'[6]CB-17'!BN42</f>
        <v>0</v>
      </c>
      <c r="BG29" s="73">
        <f>'[6]CB-17'!BO42</f>
        <v>0</v>
      </c>
      <c r="BH29" s="73">
        <f>'[6]CB-17'!BP42</f>
        <v>0</v>
      </c>
      <c r="BI29" s="73">
        <f>'[6]CB-17'!BQ42</f>
        <v>0</v>
      </c>
      <c r="BJ29" s="73">
        <f>'[6]CB-17'!BR42</f>
        <v>0</v>
      </c>
      <c r="BK29" s="73">
        <f>'[6]CB-17'!BS42</f>
        <v>0</v>
      </c>
      <c r="BL29" s="73">
        <f>'[6]CB-17'!BT42</f>
        <v>0</v>
      </c>
      <c r="BM29" s="73">
        <f>'[6]CB-17'!BU42</f>
        <v>0</v>
      </c>
      <c r="BN29" s="73">
        <f>'[6]CB-17'!BV42</f>
        <v>0</v>
      </c>
      <c r="BO29" s="73">
        <f>'[6]CB-17'!BW42</f>
        <v>0</v>
      </c>
      <c r="BP29" s="64">
        <f>'[6]CB-17'!BX42</f>
        <v>0</v>
      </c>
    </row>
    <row r="30" spans="1:68" x14ac:dyDescent="0.35">
      <c r="A30" s="13">
        <v>27</v>
      </c>
      <c r="B30" s="62">
        <f>'[6]CB-18'!$C$8</f>
        <v>0</v>
      </c>
      <c r="C30" s="72">
        <f>'[6]CB-18'!AG80</f>
        <v>0</v>
      </c>
      <c r="D30" s="72">
        <f>'[6]CB-18'!AH80</f>
        <v>0</v>
      </c>
      <c r="E30" s="72">
        <f>'[6]CB-18'!AI80</f>
        <v>0</v>
      </c>
      <c r="F30" s="72">
        <f>'[6]CB-18'!AJ80</f>
        <v>0</v>
      </c>
      <c r="G30" s="72">
        <f>'[6]CB-18'!AK80</f>
        <v>0</v>
      </c>
      <c r="H30" s="72">
        <f>'[6]CB-18'!AL80</f>
        <v>0</v>
      </c>
      <c r="I30" s="72">
        <f>'[6]CB-18'!AM80</f>
        <v>0</v>
      </c>
      <c r="J30" s="72">
        <f>'[6]CB-18'!AN80</f>
        <v>0</v>
      </c>
      <c r="K30" s="72">
        <f>'[6]CB-18'!AO80</f>
        <v>0</v>
      </c>
      <c r="L30" s="72">
        <f>'[6]CB-18'!AP80</f>
        <v>0</v>
      </c>
      <c r="M30" s="72">
        <f>'[6]CB-18'!AQ80</f>
        <v>0</v>
      </c>
      <c r="N30" s="72">
        <f>'[6]CB-18'!AR80</f>
        <v>0</v>
      </c>
      <c r="O30" s="72">
        <f>'[6]CB-18'!AS80</f>
        <v>0</v>
      </c>
      <c r="P30" s="72">
        <f>'[6]CB-18'!AT80</f>
        <v>0</v>
      </c>
      <c r="Q30" s="72">
        <f>'[6]CB-18'!AU80</f>
        <v>0</v>
      </c>
      <c r="R30" s="72">
        <f>'[6]CB-18'!AV80</f>
        <v>0</v>
      </c>
      <c r="S30" s="72">
        <f>'[6]CB-18'!AW80</f>
        <v>0</v>
      </c>
      <c r="T30" s="72">
        <f>'[6]CB-18'!AX80</f>
        <v>0</v>
      </c>
      <c r="U30" s="72">
        <f>'[6]CB-18'!AY80</f>
        <v>0</v>
      </c>
      <c r="V30" s="72">
        <f>'[6]CB-18'!AZ80</f>
        <v>0</v>
      </c>
      <c r="W30" s="72">
        <f>'[6]CB-18'!BA80</f>
        <v>0</v>
      </c>
      <c r="X30" s="68">
        <f>'[6]CB-18'!BB80</f>
        <v>0</v>
      </c>
      <c r="Y30" s="74">
        <f>'[6]CB-18'!AG42</f>
        <v>0</v>
      </c>
      <c r="Z30" s="74">
        <f>'[6]CB-18'!AH42</f>
        <v>0</v>
      </c>
      <c r="AA30" s="74">
        <f>'[6]CB-18'!AI42</f>
        <v>0</v>
      </c>
      <c r="AB30" s="74">
        <f>'[6]CB-18'!AJ42</f>
        <v>0</v>
      </c>
      <c r="AC30" s="74">
        <f>'[6]CB-18'!AK42</f>
        <v>0</v>
      </c>
      <c r="AD30" s="74">
        <f>'[6]CB-18'!AL42</f>
        <v>0</v>
      </c>
      <c r="AE30" s="74">
        <f>'[6]CB-18'!AM42</f>
        <v>0</v>
      </c>
      <c r="AF30" s="74">
        <f>'[6]CB-18'!AN42</f>
        <v>0</v>
      </c>
      <c r="AG30" s="74">
        <f>'[6]CB-18'!AO42</f>
        <v>0</v>
      </c>
      <c r="AH30" s="74">
        <f>'[6]CB-18'!AP42</f>
        <v>0</v>
      </c>
      <c r="AI30" s="74">
        <f>'[6]CB-18'!AQ42</f>
        <v>0</v>
      </c>
      <c r="AJ30" s="74">
        <f>'[6]CB-18'!AR42</f>
        <v>0</v>
      </c>
      <c r="AK30" s="74">
        <f>'[6]CB-18'!AS42</f>
        <v>0</v>
      </c>
      <c r="AL30" s="74">
        <f>'[6]CB-18'!AT42</f>
        <v>0</v>
      </c>
      <c r="AM30" s="74">
        <f>'[6]CB-18'!AU42</f>
        <v>0</v>
      </c>
      <c r="AN30" s="74">
        <f>'[6]CB-18'!AV42</f>
        <v>0</v>
      </c>
      <c r="AO30" s="74">
        <f>'[6]CB-18'!AW42</f>
        <v>0</v>
      </c>
      <c r="AP30" s="74">
        <f>'[6]CB-18'!AX42</f>
        <v>0</v>
      </c>
      <c r="AQ30" s="74">
        <f>'[6]CB-18'!AY42</f>
        <v>0</v>
      </c>
      <c r="AR30" s="74">
        <f>'[6]CB-18'!AZ42</f>
        <v>0</v>
      </c>
      <c r="AS30" s="74">
        <f>'[6]CB-18'!BA42</f>
        <v>0</v>
      </c>
      <c r="AT30" s="63">
        <f>'[6]CB-18'!BB42</f>
        <v>0</v>
      </c>
      <c r="AU30" s="73">
        <f>'[6]CB-18'!BC42</f>
        <v>0</v>
      </c>
      <c r="AV30" s="73">
        <f>'[6]CB-18'!BD42</f>
        <v>0</v>
      </c>
      <c r="AW30" s="73">
        <f>'[6]CB-18'!BE42</f>
        <v>0</v>
      </c>
      <c r="AX30" s="73">
        <f>'[6]CB-18'!BF42</f>
        <v>0</v>
      </c>
      <c r="AY30" s="73">
        <f>'[6]CB-18'!BG42</f>
        <v>0</v>
      </c>
      <c r="AZ30" s="73">
        <f>'[6]CB-18'!BH42</f>
        <v>0</v>
      </c>
      <c r="BA30" s="73">
        <f>'[6]CB-18'!BI42</f>
        <v>0</v>
      </c>
      <c r="BB30" s="73">
        <f>'[6]CB-18'!BJ42</f>
        <v>0</v>
      </c>
      <c r="BC30" s="73">
        <f>'[6]CB-18'!BK42</f>
        <v>0</v>
      </c>
      <c r="BD30" s="73">
        <f>'[6]CB-18'!BL42</f>
        <v>0</v>
      </c>
      <c r="BE30" s="73">
        <f>'[6]CB-18'!BM42</f>
        <v>0</v>
      </c>
      <c r="BF30" s="73">
        <f>'[6]CB-18'!BN42</f>
        <v>0</v>
      </c>
      <c r="BG30" s="73">
        <f>'[6]CB-18'!BO42</f>
        <v>0</v>
      </c>
      <c r="BH30" s="73">
        <f>'[6]CB-18'!BP42</f>
        <v>0</v>
      </c>
      <c r="BI30" s="73">
        <f>'[6]CB-18'!BQ42</f>
        <v>0</v>
      </c>
      <c r="BJ30" s="73">
        <f>'[6]CB-18'!BR42</f>
        <v>0</v>
      </c>
      <c r="BK30" s="73">
        <f>'[6]CB-18'!BS42</f>
        <v>0</v>
      </c>
      <c r="BL30" s="73">
        <f>'[6]CB-18'!BT42</f>
        <v>0</v>
      </c>
      <c r="BM30" s="73">
        <f>'[6]CB-18'!BU42</f>
        <v>0</v>
      </c>
      <c r="BN30" s="73">
        <f>'[6]CB-18'!BV42</f>
        <v>0</v>
      </c>
      <c r="BO30" s="73">
        <f>'[6]CB-18'!BW42</f>
        <v>0</v>
      </c>
      <c r="BP30" s="64">
        <f>'[6]CB-18'!BX42</f>
        <v>0</v>
      </c>
    </row>
    <row r="31" spans="1:68" x14ac:dyDescent="0.35">
      <c r="A31" s="13">
        <v>28</v>
      </c>
      <c r="B31" s="62">
        <f>'[6]CB-19'!$C$8</f>
        <v>0</v>
      </c>
      <c r="C31" s="72">
        <f>'[6]CB-19'!AG80</f>
        <v>0</v>
      </c>
      <c r="D31" s="72">
        <f>'[6]CB-19'!AH80</f>
        <v>0</v>
      </c>
      <c r="E31" s="72">
        <f>'[6]CB-19'!AI80</f>
        <v>0</v>
      </c>
      <c r="F31" s="72">
        <f>'[6]CB-19'!AJ80</f>
        <v>0</v>
      </c>
      <c r="G31" s="72">
        <f>'[6]CB-19'!AK80</f>
        <v>0</v>
      </c>
      <c r="H31" s="72">
        <f>'[6]CB-19'!AL80</f>
        <v>0</v>
      </c>
      <c r="I31" s="72">
        <f>'[6]CB-19'!AM80</f>
        <v>0</v>
      </c>
      <c r="J31" s="72">
        <f>'[6]CB-19'!AN80</f>
        <v>0</v>
      </c>
      <c r="K31" s="72">
        <f>'[6]CB-19'!AO80</f>
        <v>0</v>
      </c>
      <c r="L31" s="72">
        <f>'[6]CB-19'!AP80</f>
        <v>0</v>
      </c>
      <c r="M31" s="72">
        <f>'[6]CB-19'!AQ80</f>
        <v>0</v>
      </c>
      <c r="N31" s="72">
        <f>'[6]CB-19'!AR80</f>
        <v>0</v>
      </c>
      <c r="O31" s="72">
        <f>'[6]CB-19'!AS80</f>
        <v>0</v>
      </c>
      <c r="P31" s="72">
        <f>'[6]CB-19'!AT80</f>
        <v>0</v>
      </c>
      <c r="Q31" s="72">
        <f>'[6]CB-19'!AU80</f>
        <v>0</v>
      </c>
      <c r="R31" s="72">
        <f>'[6]CB-19'!AV80</f>
        <v>0</v>
      </c>
      <c r="S31" s="72">
        <f>'[6]CB-19'!AW80</f>
        <v>0</v>
      </c>
      <c r="T31" s="72">
        <f>'[6]CB-19'!AX80</f>
        <v>0</v>
      </c>
      <c r="U31" s="72">
        <f>'[6]CB-19'!AY80</f>
        <v>0</v>
      </c>
      <c r="V31" s="72">
        <f>'[6]CB-19'!AZ80</f>
        <v>0</v>
      </c>
      <c r="W31" s="72">
        <f>'[6]CB-19'!BA80</f>
        <v>0</v>
      </c>
      <c r="X31" s="68">
        <f>'[6]CB-19'!BB80</f>
        <v>0</v>
      </c>
      <c r="Y31" s="74">
        <f>'[6]CB-19'!AG42</f>
        <v>0</v>
      </c>
      <c r="Z31" s="74">
        <f>'[6]CB-19'!AH42</f>
        <v>0</v>
      </c>
      <c r="AA31" s="74">
        <f>'[6]CB-19'!AI42</f>
        <v>0</v>
      </c>
      <c r="AB31" s="74">
        <f>'[6]CB-19'!AJ42</f>
        <v>0</v>
      </c>
      <c r="AC31" s="74">
        <f>'[6]CB-19'!AK42</f>
        <v>0</v>
      </c>
      <c r="AD31" s="74">
        <f>'[6]CB-19'!AL42</f>
        <v>0</v>
      </c>
      <c r="AE31" s="74">
        <f>'[6]CB-19'!AM42</f>
        <v>0</v>
      </c>
      <c r="AF31" s="74">
        <f>'[6]CB-19'!AN42</f>
        <v>0</v>
      </c>
      <c r="AG31" s="74">
        <f>'[6]CB-19'!AO42</f>
        <v>0</v>
      </c>
      <c r="AH31" s="74">
        <f>'[6]CB-19'!AP42</f>
        <v>0</v>
      </c>
      <c r="AI31" s="74">
        <f>'[6]CB-19'!AQ42</f>
        <v>0</v>
      </c>
      <c r="AJ31" s="74">
        <f>'[6]CB-19'!AR42</f>
        <v>0</v>
      </c>
      <c r="AK31" s="74">
        <f>'[6]CB-19'!AS42</f>
        <v>0</v>
      </c>
      <c r="AL31" s="74">
        <f>'[6]CB-19'!AT42</f>
        <v>0</v>
      </c>
      <c r="AM31" s="74">
        <f>'[6]CB-19'!AU42</f>
        <v>0</v>
      </c>
      <c r="AN31" s="74">
        <f>'[6]CB-19'!AV42</f>
        <v>0</v>
      </c>
      <c r="AO31" s="74">
        <f>'[6]CB-19'!AW42</f>
        <v>0</v>
      </c>
      <c r="AP31" s="74">
        <f>'[6]CB-19'!AX42</f>
        <v>0</v>
      </c>
      <c r="AQ31" s="74">
        <f>'[6]CB-19'!AY42</f>
        <v>0</v>
      </c>
      <c r="AR31" s="74">
        <f>'[6]CB-19'!AZ42</f>
        <v>0</v>
      </c>
      <c r="AS31" s="74">
        <f>'[6]CB-19'!BA42</f>
        <v>0</v>
      </c>
      <c r="AT31" s="63">
        <f>'[6]CB-19'!BB42</f>
        <v>0</v>
      </c>
      <c r="AU31" s="73">
        <f>'[6]CB-19'!BC42</f>
        <v>0</v>
      </c>
      <c r="AV31" s="73">
        <f>'[6]CB-19'!BD42</f>
        <v>0</v>
      </c>
      <c r="AW31" s="73">
        <f>'[6]CB-19'!BE42</f>
        <v>0</v>
      </c>
      <c r="AX31" s="73">
        <f>'[6]CB-19'!BF42</f>
        <v>0</v>
      </c>
      <c r="AY31" s="73">
        <f>'[6]CB-19'!BG42</f>
        <v>0</v>
      </c>
      <c r="AZ31" s="73">
        <f>'[6]CB-19'!BH42</f>
        <v>0</v>
      </c>
      <c r="BA31" s="73">
        <f>'[6]CB-19'!BI42</f>
        <v>0</v>
      </c>
      <c r="BB31" s="73">
        <f>'[6]CB-19'!BJ42</f>
        <v>0</v>
      </c>
      <c r="BC31" s="73">
        <f>'[6]CB-19'!BK42</f>
        <v>0</v>
      </c>
      <c r="BD31" s="73">
        <f>'[6]CB-19'!BL42</f>
        <v>0</v>
      </c>
      <c r="BE31" s="73">
        <f>'[6]CB-19'!BM42</f>
        <v>0</v>
      </c>
      <c r="BF31" s="73">
        <f>'[6]CB-19'!BN42</f>
        <v>0</v>
      </c>
      <c r="BG31" s="73">
        <f>'[6]CB-19'!BO42</f>
        <v>0</v>
      </c>
      <c r="BH31" s="73">
        <f>'[6]CB-19'!BP42</f>
        <v>0</v>
      </c>
      <c r="BI31" s="73">
        <f>'[6]CB-19'!BQ42</f>
        <v>0</v>
      </c>
      <c r="BJ31" s="73">
        <f>'[6]CB-19'!BR42</f>
        <v>0</v>
      </c>
      <c r="BK31" s="73">
        <f>'[6]CB-19'!BS42</f>
        <v>0</v>
      </c>
      <c r="BL31" s="73">
        <f>'[6]CB-19'!BT42</f>
        <v>0</v>
      </c>
      <c r="BM31" s="73">
        <f>'[6]CB-19'!BU42</f>
        <v>0</v>
      </c>
      <c r="BN31" s="73">
        <f>'[6]CB-19'!BV42</f>
        <v>0</v>
      </c>
      <c r="BO31" s="73">
        <f>'[6]CB-19'!BW42</f>
        <v>0</v>
      </c>
      <c r="BP31" s="64">
        <f>'[6]CB-19'!BX42</f>
        <v>0</v>
      </c>
    </row>
    <row r="32" spans="1:68" x14ac:dyDescent="0.35">
      <c r="A32" s="13">
        <v>29</v>
      </c>
      <c r="B32" s="62">
        <f>'[6]CB-20'!$C$8</f>
        <v>0</v>
      </c>
      <c r="C32" s="72">
        <f>'[6]CB-20'!AG80</f>
        <v>0</v>
      </c>
      <c r="D32" s="72">
        <f>'[6]CB-20'!AH80</f>
        <v>0</v>
      </c>
      <c r="E32" s="72">
        <f>'[6]CB-20'!AI80</f>
        <v>0</v>
      </c>
      <c r="F32" s="72">
        <f>'[6]CB-20'!AJ80</f>
        <v>0</v>
      </c>
      <c r="G32" s="72">
        <f>'[6]CB-20'!AK80</f>
        <v>0</v>
      </c>
      <c r="H32" s="72">
        <f>'[6]CB-20'!AL80</f>
        <v>0</v>
      </c>
      <c r="I32" s="72">
        <f>'[6]CB-20'!AM80</f>
        <v>0</v>
      </c>
      <c r="J32" s="72">
        <f>'[6]CB-20'!AN80</f>
        <v>0</v>
      </c>
      <c r="K32" s="72">
        <f>'[6]CB-20'!AO80</f>
        <v>0</v>
      </c>
      <c r="L32" s="72">
        <f>'[6]CB-20'!AP80</f>
        <v>0</v>
      </c>
      <c r="M32" s="72">
        <f>'[6]CB-20'!AQ80</f>
        <v>0</v>
      </c>
      <c r="N32" s="72">
        <f>'[6]CB-20'!AR80</f>
        <v>0</v>
      </c>
      <c r="O32" s="72">
        <f>'[6]CB-20'!AS80</f>
        <v>0</v>
      </c>
      <c r="P32" s="72">
        <f>'[6]CB-20'!AT80</f>
        <v>0</v>
      </c>
      <c r="Q32" s="72">
        <f>'[6]CB-20'!AU80</f>
        <v>0</v>
      </c>
      <c r="R32" s="72">
        <f>'[6]CB-20'!AV80</f>
        <v>0</v>
      </c>
      <c r="S32" s="72">
        <f>'[6]CB-20'!AW80</f>
        <v>0</v>
      </c>
      <c r="T32" s="72">
        <f>'[6]CB-20'!AX80</f>
        <v>0</v>
      </c>
      <c r="U32" s="72">
        <f>'[6]CB-20'!AY80</f>
        <v>0</v>
      </c>
      <c r="V32" s="72">
        <f>'[6]CB-20'!AZ80</f>
        <v>0</v>
      </c>
      <c r="W32" s="72">
        <f>'[6]CB-20'!BA80</f>
        <v>0</v>
      </c>
      <c r="X32" s="68">
        <f>'[6]CB-20'!BB80</f>
        <v>0</v>
      </c>
      <c r="Y32" s="74">
        <f>'[6]CB-20'!AG42</f>
        <v>0</v>
      </c>
      <c r="Z32" s="74">
        <f>'[6]CB-20'!AH42</f>
        <v>0</v>
      </c>
      <c r="AA32" s="74">
        <f>'[6]CB-20'!AI42</f>
        <v>0</v>
      </c>
      <c r="AB32" s="74">
        <f>'[6]CB-20'!AJ42</f>
        <v>0</v>
      </c>
      <c r="AC32" s="74">
        <f>'[6]CB-20'!AK42</f>
        <v>0</v>
      </c>
      <c r="AD32" s="74">
        <f>'[6]CB-20'!AL42</f>
        <v>0</v>
      </c>
      <c r="AE32" s="74">
        <f>'[6]CB-20'!AM42</f>
        <v>0</v>
      </c>
      <c r="AF32" s="74">
        <f>'[6]CB-20'!AN42</f>
        <v>0</v>
      </c>
      <c r="AG32" s="74">
        <f>'[6]CB-20'!AO42</f>
        <v>0</v>
      </c>
      <c r="AH32" s="74">
        <f>'[6]CB-20'!AP42</f>
        <v>0</v>
      </c>
      <c r="AI32" s="74">
        <f>'[6]CB-20'!AQ42</f>
        <v>0</v>
      </c>
      <c r="AJ32" s="74">
        <f>'[6]CB-20'!AR42</f>
        <v>0</v>
      </c>
      <c r="AK32" s="74">
        <f>'[6]CB-20'!AS42</f>
        <v>0</v>
      </c>
      <c r="AL32" s="74">
        <f>'[6]CB-20'!AT42</f>
        <v>0</v>
      </c>
      <c r="AM32" s="74">
        <f>'[6]CB-20'!AU42</f>
        <v>0</v>
      </c>
      <c r="AN32" s="74">
        <f>'[6]CB-20'!AV42</f>
        <v>0</v>
      </c>
      <c r="AO32" s="74">
        <f>'[6]CB-20'!AW42</f>
        <v>0</v>
      </c>
      <c r="AP32" s="74">
        <f>'[6]CB-20'!AX42</f>
        <v>0</v>
      </c>
      <c r="AQ32" s="74">
        <f>'[6]CB-20'!AY42</f>
        <v>0</v>
      </c>
      <c r="AR32" s="74">
        <f>'[6]CB-20'!AZ42</f>
        <v>0</v>
      </c>
      <c r="AS32" s="74">
        <f>'[6]CB-20'!BA42</f>
        <v>0</v>
      </c>
      <c r="AT32" s="63">
        <f>'[6]CB-20'!BB42</f>
        <v>0</v>
      </c>
      <c r="AU32" s="73">
        <f>'[6]CB-20'!BC42</f>
        <v>0</v>
      </c>
      <c r="AV32" s="73">
        <f>'[6]CB-20'!BD42</f>
        <v>0</v>
      </c>
      <c r="AW32" s="73">
        <f>'[6]CB-20'!BE42</f>
        <v>0</v>
      </c>
      <c r="AX32" s="73">
        <f>'[6]CB-20'!BF42</f>
        <v>0</v>
      </c>
      <c r="AY32" s="73">
        <f>'[6]CB-20'!BG42</f>
        <v>0</v>
      </c>
      <c r="AZ32" s="73">
        <f>'[6]CB-20'!BH42</f>
        <v>0</v>
      </c>
      <c r="BA32" s="73">
        <f>'[6]CB-20'!BI42</f>
        <v>0</v>
      </c>
      <c r="BB32" s="73">
        <f>'[6]CB-20'!BJ42</f>
        <v>0</v>
      </c>
      <c r="BC32" s="73">
        <f>'[6]CB-20'!BK42</f>
        <v>0</v>
      </c>
      <c r="BD32" s="73">
        <f>'[6]CB-20'!BL42</f>
        <v>0</v>
      </c>
      <c r="BE32" s="73">
        <f>'[6]CB-20'!BM42</f>
        <v>0</v>
      </c>
      <c r="BF32" s="73">
        <f>'[6]CB-20'!BN42</f>
        <v>0</v>
      </c>
      <c r="BG32" s="73">
        <f>'[6]CB-20'!BO42</f>
        <v>0</v>
      </c>
      <c r="BH32" s="73">
        <f>'[6]CB-20'!BP42</f>
        <v>0</v>
      </c>
      <c r="BI32" s="73">
        <f>'[6]CB-20'!BQ42</f>
        <v>0</v>
      </c>
      <c r="BJ32" s="73">
        <f>'[6]CB-20'!BR42</f>
        <v>0</v>
      </c>
      <c r="BK32" s="73">
        <f>'[6]CB-20'!BS42</f>
        <v>0</v>
      </c>
      <c r="BL32" s="73">
        <f>'[6]CB-20'!BT42</f>
        <v>0</v>
      </c>
      <c r="BM32" s="73">
        <f>'[6]CB-20'!BU42</f>
        <v>0</v>
      </c>
      <c r="BN32" s="73">
        <f>'[6]CB-20'!BV42</f>
        <v>0</v>
      </c>
      <c r="BO32" s="73">
        <f>'[6]CB-20'!BW42</f>
        <v>0</v>
      </c>
      <c r="BP32" s="64">
        <f>'[6]CB-20'!BX42</f>
        <v>0</v>
      </c>
    </row>
    <row r="33" spans="1:68" x14ac:dyDescent="0.35">
      <c r="A33" s="13">
        <v>30</v>
      </c>
      <c r="B33" s="62">
        <f>'[6]CB-21'!$C$8</f>
        <v>0</v>
      </c>
      <c r="C33" s="72">
        <f>'[6]CB-21'!AG80</f>
        <v>0</v>
      </c>
      <c r="D33" s="72">
        <f>'[6]CB-21'!AH80</f>
        <v>0</v>
      </c>
      <c r="E33" s="72">
        <f>'[6]CB-21'!AI80</f>
        <v>0</v>
      </c>
      <c r="F33" s="72">
        <f>'[6]CB-21'!AJ80</f>
        <v>0</v>
      </c>
      <c r="G33" s="72">
        <f>'[6]CB-21'!AK80</f>
        <v>0</v>
      </c>
      <c r="H33" s="72">
        <f>'[6]CB-21'!AL80</f>
        <v>0</v>
      </c>
      <c r="I33" s="72">
        <f>'[6]CB-21'!AM80</f>
        <v>0</v>
      </c>
      <c r="J33" s="72">
        <f>'[6]CB-21'!AN80</f>
        <v>0</v>
      </c>
      <c r="K33" s="72">
        <f>'[6]CB-21'!AO80</f>
        <v>0</v>
      </c>
      <c r="L33" s="72">
        <f>'[6]CB-21'!AP80</f>
        <v>0</v>
      </c>
      <c r="M33" s="72">
        <f>'[6]CB-21'!AQ80</f>
        <v>0</v>
      </c>
      <c r="N33" s="72">
        <f>'[6]CB-21'!AR80</f>
        <v>0</v>
      </c>
      <c r="O33" s="72">
        <f>'[6]CB-21'!AS80</f>
        <v>0</v>
      </c>
      <c r="P33" s="72">
        <f>'[6]CB-21'!AT80</f>
        <v>0</v>
      </c>
      <c r="Q33" s="72">
        <f>'[6]CB-21'!AU80</f>
        <v>0</v>
      </c>
      <c r="R33" s="72">
        <f>'[6]CB-21'!AV80</f>
        <v>0</v>
      </c>
      <c r="S33" s="72">
        <f>'[6]CB-21'!AW80</f>
        <v>0</v>
      </c>
      <c r="T33" s="72">
        <f>'[6]CB-21'!AX80</f>
        <v>0</v>
      </c>
      <c r="U33" s="72">
        <f>'[6]CB-21'!AY80</f>
        <v>0</v>
      </c>
      <c r="V33" s="72">
        <f>'[6]CB-21'!AZ80</f>
        <v>0</v>
      </c>
      <c r="W33" s="72">
        <f>'[6]CB-21'!BA80</f>
        <v>0</v>
      </c>
      <c r="X33" s="68">
        <f>'[6]CB-21'!BB80</f>
        <v>0</v>
      </c>
      <c r="Y33" s="74">
        <f>'[6]CB-21'!AG42</f>
        <v>0</v>
      </c>
      <c r="Z33" s="74">
        <f>'[6]CB-21'!AH42</f>
        <v>0</v>
      </c>
      <c r="AA33" s="74">
        <f>'[6]CB-21'!AI42</f>
        <v>0</v>
      </c>
      <c r="AB33" s="74">
        <f>'[6]CB-21'!AJ42</f>
        <v>0</v>
      </c>
      <c r="AC33" s="74">
        <f>'[6]CB-21'!AK42</f>
        <v>0</v>
      </c>
      <c r="AD33" s="74">
        <f>'[6]CB-21'!AL42</f>
        <v>0</v>
      </c>
      <c r="AE33" s="74">
        <f>'[6]CB-21'!AM42</f>
        <v>0</v>
      </c>
      <c r="AF33" s="74">
        <f>'[6]CB-21'!AN42</f>
        <v>0</v>
      </c>
      <c r="AG33" s="74">
        <f>'[6]CB-21'!AO42</f>
        <v>0</v>
      </c>
      <c r="AH33" s="74">
        <f>'[6]CB-21'!AP42</f>
        <v>0</v>
      </c>
      <c r="AI33" s="74">
        <f>'[6]CB-21'!AQ42</f>
        <v>0</v>
      </c>
      <c r="AJ33" s="74">
        <f>'[6]CB-21'!AR42</f>
        <v>0</v>
      </c>
      <c r="AK33" s="74">
        <f>'[6]CB-21'!AS42</f>
        <v>0</v>
      </c>
      <c r="AL33" s="74">
        <f>'[6]CB-21'!AT42</f>
        <v>0</v>
      </c>
      <c r="AM33" s="74">
        <f>'[6]CB-21'!AU42</f>
        <v>0</v>
      </c>
      <c r="AN33" s="74">
        <f>'[6]CB-21'!AV42</f>
        <v>0</v>
      </c>
      <c r="AO33" s="74">
        <f>'[6]CB-21'!AW42</f>
        <v>0</v>
      </c>
      <c r="AP33" s="74">
        <f>'[6]CB-21'!AX42</f>
        <v>0</v>
      </c>
      <c r="AQ33" s="74">
        <f>'[6]CB-21'!AY42</f>
        <v>0</v>
      </c>
      <c r="AR33" s="74">
        <f>'[6]CB-21'!AZ42</f>
        <v>0</v>
      </c>
      <c r="AS33" s="74">
        <f>'[6]CB-21'!BA42</f>
        <v>0</v>
      </c>
      <c r="AT33" s="63">
        <f>'[6]CB-21'!BB42</f>
        <v>0</v>
      </c>
      <c r="AU33" s="73">
        <f>'[6]CB-21'!BC42</f>
        <v>0</v>
      </c>
      <c r="AV33" s="73">
        <f>'[6]CB-21'!BD42</f>
        <v>0</v>
      </c>
      <c r="AW33" s="73">
        <f>'[6]CB-21'!BE42</f>
        <v>0</v>
      </c>
      <c r="AX33" s="73">
        <f>'[6]CB-21'!BF42</f>
        <v>0</v>
      </c>
      <c r="AY33" s="73">
        <f>'[6]CB-21'!BG42</f>
        <v>0</v>
      </c>
      <c r="AZ33" s="73">
        <f>'[6]CB-21'!BH42</f>
        <v>0</v>
      </c>
      <c r="BA33" s="73">
        <f>'[6]CB-21'!BI42</f>
        <v>0</v>
      </c>
      <c r="BB33" s="73">
        <f>'[6]CB-21'!BJ42</f>
        <v>0</v>
      </c>
      <c r="BC33" s="73">
        <f>'[6]CB-21'!BK42</f>
        <v>0</v>
      </c>
      <c r="BD33" s="73">
        <f>'[6]CB-21'!BL42</f>
        <v>0</v>
      </c>
      <c r="BE33" s="73">
        <f>'[6]CB-21'!BM42</f>
        <v>0</v>
      </c>
      <c r="BF33" s="73">
        <f>'[6]CB-21'!BN42</f>
        <v>0</v>
      </c>
      <c r="BG33" s="73">
        <f>'[6]CB-21'!BO42</f>
        <v>0</v>
      </c>
      <c r="BH33" s="73">
        <f>'[6]CB-21'!BP42</f>
        <v>0</v>
      </c>
      <c r="BI33" s="73">
        <f>'[6]CB-21'!BQ42</f>
        <v>0</v>
      </c>
      <c r="BJ33" s="73">
        <f>'[6]CB-21'!BR42</f>
        <v>0</v>
      </c>
      <c r="BK33" s="73">
        <f>'[6]CB-21'!BS42</f>
        <v>0</v>
      </c>
      <c r="BL33" s="73">
        <f>'[6]CB-21'!BT42</f>
        <v>0</v>
      </c>
      <c r="BM33" s="73">
        <f>'[6]CB-21'!BU42</f>
        <v>0</v>
      </c>
      <c r="BN33" s="73">
        <f>'[6]CB-21'!BV42</f>
        <v>0</v>
      </c>
      <c r="BO33" s="73">
        <f>'[6]CB-21'!BW42</f>
        <v>0</v>
      </c>
      <c r="BP33" s="64">
        <f>'[6]CB-21'!BX42</f>
        <v>0</v>
      </c>
    </row>
    <row r="34" spans="1:68" x14ac:dyDescent="0.35">
      <c r="A34" s="13">
        <v>31</v>
      </c>
      <c r="B34" s="62">
        <f>'[6]CB-22'!$C$8</f>
        <v>0</v>
      </c>
      <c r="C34" s="72">
        <f>'[6]CB-22'!AG80</f>
        <v>0</v>
      </c>
      <c r="D34" s="72">
        <f>'[6]CB-22'!AH80</f>
        <v>0</v>
      </c>
      <c r="E34" s="72">
        <f>'[6]CB-22'!AI80</f>
        <v>0</v>
      </c>
      <c r="F34" s="72">
        <f>'[6]CB-22'!AJ80</f>
        <v>0</v>
      </c>
      <c r="G34" s="72">
        <f>'[6]CB-22'!AK80</f>
        <v>0</v>
      </c>
      <c r="H34" s="72">
        <f>'[6]CB-22'!AL80</f>
        <v>0</v>
      </c>
      <c r="I34" s="72">
        <f>'[6]CB-22'!AM80</f>
        <v>0</v>
      </c>
      <c r="J34" s="72">
        <f>'[6]CB-22'!AN80</f>
        <v>0</v>
      </c>
      <c r="K34" s="72">
        <f>'[6]CB-22'!AO80</f>
        <v>0</v>
      </c>
      <c r="L34" s="72">
        <f>'[6]CB-22'!AP80</f>
        <v>0</v>
      </c>
      <c r="M34" s="72">
        <f>'[6]CB-22'!AQ80</f>
        <v>0</v>
      </c>
      <c r="N34" s="72">
        <f>'[6]CB-22'!AR80</f>
        <v>0</v>
      </c>
      <c r="O34" s="72">
        <f>'[6]CB-22'!AS80</f>
        <v>0</v>
      </c>
      <c r="P34" s="72">
        <f>'[6]CB-22'!AT80</f>
        <v>0</v>
      </c>
      <c r="Q34" s="72">
        <f>'[6]CB-22'!AU80</f>
        <v>0</v>
      </c>
      <c r="R34" s="72">
        <f>'[6]CB-22'!AV80</f>
        <v>0</v>
      </c>
      <c r="S34" s="72">
        <f>'[6]CB-22'!AW80</f>
        <v>0</v>
      </c>
      <c r="T34" s="72">
        <f>'[6]CB-22'!AX80</f>
        <v>0</v>
      </c>
      <c r="U34" s="72">
        <f>'[6]CB-22'!AY80</f>
        <v>0</v>
      </c>
      <c r="V34" s="72">
        <f>'[6]CB-22'!AZ80</f>
        <v>0</v>
      </c>
      <c r="W34" s="72">
        <f>'[6]CB-22'!BA80</f>
        <v>0</v>
      </c>
      <c r="X34" s="68">
        <f>'[6]CB-22'!BB80</f>
        <v>0</v>
      </c>
      <c r="Y34" s="74">
        <f>'[6]CB-22'!AG42</f>
        <v>0</v>
      </c>
      <c r="Z34" s="74">
        <f>'[6]CB-22'!AH42</f>
        <v>0</v>
      </c>
      <c r="AA34" s="74">
        <f>'[6]CB-22'!AI42</f>
        <v>0</v>
      </c>
      <c r="AB34" s="74">
        <f>'[6]CB-22'!AJ42</f>
        <v>0</v>
      </c>
      <c r="AC34" s="74">
        <f>'[6]CB-22'!AK42</f>
        <v>0</v>
      </c>
      <c r="AD34" s="74">
        <f>'[6]CB-22'!AL42</f>
        <v>0</v>
      </c>
      <c r="AE34" s="74">
        <f>'[6]CB-22'!AM42</f>
        <v>0</v>
      </c>
      <c r="AF34" s="74">
        <f>'[6]CB-22'!AN42</f>
        <v>0</v>
      </c>
      <c r="AG34" s="74">
        <f>'[6]CB-22'!AO42</f>
        <v>0</v>
      </c>
      <c r="AH34" s="74">
        <f>'[6]CB-22'!AP42</f>
        <v>0</v>
      </c>
      <c r="AI34" s="74">
        <f>'[6]CB-22'!AQ42</f>
        <v>0</v>
      </c>
      <c r="AJ34" s="74">
        <f>'[6]CB-22'!AR42</f>
        <v>0</v>
      </c>
      <c r="AK34" s="74">
        <f>'[6]CB-22'!AS42</f>
        <v>0</v>
      </c>
      <c r="AL34" s="74">
        <f>'[6]CB-22'!AT42</f>
        <v>0</v>
      </c>
      <c r="AM34" s="74">
        <f>'[6]CB-22'!AU42</f>
        <v>0</v>
      </c>
      <c r="AN34" s="74">
        <f>'[6]CB-22'!AV42</f>
        <v>0</v>
      </c>
      <c r="AO34" s="74">
        <f>'[6]CB-22'!AW42</f>
        <v>0</v>
      </c>
      <c r="AP34" s="74">
        <f>'[6]CB-22'!AX42</f>
        <v>0</v>
      </c>
      <c r="AQ34" s="74">
        <f>'[6]CB-22'!AY42</f>
        <v>0</v>
      </c>
      <c r="AR34" s="74">
        <f>'[6]CB-22'!AZ42</f>
        <v>0</v>
      </c>
      <c r="AS34" s="74">
        <f>'[6]CB-22'!BA42</f>
        <v>0</v>
      </c>
      <c r="AT34" s="63">
        <f>'[6]CB-22'!BB42</f>
        <v>0</v>
      </c>
      <c r="AU34" s="73">
        <f>'[6]CB-22'!BC42</f>
        <v>0</v>
      </c>
      <c r="AV34" s="73">
        <f>'[6]CB-22'!BD42</f>
        <v>0</v>
      </c>
      <c r="AW34" s="73">
        <f>'[6]CB-22'!BE42</f>
        <v>0</v>
      </c>
      <c r="AX34" s="73">
        <f>'[6]CB-22'!BF42</f>
        <v>0</v>
      </c>
      <c r="AY34" s="73">
        <f>'[6]CB-22'!BG42</f>
        <v>0</v>
      </c>
      <c r="AZ34" s="73">
        <f>'[6]CB-22'!BH42</f>
        <v>0</v>
      </c>
      <c r="BA34" s="73">
        <f>'[6]CB-22'!BI42</f>
        <v>0</v>
      </c>
      <c r="BB34" s="73">
        <f>'[6]CB-22'!BJ42</f>
        <v>0</v>
      </c>
      <c r="BC34" s="73">
        <f>'[6]CB-22'!BK42</f>
        <v>0</v>
      </c>
      <c r="BD34" s="73">
        <f>'[6]CB-22'!BL42</f>
        <v>0</v>
      </c>
      <c r="BE34" s="73">
        <f>'[6]CB-22'!BM42</f>
        <v>0</v>
      </c>
      <c r="BF34" s="73">
        <f>'[6]CB-22'!BN42</f>
        <v>0</v>
      </c>
      <c r="BG34" s="73">
        <f>'[6]CB-22'!BO42</f>
        <v>0</v>
      </c>
      <c r="BH34" s="73">
        <f>'[6]CB-22'!BP42</f>
        <v>0</v>
      </c>
      <c r="BI34" s="73">
        <f>'[6]CB-22'!BQ42</f>
        <v>0</v>
      </c>
      <c r="BJ34" s="73">
        <f>'[6]CB-22'!BR42</f>
        <v>0</v>
      </c>
      <c r="BK34" s="73">
        <f>'[6]CB-22'!BS42</f>
        <v>0</v>
      </c>
      <c r="BL34" s="73">
        <f>'[6]CB-22'!BT42</f>
        <v>0</v>
      </c>
      <c r="BM34" s="73">
        <f>'[6]CB-22'!BU42</f>
        <v>0</v>
      </c>
      <c r="BN34" s="73">
        <f>'[6]CB-22'!BV42</f>
        <v>0</v>
      </c>
      <c r="BO34" s="73">
        <f>'[6]CB-22'!BW42</f>
        <v>0</v>
      </c>
      <c r="BP34" s="64">
        <f>'[6]CB-22'!BX42</f>
        <v>0</v>
      </c>
    </row>
    <row r="35" spans="1:68" x14ac:dyDescent="0.35">
      <c r="A35" s="13">
        <v>32</v>
      </c>
      <c r="B35" s="62">
        <f>'[6]CB-23'!$C$8</f>
        <v>0</v>
      </c>
      <c r="C35" s="72">
        <f>'[6]CB-23'!AG80</f>
        <v>0</v>
      </c>
      <c r="D35" s="72">
        <f>'[6]CB-23'!AH80</f>
        <v>0</v>
      </c>
      <c r="E35" s="72">
        <f>'[6]CB-23'!AI80</f>
        <v>0</v>
      </c>
      <c r="F35" s="72">
        <f>'[6]CB-23'!AJ80</f>
        <v>0</v>
      </c>
      <c r="G35" s="72">
        <f>'[6]CB-23'!AK80</f>
        <v>0</v>
      </c>
      <c r="H35" s="72">
        <f>'[6]CB-23'!AL80</f>
        <v>0</v>
      </c>
      <c r="I35" s="72">
        <f>'[6]CB-23'!AM80</f>
        <v>0</v>
      </c>
      <c r="J35" s="72">
        <f>'[6]CB-23'!AN80</f>
        <v>0</v>
      </c>
      <c r="K35" s="72">
        <f>'[6]CB-23'!AO80</f>
        <v>0</v>
      </c>
      <c r="L35" s="72">
        <f>'[6]CB-23'!AP80</f>
        <v>0</v>
      </c>
      <c r="M35" s="72">
        <f>'[6]CB-23'!AQ80</f>
        <v>0</v>
      </c>
      <c r="N35" s="72">
        <f>'[6]CB-23'!AR80</f>
        <v>0</v>
      </c>
      <c r="O35" s="72">
        <f>'[6]CB-23'!AS80</f>
        <v>0</v>
      </c>
      <c r="P35" s="72">
        <f>'[6]CB-23'!AT80</f>
        <v>0</v>
      </c>
      <c r="Q35" s="72">
        <f>'[6]CB-23'!AU80</f>
        <v>0</v>
      </c>
      <c r="R35" s="72">
        <f>'[6]CB-23'!AV80</f>
        <v>0</v>
      </c>
      <c r="S35" s="72">
        <f>'[6]CB-23'!AW80</f>
        <v>0</v>
      </c>
      <c r="T35" s="72">
        <f>'[6]CB-23'!AX80</f>
        <v>0</v>
      </c>
      <c r="U35" s="72">
        <f>'[6]CB-23'!AY80</f>
        <v>0</v>
      </c>
      <c r="V35" s="72">
        <f>'[6]CB-23'!AZ80</f>
        <v>0</v>
      </c>
      <c r="W35" s="72">
        <f>'[6]CB-23'!BA80</f>
        <v>0</v>
      </c>
      <c r="X35" s="68">
        <f>'[6]CB-23'!BB80</f>
        <v>0</v>
      </c>
      <c r="Y35" s="74">
        <f>'[6]CB-23'!AG42</f>
        <v>0</v>
      </c>
      <c r="Z35" s="74">
        <f>'[6]CB-23'!AH42</f>
        <v>0</v>
      </c>
      <c r="AA35" s="74">
        <f>'[6]CB-23'!AI42</f>
        <v>0</v>
      </c>
      <c r="AB35" s="74">
        <f>'[6]CB-23'!AJ42</f>
        <v>0</v>
      </c>
      <c r="AC35" s="74">
        <f>'[6]CB-23'!AK42</f>
        <v>0</v>
      </c>
      <c r="AD35" s="74">
        <f>'[6]CB-23'!AL42</f>
        <v>0</v>
      </c>
      <c r="AE35" s="74">
        <f>'[6]CB-23'!AM42</f>
        <v>0</v>
      </c>
      <c r="AF35" s="74">
        <f>'[6]CB-23'!AN42</f>
        <v>0</v>
      </c>
      <c r="AG35" s="74">
        <f>'[6]CB-23'!AO42</f>
        <v>0</v>
      </c>
      <c r="AH35" s="74">
        <f>'[6]CB-23'!AP42</f>
        <v>0</v>
      </c>
      <c r="AI35" s="74">
        <f>'[6]CB-23'!AQ42</f>
        <v>0</v>
      </c>
      <c r="AJ35" s="74">
        <f>'[6]CB-23'!AR42</f>
        <v>0</v>
      </c>
      <c r="AK35" s="74">
        <f>'[6]CB-23'!AS42</f>
        <v>0</v>
      </c>
      <c r="AL35" s="74">
        <f>'[6]CB-23'!AT42</f>
        <v>0</v>
      </c>
      <c r="AM35" s="74">
        <f>'[6]CB-23'!AU42</f>
        <v>0</v>
      </c>
      <c r="AN35" s="74">
        <f>'[6]CB-23'!AV42</f>
        <v>0</v>
      </c>
      <c r="AO35" s="74">
        <f>'[6]CB-23'!AW42</f>
        <v>0</v>
      </c>
      <c r="AP35" s="74">
        <f>'[6]CB-23'!AX42</f>
        <v>0</v>
      </c>
      <c r="AQ35" s="74">
        <f>'[6]CB-23'!AY42</f>
        <v>0</v>
      </c>
      <c r="AR35" s="74">
        <f>'[6]CB-23'!AZ42</f>
        <v>0</v>
      </c>
      <c r="AS35" s="74">
        <f>'[6]CB-23'!BA42</f>
        <v>0</v>
      </c>
      <c r="AT35" s="63">
        <f>'[6]CB-23'!BB42</f>
        <v>0</v>
      </c>
      <c r="AU35" s="73">
        <f>'[6]CB-23'!BC42</f>
        <v>0</v>
      </c>
      <c r="AV35" s="73">
        <f>'[6]CB-23'!BD42</f>
        <v>0</v>
      </c>
      <c r="AW35" s="73">
        <f>'[6]CB-23'!BE42</f>
        <v>0</v>
      </c>
      <c r="AX35" s="73">
        <f>'[6]CB-23'!BF42</f>
        <v>0</v>
      </c>
      <c r="AY35" s="73">
        <f>'[6]CB-23'!BG42</f>
        <v>0</v>
      </c>
      <c r="AZ35" s="73">
        <f>'[6]CB-23'!BH42</f>
        <v>0</v>
      </c>
      <c r="BA35" s="73">
        <f>'[6]CB-23'!BI42</f>
        <v>0</v>
      </c>
      <c r="BB35" s="73">
        <f>'[6]CB-23'!BJ42</f>
        <v>0</v>
      </c>
      <c r="BC35" s="73">
        <f>'[6]CB-23'!BK42</f>
        <v>0</v>
      </c>
      <c r="BD35" s="73">
        <f>'[6]CB-23'!BL42</f>
        <v>0</v>
      </c>
      <c r="BE35" s="73">
        <f>'[6]CB-23'!BM42</f>
        <v>0</v>
      </c>
      <c r="BF35" s="73">
        <f>'[6]CB-23'!BN42</f>
        <v>0</v>
      </c>
      <c r="BG35" s="73">
        <f>'[6]CB-23'!BO42</f>
        <v>0</v>
      </c>
      <c r="BH35" s="73">
        <f>'[6]CB-23'!BP42</f>
        <v>0</v>
      </c>
      <c r="BI35" s="73">
        <f>'[6]CB-23'!BQ42</f>
        <v>0</v>
      </c>
      <c r="BJ35" s="73">
        <f>'[6]CB-23'!BR42</f>
        <v>0</v>
      </c>
      <c r="BK35" s="73">
        <f>'[6]CB-23'!BS42</f>
        <v>0</v>
      </c>
      <c r="BL35" s="73">
        <f>'[6]CB-23'!BT42</f>
        <v>0</v>
      </c>
      <c r="BM35" s="73">
        <f>'[6]CB-23'!BU42</f>
        <v>0</v>
      </c>
      <c r="BN35" s="73">
        <f>'[6]CB-23'!BV42</f>
        <v>0</v>
      </c>
      <c r="BO35" s="73">
        <f>'[6]CB-23'!BW42</f>
        <v>0</v>
      </c>
      <c r="BP35" s="64">
        <f>'[6]CB-23'!BX42</f>
        <v>0</v>
      </c>
    </row>
    <row r="36" spans="1:68" x14ac:dyDescent="0.35">
      <c r="A36" s="13">
        <v>33</v>
      </c>
      <c r="B36" s="62">
        <f>'[6]CB-24'!$C$8</f>
        <v>0</v>
      </c>
      <c r="C36" s="72">
        <f>'[6]CB-24'!AG80</f>
        <v>0</v>
      </c>
      <c r="D36" s="72">
        <f>'[6]CB-24'!AH80</f>
        <v>0</v>
      </c>
      <c r="E36" s="72">
        <f>'[6]CB-24'!AI80</f>
        <v>0</v>
      </c>
      <c r="F36" s="72">
        <f>'[6]CB-24'!AJ80</f>
        <v>0</v>
      </c>
      <c r="G36" s="72">
        <f>'[6]CB-24'!AK80</f>
        <v>0</v>
      </c>
      <c r="H36" s="72">
        <f>'[6]CB-24'!AL80</f>
        <v>0</v>
      </c>
      <c r="I36" s="72">
        <f>'[6]CB-24'!AM80</f>
        <v>0</v>
      </c>
      <c r="J36" s="72">
        <f>'[6]CB-24'!AN80</f>
        <v>0</v>
      </c>
      <c r="K36" s="72">
        <f>'[6]CB-24'!AO80</f>
        <v>0</v>
      </c>
      <c r="L36" s="72">
        <f>'[6]CB-24'!AP80</f>
        <v>0</v>
      </c>
      <c r="M36" s="72">
        <f>'[6]CB-24'!AQ80</f>
        <v>0</v>
      </c>
      <c r="N36" s="72">
        <f>'[6]CB-24'!AR80</f>
        <v>0</v>
      </c>
      <c r="O36" s="72">
        <f>'[6]CB-24'!AS80</f>
        <v>0</v>
      </c>
      <c r="P36" s="72">
        <f>'[6]CB-24'!AT80</f>
        <v>0</v>
      </c>
      <c r="Q36" s="72">
        <f>'[6]CB-24'!AU80</f>
        <v>0</v>
      </c>
      <c r="R36" s="72">
        <f>'[6]CB-24'!AV80</f>
        <v>0</v>
      </c>
      <c r="S36" s="72">
        <f>'[6]CB-24'!AW80</f>
        <v>0</v>
      </c>
      <c r="T36" s="72">
        <f>'[6]CB-24'!AX80</f>
        <v>0</v>
      </c>
      <c r="U36" s="72">
        <f>'[6]CB-24'!AY80</f>
        <v>0</v>
      </c>
      <c r="V36" s="72">
        <f>'[6]CB-24'!AZ80</f>
        <v>0</v>
      </c>
      <c r="W36" s="72">
        <f>'[6]CB-24'!BA80</f>
        <v>0</v>
      </c>
      <c r="X36" s="68">
        <f>'[6]CB-24'!BB80</f>
        <v>0</v>
      </c>
      <c r="Y36" s="74">
        <f>'[6]CB-24'!AG42</f>
        <v>0</v>
      </c>
      <c r="Z36" s="74">
        <f>'[6]CB-24'!AH42</f>
        <v>0</v>
      </c>
      <c r="AA36" s="74">
        <f>'[6]CB-24'!AI42</f>
        <v>0</v>
      </c>
      <c r="AB36" s="74">
        <f>'[6]CB-24'!AJ42</f>
        <v>0</v>
      </c>
      <c r="AC36" s="74">
        <f>'[6]CB-24'!AK42</f>
        <v>0</v>
      </c>
      <c r="AD36" s="74">
        <f>'[6]CB-24'!AL42</f>
        <v>0</v>
      </c>
      <c r="AE36" s="74">
        <f>'[6]CB-24'!AM42</f>
        <v>0</v>
      </c>
      <c r="AF36" s="74">
        <f>'[6]CB-24'!AN42</f>
        <v>0</v>
      </c>
      <c r="AG36" s="74">
        <f>'[6]CB-24'!AO42</f>
        <v>0</v>
      </c>
      <c r="AH36" s="74">
        <f>'[6]CB-24'!AP42</f>
        <v>0</v>
      </c>
      <c r="AI36" s="74">
        <f>'[6]CB-24'!AQ42</f>
        <v>0</v>
      </c>
      <c r="AJ36" s="74">
        <f>'[6]CB-24'!AR42</f>
        <v>0</v>
      </c>
      <c r="AK36" s="74">
        <f>'[6]CB-24'!AS42</f>
        <v>0</v>
      </c>
      <c r="AL36" s="74">
        <f>'[6]CB-24'!AT42</f>
        <v>0</v>
      </c>
      <c r="AM36" s="74">
        <f>'[6]CB-24'!AU42</f>
        <v>0</v>
      </c>
      <c r="AN36" s="74">
        <f>'[6]CB-24'!AV42</f>
        <v>0</v>
      </c>
      <c r="AO36" s="74">
        <f>'[6]CB-24'!AW42</f>
        <v>0</v>
      </c>
      <c r="AP36" s="74">
        <f>'[6]CB-24'!AX42</f>
        <v>0</v>
      </c>
      <c r="AQ36" s="74">
        <f>'[6]CB-24'!AY42</f>
        <v>0</v>
      </c>
      <c r="AR36" s="74">
        <f>'[6]CB-24'!AZ42</f>
        <v>0</v>
      </c>
      <c r="AS36" s="74">
        <f>'[6]CB-24'!BA42</f>
        <v>0</v>
      </c>
      <c r="AT36" s="63">
        <f>'[6]CB-24'!BB42</f>
        <v>0</v>
      </c>
      <c r="AU36" s="73">
        <f>'[6]CB-24'!BC42</f>
        <v>0</v>
      </c>
      <c r="AV36" s="73">
        <f>'[6]CB-24'!BD42</f>
        <v>0</v>
      </c>
      <c r="AW36" s="73">
        <f>'[6]CB-24'!BE42</f>
        <v>0</v>
      </c>
      <c r="AX36" s="73">
        <f>'[6]CB-24'!BF42</f>
        <v>0</v>
      </c>
      <c r="AY36" s="73">
        <f>'[6]CB-24'!BG42</f>
        <v>0</v>
      </c>
      <c r="AZ36" s="73">
        <f>'[6]CB-24'!BH42</f>
        <v>0</v>
      </c>
      <c r="BA36" s="73">
        <f>'[6]CB-24'!BI42</f>
        <v>0</v>
      </c>
      <c r="BB36" s="73">
        <f>'[6]CB-24'!BJ42</f>
        <v>0</v>
      </c>
      <c r="BC36" s="73">
        <f>'[6]CB-24'!BK42</f>
        <v>0</v>
      </c>
      <c r="BD36" s="73">
        <f>'[6]CB-24'!BL42</f>
        <v>0</v>
      </c>
      <c r="BE36" s="73">
        <f>'[6]CB-24'!BM42</f>
        <v>0</v>
      </c>
      <c r="BF36" s="73">
        <f>'[6]CB-24'!BN42</f>
        <v>0</v>
      </c>
      <c r="BG36" s="73">
        <f>'[6]CB-24'!BO42</f>
        <v>0</v>
      </c>
      <c r="BH36" s="73">
        <f>'[6]CB-24'!BP42</f>
        <v>0</v>
      </c>
      <c r="BI36" s="73">
        <f>'[6]CB-24'!BQ42</f>
        <v>0</v>
      </c>
      <c r="BJ36" s="73">
        <f>'[6]CB-24'!BR42</f>
        <v>0</v>
      </c>
      <c r="BK36" s="73">
        <f>'[6]CB-24'!BS42</f>
        <v>0</v>
      </c>
      <c r="BL36" s="73">
        <f>'[6]CB-24'!BT42</f>
        <v>0</v>
      </c>
      <c r="BM36" s="73">
        <f>'[6]CB-24'!BU42</f>
        <v>0</v>
      </c>
      <c r="BN36" s="73">
        <f>'[6]CB-24'!BV42</f>
        <v>0</v>
      </c>
      <c r="BO36" s="73">
        <f>'[6]CB-24'!BW42</f>
        <v>0</v>
      </c>
      <c r="BP36" s="64">
        <f>'[6]CB-24'!BX42</f>
        <v>0</v>
      </c>
    </row>
    <row r="37" spans="1:68" x14ac:dyDescent="0.35">
      <c r="A37" s="13">
        <v>34</v>
      </c>
      <c r="B37" s="62" t="str">
        <f>'[7]DSV-1'!$C$8</f>
        <v>DSV GARUDA OFFSHORE</v>
      </c>
      <c r="C37" s="72">
        <f>'[7]DSV-1'!AG80</f>
        <v>0</v>
      </c>
      <c r="D37" s="72">
        <f>'[7]DSV-1'!AH80</f>
        <v>0</v>
      </c>
      <c r="E37" s="72">
        <f>'[7]DSV-1'!AI80</f>
        <v>0</v>
      </c>
      <c r="F37" s="72">
        <f>'[7]DSV-1'!AJ80</f>
        <v>0</v>
      </c>
      <c r="G37" s="72">
        <f>'[7]DSV-1'!AK80</f>
        <v>0</v>
      </c>
      <c r="H37" s="72">
        <f>'[7]DSV-1'!AL80</f>
        <v>0</v>
      </c>
      <c r="I37" s="72">
        <f>'[7]DSV-1'!AM80</f>
        <v>0</v>
      </c>
      <c r="J37" s="72">
        <f>'[7]DSV-1'!AN80</f>
        <v>0</v>
      </c>
      <c r="K37" s="72">
        <f>'[7]DSV-1'!AO80</f>
        <v>0</v>
      </c>
      <c r="L37" s="72">
        <f>'[7]DSV-1'!AP80</f>
        <v>0</v>
      </c>
      <c r="M37" s="72">
        <f>'[7]DSV-1'!AQ80</f>
        <v>0</v>
      </c>
      <c r="N37" s="72">
        <f>'[7]DSV-1'!AR80</f>
        <v>0</v>
      </c>
      <c r="O37" s="72">
        <f>'[7]DSV-1'!AS80</f>
        <v>0</v>
      </c>
      <c r="P37" s="72">
        <f>'[7]DSV-1'!AT80</f>
        <v>0</v>
      </c>
      <c r="Q37" s="72">
        <f>'[7]DSV-1'!AU80</f>
        <v>0</v>
      </c>
      <c r="R37" s="72">
        <f>'[7]DSV-1'!AV80</f>
        <v>0</v>
      </c>
      <c r="S37" s="72">
        <f>'[7]DSV-1'!AW80</f>
        <v>0</v>
      </c>
      <c r="T37" s="72">
        <f>'[7]DSV-1'!AX80</f>
        <v>0</v>
      </c>
      <c r="U37" s="72">
        <f>'[7]DSV-1'!AY80</f>
        <v>0</v>
      </c>
      <c r="V37" s="72">
        <f>'[7]DSV-1'!AZ80</f>
        <v>0</v>
      </c>
      <c r="W37" s="72">
        <f>'[7]DSV-1'!BA80</f>
        <v>0</v>
      </c>
      <c r="X37" s="68">
        <f>'[7]DSV-1'!BB80</f>
        <v>0</v>
      </c>
      <c r="Y37" s="74">
        <f>'[7]DSV-1'!AG42</f>
        <v>0</v>
      </c>
      <c r="Z37" s="74">
        <f>'[7]DSV-1'!AH42</f>
        <v>0</v>
      </c>
      <c r="AA37" s="74">
        <f>'[7]DSV-1'!AI42</f>
        <v>0</v>
      </c>
      <c r="AB37" s="74">
        <f>'[7]DSV-1'!AJ42</f>
        <v>0</v>
      </c>
      <c r="AC37" s="74">
        <f>'[7]DSV-1'!AK42</f>
        <v>0</v>
      </c>
      <c r="AD37" s="74">
        <f>'[7]DSV-1'!AL42</f>
        <v>0</v>
      </c>
      <c r="AE37" s="74">
        <f>'[7]DSV-1'!AM42</f>
        <v>0</v>
      </c>
      <c r="AF37" s="74">
        <f>'[7]DSV-1'!AN42</f>
        <v>0</v>
      </c>
      <c r="AG37" s="74">
        <f>'[7]DSV-1'!AO42</f>
        <v>0</v>
      </c>
      <c r="AH37" s="74">
        <f>'[7]DSV-1'!AP42</f>
        <v>0</v>
      </c>
      <c r="AI37" s="74">
        <f>'[7]DSV-1'!AQ42</f>
        <v>0</v>
      </c>
      <c r="AJ37" s="74">
        <f>'[7]DSV-1'!AR42</f>
        <v>0</v>
      </c>
      <c r="AK37" s="74">
        <f>'[7]DSV-1'!AS42</f>
        <v>0</v>
      </c>
      <c r="AL37" s="74">
        <f>'[7]DSV-1'!AT42</f>
        <v>0</v>
      </c>
      <c r="AM37" s="74">
        <f>'[7]DSV-1'!AU42</f>
        <v>0</v>
      </c>
      <c r="AN37" s="74">
        <f>'[7]DSV-1'!AV42</f>
        <v>0</v>
      </c>
      <c r="AO37" s="74">
        <f>'[7]DSV-1'!AW42</f>
        <v>0</v>
      </c>
      <c r="AP37" s="74">
        <f>'[7]DSV-1'!AX42</f>
        <v>0</v>
      </c>
      <c r="AQ37" s="74">
        <f>'[7]DSV-1'!AY42</f>
        <v>0</v>
      </c>
      <c r="AR37" s="74">
        <f>'[7]DSV-1'!AZ42</f>
        <v>0</v>
      </c>
      <c r="AS37" s="74">
        <f>'[7]DSV-1'!BA42</f>
        <v>0</v>
      </c>
      <c r="AT37" s="63">
        <f>'[7]DSV-1'!BB42</f>
        <v>0</v>
      </c>
      <c r="AU37" s="73">
        <f>'[7]DSV-1'!BC42</f>
        <v>0</v>
      </c>
      <c r="AV37" s="73">
        <f>'[7]DSV-1'!BD42</f>
        <v>0</v>
      </c>
      <c r="AW37" s="73">
        <f>'[7]DSV-1'!BE42</f>
        <v>0</v>
      </c>
      <c r="AX37" s="73">
        <f>'[7]DSV-1'!BF42</f>
        <v>0</v>
      </c>
      <c r="AY37" s="73">
        <f>'[7]DSV-1'!BG42</f>
        <v>0</v>
      </c>
      <c r="AZ37" s="73">
        <f>'[7]DSV-1'!BH42</f>
        <v>0</v>
      </c>
      <c r="BA37" s="73">
        <f>'[7]DSV-1'!BI42</f>
        <v>0</v>
      </c>
      <c r="BB37" s="73">
        <f>'[7]DSV-1'!BJ42</f>
        <v>0</v>
      </c>
      <c r="BC37" s="73">
        <f>'[7]DSV-1'!BK42</f>
        <v>0</v>
      </c>
      <c r="BD37" s="73">
        <f>'[7]DSV-1'!BL42</f>
        <v>0</v>
      </c>
      <c r="BE37" s="73">
        <f>'[7]DSV-1'!BM42</f>
        <v>0</v>
      </c>
      <c r="BF37" s="73">
        <f>'[7]DSV-1'!BN42</f>
        <v>0</v>
      </c>
      <c r="BG37" s="73">
        <f>'[7]DSV-1'!BO42</f>
        <v>0</v>
      </c>
      <c r="BH37" s="73">
        <f>'[7]DSV-1'!BP42</f>
        <v>0</v>
      </c>
      <c r="BI37" s="73">
        <f>'[7]DSV-1'!BQ42</f>
        <v>0</v>
      </c>
      <c r="BJ37" s="73">
        <f>'[7]DSV-1'!BR42</f>
        <v>0</v>
      </c>
      <c r="BK37" s="73">
        <f>'[7]DSV-1'!BS42</f>
        <v>0</v>
      </c>
      <c r="BL37" s="73">
        <f>'[7]DSV-1'!BT42</f>
        <v>0</v>
      </c>
      <c r="BM37" s="73">
        <f>'[7]DSV-1'!BU42</f>
        <v>0</v>
      </c>
      <c r="BN37" s="73">
        <f>'[7]DSV-1'!BV42</f>
        <v>0</v>
      </c>
      <c r="BO37" s="73">
        <f>'[7]DSV-1'!BW42</f>
        <v>0</v>
      </c>
      <c r="BP37" s="64">
        <f>'[7]DSV-1'!BX42</f>
        <v>0</v>
      </c>
    </row>
    <row r="38" spans="1:68" x14ac:dyDescent="0.35">
      <c r="A38" s="13">
        <v>35</v>
      </c>
      <c r="B38" s="62">
        <f>'[7]DSV-2'!$C$8</f>
        <v>0</v>
      </c>
      <c r="C38" s="72">
        <f>'[7]DSV-2'!AG80</f>
        <v>0</v>
      </c>
      <c r="D38" s="72">
        <f>'[7]DSV-2'!AH80</f>
        <v>0</v>
      </c>
      <c r="E38" s="72">
        <f>'[7]DSV-2'!AI80</f>
        <v>0</v>
      </c>
      <c r="F38" s="72">
        <f>'[7]DSV-2'!AJ80</f>
        <v>0</v>
      </c>
      <c r="G38" s="72">
        <f>'[7]DSV-2'!AK80</f>
        <v>0</v>
      </c>
      <c r="H38" s="72">
        <f>'[7]DSV-2'!AL80</f>
        <v>0</v>
      </c>
      <c r="I38" s="72">
        <f>'[7]DSV-2'!AM80</f>
        <v>0</v>
      </c>
      <c r="J38" s="72">
        <f>'[7]DSV-2'!AN80</f>
        <v>0</v>
      </c>
      <c r="K38" s="72">
        <f>'[7]DSV-2'!AO80</f>
        <v>0</v>
      </c>
      <c r="L38" s="72">
        <f>'[7]DSV-2'!AP80</f>
        <v>0</v>
      </c>
      <c r="M38" s="72">
        <f>'[7]DSV-2'!AQ80</f>
        <v>0</v>
      </c>
      <c r="N38" s="72">
        <f>'[7]DSV-2'!AR80</f>
        <v>0</v>
      </c>
      <c r="O38" s="72">
        <f>'[7]DSV-2'!AS80</f>
        <v>0</v>
      </c>
      <c r="P38" s="72">
        <f>'[7]DSV-2'!AT80</f>
        <v>0</v>
      </c>
      <c r="Q38" s="72">
        <f>'[7]DSV-2'!AU80</f>
        <v>0</v>
      </c>
      <c r="R38" s="72">
        <f>'[7]DSV-2'!AV80</f>
        <v>0</v>
      </c>
      <c r="S38" s="72">
        <f>'[7]DSV-2'!AW80</f>
        <v>0</v>
      </c>
      <c r="T38" s="72">
        <f>'[7]DSV-2'!AX80</f>
        <v>0</v>
      </c>
      <c r="U38" s="72">
        <f>'[7]DSV-2'!AY80</f>
        <v>0</v>
      </c>
      <c r="V38" s="72">
        <f>'[7]DSV-2'!AZ80</f>
        <v>0</v>
      </c>
      <c r="W38" s="72">
        <f>'[7]DSV-2'!BA80</f>
        <v>0</v>
      </c>
      <c r="X38" s="68">
        <f>'[7]DSV-2'!BB80</f>
        <v>0</v>
      </c>
      <c r="Y38" s="74">
        <f>'[7]DSV-2'!AG42</f>
        <v>0</v>
      </c>
      <c r="Z38" s="74">
        <f>'[7]DSV-2'!AH42</f>
        <v>0</v>
      </c>
      <c r="AA38" s="74">
        <f>'[7]DSV-2'!AI42</f>
        <v>0</v>
      </c>
      <c r="AB38" s="74">
        <f>'[7]DSV-2'!AJ42</f>
        <v>0</v>
      </c>
      <c r="AC38" s="74">
        <f>'[7]DSV-2'!AK42</f>
        <v>0</v>
      </c>
      <c r="AD38" s="74">
        <f>'[7]DSV-2'!AL42</f>
        <v>0</v>
      </c>
      <c r="AE38" s="74">
        <f>'[7]DSV-2'!AM42</f>
        <v>0</v>
      </c>
      <c r="AF38" s="74">
        <f>'[7]DSV-2'!AN42</f>
        <v>0</v>
      </c>
      <c r="AG38" s="74">
        <f>'[7]DSV-2'!AO42</f>
        <v>0</v>
      </c>
      <c r="AH38" s="74">
        <f>'[7]DSV-2'!AP42</f>
        <v>0</v>
      </c>
      <c r="AI38" s="74">
        <f>'[7]DSV-2'!AQ42</f>
        <v>0</v>
      </c>
      <c r="AJ38" s="74">
        <f>'[7]DSV-2'!AR42</f>
        <v>0</v>
      </c>
      <c r="AK38" s="74">
        <f>'[7]DSV-2'!AS42</f>
        <v>0</v>
      </c>
      <c r="AL38" s="74">
        <f>'[7]DSV-2'!AT42</f>
        <v>0</v>
      </c>
      <c r="AM38" s="74">
        <f>'[7]DSV-2'!AU42</f>
        <v>0</v>
      </c>
      <c r="AN38" s="74">
        <f>'[7]DSV-2'!AV42</f>
        <v>0</v>
      </c>
      <c r="AO38" s="74">
        <f>'[7]DSV-2'!AW42</f>
        <v>0</v>
      </c>
      <c r="AP38" s="74">
        <f>'[7]DSV-2'!AX42</f>
        <v>0</v>
      </c>
      <c r="AQ38" s="74">
        <f>'[7]DSV-2'!AY42</f>
        <v>0</v>
      </c>
      <c r="AR38" s="74">
        <f>'[7]DSV-2'!AZ42</f>
        <v>0</v>
      </c>
      <c r="AS38" s="74">
        <f>'[7]DSV-2'!BA42</f>
        <v>0</v>
      </c>
      <c r="AT38" s="63">
        <f>'[7]DSV-2'!BB42</f>
        <v>0</v>
      </c>
      <c r="AU38" s="73">
        <f>'[7]DSV-2'!BC42</f>
        <v>0</v>
      </c>
      <c r="AV38" s="73">
        <f>'[7]DSV-2'!BD42</f>
        <v>0</v>
      </c>
      <c r="AW38" s="73">
        <f>'[7]DSV-2'!BE42</f>
        <v>0</v>
      </c>
      <c r="AX38" s="73">
        <f>'[7]DSV-2'!BF42</f>
        <v>0</v>
      </c>
      <c r="AY38" s="73">
        <f>'[7]DSV-2'!BG42</f>
        <v>0</v>
      </c>
      <c r="AZ38" s="73">
        <f>'[7]DSV-2'!BH42</f>
        <v>0</v>
      </c>
      <c r="BA38" s="73">
        <f>'[7]DSV-2'!BI42</f>
        <v>0</v>
      </c>
      <c r="BB38" s="73">
        <f>'[7]DSV-2'!BJ42</f>
        <v>0</v>
      </c>
      <c r="BC38" s="73">
        <f>'[7]DSV-2'!BK42</f>
        <v>0</v>
      </c>
      <c r="BD38" s="73">
        <f>'[7]DSV-2'!BL42</f>
        <v>0</v>
      </c>
      <c r="BE38" s="73">
        <f>'[7]DSV-2'!BM42</f>
        <v>0</v>
      </c>
      <c r="BF38" s="73">
        <f>'[7]DSV-2'!BN42</f>
        <v>0</v>
      </c>
      <c r="BG38" s="73">
        <f>'[7]DSV-2'!BO42</f>
        <v>0</v>
      </c>
      <c r="BH38" s="73">
        <f>'[7]DSV-2'!BP42</f>
        <v>0</v>
      </c>
      <c r="BI38" s="73">
        <f>'[7]DSV-2'!BQ42</f>
        <v>0</v>
      </c>
      <c r="BJ38" s="73">
        <f>'[7]DSV-2'!BR42</f>
        <v>0</v>
      </c>
      <c r="BK38" s="73">
        <f>'[7]DSV-2'!BS42</f>
        <v>0</v>
      </c>
      <c r="BL38" s="73">
        <f>'[7]DSV-2'!BT42</f>
        <v>0</v>
      </c>
      <c r="BM38" s="73">
        <f>'[7]DSV-2'!BU42</f>
        <v>0</v>
      </c>
      <c r="BN38" s="73">
        <f>'[7]DSV-2'!BV42</f>
        <v>0</v>
      </c>
      <c r="BO38" s="73">
        <f>'[7]DSV-2'!BW42</f>
        <v>0</v>
      </c>
      <c r="BP38" s="64">
        <f>'[7]DSV-2'!BX42</f>
        <v>0</v>
      </c>
    </row>
    <row r="39" spans="1:68" x14ac:dyDescent="0.35">
      <c r="A39" s="13">
        <v>36</v>
      </c>
      <c r="B39" s="62">
        <f>'[7]DSV-3'!$C$8</f>
        <v>0</v>
      </c>
      <c r="C39" s="72">
        <f>'[7]DSV-3'!AG80</f>
        <v>0</v>
      </c>
      <c r="D39" s="72">
        <f>'[7]DSV-3'!AH80</f>
        <v>0</v>
      </c>
      <c r="E39" s="72">
        <f>'[7]DSV-3'!AI80</f>
        <v>0</v>
      </c>
      <c r="F39" s="72">
        <f>'[7]DSV-3'!AJ80</f>
        <v>0</v>
      </c>
      <c r="G39" s="72">
        <f>'[7]DSV-3'!AK80</f>
        <v>0</v>
      </c>
      <c r="H39" s="72">
        <f>'[7]DSV-3'!AL80</f>
        <v>0</v>
      </c>
      <c r="I39" s="72">
        <f>'[7]DSV-3'!AM80</f>
        <v>0</v>
      </c>
      <c r="J39" s="72">
        <f>'[7]DSV-3'!AN80</f>
        <v>0</v>
      </c>
      <c r="K39" s="72">
        <f>'[7]DSV-3'!AO80</f>
        <v>0</v>
      </c>
      <c r="L39" s="72">
        <f>'[7]DSV-3'!AP80</f>
        <v>0</v>
      </c>
      <c r="M39" s="72">
        <f>'[7]DSV-3'!AQ80</f>
        <v>0</v>
      </c>
      <c r="N39" s="72">
        <f>'[7]DSV-3'!AR80</f>
        <v>0</v>
      </c>
      <c r="O39" s="72">
        <f>'[7]DSV-3'!AS80</f>
        <v>0</v>
      </c>
      <c r="P39" s="72">
        <f>'[7]DSV-3'!AT80</f>
        <v>0</v>
      </c>
      <c r="Q39" s="72">
        <f>'[7]DSV-3'!AU80</f>
        <v>0</v>
      </c>
      <c r="R39" s="72">
        <f>'[7]DSV-3'!AV80</f>
        <v>0</v>
      </c>
      <c r="S39" s="72">
        <f>'[7]DSV-3'!AW80</f>
        <v>0</v>
      </c>
      <c r="T39" s="72">
        <f>'[7]DSV-3'!AX80</f>
        <v>0</v>
      </c>
      <c r="U39" s="72">
        <f>'[7]DSV-3'!AY80</f>
        <v>0</v>
      </c>
      <c r="V39" s="72">
        <f>'[7]DSV-3'!AZ80</f>
        <v>0</v>
      </c>
      <c r="W39" s="72">
        <f>'[7]DSV-3'!BA80</f>
        <v>0</v>
      </c>
      <c r="X39" s="68">
        <f>'[7]DSV-3'!BB80</f>
        <v>0</v>
      </c>
      <c r="Y39" s="74">
        <f>'[7]DSV-3'!AG42</f>
        <v>0</v>
      </c>
      <c r="Z39" s="74">
        <f>'[7]DSV-3'!AH42</f>
        <v>0</v>
      </c>
      <c r="AA39" s="74">
        <f>'[7]DSV-3'!AI42</f>
        <v>0</v>
      </c>
      <c r="AB39" s="74">
        <f>'[7]DSV-3'!AJ42</f>
        <v>0</v>
      </c>
      <c r="AC39" s="74">
        <f>'[7]DSV-3'!AK42</f>
        <v>0</v>
      </c>
      <c r="AD39" s="74">
        <f>'[7]DSV-3'!AL42</f>
        <v>0</v>
      </c>
      <c r="AE39" s="74">
        <f>'[7]DSV-3'!AM42</f>
        <v>0</v>
      </c>
      <c r="AF39" s="74">
        <f>'[7]DSV-3'!AN42</f>
        <v>0</v>
      </c>
      <c r="AG39" s="74">
        <f>'[7]DSV-3'!AO42</f>
        <v>0</v>
      </c>
      <c r="AH39" s="74">
        <f>'[7]DSV-3'!AP42</f>
        <v>0</v>
      </c>
      <c r="AI39" s="74">
        <f>'[7]DSV-3'!AQ42</f>
        <v>0</v>
      </c>
      <c r="AJ39" s="74">
        <f>'[7]DSV-3'!AR42</f>
        <v>0</v>
      </c>
      <c r="AK39" s="74">
        <f>'[7]DSV-3'!AS42</f>
        <v>0</v>
      </c>
      <c r="AL39" s="74">
        <f>'[7]DSV-3'!AT42</f>
        <v>0</v>
      </c>
      <c r="AM39" s="74">
        <f>'[7]DSV-3'!AU42</f>
        <v>0</v>
      </c>
      <c r="AN39" s="74">
        <f>'[7]DSV-3'!AV42</f>
        <v>0</v>
      </c>
      <c r="AO39" s="74">
        <f>'[7]DSV-3'!AW42</f>
        <v>0</v>
      </c>
      <c r="AP39" s="74">
        <f>'[7]DSV-3'!AX42</f>
        <v>0</v>
      </c>
      <c r="AQ39" s="74">
        <f>'[7]DSV-3'!AY42</f>
        <v>0</v>
      </c>
      <c r="AR39" s="74">
        <f>'[7]DSV-3'!AZ42</f>
        <v>0</v>
      </c>
      <c r="AS39" s="74">
        <f>'[7]DSV-3'!BA42</f>
        <v>0</v>
      </c>
      <c r="AT39" s="63">
        <f>'[7]DSV-3'!BB42</f>
        <v>0</v>
      </c>
      <c r="AU39" s="73">
        <f>'[7]DSV-3'!BC42</f>
        <v>0</v>
      </c>
      <c r="AV39" s="73">
        <f>'[7]DSV-3'!BD42</f>
        <v>0</v>
      </c>
      <c r="AW39" s="73">
        <f>'[7]DSV-3'!BE42</f>
        <v>0</v>
      </c>
      <c r="AX39" s="73">
        <f>'[7]DSV-3'!BF42</f>
        <v>0</v>
      </c>
      <c r="AY39" s="73">
        <f>'[7]DSV-3'!BG42</f>
        <v>0</v>
      </c>
      <c r="AZ39" s="73">
        <f>'[7]DSV-3'!BH42</f>
        <v>0</v>
      </c>
      <c r="BA39" s="73">
        <f>'[7]DSV-3'!BI42</f>
        <v>0</v>
      </c>
      <c r="BB39" s="73">
        <f>'[7]DSV-3'!BJ42</f>
        <v>0</v>
      </c>
      <c r="BC39" s="73">
        <f>'[7]DSV-3'!BK42</f>
        <v>0</v>
      </c>
      <c r="BD39" s="73">
        <f>'[7]DSV-3'!BL42</f>
        <v>0</v>
      </c>
      <c r="BE39" s="73">
        <f>'[7]DSV-3'!BM42</f>
        <v>0</v>
      </c>
      <c r="BF39" s="73">
        <f>'[7]DSV-3'!BN42</f>
        <v>0</v>
      </c>
      <c r="BG39" s="73">
        <f>'[7]DSV-3'!BO42</f>
        <v>0</v>
      </c>
      <c r="BH39" s="73">
        <f>'[7]DSV-3'!BP42</f>
        <v>0</v>
      </c>
      <c r="BI39" s="73">
        <f>'[7]DSV-3'!BQ42</f>
        <v>0</v>
      </c>
      <c r="BJ39" s="73">
        <f>'[7]DSV-3'!BR42</f>
        <v>0</v>
      </c>
      <c r="BK39" s="73">
        <f>'[7]DSV-3'!BS42</f>
        <v>0</v>
      </c>
      <c r="BL39" s="73">
        <f>'[7]DSV-3'!BT42</f>
        <v>0</v>
      </c>
      <c r="BM39" s="73">
        <f>'[7]DSV-3'!BU42</f>
        <v>0</v>
      </c>
      <c r="BN39" s="73">
        <f>'[7]DSV-3'!BV42</f>
        <v>0</v>
      </c>
      <c r="BO39" s="73">
        <f>'[7]DSV-3'!BW42</f>
        <v>0</v>
      </c>
      <c r="BP39" s="64">
        <f>'[7]DSV-3'!BX42</f>
        <v>0</v>
      </c>
    </row>
    <row r="40" spans="1:68" x14ac:dyDescent="0.35">
      <c r="A40" s="13">
        <v>37</v>
      </c>
      <c r="B40" s="62" t="str">
        <f>'[8]LCT-1'!$C$8</f>
        <v>LCT Hamota 3</v>
      </c>
      <c r="C40" s="72">
        <f>'[8]LCT-1'!AG80</f>
        <v>0</v>
      </c>
      <c r="D40" s="72">
        <f>'[8]LCT-1'!AH80</f>
        <v>0</v>
      </c>
      <c r="E40" s="72">
        <f>'[8]LCT-1'!AI80</f>
        <v>0</v>
      </c>
      <c r="F40" s="72">
        <f>'[8]LCT-1'!AJ80</f>
        <v>0</v>
      </c>
      <c r="G40" s="72">
        <f>'[8]LCT-1'!AK80</f>
        <v>0</v>
      </c>
      <c r="H40" s="72">
        <f>'[8]LCT-1'!AL80</f>
        <v>0</v>
      </c>
      <c r="I40" s="72">
        <f>'[8]LCT-1'!AM80</f>
        <v>0</v>
      </c>
      <c r="J40" s="72">
        <f>'[8]LCT-1'!AN80</f>
        <v>0</v>
      </c>
      <c r="K40" s="72">
        <f>'[8]LCT-1'!AO80</f>
        <v>0</v>
      </c>
      <c r="L40" s="72">
        <f>'[8]LCT-1'!AP80</f>
        <v>0</v>
      </c>
      <c r="M40" s="72">
        <f>'[8]LCT-1'!AQ80</f>
        <v>0</v>
      </c>
      <c r="N40" s="72">
        <f>'[8]LCT-1'!AR80</f>
        <v>0</v>
      </c>
      <c r="O40" s="72">
        <f>'[8]LCT-1'!AS80</f>
        <v>0</v>
      </c>
      <c r="P40" s="72">
        <f>'[8]LCT-1'!AT80</f>
        <v>0</v>
      </c>
      <c r="Q40" s="72">
        <f>'[8]LCT-1'!AU80</f>
        <v>0</v>
      </c>
      <c r="R40" s="72">
        <f>'[8]LCT-1'!AV80</f>
        <v>0</v>
      </c>
      <c r="S40" s="72">
        <f>'[8]LCT-1'!AW80</f>
        <v>0</v>
      </c>
      <c r="T40" s="72">
        <f>'[8]LCT-1'!AX80</f>
        <v>0</v>
      </c>
      <c r="U40" s="72">
        <f>'[8]LCT-1'!AY80</f>
        <v>0</v>
      </c>
      <c r="V40" s="72">
        <f>'[8]LCT-1'!AZ80</f>
        <v>0</v>
      </c>
      <c r="W40" s="72">
        <f>'[8]LCT-1'!BA80</f>
        <v>0</v>
      </c>
      <c r="X40" s="68">
        <f>'[8]LCT-1'!BB80</f>
        <v>0</v>
      </c>
      <c r="Y40" s="74">
        <f>'[8]LCT-1'!AG42</f>
        <v>0</v>
      </c>
      <c r="Z40" s="74">
        <f>'[8]LCT-1'!AH42</f>
        <v>0</v>
      </c>
      <c r="AA40" s="74">
        <f>'[8]LCT-1'!AI42</f>
        <v>0</v>
      </c>
      <c r="AB40" s="74">
        <f>'[8]LCT-1'!AJ42</f>
        <v>0</v>
      </c>
      <c r="AC40" s="74">
        <f>'[8]LCT-1'!AK42</f>
        <v>0</v>
      </c>
      <c r="AD40" s="74">
        <f>'[8]LCT-1'!AL42</f>
        <v>0</v>
      </c>
      <c r="AE40" s="74">
        <f>'[8]LCT-1'!AM42</f>
        <v>0</v>
      </c>
      <c r="AF40" s="74">
        <f>'[8]LCT-1'!AN42</f>
        <v>0</v>
      </c>
      <c r="AG40" s="74">
        <f>'[8]LCT-1'!AO42</f>
        <v>0</v>
      </c>
      <c r="AH40" s="74">
        <f>'[8]LCT-1'!AP42</f>
        <v>0</v>
      </c>
      <c r="AI40" s="74">
        <f>'[8]LCT-1'!AQ42</f>
        <v>0</v>
      </c>
      <c r="AJ40" s="74">
        <f>'[8]LCT-1'!AR42</f>
        <v>0</v>
      </c>
      <c r="AK40" s="74">
        <f>'[8]LCT-1'!AS42</f>
        <v>0</v>
      </c>
      <c r="AL40" s="74">
        <f>'[8]LCT-1'!AT42</f>
        <v>0</v>
      </c>
      <c r="AM40" s="74">
        <f>'[8]LCT-1'!AU42</f>
        <v>0</v>
      </c>
      <c r="AN40" s="74">
        <f>'[8]LCT-1'!AV42</f>
        <v>0</v>
      </c>
      <c r="AO40" s="74">
        <f>'[8]LCT-1'!AW42</f>
        <v>0</v>
      </c>
      <c r="AP40" s="74">
        <f>'[8]LCT-1'!AX42</f>
        <v>0</v>
      </c>
      <c r="AQ40" s="74">
        <f>'[8]LCT-1'!AY42</f>
        <v>0</v>
      </c>
      <c r="AR40" s="74">
        <f>'[8]LCT-1'!AZ42</f>
        <v>0</v>
      </c>
      <c r="AS40" s="74">
        <f>'[8]LCT-1'!BA42</f>
        <v>0</v>
      </c>
      <c r="AT40" s="63">
        <f>'[8]LCT-1'!BB42</f>
        <v>0</v>
      </c>
      <c r="AU40" s="73">
        <f>'[8]LCT-1'!BC42</f>
        <v>0</v>
      </c>
      <c r="AV40" s="73">
        <f>'[8]LCT-1'!BD42</f>
        <v>0</v>
      </c>
      <c r="AW40" s="73">
        <f>'[8]LCT-1'!BE42</f>
        <v>0</v>
      </c>
      <c r="AX40" s="73">
        <f>'[8]LCT-1'!BF42</f>
        <v>0</v>
      </c>
      <c r="AY40" s="73">
        <f>'[8]LCT-1'!BG42</f>
        <v>0</v>
      </c>
      <c r="AZ40" s="73">
        <f>'[8]LCT-1'!BH42</f>
        <v>0</v>
      </c>
      <c r="BA40" s="73">
        <f>'[8]LCT-1'!BI42</f>
        <v>0</v>
      </c>
      <c r="BB40" s="73">
        <f>'[8]LCT-1'!BJ42</f>
        <v>0</v>
      </c>
      <c r="BC40" s="73">
        <f>'[8]LCT-1'!BK42</f>
        <v>0</v>
      </c>
      <c r="BD40" s="73">
        <f>'[8]LCT-1'!BL42</f>
        <v>0</v>
      </c>
      <c r="BE40" s="73">
        <f>'[8]LCT-1'!BM42</f>
        <v>0</v>
      </c>
      <c r="BF40" s="73">
        <f>'[8]LCT-1'!BN42</f>
        <v>0</v>
      </c>
      <c r="BG40" s="73">
        <f>'[8]LCT-1'!BO42</f>
        <v>0</v>
      </c>
      <c r="BH40" s="73">
        <f>'[8]LCT-1'!BP42</f>
        <v>0</v>
      </c>
      <c r="BI40" s="73">
        <f>'[8]LCT-1'!BQ42</f>
        <v>0</v>
      </c>
      <c r="BJ40" s="73">
        <f>'[8]LCT-1'!BR42</f>
        <v>0</v>
      </c>
      <c r="BK40" s="73">
        <f>'[8]LCT-1'!BS42</f>
        <v>0</v>
      </c>
      <c r="BL40" s="73">
        <f>'[8]LCT-1'!BT42</f>
        <v>0</v>
      </c>
      <c r="BM40" s="73">
        <f>'[8]LCT-1'!BU42</f>
        <v>0</v>
      </c>
      <c r="BN40" s="73">
        <f>'[8]LCT-1'!BV42</f>
        <v>0</v>
      </c>
      <c r="BO40" s="73">
        <f>'[8]LCT-1'!BW42</f>
        <v>0</v>
      </c>
      <c r="BP40" s="64">
        <f>'[8]LCT-1'!BX42</f>
        <v>0</v>
      </c>
    </row>
    <row r="41" spans="1:68" x14ac:dyDescent="0.35">
      <c r="A41" s="13">
        <v>38</v>
      </c>
      <c r="B41" s="62" t="str">
        <f>'[8]LCT-2'!$C$8</f>
        <v>LCT Hamota Berau (call out contract since 25 Sept 2020)</v>
      </c>
      <c r="C41" s="72">
        <f>'[8]LCT-2'!AG80</f>
        <v>0</v>
      </c>
      <c r="D41" s="72">
        <f>'[8]LCT-2'!AH80</f>
        <v>0</v>
      </c>
      <c r="E41" s="72">
        <f>'[8]LCT-2'!AI80</f>
        <v>0</v>
      </c>
      <c r="F41" s="72">
        <f>'[8]LCT-2'!AJ80</f>
        <v>0</v>
      </c>
      <c r="G41" s="72">
        <f>'[8]LCT-2'!AK80</f>
        <v>0</v>
      </c>
      <c r="H41" s="72">
        <f>'[8]LCT-2'!AL80</f>
        <v>0</v>
      </c>
      <c r="I41" s="72">
        <f>'[8]LCT-2'!AM80</f>
        <v>0</v>
      </c>
      <c r="J41" s="72">
        <f>'[8]LCT-2'!AN80</f>
        <v>0</v>
      </c>
      <c r="K41" s="72">
        <f>'[8]LCT-2'!AO80</f>
        <v>0</v>
      </c>
      <c r="L41" s="72">
        <f>'[8]LCT-2'!AP80</f>
        <v>0</v>
      </c>
      <c r="M41" s="72">
        <f>'[8]LCT-2'!AQ80</f>
        <v>0</v>
      </c>
      <c r="N41" s="72">
        <f>'[8]LCT-2'!AR80</f>
        <v>0</v>
      </c>
      <c r="O41" s="72">
        <f>'[8]LCT-2'!AS80</f>
        <v>0</v>
      </c>
      <c r="P41" s="72">
        <f>'[8]LCT-2'!AT80</f>
        <v>0</v>
      </c>
      <c r="Q41" s="72">
        <f>'[8]LCT-2'!AU80</f>
        <v>0</v>
      </c>
      <c r="R41" s="72">
        <f>'[8]LCT-2'!AV80</f>
        <v>0</v>
      </c>
      <c r="S41" s="72">
        <f>'[8]LCT-2'!AW80</f>
        <v>0</v>
      </c>
      <c r="T41" s="72">
        <f>'[8]LCT-2'!AX80</f>
        <v>0</v>
      </c>
      <c r="U41" s="72">
        <f>'[8]LCT-2'!AY80</f>
        <v>0</v>
      </c>
      <c r="V41" s="72">
        <f>'[8]LCT-2'!AZ80</f>
        <v>0</v>
      </c>
      <c r="W41" s="72">
        <f>'[8]LCT-2'!BA80</f>
        <v>0</v>
      </c>
      <c r="X41" s="68">
        <f>'[8]LCT-2'!BB80</f>
        <v>0</v>
      </c>
      <c r="Y41" s="74">
        <f>'[8]LCT-2'!AG42</f>
        <v>0</v>
      </c>
      <c r="Z41" s="74">
        <f>'[8]LCT-2'!AH42</f>
        <v>0</v>
      </c>
      <c r="AA41" s="74">
        <f>'[8]LCT-2'!AI42</f>
        <v>0</v>
      </c>
      <c r="AB41" s="74">
        <f>'[8]LCT-2'!AJ42</f>
        <v>0</v>
      </c>
      <c r="AC41" s="74">
        <f>'[8]LCT-2'!AK42</f>
        <v>0</v>
      </c>
      <c r="AD41" s="74">
        <f>'[8]LCT-2'!AL42</f>
        <v>0</v>
      </c>
      <c r="AE41" s="74">
        <f>'[8]LCT-2'!AM42</f>
        <v>0</v>
      </c>
      <c r="AF41" s="74">
        <f>'[8]LCT-2'!AN42</f>
        <v>0</v>
      </c>
      <c r="AG41" s="74">
        <f>'[8]LCT-2'!AO42</f>
        <v>0</v>
      </c>
      <c r="AH41" s="74">
        <f>'[8]LCT-2'!AP42</f>
        <v>0</v>
      </c>
      <c r="AI41" s="74">
        <f>'[8]LCT-2'!AQ42</f>
        <v>0</v>
      </c>
      <c r="AJ41" s="74">
        <f>'[8]LCT-2'!AR42</f>
        <v>0</v>
      </c>
      <c r="AK41" s="74">
        <f>'[8]LCT-2'!AS42</f>
        <v>0</v>
      </c>
      <c r="AL41" s="74">
        <f>'[8]LCT-2'!AT42</f>
        <v>0</v>
      </c>
      <c r="AM41" s="74">
        <f>'[8]LCT-2'!AU42</f>
        <v>0</v>
      </c>
      <c r="AN41" s="74">
        <f>'[8]LCT-2'!AV42</f>
        <v>0</v>
      </c>
      <c r="AO41" s="74">
        <f>'[8]LCT-2'!AW42</f>
        <v>0</v>
      </c>
      <c r="AP41" s="74">
        <f>'[8]LCT-2'!AX42</f>
        <v>0</v>
      </c>
      <c r="AQ41" s="74">
        <f>'[8]LCT-2'!AY42</f>
        <v>0</v>
      </c>
      <c r="AR41" s="74">
        <f>'[8]LCT-2'!AZ42</f>
        <v>0</v>
      </c>
      <c r="AS41" s="74">
        <f>'[8]LCT-2'!BA42</f>
        <v>0</v>
      </c>
      <c r="AT41" s="63">
        <f>'[8]LCT-2'!BB42</f>
        <v>0</v>
      </c>
      <c r="AU41" s="73">
        <f>'[8]LCT-2'!BC42</f>
        <v>0</v>
      </c>
      <c r="AV41" s="73">
        <f>'[8]LCT-2'!BD42</f>
        <v>0</v>
      </c>
      <c r="AW41" s="73">
        <f>'[8]LCT-2'!BE42</f>
        <v>0</v>
      </c>
      <c r="AX41" s="73">
        <f>'[8]LCT-2'!BF42</f>
        <v>0</v>
      </c>
      <c r="AY41" s="73">
        <f>'[8]LCT-2'!BG42</f>
        <v>0</v>
      </c>
      <c r="AZ41" s="73">
        <f>'[8]LCT-2'!BH42</f>
        <v>0</v>
      </c>
      <c r="BA41" s="73">
        <f>'[8]LCT-2'!BI42</f>
        <v>0</v>
      </c>
      <c r="BB41" s="73">
        <f>'[8]LCT-2'!BJ42</f>
        <v>0</v>
      </c>
      <c r="BC41" s="73">
        <f>'[8]LCT-2'!BK42</f>
        <v>0</v>
      </c>
      <c r="BD41" s="73">
        <f>'[8]LCT-2'!BL42</f>
        <v>0</v>
      </c>
      <c r="BE41" s="73">
        <f>'[8]LCT-2'!BM42</f>
        <v>0</v>
      </c>
      <c r="BF41" s="73">
        <f>'[8]LCT-2'!BN42</f>
        <v>0</v>
      </c>
      <c r="BG41" s="73">
        <f>'[8]LCT-2'!BO42</f>
        <v>0</v>
      </c>
      <c r="BH41" s="73">
        <f>'[8]LCT-2'!BP42</f>
        <v>0</v>
      </c>
      <c r="BI41" s="73">
        <f>'[8]LCT-2'!BQ42</f>
        <v>0</v>
      </c>
      <c r="BJ41" s="73">
        <f>'[8]LCT-2'!BR42</f>
        <v>0</v>
      </c>
      <c r="BK41" s="73">
        <f>'[8]LCT-2'!BS42</f>
        <v>0</v>
      </c>
      <c r="BL41" s="73">
        <f>'[8]LCT-2'!BT42</f>
        <v>0</v>
      </c>
      <c r="BM41" s="73">
        <f>'[8]LCT-2'!BU42</f>
        <v>0</v>
      </c>
      <c r="BN41" s="73">
        <f>'[8]LCT-2'!BV42</f>
        <v>0</v>
      </c>
      <c r="BO41" s="73">
        <f>'[8]LCT-2'!BW42</f>
        <v>0</v>
      </c>
      <c r="BP41" s="64">
        <f>'[8]LCT-2'!BX42</f>
        <v>0</v>
      </c>
    </row>
    <row r="42" spans="1:68" x14ac:dyDescent="0.35">
      <c r="A42" s="13">
        <v>39</v>
      </c>
      <c r="B42" s="62" t="str">
        <f>'[8]LCT-3'!$C$8</f>
        <v>LCT HAMOTA 2 (sub Hamota 3)</v>
      </c>
      <c r="C42" s="72">
        <f>'[8]LCT-3'!AG80</f>
        <v>0</v>
      </c>
      <c r="D42" s="72">
        <f>'[8]LCT-3'!AH80</f>
        <v>0</v>
      </c>
      <c r="E42" s="72">
        <f>'[8]LCT-3'!AI80</f>
        <v>0</v>
      </c>
      <c r="F42" s="72">
        <f>'[8]LCT-3'!AJ80</f>
        <v>0</v>
      </c>
      <c r="G42" s="72">
        <f>'[8]LCT-3'!AK80</f>
        <v>0</v>
      </c>
      <c r="H42" s="72">
        <f>'[8]LCT-3'!AL80</f>
        <v>0</v>
      </c>
      <c r="I42" s="72">
        <f>'[8]LCT-3'!AM80</f>
        <v>0</v>
      </c>
      <c r="J42" s="72">
        <f>'[8]LCT-3'!AN80</f>
        <v>0</v>
      </c>
      <c r="K42" s="72">
        <f>'[8]LCT-3'!AO80</f>
        <v>0</v>
      </c>
      <c r="L42" s="72">
        <f>'[8]LCT-3'!AP80</f>
        <v>0</v>
      </c>
      <c r="M42" s="72">
        <f>'[8]LCT-3'!AQ80</f>
        <v>0</v>
      </c>
      <c r="N42" s="72">
        <f>'[8]LCT-3'!AR80</f>
        <v>0</v>
      </c>
      <c r="O42" s="72">
        <f>'[8]LCT-3'!AS80</f>
        <v>0</v>
      </c>
      <c r="P42" s="72">
        <f>'[8]LCT-3'!AT80</f>
        <v>0</v>
      </c>
      <c r="Q42" s="72">
        <f>'[8]LCT-3'!AU80</f>
        <v>0</v>
      </c>
      <c r="R42" s="72">
        <f>'[8]LCT-3'!AV80</f>
        <v>0</v>
      </c>
      <c r="S42" s="72">
        <f>'[8]LCT-3'!AW80</f>
        <v>0</v>
      </c>
      <c r="T42" s="72">
        <f>'[8]LCT-3'!AX80</f>
        <v>0</v>
      </c>
      <c r="U42" s="72">
        <f>'[8]LCT-3'!AY80</f>
        <v>0</v>
      </c>
      <c r="V42" s="72">
        <f>'[8]LCT-3'!AZ80</f>
        <v>0</v>
      </c>
      <c r="W42" s="72">
        <f>'[8]LCT-3'!BA80</f>
        <v>0</v>
      </c>
      <c r="X42" s="68">
        <f>'[8]LCT-3'!BB80</f>
        <v>0</v>
      </c>
      <c r="Y42" s="74">
        <f>'[8]LCT-3'!AG42</f>
        <v>0</v>
      </c>
      <c r="Z42" s="74">
        <f>'[8]LCT-3'!AH42</f>
        <v>0</v>
      </c>
      <c r="AA42" s="74">
        <f>'[8]LCT-3'!AI42</f>
        <v>0</v>
      </c>
      <c r="AB42" s="74">
        <f>'[8]LCT-3'!AJ42</f>
        <v>0</v>
      </c>
      <c r="AC42" s="74">
        <f>'[8]LCT-3'!AK42</f>
        <v>0</v>
      </c>
      <c r="AD42" s="74">
        <f>'[8]LCT-3'!AL42</f>
        <v>0</v>
      </c>
      <c r="AE42" s="74">
        <f>'[8]LCT-3'!AM42</f>
        <v>0</v>
      </c>
      <c r="AF42" s="74">
        <f>'[8]LCT-3'!AN42</f>
        <v>0</v>
      </c>
      <c r="AG42" s="74">
        <f>'[8]LCT-3'!AO42</f>
        <v>0</v>
      </c>
      <c r="AH42" s="74">
        <f>'[8]LCT-3'!AP42</f>
        <v>0</v>
      </c>
      <c r="AI42" s="74">
        <f>'[8]LCT-3'!AQ42</f>
        <v>0</v>
      </c>
      <c r="AJ42" s="74">
        <f>'[8]LCT-3'!AR42</f>
        <v>0</v>
      </c>
      <c r="AK42" s="74">
        <f>'[8]LCT-3'!AS42</f>
        <v>0</v>
      </c>
      <c r="AL42" s="74">
        <f>'[8]LCT-3'!AT42</f>
        <v>0</v>
      </c>
      <c r="AM42" s="74">
        <f>'[8]LCT-3'!AU42</f>
        <v>0</v>
      </c>
      <c r="AN42" s="74">
        <f>'[8]LCT-3'!AV42</f>
        <v>0</v>
      </c>
      <c r="AO42" s="74">
        <f>'[8]LCT-3'!AW42</f>
        <v>0</v>
      </c>
      <c r="AP42" s="74">
        <f>'[8]LCT-3'!AX42</f>
        <v>0</v>
      </c>
      <c r="AQ42" s="74">
        <f>'[8]LCT-3'!AY42</f>
        <v>0</v>
      </c>
      <c r="AR42" s="74">
        <f>'[8]LCT-3'!AZ42</f>
        <v>0</v>
      </c>
      <c r="AS42" s="74">
        <f>'[8]LCT-3'!BA42</f>
        <v>0</v>
      </c>
      <c r="AT42" s="63">
        <f>'[8]LCT-3'!BB42</f>
        <v>0</v>
      </c>
      <c r="AU42" s="73">
        <f>'[8]LCT-3'!BC42</f>
        <v>0</v>
      </c>
      <c r="AV42" s="73">
        <f>'[8]LCT-3'!BD42</f>
        <v>0</v>
      </c>
      <c r="AW42" s="73">
        <f>'[8]LCT-3'!BE42</f>
        <v>0</v>
      </c>
      <c r="AX42" s="73">
        <f>'[8]LCT-3'!BF42</f>
        <v>0</v>
      </c>
      <c r="AY42" s="73">
        <f>'[8]LCT-3'!BG42</f>
        <v>0</v>
      </c>
      <c r="AZ42" s="73">
        <f>'[8]LCT-3'!BH42</f>
        <v>0</v>
      </c>
      <c r="BA42" s="73">
        <f>'[8]LCT-3'!BI42</f>
        <v>0</v>
      </c>
      <c r="BB42" s="73">
        <f>'[8]LCT-3'!BJ42</f>
        <v>0</v>
      </c>
      <c r="BC42" s="73">
        <f>'[8]LCT-3'!BK42</f>
        <v>0</v>
      </c>
      <c r="BD42" s="73">
        <f>'[8]LCT-3'!BL42</f>
        <v>0</v>
      </c>
      <c r="BE42" s="73">
        <f>'[8]LCT-3'!BM42</f>
        <v>0</v>
      </c>
      <c r="BF42" s="73">
        <f>'[8]LCT-3'!BN42</f>
        <v>0</v>
      </c>
      <c r="BG42" s="73">
        <f>'[8]LCT-3'!BO42</f>
        <v>0</v>
      </c>
      <c r="BH42" s="73">
        <f>'[8]LCT-3'!BP42</f>
        <v>0</v>
      </c>
      <c r="BI42" s="73">
        <f>'[8]LCT-3'!BQ42</f>
        <v>0</v>
      </c>
      <c r="BJ42" s="73">
        <f>'[8]LCT-3'!BR42</f>
        <v>0</v>
      </c>
      <c r="BK42" s="73">
        <f>'[8]LCT-3'!BS42</f>
        <v>0</v>
      </c>
      <c r="BL42" s="73">
        <f>'[8]LCT-3'!BT42</f>
        <v>0</v>
      </c>
      <c r="BM42" s="73">
        <f>'[8]LCT-3'!BU42</f>
        <v>0</v>
      </c>
      <c r="BN42" s="73">
        <f>'[8]LCT-3'!BV42</f>
        <v>0</v>
      </c>
      <c r="BO42" s="73">
        <f>'[8]LCT-3'!BW42</f>
        <v>0</v>
      </c>
      <c r="BP42" s="64">
        <f>'[8]LCT-3'!BX42</f>
        <v>0</v>
      </c>
    </row>
    <row r="43" spans="1:68" x14ac:dyDescent="0.35">
      <c r="A43" s="13">
        <v>40</v>
      </c>
      <c r="B43" s="62">
        <f>'[8]LCT-4'!$C$8</f>
        <v>0</v>
      </c>
      <c r="C43" s="72">
        <f>'[8]LCT-4'!AG80</f>
        <v>0</v>
      </c>
      <c r="D43" s="72">
        <f>'[8]LCT-4'!AH80</f>
        <v>0</v>
      </c>
      <c r="E43" s="72">
        <f>'[8]LCT-4'!AI80</f>
        <v>0</v>
      </c>
      <c r="F43" s="72">
        <f>'[8]LCT-4'!AJ80</f>
        <v>0</v>
      </c>
      <c r="G43" s="72">
        <f>'[8]LCT-4'!AK80</f>
        <v>0</v>
      </c>
      <c r="H43" s="72">
        <f>'[8]LCT-4'!AL80</f>
        <v>0</v>
      </c>
      <c r="I43" s="72">
        <f>'[8]LCT-4'!AM80</f>
        <v>0</v>
      </c>
      <c r="J43" s="72">
        <f>'[8]LCT-4'!AN80</f>
        <v>0</v>
      </c>
      <c r="K43" s="72">
        <f>'[8]LCT-4'!AO80</f>
        <v>0</v>
      </c>
      <c r="L43" s="72">
        <f>'[8]LCT-4'!AP80</f>
        <v>0</v>
      </c>
      <c r="M43" s="72">
        <f>'[8]LCT-4'!AQ80</f>
        <v>0</v>
      </c>
      <c r="N43" s="72">
        <f>'[8]LCT-4'!AR80</f>
        <v>0</v>
      </c>
      <c r="O43" s="72">
        <f>'[8]LCT-4'!AS80</f>
        <v>0</v>
      </c>
      <c r="P43" s="72">
        <f>'[8]LCT-4'!AT80</f>
        <v>0</v>
      </c>
      <c r="Q43" s="72">
        <f>'[8]LCT-4'!AU80</f>
        <v>0</v>
      </c>
      <c r="R43" s="72">
        <f>'[8]LCT-4'!AV80</f>
        <v>0</v>
      </c>
      <c r="S43" s="72">
        <f>'[8]LCT-4'!AW80</f>
        <v>0</v>
      </c>
      <c r="T43" s="72">
        <f>'[8]LCT-4'!AX80</f>
        <v>0</v>
      </c>
      <c r="U43" s="72">
        <f>'[8]LCT-4'!AY80</f>
        <v>0</v>
      </c>
      <c r="V43" s="72">
        <f>'[8]LCT-4'!AZ80</f>
        <v>0</v>
      </c>
      <c r="W43" s="72">
        <f>'[8]LCT-4'!BA80</f>
        <v>0</v>
      </c>
      <c r="X43" s="68">
        <f>'[8]LCT-4'!BB80</f>
        <v>0</v>
      </c>
      <c r="Y43" s="74">
        <f>'[8]LCT-4'!AG42</f>
        <v>0</v>
      </c>
      <c r="Z43" s="74">
        <f>'[8]LCT-4'!AH42</f>
        <v>0</v>
      </c>
      <c r="AA43" s="74">
        <f>'[8]LCT-4'!AI42</f>
        <v>0</v>
      </c>
      <c r="AB43" s="74">
        <f>'[8]LCT-4'!AJ42</f>
        <v>0</v>
      </c>
      <c r="AC43" s="74">
        <f>'[8]LCT-4'!AK42</f>
        <v>0</v>
      </c>
      <c r="AD43" s="74">
        <f>'[8]LCT-4'!AL42</f>
        <v>0</v>
      </c>
      <c r="AE43" s="74">
        <f>'[8]LCT-4'!AM42</f>
        <v>0</v>
      </c>
      <c r="AF43" s="74">
        <f>'[8]LCT-4'!AN42</f>
        <v>0</v>
      </c>
      <c r="AG43" s="74">
        <f>'[8]LCT-4'!AO42</f>
        <v>0</v>
      </c>
      <c r="AH43" s="74">
        <f>'[8]LCT-4'!AP42</f>
        <v>0</v>
      </c>
      <c r="AI43" s="74">
        <f>'[8]LCT-4'!AQ42</f>
        <v>0</v>
      </c>
      <c r="AJ43" s="74">
        <f>'[8]LCT-4'!AR42</f>
        <v>0</v>
      </c>
      <c r="AK43" s="74">
        <f>'[8]LCT-4'!AS42</f>
        <v>0</v>
      </c>
      <c r="AL43" s="74">
        <f>'[8]LCT-4'!AT42</f>
        <v>0</v>
      </c>
      <c r="AM43" s="74">
        <f>'[8]LCT-4'!AU42</f>
        <v>0</v>
      </c>
      <c r="AN43" s="74">
        <f>'[8]LCT-4'!AV42</f>
        <v>0</v>
      </c>
      <c r="AO43" s="74">
        <f>'[8]LCT-4'!AW42</f>
        <v>0</v>
      </c>
      <c r="AP43" s="74">
        <f>'[8]LCT-4'!AX42</f>
        <v>0</v>
      </c>
      <c r="AQ43" s="74">
        <f>'[8]LCT-4'!AY42</f>
        <v>0</v>
      </c>
      <c r="AR43" s="74">
        <f>'[8]LCT-4'!AZ42</f>
        <v>0</v>
      </c>
      <c r="AS43" s="74">
        <f>'[8]LCT-4'!BA42</f>
        <v>0</v>
      </c>
      <c r="AT43" s="63">
        <f>'[8]LCT-4'!BB42</f>
        <v>0</v>
      </c>
      <c r="AU43" s="73">
        <f>'[8]LCT-4'!BC42</f>
        <v>0</v>
      </c>
      <c r="AV43" s="73">
        <f>'[8]LCT-4'!BD42</f>
        <v>0</v>
      </c>
      <c r="AW43" s="73">
        <f>'[8]LCT-4'!BE42</f>
        <v>0</v>
      </c>
      <c r="AX43" s="73">
        <f>'[8]LCT-4'!BF42</f>
        <v>0</v>
      </c>
      <c r="AY43" s="73">
        <f>'[8]LCT-4'!BG42</f>
        <v>0</v>
      </c>
      <c r="AZ43" s="73">
        <f>'[8]LCT-4'!BH42</f>
        <v>0</v>
      </c>
      <c r="BA43" s="73">
        <f>'[8]LCT-4'!BI42</f>
        <v>0</v>
      </c>
      <c r="BB43" s="73">
        <f>'[8]LCT-4'!BJ42</f>
        <v>0</v>
      </c>
      <c r="BC43" s="73">
        <f>'[8]LCT-4'!BK42</f>
        <v>0</v>
      </c>
      <c r="BD43" s="73">
        <f>'[8]LCT-4'!BL42</f>
        <v>0</v>
      </c>
      <c r="BE43" s="73">
        <f>'[8]LCT-4'!BM42</f>
        <v>0</v>
      </c>
      <c r="BF43" s="73">
        <f>'[8]LCT-4'!BN42</f>
        <v>0</v>
      </c>
      <c r="BG43" s="73">
        <f>'[8]LCT-4'!BO42</f>
        <v>0</v>
      </c>
      <c r="BH43" s="73">
        <f>'[8]LCT-4'!BP42</f>
        <v>0</v>
      </c>
      <c r="BI43" s="73">
        <f>'[8]LCT-4'!BQ42</f>
        <v>0</v>
      </c>
      <c r="BJ43" s="73">
        <f>'[8]LCT-4'!BR42</f>
        <v>0</v>
      </c>
      <c r="BK43" s="73">
        <f>'[8]LCT-4'!BS42</f>
        <v>0</v>
      </c>
      <c r="BL43" s="73">
        <f>'[8]LCT-4'!BT42</f>
        <v>0</v>
      </c>
      <c r="BM43" s="73">
        <f>'[8]LCT-4'!BU42</f>
        <v>0</v>
      </c>
      <c r="BN43" s="73">
        <f>'[8]LCT-4'!BV42</f>
        <v>0</v>
      </c>
      <c r="BO43" s="73">
        <f>'[8]LCT-4'!BW42</f>
        <v>0</v>
      </c>
      <c r="BP43" s="64">
        <f>'[8]LCT-4'!BX42</f>
        <v>0</v>
      </c>
    </row>
    <row r="44" spans="1:68" x14ac:dyDescent="0.35">
      <c r="A44" s="13">
        <v>41</v>
      </c>
      <c r="B44" s="62">
        <f>'[8]LCT-5'!$C$8</f>
        <v>0</v>
      </c>
      <c r="C44" s="72">
        <f>'[8]LCT-5'!AG80</f>
        <v>0</v>
      </c>
      <c r="D44" s="72">
        <f>'[8]LCT-5'!AH80</f>
        <v>0</v>
      </c>
      <c r="E44" s="72">
        <f>'[8]LCT-5'!AI80</f>
        <v>0</v>
      </c>
      <c r="F44" s="72">
        <f>'[8]LCT-5'!AJ80</f>
        <v>0</v>
      </c>
      <c r="G44" s="72">
        <f>'[8]LCT-5'!AK80</f>
        <v>0</v>
      </c>
      <c r="H44" s="72">
        <f>'[8]LCT-5'!AL80</f>
        <v>0</v>
      </c>
      <c r="I44" s="72">
        <f>'[8]LCT-5'!AM80</f>
        <v>0</v>
      </c>
      <c r="J44" s="72">
        <f>'[8]LCT-5'!AN80</f>
        <v>0</v>
      </c>
      <c r="K44" s="72">
        <f>'[8]LCT-5'!AO80</f>
        <v>0</v>
      </c>
      <c r="L44" s="72">
        <f>'[8]LCT-5'!AP80</f>
        <v>0</v>
      </c>
      <c r="M44" s="72">
        <f>'[8]LCT-5'!AQ80</f>
        <v>0</v>
      </c>
      <c r="N44" s="72">
        <f>'[8]LCT-5'!AR80</f>
        <v>0</v>
      </c>
      <c r="O44" s="72">
        <f>'[8]LCT-5'!AS80</f>
        <v>0</v>
      </c>
      <c r="P44" s="72">
        <f>'[8]LCT-5'!AT80</f>
        <v>0</v>
      </c>
      <c r="Q44" s="72">
        <f>'[8]LCT-5'!AU80</f>
        <v>0</v>
      </c>
      <c r="R44" s="72">
        <f>'[8]LCT-5'!AV80</f>
        <v>0</v>
      </c>
      <c r="S44" s="72">
        <f>'[8]LCT-5'!AW80</f>
        <v>0</v>
      </c>
      <c r="T44" s="72">
        <f>'[8]LCT-5'!AX80</f>
        <v>0</v>
      </c>
      <c r="U44" s="72">
        <f>'[8]LCT-5'!AY80</f>
        <v>0</v>
      </c>
      <c r="V44" s="72">
        <f>'[8]LCT-5'!AZ80</f>
        <v>0</v>
      </c>
      <c r="W44" s="72">
        <f>'[8]LCT-5'!BA80</f>
        <v>0</v>
      </c>
      <c r="X44" s="68">
        <f>'[8]LCT-5'!BB80</f>
        <v>0</v>
      </c>
      <c r="Y44" s="74">
        <f>'[8]LCT-5'!AG42</f>
        <v>0</v>
      </c>
      <c r="Z44" s="74">
        <f>'[8]LCT-5'!AH42</f>
        <v>0</v>
      </c>
      <c r="AA44" s="74">
        <f>'[8]LCT-5'!AI42</f>
        <v>0</v>
      </c>
      <c r="AB44" s="74">
        <f>'[8]LCT-5'!AJ42</f>
        <v>0</v>
      </c>
      <c r="AC44" s="74">
        <f>'[8]LCT-5'!AK42</f>
        <v>0</v>
      </c>
      <c r="AD44" s="74">
        <f>'[8]LCT-5'!AL42</f>
        <v>0</v>
      </c>
      <c r="AE44" s="74">
        <f>'[8]LCT-5'!AM42</f>
        <v>0</v>
      </c>
      <c r="AF44" s="74">
        <f>'[8]LCT-5'!AN42</f>
        <v>0</v>
      </c>
      <c r="AG44" s="74">
        <f>'[8]LCT-5'!AO42</f>
        <v>0</v>
      </c>
      <c r="AH44" s="74">
        <f>'[8]LCT-5'!AP42</f>
        <v>0</v>
      </c>
      <c r="AI44" s="74">
        <f>'[8]LCT-5'!AQ42</f>
        <v>0</v>
      </c>
      <c r="AJ44" s="74">
        <f>'[8]LCT-5'!AR42</f>
        <v>0</v>
      </c>
      <c r="AK44" s="74">
        <f>'[8]LCT-5'!AS42</f>
        <v>0</v>
      </c>
      <c r="AL44" s="74">
        <f>'[8]LCT-5'!AT42</f>
        <v>0</v>
      </c>
      <c r="AM44" s="74">
        <f>'[8]LCT-5'!AU42</f>
        <v>0</v>
      </c>
      <c r="AN44" s="74">
        <f>'[8]LCT-5'!AV42</f>
        <v>0</v>
      </c>
      <c r="AO44" s="74">
        <f>'[8]LCT-5'!AW42</f>
        <v>0</v>
      </c>
      <c r="AP44" s="74">
        <f>'[8]LCT-5'!AX42</f>
        <v>0</v>
      </c>
      <c r="AQ44" s="74">
        <f>'[8]LCT-5'!AY42</f>
        <v>0</v>
      </c>
      <c r="AR44" s="74">
        <f>'[8]LCT-5'!AZ42</f>
        <v>0</v>
      </c>
      <c r="AS44" s="74">
        <f>'[8]LCT-5'!BA42</f>
        <v>0</v>
      </c>
      <c r="AT44" s="63">
        <f>'[8]LCT-5'!BB42</f>
        <v>0</v>
      </c>
      <c r="AU44" s="73">
        <f>'[8]LCT-5'!BC42</f>
        <v>0</v>
      </c>
      <c r="AV44" s="73">
        <f>'[8]LCT-5'!BD42</f>
        <v>0</v>
      </c>
      <c r="AW44" s="73">
        <f>'[8]LCT-5'!BE42</f>
        <v>0</v>
      </c>
      <c r="AX44" s="73">
        <f>'[8]LCT-5'!BF42</f>
        <v>0</v>
      </c>
      <c r="AY44" s="73">
        <f>'[8]LCT-5'!BG42</f>
        <v>0</v>
      </c>
      <c r="AZ44" s="73">
        <f>'[8]LCT-5'!BH42</f>
        <v>0</v>
      </c>
      <c r="BA44" s="73">
        <f>'[8]LCT-5'!BI42</f>
        <v>0</v>
      </c>
      <c r="BB44" s="73">
        <f>'[8]LCT-5'!BJ42</f>
        <v>0</v>
      </c>
      <c r="BC44" s="73">
        <f>'[8]LCT-5'!BK42</f>
        <v>0</v>
      </c>
      <c r="BD44" s="73">
        <f>'[8]LCT-5'!BL42</f>
        <v>0</v>
      </c>
      <c r="BE44" s="73">
        <f>'[8]LCT-5'!BM42</f>
        <v>0</v>
      </c>
      <c r="BF44" s="73">
        <f>'[8]LCT-5'!BN42</f>
        <v>0</v>
      </c>
      <c r="BG44" s="73">
        <f>'[8]LCT-5'!BO42</f>
        <v>0</v>
      </c>
      <c r="BH44" s="73">
        <f>'[8]LCT-5'!BP42</f>
        <v>0</v>
      </c>
      <c r="BI44" s="73">
        <f>'[8]LCT-5'!BQ42</f>
        <v>0</v>
      </c>
      <c r="BJ44" s="73">
        <f>'[8]LCT-5'!BR42</f>
        <v>0</v>
      </c>
      <c r="BK44" s="73">
        <f>'[8]LCT-5'!BS42</f>
        <v>0</v>
      </c>
      <c r="BL44" s="73">
        <f>'[8]LCT-5'!BT42</f>
        <v>0</v>
      </c>
      <c r="BM44" s="73">
        <f>'[8]LCT-5'!BU42</f>
        <v>0</v>
      </c>
      <c r="BN44" s="73">
        <f>'[8]LCT-5'!BV42</f>
        <v>0</v>
      </c>
      <c r="BO44" s="73">
        <f>'[8]LCT-5'!BW42</f>
        <v>0</v>
      </c>
      <c r="BP44" s="64">
        <f>'[8]LCT-5'!BX42</f>
        <v>0</v>
      </c>
    </row>
    <row r="45" spans="1:68" x14ac:dyDescent="0.35">
      <c r="A45" s="13">
        <v>42</v>
      </c>
      <c r="B45" s="62">
        <f>'[8]LCT-6'!$C$8</f>
        <v>0</v>
      </c>
      <c r="C45" s="72">
        <f>'[8]LCT-6'!AG80</f>
        <v>0</v>
      </c>
      <c r="D45" s="72">
        <f>'[8]LCT-6'!AH80</f>
        <v>0</v>
      </c>
      <c r="E45" s="72">
        <f>'[8]LCT-6'!AI80</f>
        <v>0</v>
      </c>
      <c r="F45" s="72">
        <f>'[8]LCT-6'!AJ80</f>
        <v>0</v>
      </c>
      <c r="G45" s="72">
        <f>'[8]LCT-6'!AK80</f>
        <v>0</v>
      </c>
      <c r="H45" s="72">
        <f>'[8]LCT-6'!AL80</f>
        <v>0</v>
      </c>
      <c r="I45" s="72">
        <f>'[8]LCT-6'!AM80</f>
        <v>0</v>
      </c>
      <c r="J45" s="72">
        <f>'[8]LCT-6'!AN80</f>
        <v>0</v>
      </c>
      <c r="K45" s="72">
        <f>'[8]LCT-6'!AO80</f>
        <v>0</v>
      </c>
      <c r="L45" s="72">
        <f>'[8]LCT-6'!AP80</f>
        <v>0</v>
      </c>
      <c r="M45" s="72">
        <f>'[8]LCT-6'!AQ80</f>
        <v>0</v>
      </c>
      <c r="N45" s="72">
        <f>'[8]LCT-6'!AR80</f>
        <v>0</v>
      </c>
      <c r="O45" s="72">
        <f>'[8]LCT-6'!AS80</f>
        <v>0</v>
      </c>
      <c r="P45" s="72">
        <f>'[8]LCT-6'!AT80</f>
        <v>0</v>
      </c>
      <c r="Q45" s="72">
        <f>'[8]LCT-6'!AU80</f>
        <v>0</v>
      </c>
      <c r="R45" s="72">
        <f>'[8]LCT-6'!AV80</f>
        <v>0</v>
      </c>
      <c r="S45" s="72">
        <f>'[8]LCT-6'!AW80</f>
        <v>0</v>
      </c>
      <c r="T45" s="72">
        <f>'[8]LCT-6'!AX80</f>
        <v>0</v>
      </c>
      <c r="U45" s="72">
        <f>'[8]LCT-6'!AY80</f>
        <v>0</v>
      </c>
      <c r="V45" s="72">
        <f>'[8]LCT-6'!AZ80</f>
        <v>0</v>
      </c>
      <c r="W45" s="72">
        <f>'[8]LCT-6'!BA80</f>
        <v>0</v>
      </c>
      <c r="X45" s="68">
        <f>'[8]LCT-6'!BB80</f>
        <v>0</v>
      </c>
      <c r="Y45" s="74">
        <f>'[8]LCT-6'!AG42</f>
        <v>0</v>
      </c>
      <c r="Z45" s="74">
        <f>'[8]LCT-6'!AH42</f>
        <v>0</v>
      </c>
      <c r="AA45" s="74">
        <f>'[8]LCT-6'!AI42</f>
        <v>0</v>
      </c>
      <c r="AB45" s="74">
        <f>'[8]LCT-6'!AJ42</f>
        <v>0</v>
      </c>
      <c r="AC45" s="74">
        <f>'[8]LCT-6'!AK42</f>
        <v>0</v>
      </c>
      <c r="AD45" s="74">
        <f>'[8]LCT-6'!AL42</f>
        <v>0</v>
      </c>
      <c r="AE45" s="74">
        <f>'[8]LCT-6'!AM42</f>
        <v>0</v>
      </c>
      <c r="AF45" s="74">
        <f>'[8]LCT-6'!AN42</f>
        <v>0</v>
      </c>
      <c r="AG45" s="74">
        <f>'[8]LCT-6'!AO42</f>
        <v>0</v>
      </c>
      <c r="AH45" s="74">
        <f>'[8]LCT-6'!AP42</f>
        <v>0</v>
      </c>
      <c r="AI45" s="74">
        <f>'[8]LCT-6'!AQ42</f>
        <v>0</v>
      </c>
      <c r="AJ45" s="74">
        <f>'[8]LCT-6'!AR42</f>
        <v>0</v>
      </c>
      <c r="AK45" s="74">
        <f>'[8]LCT-6'!AS42</f>
        <v>0</v>
      </c>
      <c r="AL45" s="74">
        <f>'[8]LCT-6'!AT42</f>
        <v>0</v>
      </c>
      <c r="AM45" s="74">
        <f>'[8]LCT-6'!AU42</f>
        <v>0</v>
      </c>
      <c r="AN45" s="74">
        <f>'[8]LCT-6'!AV42</f>
        <v>0</v>
      </c>
      <c r="AO45" s="74">
        <f>'[8]LCT-6'!AW42</f>
        <v>0</v>
      </c>
      <c r="AP45" s="74">
        <f>'[8]LCT-6'!AX42</f>
        <v>0</v>
      </c>
      <c r="AQ45" s="74">
        <f>'[8]LCT-6'!AY42</f>
        <v>0</v>
      </c>
      <c r="AR45" s="74">
        <f>'[8]LCT-6'!AZ42</f>
        <v>0</v>
      </c>
      <c r="AS45" s="74">
        <f>'[8]LCT-6'!BA42</f>
        <v>0</v>
      </c>
      <c r="AT45" s="63">
        <f>'[8]LCT-6'!BB42</f>
        <v>0</v>
      </c>
      <c r="AU45" s="73">
        <f>'[8]LCT-6'!BC42</f>
        <v>0</v>
      </c>
      <c r="AV45" s="73">
        <f>'[8]LCT-6'!BD42</f>
        <v>0</v>
      </c>
      <c r="AW45" s="73">
        <f>'[8]LCT-6'!BE42</f>
        <v>0</v>
      </c>
      <c r="AX45" s="73">
        <f>'[8]LCT-6'!BF42</f>
        <v>0</v>
      </c>
      <c r="AY45" s="73">
        <f>'[8]LCT-6'!BG42</f>
        <v>0</v>
      </c>
      <c r="AZ45" s="73">
        <f>'[8]LCT-6'!BH42</f>
        <v>0</v>
      </c>
      <c r="BA45" s="73">
        <f>'[8]LCT-6'!BI42</f>
        <v>0</v>
      </c>
      <c r="BB45" s="73">
        <f>'[8]LCT-6'!BJ42</f>
        <v>0</v>
      </c>
      <c r="BC45" s="73">
        <f>'[8]LCT-6'!BK42</f>
        <v>0</v>
      </c>
      <c r="BD45" s="73">
        <f>'[8]LCT-6'!BL42</f>
        <v>0</v>
      </c>
      <c r="BE45" s="73">
        <f>'[8]LCT-6'!BM42</f>
        <v>0</v>
      </c>
      <c r="BF45" s="73">
        <f>'[8]LCT-6'!BN42</f>
        <v>0</v>
      </c>
      <c r="BG45" s="73">
        <f>'[8]LCT-6'!BO42</f>
        <v>0</v>
      </c>
      <c r="BH45" s="73">
        <f>'[8]LCT-6'!BP42</f>
        <v>0</v>
      </c>
      <c r="BI45" s="73">
        <f>'[8]LCT-6'!BQ42</f>
        <v>0</v>
      </c>
      <c r="BJ45" s="73">
        <f>'[8]LCT-6'!BR42</f>
        <v>0</v>
      </c>
      <c r="BK45" s="73">
        <f>'[8]LCT-6'!BS42</f>
        <v>0</v>
      </c>
      <c r="BL45" s="73">
        <f>'[8]LCT-6'!BT42</f>
        <v>0</v>
      </c>
      <c r="BM45" s="73">
        <f>'[8]LCT-6'!BU42</f>
        <v>0</v>
      </c>
      <c r="BN45" s="73">
        <f>'[8]LCT-6'!BV42</f>
        <v>0</v>
      </c>
      <c r="BO45" s="73">
        <f>'[8]LCT-6'!BW42</f>
        <v>0</v>
      </c>
      <c r="BP45" s="64">
        <f>'[8]LCT-6'!BX42</f>
        <v>0</v>
      </c>
    </row>
    <row r="46" spans="1:68" x14ac:dyDescent="0.35">
      <c r="A46" s="13">
        <v>43</v>
      </c>
      <c r="B46" s="62">
        <f>'[8]LCT-7'!$C$8</f>
        <v>0</v>
      </c>
      <c r="C46" s="72">
        <f>'[8]LCT-7'!AG80</f>
        <v>0</v>
      </c>
      <c r="D46" s="72">
        <f>'[8]LCT-7'!AH80</f>
        <v>0</v>
      </c>
      <c r="E46" s="72">
        <f>'[8]LCT-7'!AI80</f>
        <v>0</v>
      </c>
      <c r="F46" s="72">
        <f>'[8]LCT-7'!AJ80</f>
        <v>0</v>
      </c>
      <c r="G46" s="72">
        <f>'[8]LCT-7'!AK80</f>
        <v>0</v>
      </c>
      <c r="H46" s="72">
        <f>'[8]LCT-7'!AL80</f>
        <v>0</v>
      </c>
      <c r="I46" s="72">
        <f>'[8]LCT-7'!AM80</f>
        <v>0</v>
      </c>
      <c r="J46" s="72">
        <f>'[8]LCT-7'!AN80</f>
        <v>0</v>
      </c>
      <c r="K46" s="72">
        <f>'[8]LCT-7'!AO80</f>
        <v>0</v>
      </c>
      <c r="L46" s="72">
        <f>'[8]LCT-7'!AP80</f>
        <v>0</v>
      </c>
      <c r="M46" s="72">
        <f>'[8]LCT-7'!AQ80</f>
        <v>0</v>
      </c>
      <c r="N46" s="72">
        <f>'[8]LCT-7'!AR80</f>
        <v>0</v>
      </c>
      <c r="O46" s="72">
        <f>'[8]LCT-7'!AS80</f>
        <v>0</v>
      </c>
      <c r="P46" s="72">
        <f>'[8]LCT-7'!AT80</f>
        <v>0</v>
      </c>
      <c r="Q46" s="72">
        <f>'[8]LCT-7'!AU80</f>
        <v>0</v>
      </c>
      <c r="R46" s="72">
        <f>'[8]LCT-7'!AV80</f>
        <v>0</v>
      </c>
      <c r="S46" s="72">
        <f>'[8]LCT-7'!AW80</f>
        <v>0</v>
      </c>
      <c r="T46" s="72">
        <f>'[8]LCT-7'!AX80</f>
        <v>0</v>
      </c>
      <c r="U46" s="72">
        <f>'[8]LCT-7'!AY80</f>
        <v>0</v>
      </c>
      <c r="V46" s="72">
        <f>'[8]LCT-7'!AZ80</f>
        <v>0</v>
      </c>
      <c r="W46" s="72">
        <f>'[8]LCT-7'!BA80</f>
        <v>0</v>
      </c>
      <c r="X46" s="68">
        <f>'[8]LCT-7'!BB80</f>
        <v>0</v>
      </c>
      <c r="Y46" s="74">
        <f>'[8]LCT-7'!AG42</f>
        <v>0</v>
      </c>
      <c r="Z46" s="74">
        <f>'[8]LCT-7'!AH42</f>
        <v>0</v>
      </c>
      <c r="AA46" s="74">
        <f>'[8]LCT-7'!AI42</f>
        <v>0</v>
      </c>
      <c r="AB46" s="74">
        <f>'[8]LCT-7'!AJ42</f>
        <v>0</v>
      </c>
      <c r="AC46" s="74">
        <f>'[8]LCT-7'!AK42</f>
        <v>0</v>
      </c>
      <c r="AD46" s="74">
        <f>'[8]LCT-7'!AL42</f>
        <v>0</v>
      </c>
      <c r="AE46" s="74">
        <f>'[8]LCT-7'!AM42</f>
        <v>0</v>
      </c>
      <c r="AF46" s="74">
        <f>'[8]LCT-7'!AN42</f>
        <v>0</v>
      </c>
      <c r="AG46" s="74">
        <f>'[8]LCT-7'!AO42</f>
        <v>0</v>
      </c>
      <c r="AH46" s="74">
        <f>'[8]LCT-7'!AP42</f>
        <v>0</v>
      </c>
      <c r="AI46" s="74">
        <f>'[8]LCT-7'!AQ42</f>
        <v>0</v>
      </c>
      <c r="AJ46" s="74">
        <f>'[8]LCT-7'!AR42</f>
        <v>0</v>
      </c>
      <c r="AK46" s="74">
        <f>'[8]LCT-7'!AS42</f>
        <v>0</v>
      </c>
      <c r="AL46" s="74">
        <f>'[8]LCT-7'!AT42</f>
        <v>0</v>
      </c>
      <c r="AM46" s="74">
        <f>'[8]LCT-7'!AU42</f>
        <v>0</v>
      </c>
      <c r="AN46" s="74">
        <f>'[8]LCT-7'!AV42</f>
        <v>0</v>
      </c>
      <c r="AO46" s="74">
        <f>'[8]LCT-7'!AW42</f>
        <v>0</v>
      </c>
      <c r="AP46" s="74">
        <f>'[8]LCT-7'!AX42</f>
        <v>0</v>
      </c>
      <c r="AQ46" s="74">
        <f>'[8]LCT-7'!AY42</f>
        <v>0</v>
      </c>
      <c r="AR46" s="74">
        <f>'[8]LCT-7'!AZ42</f>
        <v>0</v>
      </c>
      <c r="AS46" s="74">
        <f>'[8]LCT-7'!BA42</f>
        <v>0</v>
      </c>
      <c r="AT46" s="63">
        <f>'[8]LCT-7'!BB42</f>
        <v>0</v>
      </c>
      <c r="AU46" s="73">
        <f>'[8]LCT-7'!BC42</f>
        <v>0</v>
      </c>
      <c r="AV46" s="73">
        <f>'[8]LCT-7'!BD42</f>
        <v>0</v>
      </c>
      <c r="AW46" s="73">
        <f>'[8]LCT-7'!BE42</f>
        <v>0</v>
      </c>
      <c r="AX46" s="73">
        <f>'[8]LCT-7'!BF42</f>
        <v>0</v>
      </c>
      <c r="AY46" s="73">
        <f>'[8]LCT-7'!BG42</f>
        <v>0</v>
      </c>
      <c r="AZ46" s="73">
        <f>'[8]LCT-7'!BH42</f>
        <v>0</v>
      </c>
      <c r="BA46" s="73">
        <f>'[8]LCT-7'!BI42</f>
        <v>0</v>
      </c>
      <c r="BB46" s="73">
        <f>'[8]LCT-7'!BJ42</f>
        <v>0</v>
      </c>
      <c r="BC46" s="73">
        <f>'[8]LCT-7'!BK42</f>
        <v>0</v>
      </c>
      <c r="BD46" s="73">
        <f>'[8]LCT-7'!BL42</f>
        <v>0</v>
      </c>
      <c r="BE46" s="73">
        <f>'[8]LCT-7'!BM42</f>
        <v>0</v>
      </c>
      <c r="BF46" s="73">
        <f>'[8]LCT-7'!BN42</f>
        <v>0</v>
      </c>
      <c r="BG46" s="73">
        <f>'[8]LCT-7'!BO42</f>
        <v>0</v>
      </c>
      <c r="BH46" s="73">
        <f>'[8]LCT-7'!BP42</f>
        <v>0</v>
      </c>
      <c r="BI46" s="73">
        <f>'[8]LCT-7'!BQ42</f>
        <v>0</v>
      </c>
      <c r="BJ46" s="73">
        <f>'[8]LCT-7'!BR42</f>
        <v>0</v>
      </c>
      <c r="BK46" s="73">
        <f>'[8]LCT-7'!BS42</f>
        <v>0</v>
      </c>
      <c r="BL46" s="73">
        <f>'[8]LCT-7'!BT42</f>
        <v>0</v>
      </c>
      <c r="BM46" s="73">
        <f>'[8]LCT-7'!BU42</f>
        <v>0</v>
      </c>
      <c r="BN46" s="73">
        <f>'[8]LCT-7'!BV42</f>
        <v>0</v>
      </c>
      <c r="BO46" s="73">
        <f>'[8]LCT-7'!BW42</f>
        <v>0</v>
      </c>
      <c r="BP46" s="64">
        <f>'[8]LCT-7'!BX42</f>
        <v>0</v>
      </c>
    </row>
    <row r="47" spans="1:68" x14ac:dyDescent="0.35">
      <c r="A47" s="13">
        <v>44</v>
      </c>
      <c r="B47" s="62" t="str">
        <f>'[8]LCT-8'!$C$8</f>
        <v>LCT TRANSKO BARITO</v>
      </c>
      <c r="C47" s="72">
        <f>'[8]LCT-8'!AG80</f>
        <v>0</v>
      </c>
      <c r="D47" s="72">
        <f>'[8]LCT-8'!AH80</f>
        <v>0</v>
      </c>
      <c r="E47" s="72">
        <f>'[8]LCT-8'!AI80</f>
        <v>0</v>
      </c>
      <c r="F47" s="72">
        <f>'[8]LCT-8'!AJ80</f>
        <v>0</v>
      </c>
      <c r="G47" s="72">
        <f>'[8]LCT-8'!AK80</f>
        <v>0</v>
      </c>
      <c r="H47" s="72">
        <f>'[8]LCT-8'!AL80</f>
        <v>0</v>
      </c>
      <c r="I47" s="72">
        <f>'[8]LCT-8'!AM80</f>
        <v>0</v>
      </c>
      <c r="J47" s="72">
        <f>'[8]LCT-8'!AN80</f>
        <v>0</v>
      </c>
      <c r="K47" s="72">
        <f>'[8]LCT-8'!AO80</f>
        <v>0</v>
      </c>
      <c r="L47" s="72">
        <f>'[8]LCT-8'!AP80</f>
        <v>0</v>
      </c>
      <c r="M47" s="72">
        <f>'[8]LCT-8'!AQ80</f>
        <v>0</v>
      </c>
      <c r="N47" s="72">
        <f>'[8]LCT-8'!AR80</f>
        <v>0</v>
      </c>
      <c r="O47" s="72">
        <f>'[8]LCT-8'!AS80</f>
        <v>0</v>
      </c>
      <c r="P47" s="72">
        <f>'[8]LCT-8'!AT80</f>
        <v>0</v>
      </c>
      <c r="Q47" s="72">
        <f>'[8]LCT-8'!AU80</f>
        <v>0</v>
      </c>
      <c r="R47" s="72">
        <f>'[8]LCT-8'!AV80</f>
        <v>0</v>
      </c>
      <c r="S47" s="72">
        <f>'[8]LCT-8'!AW80</f>
        <v>0</v>
      </c>
      <c r="T47" s="72">
        <f>'[8]LCT-8'!AX80</f>
        <v>0</v>
      </c>
      <c r="U47" s="72">
        <f>'[8]LCT-8'!AY80</f>
        <v>0</v>
      </c>
      <c r="V47" s="72">
        <f>'[8]LCT-8'!AZ80</f>
        <v>0</v>
      </c>
      <c r="W47" s="72">
        <f>'[8]LCT-8'!BA80</f>
        <v>0</v>
      </c>
      <c r="X47" s="68">
        <f>'[8]LCT-8'!BB80</f>
        <v>0</v>
      </c>
      <c r="Y47" s="74">
        <f>'[8]LCT-8'!AG42</f>
        <v>0</v>
      </c>
      <c r="Z47" s="74">
        <f>'[8]LCT-8'!AH42</f>
        <v>0</v>
      </c>
      <c r="AA47" s="74">
        <f>'[8]LCT-8'!AI42</f>
        <v>0</v>
      </c>
      <c r="AB47" s="74">
        <f>'[8]LCT-8'!AJ42</f>
        <v>0</v>
      </c>
      <c r="AC47" s="74">
        <f>'[8]LCT-8'!AK42</f>
        <v>0</v>
      </c>
      <c r="AD47" s="74">
        <f>'[8]LCT-8'!AL42</f>
        <v>0</v>
      </c>
      <c r="AE47" s="74">
        <f>'[8]LCT-8'!AM42</f>
        <v>0</v>
      </c>
      <c r="AF47" s="74">
        <f>'[8]LCT-8'!AN42</f>
        <v>0</v>
      </c>
      <c r="AG47" s="74">
        <f>'[8]LCT-8'!AO42</f>
        <v>0</v>
      </c>
      <c r="AH47" s="74">
        <f>'[8]LCT-8'!AP42</f>
        <v>0</v>
      </c>
      <c r="AI47" s="74">
        <f>'[8]LCT-8'!AQ42</f>
        <v>0</v>
      </c>
      <c r="AJ47" s="74">
        <f>'[8]LCT-8'!AR42</f>
        <v>0</v>
      </c>
      <c r="AK47" s="74">
        <f>'[8]LCT-8'!AS42</f>
        <v>0</v>
      </c>
      <c r="AL47" s="74">
        <f>'[8]LCT-8'!AT42</f>
        <v>0</v>
      </c>
      <c r="AM47" s="74">
        <f>'[8]LCT-8'!AU42</f>
        <v>0</v>
      </c>
      <c r="AN47" s="74">
        <f>'[8]LCT-8'!AV42</f>
        <v>0</v>
      </c>
      <c r="AO47" s="74">
        <f>'[8]LCT-8'!AW42</f>
        <v>0</v>
      </c>
      <c r="AP47" s="74">
        <f>'[8]LCT-8'!AX42</f>
        <v>0</v>
      </c>
      <c r="AQ47" s="74">
        <f>'[8]LCT-8'!AY42</f>
        <v>0</v>
      </c>
      <c r="AR47" s="74">
        <f>'[8]LCT-8'!AZ42</f>
        <v>0</v>
      </c>
      <c r="AS47" s="74">
        <f>'[8]LCT-8'!BA42</f>
        <v>0</v>
      </c>
      <c r="AT47" s="63">
        <f>'[8]LCT-8'!BB42</f>
        <v>0</v>
      </c>
      <c r="AU47" s="73">
        <f>'[8]LCT-8'!BC42</f>
        <v>0</v>
      </c>
      <c r="AV47" s="73">
        <f>'[8]LCT-8'!BD42</f>
        <v>0</v>
      </c>
      <c r="AW47" s="73">
        <f>'[8]LCT-8'!BE42</f>
        <v>0</v>
      </c>
      <c r="AX47" s="73">
        <f>'[8]LCT-8'!BF42</f>
        <v>0</v>
      </c>
      <c r="AY47" s="73">
        <f>'[8]LCT-8'!BG42</f>
        <v>0</v>
      </c>
      <c r="AZ47" s="73">
        <f>'[8]LCT-8'!BH42</f>
        <v>0</v>
      </c>
      <c r="BA47" s="73">
        <f>'[8]LCT-8'!BI42</f>
        <v>0</v>
      </c>
      <c r="BB47" s="73">
        <f>'[8]LCT-8'!BJ42</f>
        <v>0</v>
      </c>
      <c r="BC47" s="73">
        <f>'[8]LCT-8'!BK42</f>
        <v>0</v>
      </c>
      <c r="BD47" s="73">
        <f>'[8]LCT-8'!BL42</f>
        <v>0</v>
      </c>
      <c r="BE47" s="73">
        <f>'[8]LCT-8'!BM42</f>
        <v>0</v>
      </c>
      <c r="BF47" s="73">
        <f>'[8]LCT-8'!BN42</f>
        <v>0</v>
      </c>
      <c r="BG47" s="73">
        <f>'[8]LCT-8'!BO42</f>
        <v>0</v>
      </c>
      <c r="BH47" s="73">
        <f>'[8]LCT-8'!BP42</f>
        <v>0</v>
      </c>
      <c r="BI47" s="73">
        <f>'[8]LCT-8'!BQ42</f>
        <v>0</v>
      </c>
      <c r="BJ47" s="73">
        <f>'[8]LCT-8'!BR42</f>
        <v>0</v>
      </c>
      <c r="BK47" s="73">
        <f>'[8]LCT-8'!BS42</f>
        <v>0</v>
      </c>
      <c r="BL47" s="73">
        <f>'[8]LCT-8'!BT42</f>
        <v>0</v>
      </c>
      <c r="BM47" s="73">
        <f>'[8]LCT-8'!BU42</f>
        <v>0</v>
      </c>
      <c r="BN47" s="73">
        <f>'[8]LCT-8'!BV42</f>
        <v>0</v>
      </c>
      <c r="BO47" s="73">
        <f>'[8]LCT-8'!BW42</f>
        <v>0</v>
      </c>
      <c r="BP47" s="64">
        <f>'[8]LCT-8'!BX42</f>
        <v>0</v>
      </c>
    </row>
    <row r="48" spans="1:68" x14ac:dyDescent="0.35">
      <c r="A48" s="13">
        <v>45</v>
      </c>
      <c r="B48" s="62">
        <f>'[9]TUB-1'!$C$8</f>
        <v>0</v>
      </c>
      <c r="C48" s="72">
        <f>'[9]TUB-1'!AG80</f>
        <v>0</v>
      </c>
      <c r="D48" s="72">
        <f>'[9]TUB-1'!AH80</f>
        <v>0</v>
      </c>
      <c r="E48" s="72">
        <f>'[9]TUB-1'!AI80</f>
        <v>0</v>
      </c>
      <c r="F48" s="72">
        <f>'[9]TUB-1'!AJ80</f>
        <v>0</v>
      </c>
      <c r="G48" s="72">
        <f>'[9]TUB-1'!AK80</f>
        <v>0</v>
      </c>
      <c r="H48" s="72">
        <f>'[9]TUB-1'!AL80</f>
        <v>0</v>
      </c>
      <c r="I48" s="72">
        <f>'[9]TUB-1'!AM80</f>
        <v>0</v>
      </c>
      <c r="J48" s="72">
        <f>'[9]TUB-1'!AN80</f>
        <v>0</v>
      </c>
      <c r="K48" s="72">
        <f>'[9]TUB-1'!AO80</f>
        <v>0</v>
      </c>
      <c r="L48" s="72">
        <f>'[9]TUB-1'!AP80</f>
        <v>0</v>
      </c>
      <c r="M48" s="72">
        <f>'[9]TUB-1'!AQ80</f>
        <v>0</v>
      </c>
      <c r="N48" s="72">
        <f>'[9]TUB-1'!AR80</f>
        <v>0</v>
      </c>
      <c r="O48" s="72">
        <f>'[9]TUB-1'!AS80</f>
        <v>0</v>
      </c>
      <c r="P48" s="72">
        <f>'[9]TUB-1'!AT80</f>
        <v>0</v>
      </c>
      <c r="Q48" s="72">
        <f>'[9]TUB-1'!AU80</f>
        <v>0</v>
      </c>
      <c r="R48" s="72">
        <f>'[9]TUB-1'!AV80</f>
        <v>0</v>
      </c>
      <c r="S48" s="72">
        <f>'[9]TUB-1'!AW80</f>
        <v>0</v>
      </c>
      <c r="T48" s="72">
        <f>'[9]TUB-1'!AX80</f>
        <v>0</v>
      </c>
      <c r="U48" s="72">
        <f>'[9]TUB-1'!AY80</f>
        <v>0</v>
      </c>
      <c r="V48" s="72">
        <f>'[9]TUB-1'!AZ80</f>
        <v>0</v>
      </c>
      <c r="W48" s="72">
        <f>'[9]TUB-1'!BA80</f>
        <v>0</v>
      </c>
      <c r="X48" s="68">
        <f>'[9]TUB-1'!BB80</f>
        <v>0</v>
      </c>
      <c r="Y48" s="74">
        <f>'[9]TUB-1'!AG42</f>
        <v>0</v>
      </c>
      <c r="Z48" s="74">
        <f>'[9]TUB-1'!AH42</f>
        <v>0</v>
      </c>
      <c r="AA48" s="74">
        <f>'[9]TUB-1'!AI42</f>
        <v>0</v>
      </c>
      <c r="AB48" s="74">
        <f>'[9]TUB-1'!AJ42</f>
        <v>0</v>
      </c>
      <c r="AC48" s="74">
        <f>'[9]TUB-1'!AK42</f>
        <v>0</v>
      </c>
      <c r="AD48" s="74">
        <f>'[9]TUB-1'!AL42</f>
        <v>0</v>
      </c>
      <c r="AE48" s="74">
        <f>'[9]TUB-1'!AM42</f>
        <v>0</v>
      </c>
      <c r="AF48" s="74">
        <f>'[9]TUB-1'!AN42</f>
        <v>0</v>
      </c>
      <c r="AG48" s="74">
        <f>'[9]TUB-1'!AO42</f>
        <v>0</v>
      </c>
      <c r="AH48" s="74">
        <f>'[9]TUB-1'!AP42</f>
        <v>0</v>
      </c>
      <c r="AI48" s="74">
        <f>'[9]TUB-1'!AQ42</f>
        <v>0</v>
      </c>
      <c r="AJ48" s="74">
        <f>'[9]TUB-1'!AR42</f>
        <v>0</v>
      </c>
      <c r="AK48" s="74">
        <f>'[9]TUB-1'!AS42</f>
        <v>0</v>
      </c>
      <c r="AL48" s="74">
        <f>'[9]TUB-1'!AT42</f>
        <v>0</v>
      </c>
      <c r="AM48" s="74">
        <f>'[9]TUB-1'!AU42</f>
        <v>0</v>
      </c>
      <c r="AN48" s="74">
        <f>'[9]TUB-1'!AV42</f>
        <v>0</v>
      </c>
      <c r="AO48" s="74">
        <f>'[9]TUB-1'!AW42</f>
        <v>0</v>
      </c>
      <c r="AP48" s="74">
        <f>'[9]TUB-1'!AX42</f>
        <v>0</v>
      </c>
      <c r="AQ48" s="74">
        <f>'[9]TUB-1'!AY42</f>
        <v>0</v>
      </c>
      <c r="AR48" s="74">
        <f>'[9]TUB-1'!AZ42</f>
        <v>0</v>
      </c>
      <c r="AS48" s="74">
        <f>'[9]TUB-1'!BA42</f>
        <v>0</v>
      </c>
      <c r="AT48" s="63">
        <f>'[9]TUB-1'!BB42</f>
        <v>0</v>
      </c>
      <c r="AU48" s="73">
        <f>'[9]TUB-1'!BC42</f>
        <v>0</v>
      </c>
      <c r="AV48" s="73">
        <f>'[9]TUB-1'!BD42</f>
        <v>0</v>
      </c>
      <c r="AW48" s="73">
        <f>'[9]TUB-1'!BE42</f>
        <v>0</v>
      </c>
      <c r="AX48" s="73">
        <f>'[9]TUB-1'!BF42</f>
        <v>0</v>
      </c>
      <c r="AY48" s="73">
        <f>'[9]TUB-1'!BG42</f>
        <v>0</v>
      </c>
      <c r="AZ48" s="73">
        <f>'[9]TUB-1'!BH42</f>
        <v>0</v>
      </c>
      <c r="BA48" s="73">
        <f>'[9]TUB-1'!BI42</f>
        <v>0</v>
      </c>
      <c r="BB48" s="73">
        <f>'[9]TUB-1'!BJ42</f>
        <v>0</v>
      </c>
      <c r="BC48" s="73">
        <f>'[9]TUB-1'!BK42</f>
        <v>0</v>
      </c>
      <c r="BD48" s="73">
        <f>'[9]TUB-1'!BL42</f>
        <v>0</v>
      </c>
      <c r="BE48" s="73">
        <f>'[9]TUB-1'!BM42</f>
        <v>0</v>
      </c>
      <c r="BF48" s="73">
        <f>'[9]TUB-1'!BN42</f>
        <v>0</v>
      </c>
      <c r="BG48" s="73">
        <f>'[9]TUB-1'!BO42</f>
        <v>0</v>
      </c>
      <c r="BH48" s="73">
        <f>'[9]TUB-1'!BP42</f>
        <v>0</v>
      </c>
      <c r="BI48" s="73">
        <f>'[9]TUB-1'!BQ42</f>
        <v>0</v>
      </c>
      <c r="BJ48" s="73">
        <f>'[9]TUB-1'!BR42</f>
        <v>0</v>
      </c>
      <c r="BK48" s="73">
        <f>'[9]TUB-1'!BS42</f>
        <v>0</v>
      </c>
      <c r="BL48" s="73">
        <f>'[9]TUB-1'!BT42</f>
        <v>0</v>
      </c>
      <c r="BM48" s="73">
        <f>'[9]TUB-1'!BU42</f>
        <v>0</v>
      </c>
      <c r="BN48" s="73">
        <f>'[9]TUB-1'!BV42</f>
        <v>0</v>
      </c>
      <c r="BO48" s="73">
        <f>'[9]TUB-1'!BW42</f>
        <v>0</v>
      </c>
      <c r="BP48" s="64">
        <f>'[9]TUB-1'!BX42</f>
        <v>0</v>
      </c>
    </row>
    <row r="49" spans="1:68" x14ac:dyDescent="0.35">
      <c r="A49" s="13">
        <v>46</v>
      </c>
      <c r="B49" s="62">
        <f>'[9]TUB-2'!$C$8</f>
        <v>0</v>
      </c>
      <c r="C49" s="72">
        <f>'[9]TUB-2'!AG80</f>
        <v>0</v>
      </c>
      <c r="D49" s="72">
        <f>'[9]TUB-2'!AH80</f>
        <v>0</v>
      </c>
      <c r="E49" s="72">
        <f>'[9]TUB-2'!AI80</f>
        <v>0</v>
      </c>
      <c r="F49" s="72">
        <f>'[9]TUB-2'!AJ80</f>
        <v>0</v>
      </c>
      <c r="G49" s="72">
        <f>'[9]TUB-2'!AK80</f>
        <v>0</v>
      </c>
      <c r="H49" s="72">
        <f>'[9]TUB-2'!AL80</f>
        <v>0</v>
      </c>
      <c r="I49" s="72">
        <f>'[9]TUB-2'!AM80</f>
        <v>0</v>
      </c>
      <c r="J49" s="72">
        <f>'[9]TUB-2'!AN80</f>
        <v>0</v>
      </c>
      <c r="K49" s="72">
        <f>'[9]TUB-2'!AO80</f>
        <v>0</v>
      </c>
      <c r="L49" s="72">
        <f>'[9]TUB-2'!AP80</f>
        <v>0</v>
      </c>
      <c r="M49" s="72">
        <f>'[9]TUB-2'!AQ80</f>
        <v>0</v>
      </c>
      <c r="N49" s="72">
        <f>'[9]TUB-2'!AR80</f>
        <v>0</v>
      </c>
      <c r="O49" s="72">
        <f>'[9]TUB-2'!AS80</f>
        <v>0</v>
      </c>
      <c r="P49" s="72">
        <f>'[9]TUB-2'!AT80</f>
        <v>0</v>
      </c>
      <c r="Q49" s="72">
        <f>'[9]TUB-2'!AU80</f>
        <v>0</v>
      </c>
      <c r="R49" s="72">
        <f>'[9]TUB-2'!AV80</f>
        <v>0</v>
      </c>
      <c r="S49" s="72">
        <f>'[9]TUB-2'!AW80</f>
        <v>0</v>
      </c>
      <c r="T49" s="72">
        <f>'[9]TUB-2'!AX80</f>
        <v>0</v>
      </c>
      <c r="U49" s="72">
        <f>'[9]TUB-2'!AY80</f>
        <v>0</v>
      </c>
      <c r="V49" s="72">
        <f>'[9]TUB-2'!AZ80</f>
        <v>0</v>
      </c>
      <c r="W49" s="72">
        <f>'[9]TUB-2'!BA80</f>
        <v>0</v>
      </c>
      <c r="X49" s="68">
        <f>'[9]TUB-2'!BB80</f>
        <v>0</v>
      </c>
      <c r="Y49" s="74">
        <f>'[9]TUB-2'!AG42</f>
        <v>0</v>
      </c>
      <c r="Z49" s="74">
        <f>'[9]TUB-2'!AH42</f>
        <v>0</v>
      </c>
      <c r="AA49" s="74">
        <f>'[9]TUB-2'!AI42</f>
        <v>0</v>
      </c>
      <c r="AB49" s="74">
        <f>'[9]TUB-2'!AJ42</f>
        <v>0</v>
      </c>
      <c r="AC49" s="74">
        <f>'[9]TUB-2'!AK42</f>
        <v>0</v>
      </c>
      <c r="AD49" s="74">
        <f>'[9]TUB-2'!AL42</f>
        <v>0</v>
      </c>
      <c r="AE49" s="74">
        <f>'[9]TUB-2'!AM42</f>
        <v>0</v>
      </c>
      <c r="AF49" s="74">
        <f>'[9]TUB-2'!AN42</f>
        <v>0</v>
      </c>
      <c r="AG49" s="74">
        <f>'[9]TUB-2'!AO42</f>
        <v>0</v>
      </c>
      <c r="AH49" s="74">
        <f>'[9]TUB-2'!AP42</f>
        <v>0</v>
      </c>
      <c r="AI49" s="74">
        <f>'[9]TUB-2'!AQ42</f>
        <v>0</v>
      </c>
      <c r="AJ49" s="74">
        <f>'[9]TUB-2'!AR42</f>
        <v>0</v>
      </c>
      <c r="AK49" s="74">
        <f>'[9]TUB-2'!AS42</f>
        <v>0</v>
      </c>
      <c r="AL49" s="74">
        <f>'[9]TUB-2'!AT42</f>
        <v>0</v>
      </c>
      <c r="AM49" s="74">
        <f>'[9]TUB-2'!AU42</f>
        <v>0</v>
      </c>
      <c r="AN49" s="74">
        <f>'[9]TUB-2'!AV42</f>
        <v>0</v>
      </c>
      <c r="AO49" s="74">
        <f>'[9]TUB-2'!AW42</f>
        <v>0</v>
      </c>
      <c r="AP49" s="74">
        <f>'[9]TUB-2'!AX42</f>
        <v>0</v>
      </c>
      <c r="AQ49" s="74">
        <f>'[9]TUB-2'!AY42</f>
        <v>0</v>
      </c>
      <c r="AR49" s="74">
        <f>'[9]TUB-2'!AZ42</f>
        <v>0</v>
      </c>
      <c r="AS49" s="74">
        <f>'[9]TUB-2'!BA42</f>
        <v>0</v>
      </c>
      <c r="AT49" s="63">
        <f>'[9]TUB-2'!BB42</f>
        <v>0</v>
      </c>
      <c r="AU49" s="73">
        <f>'[9]TUB-2'!BC42</f>
        <v>0</v>
      </c>
      <c r="AV49" s="73">
        <f>'[9]TUB-2'!BD42</f>
        <v>0</v>
      </c>
      <c r="AW49" s="73">
        <f>'[9]TUB-2'!BE42</f>
        <v>0</v>
      </c>
      <c r="AX49" s="73">
        <f>'[9]TUB-2'!BF42</f>
        <v>0</v>
      </c>
      <c r="AY49" s="73">
        <f>'[9]TUB-2'!BG42</f>
        <v>0</v>
      </c>
      <c r="AZ49" s="73">
        <f>'[9]TUB-2'!BH42</f>
        <v>0</v>
      </c>
      <c r="BA49" s="73">
        <f>'[9]TUB-2'!BI42</f>
        <v>0</v>
      </c>
      <c r="BB49" s="73">
        <f>'[9]TUB-2'!BJ42</f>
        <v>0</v>
      </c>
      <c r="BC49" s="73">
        <f>'[9]TUB-2'!BK42</f>
        <v>0</v>
      </c>
      <c r="BD49" s="73">
        <f>'[9]TUB-2'!BL42</f>
        <v>0</v>
      </c>
      <c r="BE49" s="73">
        <f>'[9]TUB-2'!BM42</f>
        <v>0</v>
      </c>
      <c r="BF49" s="73">
        <f>'[9]TUB-2'!BN42</f>
        <v>0</v>
      </c>
      <c r="BG49" s="73">
        <f>'[9]TUB-2'!BO42</f>
        <v>0</v>
      </c>
      <c r="BH49" s="73">
        <f>'[9]TUB-2'!BP42</f>
        <v>0</v>
      </c>
      <c r="BI49" s="73">
        <f>'[9]TUB-2'!BQ42</f>
        <v>0</v>
      </c>
      <c r="BJ49" s="73">
        <f>'[9]TUB-2'!BR42</f>
        <v>0</v>
      </c>
      <c r="BK49" s="73">
        <f>'[9]TUB-2'!BS42</f>
        <v>0</v>
      </c>
      <c r="BL49" s="73">
        <f>'[9]TUB-2'!BT42</f>
        <v>0</v>
      </c>
      <c r="BM49" s="73">
        <f>'[9]TUB-2'!BU42</f>
        <v>0</v>
      </c>
      <c r="BN49" s="73">
        <f>'[9]TUB-2'!BV42</f>
        <v>0</v>
      </c>
      <c r="BO49" s="73">
        <f>'[9]TUB-2'!BW42</f>
        <v>0</v>
      </c>
      <c r="BP49" s="64">
        <f>'[9]TUB-2'!BX42</f>
        <v>0</v>
      </c>
    </row>
    <row r="50" spans="1:68" x14ac:dyDescent="0.35">
      <c r="A50" s="13">
        <v>47</v>
      </c>
      <c r="B50" s="62" t="str">
        <f>'[10]TB-1'!$C$8</f>
        <v>TB PANDU ADITYA</v>
      </c>
      <c r="C50" s="72">
        <f>'[10]TB-1'!AG80</f>
        <v>0</v>
      </c>
      <c r="D50" s="72">
        <f>'[10]TB-1'!AH80</f>
        <v>0</v>
      </c>
      <c r="E50" s="72">
        <f>'[10]TB-1'!AI80</f>
        <v>0</v>
      </c>
      <c r="F50" s="72">
        <f>'[10]TB-1'!AJ80</f>
        <v>0</v>
      </c>
      <c r="G50" s="72">
        <f>'[10]TB-1'!AK80</f>
        <v>0</v>
      </c>
      <c r="H50" s="72">
        <f>'[10]TB-1'!AL80</f>
        <v>0</v>
      </c>
      <c r="I50" s="72">
        <f>'[10]TB-1'!AM80</f>
        <v>0</v>
      </c>
      <c r="J50" s="72">
        <f>'[10]TB-1'!AN80</f>
        <v>0</v>
      </c>
      <c r="K50" s="72">
        <f>'[10]TB-1'!AO80</f>
        <v>0</v>
      </c>
      <c r="L50" s="72">
        <f>'[10]TB-1'!AP80</f>
        <v>0</v>
      </c>
      <c r="M50" s="72">
        <f>'[10]TB-1'!AQ80</f>
        <v>0</v>
      </c>
      <c r="N50" s="72">
        <f>'[10]TB-1'!AR80</f>
        <v>0</v>
      </c>
      <c r="O50" s="72">
        <f>'[10]TB-1'!AS80</f>
        <v>0</v>
      </c>
      <c r="P50" s="72">
        <f>'[10]TB-1'!AT80</f>
        <v>0</v>
      </c>
      <c r="Q50" s="72">
        <f>'[10]TB-1'!AU80</f>
        <v>0</v>
      </c>
      <c r="R50" s="72">
        <f>'[10]TB-1'!AV80</f>
        <v>0</v>
      </c>
      <c r="S50" s="72">
        <f>'[10]TB-1'!AW80</f>
        <v>0</v>
      </c>
      <c r="T50" s="72">
        <f>'[10]TB-1'!AX80</f>
        <v>0</v>
      </c>
      <c r="U50" s="72">
        <f>'[10]TB-1'!AY80</f>
        <v>0</v>
      </c>
      <c r="V50" s="72">
        <f>'[10]TB-1'!AZ80</f>
        <v>0</v>
      </c>
      <c r="W50" s="72">
        <f>'[10]TB-1'!BA80</f>
        <v>0</v>
      </c>
      <c r="X50" s="68">
        <f>'[10]TB-1'!BB80</f>
        <v>0</v>
      </c>
      <c r="Y50" s="74">
        <f>'[10]TB-1'!AG42</f>
        <v>0</v>
      </c>
      <c r="Z50" s="74">
        <f>'[10]TB-1'!AH42</f>
        <v>0</v>
      </c>
      <c r="AA50" s="74">
        <f>'[10]TB-1'!AI42</f>
        <v>0</v>
      </c>
      <c r="AB50" s="74">
        <f>'[10]TB-1'!AJ42</f>
        <v>0</v>
      </c>
      <c r="AC50" s="74">
        <f>'[10]TB-1'!AK42</f>
        <v>0</v>
      </c>
      <c r="AD50" s="74">
        <f>'[10]TB-1'!AL42</f>
        <v>0</v>
      </c>
      <c r="AE50" s="74">
        <f>'[10]TB-1'!AM42</f>
        <v>0</v>
      </c>
      <c r="AF50" s="74">
        <f>'[10]TB-1'!AN42</f>
        <v>0</v>
      </c>
      <c r="AG50" s="74">
        <f>'[10]TB-1'!AO42</f>
        <v>0</v>
      </c>
      <c r="AH50" s="74">
        <f>'[10]TB-1'!AP42</f>
        <v>0</v>
      </c>
      <c r="AI50" s="74">
        <f>'[10]TB-1'!AQ42</f>
        <v>0</v>
      </c>
      <c r="AJ50" s="74">
        <f>'[10]TB-1'!AR42</f>
        <v>0</v>
      </c>
      <c r="AK50" s="74">
        <f>'[10]TB-1'!AS42</f>
        <v>0</v>
      </c>
      <c r="AL50" s="74">
        <f>'[10]TB-1'!AT42</f>
        <v>0</v>
      </c>
      <c r="AM50" s="74">
        <f>'[10]TB-1'!AU42</f>
        <v>0</v>
      </c>
      <c r="AN50" s="74">
        <f>'[10]TB-1'!AV42</f>
        <v>0</v>
      </c>
      <c r="AO50" s="74">
        <f>'[10]TB-1'!AW42</f>
        <v>0</v>
      </c>
      <c r="AP50" s="74">
        <f>'[10]TB-1'!AX42</f>
        <v>0</v>
      </c>
      <c r="AQ50" s="74">
        <f>'[10]TB-1'!AY42</f>
        <v>0</v>
      </c>
      <c r="AR50" s="74">
        <f>'[10]TB-1'!AZ42</f>
        <v>0</v>
      </c>
      <c r="AS50" s="74">
        <f>'[10]TB-1'!BA42</f>
        <v>0</v>
      </c>
      <c r="AT50" s="63">
        <f>'[10]TB-1'!BB42</f>
        <v>0</v>
      </c>
      <c r="AU50" s="73">
        <f>'[10]TB-1'!BC42</f>
        <v>0</v>
      </c>
      <c r="AV50" s="73">
        <f>'[10]TB-1'!BD42</f>
        <v>0</v>
      </c>
      <c r="AW50" s="73">
        <f>'[10]TB-1'!BE42</f>
        <v>0</v>
      </c>
      <c r="AX50" s="73">
        <f>'[10]TB-1'!BF42</f>
        <v>0</v>
      </c>
      <c r="AY50" s="73">
        <f>'[10]TB-1'!BG42</f>
        <v>0</v>
      </c>
      <c r="AZ50" s="73">
        <f>'[10]TB-1'!BH42</f>
        <v>0</v>
      </c>
      <c r="BA50" s="73">
        <f>'[10]TB-1'!BI42</f>
        <v>0</v>
      </c>
      <c r="BB50" s="73">
        <f>'[10]TB-1'!BJ42</f>
        <v>0</v>
      </c>
      <c r="BC50" s="73">
        <f>'[10]TB-1'!BK42</f>
        <v>0</v>
      </c>
      <c r="BD50" s="73">
        <f>'[10]TB-1'!BL42</f>
        <v>0</v>
      </c>
      <c r="BE50" s="73">
        <f>'[10]TB-1'!BM42</f>
        <v>0</v>
      </c>
      <c r="BF50" s="73">
        <f>'[10]TB-1'!BN42</f>
        <v>0</v>
      </c>
      <c r="BG50" s="73">
        <f>'[10]TB-1'!BO42</f>
        <v>0</v>
      </c>
      <c r="BH50" s="73">
        <f>'[10]TB-1'!BP42</f>
        <v>0</v>
      </c>
      <c r="BI50" s="73">
        <f>'[10]TB-1'!BQ42</f>
        <v>0</v>
      </c>
      <c r="BJ50" s="73">
        <f>'[10]TB-1'!BR42</f>
        <v>0</v>
      </c>
      <c r="BK50" s="73">
        <f>'[10]TB-1'!BS42</f>
        <v>0</v>
      </c>
      <c r="BL50" s="73">
        <f>'[10]TB-1'!BT42</f>
        <v>0</v>
      </c>
      <c r="BM50" s="73">
        <f>'[10]TB-1'!BU42</f>
        <v>0</v>
      </c>
      <c r="BN50" s="73">
        <f>'[10]TB-1'!BV42</f>
        <v>0</v>
      </c>
      <c r="BO50" s="73">
        <f>'[10]TB-1'!BW42</f>
        <v>0</v>
      </c>
      <c r="BP50" s="64">
        <f>'[10]TB-1'!BX42</f>
        <v>0</v>
      </c>
    </row>
    <row r="51" spans="1:68" x14ac:dyDescent="0.35">
      <c r="A51" s="13">
        <v>48</v>
      </c>
      <c r="B51" s="62" t="str">
        <f>'[10]TB-2'!$C$8</f>
        <v>TB DHANADA 2</v>
      </c>
      <c r="C51" s="72">
        <f>'[10]TB-2'!AG80</f>
        <v>0</v>
      </c>
      <c r="D51" s="72">
        <f>'[10]TB-2'!AH80</f>
        <v>0</v>
      </c>
      <c r="E51" s="72">
        <f>'[10]TB-2'!AI80</f>
        <v>0</v>
      </c>
      <c r="F51" s="72">
        <f>'[10]TB-2'!AJ80</f>
        <v>0</v>
      </c>
      <c r="G51" s="72">
        <f>'[10]TB-2'!AK80</f>
        <v>0</v>
      </c>
      <c r="H51" s="72">
        <f>'[10]TB-2'!AL80</f>
        <v>0</v>
      </c>
      <c r="I51" s="72">
        <f>'[10]TB-2'!AM80</f>
        <v>0</v>
      </c>
      <c r="J51" s="72">
        <f>'[10]TB-2'!AN80</f>
        <v>0</v>
      </c>
      <c r="K51" s="72">
        <f>'[10]TB-2'!AO80</f>
        <v>0</v>
      </c>
      <c r="L51" s="72">
        <f>'[10]TB-2'!AP80</f>
        <v>0</v>
      </c>
      <c r="M51" s="72">
        <f>'[10]TB-2'!AQ80</f>
        <v>0</v>
      </c>
      <c r="N51" s="72">
        <f>'[10]TB-2'!AR80</f>
        <v>0</v>
      </c>
      <c r="O51" s="72">
        <f>'[10]TB-2'!AS80</f>
        <v>0</v>
      </c>
      <c r="P51" s="72">
        <f>'[10]TB-2'!AT80</f>
        <v>0</v>
      </c>
      <c r="Q51" s="72">
        <f>'[10]TB-2'!AU80</f>
        <v>0</v>
      </c>
      <c r="R51" s="72">
        <f>'[10]TB-2'!AV80</f>
        <v>0</v>
      </c>
      <c r="S51" s="72">
        <f>'[10]TB-2'!AW80</f>
        <v>0</v>
      </c>
      <c r="T51" s="72">
        <f>'[10]TB-2'!AX80</f>
        <v>0</v>
      </c>
      <c r="U51" s="72">
        <f>'[10]TB-2'!AY80</f>
        <v>0</v>
      </c>
      <c r="V51" s="72">
        <f>'[10]TB-2'!AZ80</f>
        <v>0</v>
      </c>
      <c r="W51" s="72">
        <f>'[10]TB-2'!BA80</f>
        <v>0</v>
      </c>
      <c r="X51" s="68">
        <f>'[10]TB-2'!BB80</f>
        <v>0</v>
      </c>
      <c r="Y51" s="74">
        <f>'[10]TB-2'!AG42</f>
        <v>0</v>
      </c>
      <c r="Z51" s="74">
        <f>'[10]TB-2'!AH42</f>
        <v>0</v>
      </c>
      <c r="AA51" s="74">
        <f>'[10]TB-2'!AI42</f>
        <v>0</v>
      </c>
      <c r="AB51" s="74">
        <f>'[10]TB-2'!AJ42</f>
        <v>0</v>
      </c>
      <c r="AC51" s="74">
        <f>'[10]TB-2'!AK42</f>
        <v>0</v>
      </c>
      <c r="AD51" s="74">
        <f>'[10]TB-2'!AL42</f>
        <v>0</v>
      </c>
      <c r="AE51" s="74">
        <f>'[10]TB-2'!AM42</f>
        <v>0</v>
      </c>
      <c r="AF51" s="74">
        <f>'[10]TB-2'!AN42</f>
        <v>0</v>
      </c>
      <c r="AG51" s="74">
        <f>'[10]TB-2'!AO42</f>
        <v>0</v>
      </c>
      <c r="AH51" s="74">
        <f>'[10]TB-2'!AP42</f>
        <v>0</v>
      </c>
      <c r="AI51" s="74">
        <f>'[10]TB-2'!AQ42</f>
        <v>0</v>
      </c>
      <c r="AJ51" s="74">
        <f>'[10]TB-2'!AR42</f>
        <v>0</v>
      </c>
      <c r="AK51" s="74">
        <f>'[10]TB-2'!AS42</f>
        <v>0</v>
      </c>
      <c r="AL51" s="74">
        <f>'[10]TB-2'!AT42</f>
        <v>0</v>
      </c>
      <c r="AM51" s="74">
        <f>'[10]TB-2'!AU42</f>
        <v>0</v>
      </c>
      <c r="AN51" s="74">
        <f>'[10]TB-2'!AV42</f>
        <v>0</v>
      </c>
      <c r="AO51" s="74">
        <f>'[10]TB-2'!AW42</f>
        <v>0</v>
      </c>
      <c r="AP51" s="74">
        <f>'[10]TB-2'!AX42</f>
        <v>0</v>
      </c>
      <c r="AQ51" s="74">
        <f>'[10]TB-2'!AY42</f>
        <v>0</v>
      </c>
      <c r="AR51" s="74">
        <f>'[10]TB-2'!AZ42</f>
        <v>0</v>
      </c>
      <c r="AS51" s="74">
        <f>'[10]TB-2'!BA42</f>
        <v>0</v>
      </c>
      <c r="AT51" s="63">
        <f>'[10]TB-2'!BB42</f>
        <v>0</v>
      </c>
      <c r="AU51" s="73">
        <f>'[10]TB-2'!BC42</f>
        <v>0</v>
      </c>
      <c r="AV51" s="73">
        <f>'[10]TB-2'!BD42</f>
        <v>0</v>
      </c>
      <c r="AW51" s="73">
        <f>'[10]TB-2'!BE42</f>
        <v>0</v>
      </c>
      <c r="AX51" s="73">
        <f>'[10]TB-2'!BF42</f>
        <v>0</v>
      </c>
      <c r="AY51" s="73">
        <f>'[10]TB-2'!BG42</f>
        <v>0</v>
      </c>
      <c r="AZ51" s="73">
        <f>'[10]TB-2'!BH42</f>
        <v>0</v>
      </c>
      <c r="BA51" s="73">
        <f>'[10]TB-2'!BI42</f>
        <v>0</v>
      </c>
      <c r="BB51" s="73">
        <f>'[10]TB-2'!BJ42</f>
        <v>0</v>
      </c>
      <c r="BC51" s="73">
        <f>'[10]TB-2'!BK42</f>
        <v>0</v>
      </c>
      <c r="BD51" s="73">
        <f>'[10]TB-2'!BL42</f>
        <v>0</v>
      </c>
      <c r="BE51" s="73">
        <f>'[10]TB-2'!BM42</f>
        <v>0</v>
      </c>
      <c r="BF51" s="73">
        <f>'[10]TB-2'!BN42</f>
        <v>0</v>
      </c>
      <c r="BG51" s="73">
        <f>'[10]TB-2'!BO42</f>
        <v>0</v>
      </c>
      <c r="BH51" s="73">
        <f>'[10]TB-2'!BP42</f>
        <v>0</v>
      </c>
      <c r="BI51" s="73">
        <f>'[10]TB-2'!BQ42</f>
        <v>0</v>
      </c>
      <c r="BJ51" s="73">
        <f>'[10]TB-2'!BR42</f>
        <v>0</v>
      </c>
      <c r="BK51" s="73">
        <f>'[10]TB-2'!BS42</f>
        <v>0</v>
      </c>
      <c r="BL51" s="73">
        <f>'[10]TB-2'!BT42</f>
        <v>0</v>
      </c>
      <c r="BM51" s="73">
        <f>'[10]TB-2'!BU42</f>
        <v>0</v>
      </c>
      <c r="BN51" s="73">
        <f>'[10]TB-2'!BV42</f>
        <v>0</v>
      </c>
      <c r="BO51" s="73">
        <f>'[10]TB-2'!BW42</f>
        <v>0</v>
      </c>
      <c r="BP51" s="64">
        <f>'[10]TB-2'!BX42</f>
        <v>0</v>
      </c>
    </row>
    <row r="52" spans="1:68" x14ac:dyDescent="0.35">
      <c r="A52" s="13">
        <v>49</v>
      </c>
      <c r="B52" s="62" t="str">
        <f>'[10]TB-3'!$C$8</f>
        <v>TB DHANADA</v>
      </c>
      <c r="C52" s="72">
        <f>'[10]TB-3'!AG80</f>
        <v>0</v>
      </c>
      <c r="D52" s="72">
        <f>'[10]TB-3'!AH80</f>
        <v>0</v>
      </c>
      <c r="E52" s="72">
        <f>'[10]TB-3'!AI80</f>
        <v>0</v>
      </c>
      <c r="F52" s="72">
        <f>'[10]TB-3'!AJ80</f>
        <v>0</v>
      </c>
      <c r="G52" s="72">
        <f>'[10]TB-3'!AK80</f>
        <v>0</v>
      </c>
      <c r="H52" s="72">
        <f>'[10]TB-3'!AL80</f>
        <v>0</v>
      </c>
      <c r="I52" s="72">
        <f>'[10]TB-3'!AM80</f>
        <v>0</v>
      </c>
      <c r="J52" s="72">
        <f>'[10]TB-3'!AN80</f>
        <v>0</v>
      </c>
      <c r="K52" s="72">
        <f>'[10]TB-3'!AO80</f>
        <v>0</v>
      </c>
      <c r="L52" s="72">
        <f>'[10]TB-3'!AP80</f>
        <v>0</v>
      </c>
      <c r="M52" s="72">
        <f>'[10]TB-3'!AQ80</f>
        <v>0</v>
      </c>
      <c r="N52" s="72">
        <f>'[10]TB-3'!AR80</f>
        <v>0</v>
      </c>
      <c r="O52" s="72">
        <f>'[10]TB-3'!AS80</f>
        <v>0</v>
      </c>
      <c r="P52" s="72">
        <f>'[10]TB-3'!AT80</f>
        <v>0</v>
      </c>
      <c r="Q52" s="72">
        <f>'[10]TB-3'!AU80</f>
        <v>0</v>
      </c>
      <c r="R52" s="72">
        <f>'[10]TB-3'!AV80</f>
        <v>0</v>
      </c>
      <c r="S52" s="72">
        <f>'[10]TB-3'!AW80</f>
        <v>0</v>
      </c>
      <c r="T52" s="72">
        <f>'[10]TB-3'!AX80</f>
        <v>0</v>
      </c>
      <c r="U52" s="72">
        <f>'[10]TB-3'!AY80</f>
        <v>0</v>
      </c>
      <c r="V52" s="72">
        <f>'[10]TB-3'!AZ80</f>
        <v>0</v>
      </c>
      <c r="W52" s="72">
        <f>'[10]TB-3'!BA80</f>
        <v>0</v>
      </c>
      <c r="X52" s="68">
        <f>'[10]TB-3'!BB80</f>
        <v>0</v>
      </c>
      <c r="Y52" s="74">
        <f>'[10]TB-3'!AG42</f>
        <v>0</v>
      </c>
      <c r="Z52" s="74">
        <f>'[10]TB-3'!AH42</f>
        <v>0</v>
      </c>
      <c r="AA52" s="74">
        <f>'[10]TB-3'!AI42</f>
        <v>0</v>
      </c>
      <c r="AB52" s="74">
        <f>'[10]TB-3'!AJ42</f>
        <v>0</v>
      </c>
      <c r="AC52" s="74">
        <f>'[10]TB-3'!AK42</f>
        <v>0</v>
      </c>
      <c r="AD52" s="74">
        <f>'[10]TB-3'!AL42</f>
        <v>0</v>
      </c>
      <c r="AE52" s="74">
        <f>'[10]TB-3'!AM42</f>
        <v>0</v>
      </c>
      <c r="AF52" s="74">
        <f>'[10]TB-3'!AN42</f>
        <v>0</v>
      </c>
      <c r="AG52" s="74">
        <f>'[10]TB-3'!AO42</f>
        <v>0</v>
      </c>
      <c r="AH52" s="74">
        <f>'[10]TB-3'!AP42</f>
        <v>0</v>
      </c>
      <c r="AI52" s="74">
        <f>'[10]TB-3'!AQ42</f>
        <v>0</v>
      </c>
      <c r="AJ52" s="74">
        <f>'[10]TB-3'!AR42</f>
        <v>0</v>
      </c>
      <c r="AK52" s="74">
        <f>'[10]TB-3'!AS42</f>
        <v>0</v>
      </c>
      <c r="AL52" s="74">
        <f>'[10]TB-3'!AT42</f>
        <v>0</v>
      </c>
      <c r="AM52" s="74">
        <f>'[10]TB-3'!AU42</f>
        <v>0</v>
      </c>
      <c r="AN52" s="74">
        <f>'[10]TB-3'!AV42</f>
        <v>0</v>
      </c>
      <c r="AO52" s="74">
        <f>'[10]TB-3'!AW42</f>
        <v>0</v>
      </c>
      <c r="AP52" s="74">
        <f>'[10]TB-3'!AX42</f>
        <v>0</v>
      </c>
      <c r="AQ52" s="74">
        <f>'[10]TB-3'!AY42</f>
        <v>0</v>
      </c>
      <c r="AR52" s="74">
        <f>'[10]TB-3'!AZ42</f>
        <v>0</v>
      </c>
      <c r="AS52" s="74">
        <f>'[10]TB-3'!BA42</f>
        <v>0</v>
      </c>
      <c r="AT52" s="63">
        <f>'[10]TB-3'!BB42</f>
        <v>0</v>
      </c>
      <c r="AU52" s="73">
        <f>'[10]TB-3'!BC42</f>
        <v>0</v>
      </c>
      <c r="AV52" s="73">
        <f>'[10]TB-3'!BD42</f>
        <v>0</v>
      </c>
      <c r="AW52" s="73">
        <f>'[10]TB-3'!BE42</f>
        <v>0</v>
      </c>
      <c r="AX52" s="73">
        <f>'[10]TB-3'!BF42</f>
        <v>0</v>
      </c>
      <c r="AY52" s="73">
        <f>'[10]TB-3'!BG42</f>
        <v>0</v>
      </c>
      <c r="AZ52" s="73">
        <f>'[10]TB-3'!BH42</f>
        <v>0</v>
      </c>
      <c r="BA52" s="73">
        <f>'[10]TB-3'!BI42</f>
        <v>0</v>
      </c>
      <c r="BB52" s="73">
        <f>'[10]TB-3'!BJ42</f>
        <v>0</v>
      </c>
      <c r="BC52" s="73">
        <f>'[10]TB-3'!BK42</f>
        <v>0</v>
      </c>
      <c r="BD52" s="73">
        <f>'[10]TB-3'!BL42</f>
        <v>0</v>
      </c>
      <c r="BE52" s="73">
        <f>'[10]TB-3'!BM42</f>
        <v>0</v>
      </c>
      <c r="BF52" s="73">
        <f>'[10]TB-3'!BN42</f>
        <v>0</v>
      </c>
      <c r="BG52" s="73">
        <f>'[10]TB-3'!BO42</f>
        <v>0</v>
      </c>
      <c r="BH52" s="73">
        <f>'[10]TB-3'!BP42</f>
        <v>0</v>
      </c>
      <c r="BI52" s="73">
        <f>'[10]TB-3'!BQ42</f>
        <v>0</v>
      </c>
      <c r="BJ52" s="73">
        <f>'[10]TB-3'!BR42</f>
        <v>0</v>
      </c>
      <c r="BK52" s="73">
        <f>'[10]TB-3'!BS42</f>
        <v>0</v>
      </c>
      <c r="BL52" s="73">
        <f>'[10]TB-3'!BT42</f>
        <v>0</v>
      </c>
      <c r="BM52" s="73">
        <f>'[10]TB-3'!BU42</f>
        <v>0</v>
      </c>
      <c r="BN52" s="73">
        <f>'[10]TB-3'!BV42</f>
        <v>0</v>
      </c>
      <c r="BO52" s="73">
        <f>'[10]TB-3'!BW42</f>
        <v>0</v>
      </c>
      <c r="BP52" s="64">
        <f>'[10]TB-3'!BX42</f>
        <v>0</v>
      </c>
    </row>
    <row r="53" spans="1:68" x14ac:dyDescent="0.35">
      <c r="A53" s="13">
        <v>50</v>
      </c>
      <c r="B53" s="62" t="str">
        <f>'[10]TB-4'!$C$8</f>
        <v>TB DHANADA 3 (sub Tb Dhanada 2)</v>
      </c>
      <c r="C53" s="72">
        <f>'[10]TB-4'!AG80</f>
        <v>0</v>
      </c>
      <c r="D53" s="72">
        <f>'[10]TB-4'!AH80</f>
        <v>0</v>
      </c>
      <c r="E53" s="72">
        <f>'[10]TB-4'!AI80</f>
        <v>0</v>
      </c>
      <c r="F53" s="72">
        <f>'[10]TB-4'!AJ80</f>
        <v>0</v>
      </c>
      <c r="G53" s="72">
        <f>'[10]TB-4'!AK80</f>
        <v>0</v>
      </c>
      <c r="H53" s="72">
        <f>'[10]TB-4'!AL80</f>
        <v>0</v>
      </c>
      <c r="I53" s="72">
        <f>'[10]TB-4'!AM80</f>
        <v>0</v>
      </c>
      <c r="J53" s="72">
        <f>'[10]TB-4'!AN80</f>
        <v>0</v>
      </c>
      <c r="K53" s="72">
        <f>'[10]TB-4'!AO80</f>
        <v>0</v>
      </c>
      <c r="L53" s="72">
        <f>'[10]TB-4'!AP80</f>
        <v>0</v>
      </c>
      <c r="M53" s="72">
        <f>'[10]TB-4'!AQ80</f>
        <v>0</v>
      </c>
      <c r="N53" s="72">
        <f>'[10]TB-4'!AR80</f>
        <v>0</v>
      </c>
      <c r="O53" s="72">
        <f>'[10]TB-4'!AS80</f>
        <v>0</v>
      </c>
      <c r="P53" s="72">
        <f>'[10]TB-4'!AT80</f>
        <v>0</v>
      </c>
      <c r="Q53" s="72">
        <f>'[10]TB-4'!AU80</f>
        <v>0</v>
      </c>
      <c r="R53" s="72">
        <f>'[10]TB-4'!AV80</f>
        <v>0</v>
      </c>
      <c r="S53" s="72">
        <f>'[10]TB-4'!AW80</f>
        <v>0</v>
      </c>
      <c r="T53" s="72">
        <f>'[10]TB-4'!AX80</f>
        <v>0</v>
      </c>
      <c r="U53" s="72">
        <f>'[10]TB-4'!AY80</f>
        <v>0</v>
      </c>
      <c r="V53" s="72">
        <f>'[10]TB-4'!AZ80</f>
        <v>0</v>
      </c>
      <c r="W53" s="72">
        <f>'[10]TB-4'!BA80</f>
        <v>0</v>
      </c>
      <c r="X53" s="68">
        <f>'[10]TB-4'!BB80</f>
        <v>0</v>
      </c>
      <c r="Y53" s="74">
        <f>'[10]TB-4'!AG42</f>
        <v>0</v>
      </c>
      <c r="Z53" s="74">
        <f>'[10]TB-4'!AH42</f>
        <v>0</v>
      </c>
      <c r="AA53" s="74">
        <f>'[10]TB-4'!AI42</f>
        <v>0</v>
      </c>
      <c r="AB53" s="74">
        <f>'[10]TB-4'!AJ42</f>
        <v>0</v>
      </c>
      <c r="AC53" s="74">
        <f>'[10]TB-4'!AK42</f>
        <v>0</v>
      </c>
      <c r="AD53" s="74">
        <f>'[10]TB-4'!AL42</f>
        <v>0</v>
      </c>
      <c r="AE53" s="74">
        <f>'[10]TB-4'!AM42</f>
        <v>0</v>
      </c>
      <c r="AF53" s="74">
        <f>'[10]TB-4'!AN42</f>
        <v>0</v>
      </c>
      <c r="AG53" s="74">
        <f>'[10]TB-4'!AO42</f>
        <v>0</v>
      </c>
      <c r="AH53" s="74">
        <f>'[10]TB-4'!AP42</f>
        <v>0</v>
      </c>
      <c r="AI53" s="74">
        <f>'[10]TB-4'!AQ42</f>
        <v>0</v>
      </c>
      <c r="AJ53" s="74">
        <f>'[10]TB-4'!AR42</f>
        <v>0</v>
      </c>
      <c r="AK53" s="74">
        <f>'[10]TB-4'!AS42</f>
        <v>0</v>
      </c>
      <c r="AL53" s="74">
        <f>'[10]TB-4'!AT42</f>
        <v>0</v>
      </c>
      <c r="AM53" s="74">
        <f>'[10]TB-4'!AU42</f>
        <v>0</v>
      </c>
      <c r="AN53" s="74">
        <f>'[10]TB-4'!AV42</f>
        <v>0</v>
      </c>
      <c r="AO53" s="74">
        <f>'[10]TB-4'!AW42</f>
        <v>0</v>
      </c>
      <c r="AP53" s="74">
        <f>'[10]TB-4'!AX42</f>
        <v>0</v>
      </c>
      <c r="AQ53" s="74">
        <f>'[10]TB-4'!AY42</f>
        <v>0</v>
      </c>
      <c r="AR53" s="74">
        <f>'[10]TB-4'!AZ42</f>
        <v>0</v>
      </c>
      <c r="AS53" s="74">
        <f>'[10]TB-4'!BA42</f>
        <v>0</v>
      </c>
      <c r="AT53" s="63">
        <f>'[10]TB-4'!BB42</f>
        <v>0</v>
      </c>
      <c r="AU53" s="73">
        <f>'[10]TB-4'!BC42</f>
        <v>0</v>
      </c>
      <c r="AV53" s="73">
        <f>'[10]TB-4'!BD42</f>
        <v>0</v>
      </c>
      <c r="AW53" s="73">
        <f>'[10]TB-4'!BE42</f>
        <v>0</v>
      </c>
      <c r="AX53" s="73">
        <f>'[10]TB-4'!BF42</f>
        <v>0</v>
      </c>
      <c r="AY53" s="73">
        <f>'[10]TB-4'!BG42</f>
        <v>0</v>
      </c>
      <c r="AZ53" s="73">
        <f>'[10]TB-4'!BH42</f>
        <v>0</v>
      </c>
      <c r="BA53" s="73">
        <f>'[10]TB-4'!BI42</f>
        <v>0</v>
      </c>
      <c r="BB53" s="73">
        <f>'[10]TB-4'!BJ42</f>
        <v>0</v>
      </c>
      <c r="BC53" s="73">
        <f>'[10]TB-4'!BK42</f>
        <v>0</v>
      </c>
      <c r="BD53" s="73">
        <f>'[10]TB-4'!BL42</f>
        <v>0</v>
      </c>
      <c r="BE53" s="73">
        <f>'[10]TB-4'!BM42</f>
        <v>0</v>
      </c>
      <c r="BF53" s="73">
        <f>'[10]TB-4'!BN42</f>
        <v>0</v>
      </c>
      <c r="BG53" s="73">
        <f>'[10]TB-4'!BO42</f>
        <v>0</v>
      </c>
      <c r="BH53" s="73">
        <f>'[10]TB-4'!BP42</f>
        <v>0</v>
      </c>
      <c r="BI53" s="73">
        <f>'[10]TB-4'!BQ42</f>
        <v>0</v>
      </c>
      <c r="BJ53" s="73">
        <f>'[10]TB-4'!BR42</f>
        <v>0</v>
      </c>
      <c r="BK53" s="73">
        <f>'[10]TB-4'!BS42</f>
        <v>0</v>
      </c>
      <c r="BL53" s="73">
        <f>'[10]TB-4'!BT42</f>
        <v>0</v>
      </c>
      <c r="BM53" s="73">
        <f>'[10]TB-4'!BU42</f>
        <v>0</v>
      </c>
      <c r="BN53" s="73">
        <f>'[10]TB-4'!BV42</f>
        <v>0</v>
      </c>
      <c r="BO53" s="73">
        <f>'[10]TB-4'!BW42</f>
        <v>0</v>
      </c>
      <c r="BP53" s="64">
        <f>'[10]TB-4'!BX42</f>
        <v>0</v>
      </c>
    </row>
    <row r="54" spans="1:68" x14ac:dyDescent="0.35">
      <c r="A54" s="13">
        <v>51</v>
      </c>
      <c r="B54" s="62" t="str">
        <f>'[10]TB-5'!$C$8</f>
        <v>TB Pandu Baruna</v>
      </c>
      <c r="C54" s="72">
        <f>'[10]TB-5'!AG80</f>
        <v>0</v>
      </c>
      <c r="D54" s="72">
        <f>'[10]TB-5'!AH80</f>
        <v>0</v>
      </c>
      <c r="E54" s="72">
        <f>'[10]TB-5'!AI80</f>
        <v>0</v>
      </c>
      <c r="F54" s="72">
        <f>'[10]TB-5'!AJ80</f>
        <v>0</v>
      </c>
      <c r="G54" s="72">
        <f>'[10]TB-5'!AK80</f>
        <v>0</v>
      </c>
      <c r="H54" s="72">
        <f>'[10]TB-5'!AL80</f>
        <v>0</v>
      </c>
      <c r="I54" s="72">
        <f>'[10]TB-5'!AM80</f>
        <v>0</v>
      </c>
      <c r="J54" s="72">
        <f>'[10]TB-5'!AN80</f>
        <v>0</v>
      </c>
      <c r="K54" s="72">
        <f>'[10]TB-5'!AO80</f>
        <v>0</v>
      </c>
      <c r="L54" s="72">
        <f>'[10]TB-5'!AP80</f>
        <v>0</v>
      </c>
      <c r="M54" s="72">
        <f>'[10]TB-5'!AQ80</f>
        <v>0</v>
      </c>
      <c r="N54" s="72">
        <f>'[10]TB-5'!AR80</f>
        <v>0</v>
      </c>
      <c r="O54" s="72">
        <f>'[10]TB-5'!AS80</f>
        <v>0</v>
      </c>
      <c r="P54" s="72">
        <f>'[10]TB-5'!AT80</f>
        <v>0</v>
      </c>
      <c r="Q54" s="72">
        <f>'[10]TB-5'!AU80</f>
        <v>0</v>
      </c>
      <c r="R54" s="72">
        <f>'[10]TB-5'!AV80</f>
        <v>0</v>
      </c>
      <c r="S54" s="72">
        <f>'[10]TB-5'!AW80</f>
        <v>0</v>
      </c>
      <c r="T54" s="72">
        <f>'[10]TB-5'!AX80</f>
        <v>0</v>
      </c>
      <c r="U54" s="72">
        <f>'[10]TB-5'!AY80</f>
        <v>0</v>
      </c>
      <c r="V54" s="72">
        <f>'[10]TB-5'!AZ80</f>
        <v>0</v>
      </c>
      <c r="W54" s="72">
        <f>'[10]TB-5'!BA80</f>
        <v>0</v>
      </c>
      <c r="X54" s="68">
        <f>'[10]TB-5'!BB80</f>
        <v>0</v>
      </c>
      <c r="Y54" s="74">
        <f>'[10]TB-5'!AG42</f>
        <v>0</v>
      </c>
      <c r="Z54" s="74">
        <f>'[10]TB-5'!AH42</f>
        <v>0</v>
      </c>
      <c r="AA54" s="74">
        <f>'[10]TB-5'!AI42</f>
        <v>0</v>
      </c>
      <c r="AB54" s="74">
        <f>'[10]TB-5'!AJ42</f>
        <v>0</v>
      </c>
      <c r="AC54" s="74">
        <f>'[10]TB-5'!AK42</f>
        <v>0</v>
      </c>
      <c r="AD54" s="74">
        <f>'[10]TB-5'!AL42</f>
        <v>0</v>
      </c>
      <c r="AE54" s="74">
        <f>'[10]TB-5'!AM42</f>
        <v>0</v>
      </c>
      <c r="AF54" s="74">
        <f>'[10]TB-5'!AN42</f>
        <v>0</v>
      </c>
      <c r="AG54" s="74">
        <f>'[10]TB-5'!AO42</f>
        <v>0</v>
      </c>
      <c r="AH54" s="74">
        <f>'[10]TB-5'!AP42</f>
        <v>0</v>
      </c>
      <c r="AI54" s="74">
        <f>'[10]TB-5'!AQ42</f>
        <v>0</v>
      </c>
      <c r="AJ54" s="74">
        <f>'[10]TB-5'!AR42</f>
        <v>0</v>
      </c>
      <c r="AK54" s="74">
        <f>'[10]TB-5'!AS42</f>
        <v>0</v>
      </c>
      <c r="AL54" s="74">
        <f>'[10]TB-5'!AT42</f>
        <v>0</v>
      </c>
      <c r="AM54" s="74">
        <f>'[10]TB-5'!AU42</f>
        <v>0</v>
      </c>
      <c r="AN54" s="74">
        <f>'[10]TB-5'!AV42</f>
        <v>0</v>
      </c>
      <c r="AO54" s="74">
        <f>'[10]TB-5'!AW42</f>
        <v>0</v>
      </c>
      <c r="AP54" s="74">
        <f>'[10]TB-5'!AX42</f>
        <v>0</v>
      </c>
      <c r="AQ54" s="74">
        <f>'[10]TB-5'!AY42</f>
        <v>0</v>
      </c>
      <c r="AR54" s="74">
        <f>'[10]TB-5'!AZ42</f>
        <v>0</v>
      </c>
      <c r="AS54" s="74">
        <f>'[10]TB-5'!BA42</f>
        <v>0</v>
      </c>
      <c r="AT54" s="63">
        <f>'[10]TB-5'!BB42</f>
        <v>0</v>
      </c>
      <c r="AU54" s="73">
        <f>'[10]TB-5'!BC42</f>
        <v>0</v>
      </c>
      <c r="AV54" s="73">
        <f>'[10]TB-5'!BD42</f>
        <v>0</v>
      </c>
      <c r="AW54" s="73">
        <f>'[10]TB-5'!BE42</f>
        <v>0</v>
      </c>
      <c r="AX54" s="73">
        <f>'[10]TB-5'!BF42</f>
        <v>0</v>
      </c>
      <c r="AY54" s="73">
        <f>'[10]TB-5'!BG42</f>
        <v>0</v>
      </c>
      <c r="AZ54" s="73">
        <f>'[10]TB-5'!BH42</f>
        <v>0</v>
      </c>
      <c r="BA54" s="73">
        <f>'[10]TB-5'!BI42</f>
        <v>0</v>
      </c>
      <c r="BB54" s="73">
        <f>'[10]TB-5'!BJ42</f>
        <v>0</v>
      </c>
      <c r="BC54" s="73">
        <f>'[10]TB-5'!BK42</f>
        <v>0</v>
      </c>
      <c r="BD54" s="73">
        <f>'[10]TB-5'!BL42</f>
        <v>0</v>
      </c>
      <c r="BE54" s="73">
        <f>'[10]TB-5'!BM42</f>
        <v>0</v>
      </c>
      <c r="BF54" s="73">
        <f>'[10]TB-5'!BN42</f>
        <v>0</v>
      </c>
      <c r="BG54" s="73">
        <f>'[10]TB-5'!BO42</f>
        <v>0</v>
      </c>
      <c r="BH54" s="73">
        <f>'[10]TB-5'!BP42</f>
        <v>0</v>
      </c>
      <c r="BI54" s="73">
        <f>'[10]TB-5'!BQ42</f>
        <v>0</v>
      </c>
      <c r="BJ54" s="73">
        <f>'[10]TB-5'!BR42</f>
        <v>0</v>
      </c>
      <c r="BK54" s="73">
        <f>'[10]TB-5'!BS42</f>
        <v>0</v>
      </c>
      <c r="BL54" s="73">
        <f>'[10]TB-5'!BT42</f>
        <v>0</v>
      </c>
      <c r="BM54" s="73">
        <f>'[10]TB-5'!BU42</f>
        <v>0</v>
      </c>
      <c r="BN54" s="73">
        <f>'[10]TB-5'!BV42</f>
        <v>0</v>
      </c>
      <c r="BO54" s="73">
        <f>'[10]TB-5'!BW42</f>
        <v>0</v>
      </c>
      <c r="BP54" s="64">
        <f>'[10]TB-5'!BX42</f>
        <v>0</v>
      </c>
    </row>
    <row r="55" spans="1:68" x14ac:dyDescent="0.35">
      <c r="A55" s="13">
        <v>52</v>
      </c>
      <c r="B55" s="62">
        <f>'[10]TB-6'!$C$8</f>
        <v>0</v>
      </c>
      <c r="C55" s="72">
        <f>'[10]TB-6'!AG80</f>
        <v>0</v>
      </c>
      <c r="D55" s="72">
        <f>'[10]TB-6'!AH80</f>
        <v>0</v>
      </c>
      <c r="E55" s="72">
        <f>'[10]TB-6'!AI80</f>
        <v>0</v>
      </c>
      <c r="F55" s="72">
        <f>'[10]TB-6'!AJ80</f>
        <v>0</v>
      </c>
      <c r="G55" s="72">
        <f>'[10]TB-6'!AK80</f>
        <v>0</v>
      </c>
      <c r="H55" s="72">
        <f>'[10]TB-6'!AL80</f>
        <v>0</v>
      </c>
      <c r="I55" s="72">
        <f>'[10]TB-6'!AM80</f>
        <v>0</v>
      </c>
      <c r="J55" s="72">
        <f>'[10]TB-6'!AN80</f>
        <v>0</v>
      </c>
      <c r="K55" s="72">
        <f>'[10]TB-6'!AO80</f>
        <v>0</v>
      </c>
      <c r="L55" s="72">
        <f>'[10]TB-6'!AP80</f>
        <v>0</v>
      </c>
      <c r="M55" s="72">
        <f>'[10]TB-6'!AQ80</f>
        <v>0</v>
      </c>
      <c r="N55" s="72">
        <f>'[10]TB-6'!AR80</f>
        <v>0</v>
      </c>
      <c r="O55" s="72">
        <f>'[10]TB-6'!AS80</f>
        <v>0</v>
      </c>
      <c r="P55" s="72">
        <f>'[10]TB-6'!AT80</f>
        <v>0</v>
      </c>
      <c r="Q55" s="72">
        <f>'[10]TB-6'!AU80</f>
        <v>0</v>
      </c>
      <c r="R55" s="72">
        <f>'[10]TB-6'!AV80</f>
        <v>0</v>
      </c>
      <c r="S55" s="72">
        <f>'[10]TB-6'!AW80</f>
        <v>0</v>
      </c>
      <c r="T55" s="72">
        <f>'[10]TB-6'!AX80</f>
        <v>0</v>
      </c>
      <c r="U55" s="72">
        <f>'[10]TB-6'!AY80</f>
        <v>0</v>
      </c>
      <c r="V55" s="72">
        <f>'[10]TB-6'!AZ80</f>
        <v>0</v>
      </c>
      <c r="W55" s="72">
        <f>'[10]TB-6'!BA80</f>
        <v>0</v>
      </c>
      <c r="X55" s="68">
        <f>'[10]TB-6'!BB80</f>
        <v>0</v>
      </c>
      <c r="Y55" s="74">
        <f>'[10]TB-6'!AG42</f>
        <v>0</v>
      </c>
      <c r="Z55" s="74">
        <f>'[10]TB-6'!AH42</f>
        <v>0</v>
      </c>
      <c r="AA55" s="74">
        <f>'[10]TB-6'!AI42</f>
        <v>0</v>
      </c>
      <c r="AB55" s="74">
        <f>'[10]TB-6'!AJ42</f>
        <v>0</v>
      </c>
      <c r="AC55" s="74">
        <f>'[10]TB-6'!AK42</f>
        <v>0</v>
      </c>
      <c r="AD55" s="74">
        <f>'[10]TB-6'!AL42</f>
        <v>0</v>
      </c>
      <c r="AE55" s="74">
        <f>'[10]TB-6'!AM42</f>
        <v>0</v>
      </c>
      <c r="AF55" s="74">
        <f>'[10]TB-6'!AN42</f>
        <v>0</v>
      </c>
      <c r="AG55" s="74">
        <f>'[10]TB-6'!AO42</f>
        <v>0</v>
      </c>
      <c r="AH55" s="74">
        <f>'[10]TB-6'!AP42</f>
        <v>0</v>
      </c>
      <c r="AI55" s="74">
        <f>'[10]TB-6'!AQ42</f>
        <v>0</v>
      </c>
      <c r="AJ55" s="74">
        <f>'[10]TB-6'!AR42</f>
        <v>0</v>
      </c>
      <c r="AK55" s="74">
        <f>'[10]TB-6'!AS42</f>
        <v>0</v>
      </c>
      <c r="AL55" s="74">
        <f>'[10]TB-6'!AT42</f>
        <v>0</v>
      </c>
      <c r="AM55" s="74">
        <f>'[10]TB-6'!AU42</f>
        <v>0</v>
      </c>
      <c r="AN55" s="74">
        <f>'[10]TB-6'!AV42</f>
        <v>0</v>
      </c>
      <c r="AO55" s="74">
        <f>'[10]TB-6'!AW42</f>
        <v>0</v>
      </c>
      <c r="AP55" s="74">
        <f>'[10]TB-6'!AX42</f>
        <v>0</v>
      </c>
      <c r="AQ55" s="74">
        <f>'[10]TB-6'!AY42</f>
        <v>0</v>
      </c>
      <c r="AR55" s="74">
        <f>'[10]TB-6'!AZ42</f>
        <v>0</v>
      </c>
      <c r="AS55" s="74">
        <f>'[10]TB-6'!BA42</f>
        <v>0</v>
      </c>
      <c r="AT55" s="63">
        <f>'[10]TB-6'!BB42</f>
        <v>0</v>
      </c>
      <c r="AU55" s="73">
        <f>'[10]TB-6'!BC42</f>
        <v>0</v>
      </c>
      <c r="AV55" s="73">
        <f>'[10]TB-6'!BD42</f>
        <v>0</v>
      </c>
      <c r="AW55" s="73">
        <f>'[10]TB-6'!BE42</f>
        <v>0</v>
      </c>
      <c r="AX55" s="73">
        <f>'[10]TB-6'!BF42</f>
        <v>0</v>
      </c>
      <c r="AY55" s="73">
        <f>'[10]TB-6'!BG42</f>
        <v>0</v>
      </c>
      <c r="AZ55" s="73">
        <f>'[10]TB-6'!BH42</f>
        <v>0</v>
      </c>
      <c r="BA55" s="73">
        <f>'[10]TB-6'!BI42</f>
        <v>0</v>
      </c>
      <c r="BB55" s="73">
        <f>'[10]TB-6'!BJ42</f>
        <v>0</v>
      </c>
      <c r="BC55" s="73">
        <f>'[10]TB-6'!BK42</f>
        <v>0</v>
      </c>
      <c r="BD55" s="73">
        <f>'[10]TB-6'!BL42</f>
        <v>0</v>
      </c>
      <c r="BE55" s="73">
        <f>'[10]TB-6'!BM42</f>
        <v>0</v>
      </c>
      <c r="BF55" s="73">
        <f>'[10]TB-6'!BN42</f>
        <v>0</v>
      </c>
      <c r="BG55" s="73">
        <f>'[10]TB-6'!BO42</f>
        <v>0</v>
      </c>
      <c r="BH55" s="73">
        <f>'[10]TB-6'!BP42</f>
        <v>0</v>
      </c>
      <c r="BI55" s="73">
        <f>'[10]TB-6'!BQ42</f>
        <v>0</v>
      </c>
      <c r="BJ55" s="73">
        <f>'[10]TB-6'!BR42</f>
        <v>0</v>
      </c>
      <c r="BK55" s="73">
        <f>'[10]TB-6'!BS42</f>
        <v>0</v>
      </c>
      <c r="BL55" s="73">
        <f>'[10]TB-6'!BT42</f>
        <v>0</v>
      </c>
      <c r="BM55" s="73">
        <f>'[10]TB-6'!BU42</f>
        <v>0</v>
      </c>
      <c r="BN55" s="73">
        <f>'[10]TB-6'!BV42</f>
        <v>0</v>
      </c>
      <c r="BO55" s="73">
        <f>'[10]TB-6'!BW42</f>
        <v>0</v>
      </c>
      <c r="BP55" s="64">
        <f>'[10]TB-6'!BX42</f>
        <v>0</v>
      </c>
    </row>
    <row r="56" spans="1:68" x14ac:dyDescent="0.35">
      <c r="A56" s="13">
        <v>53</v>
      </c>
      <c r="B56" s="62">
        <f>'[10]TB-7'!$C$8</f>
        <v>0</v>
      </c>
      <c r="C56" s="72">
        <f>'[10]TB-7'!AG80</f>
        <v>0</v>
      </c>
      <c r="D56" s="72">
        <f>'[10]TB-7'!AH80</f>
        <v>0</v>
      </c>
      <c r="E56" s="72">
        <f>'[10]TB-7'!AI80</f>
        <v>0</v>
      </c>
      <c r="F56" s="72">
        <f>'[10]TB-7'!AJ80</f>
        <v>0</v>
      </c>
      <c r="G56" s="72">
        <f>'[10]TB-7'!AK80</f>
        <v>0</v>
      </c>
      <c r="H56" s="72">
        <f>'[10]TB-7'!AL80</f>
        <v>0</v>
      </c>
      <c r="I56" s="72">
        <f>'[10]TB-7'!AM80</f>
        <v>0</v>
      </c>
      <c r="J56" s="72">
        <f>'[10]TB-7'!AN80</f>
        <v>0</v>
      </c>
      <c r="K56" s="72">
        <f>'[10]TB-7'!AO80</f>
        <v>0</v>
      </c>
      <c r="L56" s="72">
        <f>'[10]TB-7'!AP80</f>
        <v>0</v>
      </c>
      <c r="M56" s="72">
        <f>'[10]TB-7'!AQ80</f>
        <v>0</v>
      </c>
      <c r="N56" s="72">
        <f>'[10]TB-7'!AR80</f>
        <v>0</v>
      </c>
      <c r="O56" s="72">
        <f>'[10]TB-7'!AS80</f>
        <v>0</v>
      </c>
      <c r="P56" s="72">
        <f>'[10]TB-7'!AT80</f>
        <v>0</v>
      </c>
      <c r="Q56" s="72">
        <f>'[10]TB-7'!AU80</f>
        <v>0</v>
      </c>
      <c r="R56" s="72">
        <f>'[10]TB-7'!AV80</f>
        <v>0</v>
      </c>
      <c r="S56" s="72">
        <f>'[10]TB-7'!AW80</f>
        <v>0</v>
      </c>
      <c r="T56" s="72">
        <f>'[10]TB-7'!AX80</f>
        <v>0</v>
      </c>
      <c r="U56" s="72">
        <f>'[10]TB-7'!AY80</f>
        <v>0</v>
      </c>
      <c r="V56" s="72">
        <f>'[10]TB-7'!AZ80</f>
        <v>0</v>
      </c>
      <c r="W56" s="72">
        <f>'[10]TB-7'!BA80</f>
        <v>0</v>
      </c>
      <c r="X56" s="68">
        <f>'[10]TB-7'!BB80</f>
        <v>0</v>
      </c>
      <c r="Y56" s="74">
        <f>'[10]TB-7'!AG42</f>
        <v>0</v>
      </c>
      <c r="Z56" s="74">
        <f>'[10]TB-7'!AH42</f>
        <v>0</v>
      </c>
      <c r="AA56" s="74">
        <f>'[10]TB-7'!AI42</f>
        <v>0</v>
      </c>
      <c r="AB56" s="74">
        <f>'[10]TB-7'!AJ42</f>
        <v>0</v>
      </c>
      <c r="AC56" s="74">
        <f>'[10]TB-7'!AK42</f>
        <v>0</v>
      </c>
      <c r="AD56" s="74">
        <f>'[10]TB-7'!AL42</f>
        <v>0</v>
      </c>
      <c r="AE56" s="74">
        <f>'[10]TB-7'!AM42</f>
        <v>0</v>
      </c>
      <c r="AF56" s="74">
        <f>'[10]TB-7'!AN42</f>
        <v>0</v>
      </c>
      <c r="AG56" s="74">
        <f>'[10]TB-7'!AO42</f>
        <v>0</v>
      </c>
      <c r="AH56" s="74">
        <f>'[10]TB-7'!AP42</f>
        <v>0</v>
      </c>
      <c r="AI56" s="74">
        <f>'[10]TB-7'!AQ42</f>
        <v>0</v>
      </c>
      <c r="AJ56" s="74">
        <f>'[10]TB-7'!AR42</f>
        <v>0</v>
      </c>
      <c r="AK56" s="74">
        <f>'[10]TB-7'!AS42</f>
        <v>0</v>
      </c>
      <c r="AL56" s="74">
        <f>'[10]TB-7'!AT42</f>
        <v>0</v>
      </c>
      <c r="AM56" s="74">
        <f>'[10]TB-7'!AU42</f>
        <v>0</v>
      </c>
      <c r="AN56" s="74">
        <f>'[10]TB-7'!AV42</f>
        <v>0</v>
      </c>
      <c r="AO56" s="74">
        <f>'[10]TB-7'!AW42</f>
        <v>0</v>
      </c>
      <c r="AP56" s="74">
        <f>'[10]TB-7'!AX42</f>
        <v>0</v>
      </c>
      <c r="AQ56" s="74">
        <f>'[10]TB-7'!AY42</f>
        <v>0</v>
      </c>
      <c r="AR56" s="74">
        <f>'[10]TB-7'!AZ42</f>
        <v>0</v>
      </c>
      <c r="AS56" s="74">
        <f>'[10]TB-7'!BA42</f>
        <v>0</v>
      </c>
      <c r="AT56" s="63">
        <f>'[10]TB-7'!BB42</f>
        <v>0</v>
      </c>
      <c r="AU56" s="73">
        <f>'[10]TB-7'!BC42</f>
        <v>0</v>
      </c>
      <c r="AV56" s="73">
        <f>'[10]TB-7'!BD42</f>
        <v>0</v>
      </c>
      <c r="AW56" s="73">
        <f>'[10]TB-7'!BE42</f>
        <v>0</v>
      </c>
      <c r="AX56" s="73">
        <f>'[10]TB-7'!BF42</f>
        <v>0</v>
      </c>
      <c r="AY56" s="73">
        <f>'[10]TB-7'!BG42</f>
        <v>0</v>
      </c>
      <c r="AZ56" s="73">
        <f>'[10]TB-7'!BH42</f>
        <v>0</v>
      </c>
      <c r="BA56" s="73">
        <f>'[10]TB-7'!BI42</f>
        <v>0</v>
      </c>
      <c r="BB56" s="73">
        <f>'[10]TB-7'!BJ42</f>
        <v>0</v>
      </c>
      <c r="BC56" s="73">
        <f>'[10]TB-7'!BK42</f>
        <v>0</v>
      </c>
      <c r="BD56" s="73">
        <f>'[10]TB-7'!BL42</f>
        <v>0</v>
      </c>
      <c r="BE56" s="73">
        <f>'[10]TB-7'!BM42</f>
        <v>0</v>
      </c>
      <c r="BF56" s="73">
        <f>'[10]TB-7'!BN42</f>
        <v>0</v>
      </c>
      <c r="BG56" s="73">
        <f>'[10]TB-7'!BO42</f>
        <v>0</v>
      </c>
      <c r="BH56" s="73">
        <f>'[10]TB-7'!BP42</f>
        <v>0</v>
      </c>
      <c r="BI56" s="73">
        <f>'[10]TB-7'!BQ42</f>
        <v>0</v>
      </c>
      <c r="BJ56" s="73">
        <f>'[10]TB-7'!BR42</f>
        <v>0</v>
      </c>
      <c r="BK56" s="73">
        <f>'[10]TB-7'!BS42</f>
        <v>0</v>
      </c>
      <c r="BL56" s="73">
        <f>'[10]TB-7'!BT42</f>
        <v>0</v>
      </c>
      <c r="BM56" s="73">
        <f>'[10]TB-7'!BU42</f>
        <v>0</v>
      </c>
      <c r="BN56" s="73">
        <f>'[10]TB-7'!BV42</f>
        <v>0</v>
      </c>
      <c r="BO56" s="73">
        <f>'[10]TB-7'!BW42</f>
        <v>0</v>
      </c>
      <c r="BP56" s="64">
        <f>'[10]TB-7'!BX42</f>
        <v>0</v>
      </c>
    </row>
    <row r="57" spans="1:68" x14ac:dyDescent="0.35">
      <c r="A57" s="13">
        <v>54</v>
      </c>
      <c r="B57" s="62">
        <f>'[10]TB-8'!$C$8</f>
        <v>0</v>
      </c>
      <c r="C57" s="72">
        <f>'[10]TB-8'!AG80</f>
        <v>0</v>
      </c>
      <c r="D57" s="72">
        <f>'[10]TB-8'!AH80</f>
        <v>0</v>
      </c>
      <c r="E57" s="72">
        <f>'[10]TB-8'!AI80</f>
        <v>0</v>
      </c>
      <c r="F57" s="72">
        <f>'[10]TB-8'!AJ80</f>
        <v>0</v>
      </c>
      <c r="G57" s="72">
        <f>'[10]TB-8'!AK80</f>
        <v>0</v>
      </c>
      <c r="H57" s="72">
        <f>'[10]TB-8'!AL80</f>
        <v>0</v>
      </c>
      <c r="I57" s="72">
        <f>'[10]TB-8'!AM80</f>
        <v>0</v>
      </c>
      <c r="J57" s="72">
        <f>'[10]TB-8'!AN80</f>
        <v>0</v>
      </c>
      <c r="K57" s="72">
        <f>'[10]TB-8'!AO80</f>
        <v>0</v>
      </c>
      <c r="L57" s="72">
        <f>'[10]TB-8'!AP80</f>
        <v>0</v>
      </c>
      <c r="M57" s="72">
        <f>'[10]TB-8'!AQ80</f>
        <v>0</v>
      </c>
      <c r="N57" s="72">
        <f>'[10]TB-8'!AR80</f>
        <v>0</v>
      </c>
      <c r="O57" s="72">
        <f>'[10]TB-8'!AS80</f>
        <v>0</v>
      </c>
      <c r="P57" s="72">
        <f>'[10]TB-8'!AT80</f>
        <v>0</v>
      </c>
      <c r="Q57" s="72">
        <f>'[10]TB-8'!AU80</f>
        <v>0</v>
      </c>
      <c r="R57" s="72">
        <f>'[10]TB-8'!AV80</f>
        <v>0</v>
      </c>
      <c r="S57" s="72">
        <f>'[10]TB-8'!AW80</f>
        <v>0</v>
      </c>
      <c r="T57" s="72">
        <f>'[10]TB-8'!AX80</f>
        <v>0</v>
      </c>
      <c r="U57" s="72">
        <f>'[10]TB-8'!AY80</f>
        <v>0</v>
      </c>
      <c r="V57" s="72">
        <f>'[10]TB-8'!AZ80</f>
        <v>0</v>
      </c>
      <c r="W57" s="72">
        <f>'[10]TB-8'!BA80</f>
        <v>0</v>
      </c>
      <c r="X57" s="68">
        <f>'[10]TB-8'!BB80</f>
        <v>0</v>
      </c>
      <c r="Y57" s="74">
        <f>'[10]TB-8'!AG42</f>
        <v>0</v>
      </c>
      <c r="Z57" s="74">
        <f>'[10]TB-8'!AH42</f>
        <v>0</v>
      </c>
      <c r="AA57" s="74">
        <f>'[10]TB-8'!AI42</f>
        <v>0</v>
      </c>
      <c r="AB57" s="74">
        <f>'[10]TB-8'!AJ42</f>
        <v>0</v>
      </c>
      <c r="AC57" s="74">
        <f>'[10]TB-8'!AK42</f>
        <v>0</v>
      </c>
      <c r="AD57" s="74">
        <f>'[10]TB-8'!AL42</f>
        <v>0</v>
      </c>
      <c r="AE57" s="74">
        <f>'[10]TB-8'!AM42</f>
        <v>0</v>
      </c>
      <c r="AF57" s="74">
        <f>'[10]TB-8'!AN42</f>
        <v>0</v>
      </c>
      <c r="AG57" s="74">
        <f>'[10]TB-8'!AO42</f>
        <v>0</v>
      </c>
      <c r="AH57" s="74">
        <f>'[10]TB-8'!AP42</f>
        <v>0</v>
      </c>
      <c r="AI57" s="74">
        <f>'[10]TB-8'!AQ42</f>
        <v>0</v>
      </c>
      <c r="AJ57" s="74">
        <f>'[10]TB-8'!AR42</f>
        <v>0</v>
      </c>
      <c r="AK57" s="74">
        <f>'[10]TB-8'!AS42</f>
        <v>0</v>
      </c>
      <c r="AL57" s="74">
        <f>'[10]TB-8'!AT42</f>
        <v>0</v>
      </c>
      <c r="AM57" s="74">
        <f>'[10]TB-8'!AU42</f>
        <v>0</v>
      </c>
      <c r="AN57" s="74">
        <f>'[10]TB-8'!AV42</f>
        <v>0</v>
      </c>
      <c r="AO57" s="74">
        <f>'[10]TB-8'!AW42</f>
        <v>0</v>
      </c>
      <c r="AP57" s="74">
        <f>'[10]TB-8'!AX42</f>
        <v>0</v>
      </c>
      <c r="AQ57" s="74">
        <f>'[10]TB-8'!AY42</f>
        <v>0</v>
      </c>
      <c r="AR57" s="74">
        <f>'[10]TB-8'!AZ42</f>
        <v>0</v>
      </c>
      <c r="AS57" s="74">
        <f>'[10]TB-8'!BA42</f>
        <v>0</v>
      </c>
      <c r="AT57" s="63">
        <f>'[10]TB-8'!BB42</f>
        <v>0</v>
      </c>
      <c r="AU57" s="73">
        <f>'[10]TB-8'!BC42</f>
        <v>0</v>
      </c>
      <c r="AV57" s="73">
        <f>'[10]TB-8'!BD42</f>
        <v>0</v>
      </c>
      <c r="AW57" s="73">
        <f>'[10]TB-8'!BE42</f>
        <v>0</v>
      </c>
      <c r="AX57" s="73">
        <f>'[10]TB-8'!BF42</f>
        <v>0</v>
      </c>
      <c r="AY57" s="73">
        <f>'[10]TB-8'!BG42</f>
        <v>0</v>
      </c>
      <c r="AZ57" s="73">
        <f>'[10]TB-8'!BH42</f>
        <v>0</v>
      </c>
      <c r="BA57" s="73">
        <f>'[10]TB-8'!BI42</f>
        <v>0</v>
      </c>
      <c r="BB57" s="73">
        <f>'[10]TB-8'!BJ42</f>
        <v>0</v>
      </c>
      <c r="BC57" s="73">
        <f>'[10]TB-8'!BK42</f>
        <v>0</v>
      </c>
      <c r="BD57" s="73">
        <f>'[10]TB-8'!BL42</f>
        <v>0</v>
      </c>
      <c r="BE57" s="73">
        <f>'[10]TB-8'!BM42</f>
        <v>0</v>
      </c>
      <c r="BF57" s="73">
        <f>'[10]TB-8'!BN42</f>
        <v>0</v>
      </c>
      <c r="BG57" s="73">
        <f>'[10]TB-8'!BO42</f>
        <v>0</v>
      </c>
      <c r="BH57" s="73">
        <f>'[10]TB-8'!BP42</f>
        <v>0</v>
      </c>
      <c r="BI57" s="73">
        <f>'[10]TB-8'!BQ42</f>
        <v>0</v>
      </c>
      <c r="BJ57" s="73">
        <f>'[10]TB-8'!BR42</f>
        <v>0</v>
      </c>
      <c r="BK57" s="73">
        <f>'[10]TB-8'!BS42</f>
        <v>0</v>
      </c>
      <c r="BL57" s="73">
        <f>'[10]TB-8'!BT42</f>
        <v>0</v>
      </c>
      <c r="BM57" s="73">
        <f>'[10]TB-8'!BU42</f>
        <v>0</v>
      </c>
      <c r="BN57" s="73">
        <f>'[10]TB-8'!BV42</f>
        <v>0</v>
      </c>
      <c r="BO57" s="73">
        <f>'[10]TB-8'!BW42</f>
        <v>0</v>
      </c>
      <c r="BP57" s="64">
        <f>'[10]TB-8'!BX42</f>
        <v>0</v>
      </c>
    </row>
    <row r="58" spans="1:68" x14ac:dyDescent="0.35">
      <c r="A58" s="13">
        <v>55</v>
      </c>
      <c r="B58" s="62">
        <f>'[10]TB-9'!$C$8</f>
        <v>0</v>
      </c>
      <c r="C58" s="72">
        <f>'[10]TB-9'!AG80</f>
        <v>0</v>
      </c>
      <c r="D58" s="72">
        <f>'[10]TB-9'!AH80</f>
        <v>0</v>
      </c>
      <c r="E58" s="72">
        <f>'[10]TB-9'!AI80</f>
        <v>0</v>
      </c>
      <c r="F58" s="72">
        <f>'[10]TB-9'!AJ80</f>
        <v>0</v>
      </c>
      <c r="G58" s="72">
        <f>'[10]TB-9'!AK80</f>
        <v>0</v>
      </c>
      <c r="H58" s="72">
        <f>'[10]TB-9'!AL80</f>
        <v>0</v>
      </c>
      <c r="I58" s="72">
        <f>'[10]TB-9'!AM80</f>
        <v>0</v>
      </c>
      <c r="J58" s="72">
        <f>'[10]TB-9'!AN80</f>
        <v>0</v>
      </c>
      <c r="K58" s="72">
        <f>'[10]TB-9'!AO80</f>
        <v>0</v>
      </c>
      <c r="L58" s="72">
        <f>'[10]TB-9'!AP80</f>
        <v>0</v>
      </c>
      <c r="M58" s="72">
        <f>'[10]TB-9'!AQ80</f>
        <v>0</v>
      </c>
      <c r="N58" s="72">
        <f>'[10]TB-9'!AR80</f>
        <v>0</v>
      </c>
      <c r="O58" s="72">
        <f>'[10]TB-9'!AS80</f>
        <v>0</v>
      </c>
      <c r="P58" s="72">
        <f>'[10]TB-9'!AT80</f>
        <v>0</v>
      </c>
      <c r="Q58" s="72">
        <f>'[10]TB-9'!AU80</f>
        <v>0</v>
      </c>
      <c r="R58" s="72">
        <f>'[10]TB-9'!AV80</f>
        <v>0</v>
      </c>
      <c r="S58" s="72">
        <f>'[10]TB-9'!AW80</f>
        <v>0</v>
      </c>
      <c r="T58" s="72">
        <f>'[10]TB-9'!AX80</f>
        <v>0</v>
      </c>
      <c r="U58" s="72">
        <f>'[10]TB-9'!AY80</f>
        <v>0</v>
      </c>
      <c r="V58" s="72">
        <f>'[10]TB-9'!AZ80</f>
        <v>0</v>
      </c>
      <c r="W58" s="72">
        <f>'[10]TB-9'!BA80</f>
        <v>0</v>
      </c>
      <c r="X58" s="68">
        <f>'[10]TB-9'!BB80</f>
        <v>0</v>
      </c>
      <c r="Y58" s="74">
        <f>'[10]TB-9'!AG42</f>
        <v>0</v>
      </c>
      <c r="Z58" s="74">
        <f>'[10]TB-9'!AH42</f>
        <v>0</v>
      </c>
      <c r="AA58" s="74">
        <f>'[10]TB-9'!AI42</f>
        <v>0</v>
      </c>
      <c r="AB58" s="74">
        <f>'[10]TB-9'!AJ42</f>
        <v>0</v>
      </c>
      <c r="AC58" s="74">
        <f>'[10]TB-9'!AK42</f>
        <v>0</v>
      </c>
      <c r="AD58" s="74">
        <f>'[10]TB-9'!AL42</f>
        <v>0</v>
      </c>
      <c r="AE58" s="74">
        <f>'[10]TB-9'!AM42</f>
        <v>0</v>
      </c>
      <c r="AF58" s="74">
        <f>'[10]TB-9'!AN42</f>
        <v>0</v>
      </c>
      <c r="AG58" s="74">
        <f>'[10]TB-9'!AO42</f>
        <v>0</v>
      </c>
      <c r="AH58" s="74">
        <f>'[10]TB-9'!AP42</f>
        <v>0</v>
      </c>
      <c r="AI58" s="74">
        <f>'[10]TB-9'!AQ42</f>
        <v>0</v>
      </c>
      <c r="AJ58" s="74">
        <f>'[10]TB-9'!AR42</f>
        <v>0</v>
      </c>
      <c r="AK58" s="74">
        <f>'[10]TB-9'!AS42</f>
        <v>0</v>
      </c>
      <c r="AL58" s="74">
        <f>'[10]TB-9'!AT42</f>
        <v>0</v>
      </c>
      <c r="AM58" s="74">
        <f>'[10]TB-9'!AU42</f>
        <v>0</v>
      </c>
      <c r="AN58" s="74">
        <f>'[10]TB-9'!AV42</f>
        <v>0</v>
      </c>
      <c r="AO58" s="74">
        <f>'[10]TB-9'!AW42</f>
        <v>0</v>
      </c>
      <c r="AP58" s="74">
        <f>'[10]TB-9'!AX42</f>
        <v>0</v>
      </c>
      <c r="AQ58" s="74">
        <f>'[10]TB-9'!AY42</f>
        <v>0</v>
      </c>
      <c r="AR58" s="74">
        <f>'[10]TB-9'!AZ42</f>
        <v>0</v>
      </c>
      <c r="AS58" s="74">
        <f>'[10]TB-9'!BA42</f>
        <v>0</v>
      </c>
      <c r="AT58" s="63">
        <f>'[10]TB-9'!BB42</f>
        <v>0</v>
      </c>
      <c r="AU58" s="73">
        <f>'[10]TB-9'!BC42</f>
        <v>0</v>
      </c>
      <c r="AV58" s="73">
        <f>'[10]TB-9'!BD42</f>
        <v>0</v>
      </c>
      <c r="AW58" s="73">
        <f>'[10]TB-9'!BE42</f>
        <v>0</v>
      </c>
      <c r="AX58" s="73">
        <f>'[10]TB-9'!BF42</f>
        <v>0</v>
      </c>
      <c r="AY58" s="73">
        <f>'[10]TB-9'!BG42</f>
        <v>0</v>
      </c>
      <c r="AZ58" s="73">
        <f>'[10]TB-9'!BH42</f>
        <v>0</v>
      </c>
      <c r="BA58" s="73">
        <f>'[10]TB-9'!BI42</f>
        <v>0</v>
      </c>
      <c r="BB58" s="73">
        <f>'[10]TB-9'!BJ42</f>
        <v>0</v>
      </c>
      <c r="BC58" s="73">
        <f>'[10]TB-9'!BK42</f>
        <v>0</v>
      </c>
      <c r="BD58" s="73">
        <f>'[10]TB-9'!BL42</f>
        <v>0</v>
      </c>
      <c r="BE58" s="73">
        <f>'[10]TB-9'!BM42</f>
        <v>0</v>
      </c>
      <c r="BF58" s="73">
        <f>'[10]TB-9'!BN42</f>
        <v>0</v>
      </c>
      <c r="BG58" s="73">
        <f>'[10]TB-9'!BO42</f>
        <v>0</v>
      </c>
      <c r="BH58" s="73">
        <f>'[10]TB-9'!BP42</f>
        <v>0</v>
      </c>
      <c r="BI58" s="73">
        <f>'[10]TB-9'!BQ42</f>
        <v>0</v>
      </c>
      <c r="BJ58" s="73">
        <f>'[10]TB-9'!BR42</f>
        <v>0</v>
      </c>
      <c r="BK58" s="73">
        <f>'[10]TB-9'!BS42</f>
        <v>0</v>
      </c>
      <c r="BL58" s="73">
        <f>'[10]TB-9'!BT42</f>
        <v>0</v>
      </c>
      <c r="BM58" s="73">
        <f>'[10]TB-9'!BU42</f>
        <v>0</v>
      </c>
      <c r="BN58" s="73">
        <f>'[10]TB-9'!BV42</f>
        <v>0</v>
      </c>
      <c r="BO58" s="73">
        <f>'[10]TB-9'!BW42</f>
        <v>0</v>
      </c>
      <c r="BP58" s="64">
        <f>'[10]TB-9'!BX42</f>
        <v>0</v>
      </c>
    </row>
    <row r="59" spans="1:68" x14ac:dyDescent="0.35">
      <c r="A59" s="13">
        <v>56</v>
      </c>
      <c r="B59" s="62" t="str">
        <f>'[10]TB-10'!$C$8</f>
        <v>TB DHANADA 3 (sub Tb Vanvorine)</v>
      </c>
      <c r="C59" s="72">
        <f>'[10]TB-10'!AG80</f>
        <v>0</v>
      </c>
      <c r="D59" s="72">
        <f>'[10]TB-10'!AH80</f>
        <v>0</v>
      </c>
      <c r="E59" s="72">
        <f>'[10]TB-10'!AI80</f>
        <v>0</v>
      </c>
      <c r="F59" s="72">
        <f>'[10]TB-10'!AJ80</f>
        <v>0</v>
      </c>
      <c r="G59" s="72">
        <f>'[10]TB-10'!AK80</f>
        <v>0</v>
      </c>
      <c r="H59" s="72">
        <f>'[10]TB-10'!AL80</f>
        <v>0</v>
      </c>
      <c r="I59" s="72">
        <f>'[10]TB-10'!AM80</f>
        <v>0</v>
      </c>
      <c r="J59" s="72">
        <f>'[10]TB-10'!AN80</f>
        <v>0</v>
      </c>
      <c r="K59" s="72">
        <f>'[10]TB-10'!AO80</f>
        <v>0</v>
      </c>
      <c r="L59" s="72">
        <f>'[10]TB-10'!AP80</f>
        <v>0</v>
      </c>
      <c r="M59" s="72">
        <f>'[10]TB-10'!AQ80</f>
        <v>0</v>
      </c>
      <c r="N59" s="72">
        <f>'[10]TB-10'!AR80</f>
        <v>0</v>
      </c>
      <c r="O59" s="72">
        <f>'[10]TB-10'!AS80</f>
        <v>0</v>
      </c>
      <c r="P59" s="72">
        <f>'[10]TB-10'!AT80</f>
        <v>0</v>
      </c>
      <c r="Q59" s="72">
        <f>'[10]TB-10'!AU80</f>
        <v>0</v>
      </c>
      <c r="R59" s="72">
        <f>'[10]TB-10'!AV80</f>
        <v>0</v>
      </c>
      <c r="S59" s="72">
        <f>'[10]TB-10'!AW80</f>
        <v>0</v>
      </c>
      <c r="T59" s="72">
        <f>'[10]TB-10'!AX80</f>
        <v>0</v>
      </c>
      <c r="U59" s="72">
        <f>'[10]TB-10'!AY80</f>
        <v>0</v>
      </c>
      <c r="V59" s="72">
        <f>'[10]TB-10'!AZ80</f>
        <v>0</v>
      </c>
      <c r="W59" s="72">
        <f>'[10]TB-10'!BA80</f>
        <v>0</v>
      </c>
      <c r="X59" s="68">
        <f>'[10]TB-10'!BB80</f>
        <v>0</v>
      </c>
      <c r="Y59" s="74">
        <f>'[10]TB-10'!AG42</f>
        <v>0</v>
      </c>
      <c r="Z59" s="74">
        <f>'[10]TB-10'!AH42</f>
        <v>0</v>
      </c>
      <c r="AA59" s="74">
        <f>'[10]TB-10'!AI42</f>
        <v>0</v>
      </c>
      <c r="AB59" s="74">
        <f>'[10]TB-10'!AJ42</f>
        <v>0</v>
      </c>
      <c r="AC59" s="74">
        <f>'[10]TB-10'!AK42</f>
        <v>0</v>
      </c>
      <c r="AD59" s="74">
        <f>'[10]TB-10'!AL42</f>
        <v>0</v>
      </c>
      <c r="AE59" s="74">
        <f>'[10]TB-10'!AM42</f>
        <v>0</v>
      </c>
      <c r="AF59" s="74">
        <f>'[10]TB-10'!AN42</f>
        <v>0</v>
      </c>
      <c r="AG59" s="74">
        <f>'[10]TB-10'!AO42</f>
        <v>0</v>
      </c>
      <c r="AH59" s="74">
        <f>'[10]TB-10'!AP42</f>
        <v>0</v>
      </c>
      <c r="AI59" s="74">
        <f>'[10]TB-10'!AQ42</f>
        <v>0</v>
      </c>
      <c r="AJ59" s="74">
        <f>'[10]TB-10'!AR42</f>
        <v>0</v>
      </c>
      <c r="AK59" s="74">
        <f>'[10]TB-10'!AS42</f>
        <v>0</v>
      </c>
      <c r="AL59" s="74">
        <f>'[10]TB-10'!AT42</f>
        <v>0</v>
      </c>
      <c r="AM59" s="74">
        <f>'[10]TB-10'!AU42</f>
        <v>0</v>
      </c>
      <c r="AN59" s="74">
        <f>'[10]TB-10'!AV42</f>
        <v>0</v>
      </c>
      <c r="AO59" s="74">
        <f>'[10]TB-10'!AW42</f>
        <v>0</v>
      </c>
      <c r="AP59" s="74">
        <f>'[10]TB-10'!AX42</f>
        <v>0</v>
      </c>
      <c r="AQ59" s="74">
        <f>'[10]TB-10'!AY42</f>
        <v>0</v>
      </c>
      <c r="AR59" s="74">
        <f>'[10]TB-10'!AZ42</f>
        <v>0</v>
      </c>
      <c r="AS59" s="74">
        <f>'[10]TB-10'!BA42</f>
        <v>0</v>
      </c>
      <c r="AT59" s="63">
        <f>'[10]TB-10'!BB42</f>
        <v>0</v>
      </c>
      <c r="AU59" s="73">
        <f>'[10]TB-10'!BC42</f>
        <v>0</v>
      </c>
      <c r="AV59" s="73">
        <f>'[10]TB-10'!BD42</f>
        <v>0</v>
      </c>
      <c r="AW59" s="73">
        <f>'[10]TB-10'!BE42</f>
        <v>0</v>
      </c>
      <c r="AX59" s="73">
        <f>'[10]TB-10'!BF42</f>
        <v>0</v>
      </c>
      <c r="AY59" s="73">
        <f>'[10]TB-10'!BG42</f>
        <v>0</v>
      </c>
      <c r="AZ59" s="73">
        <f>'[10]TB-10'!BH42</f>
        <v>0</v>
      </c>
      <c r="BA59" s="73">
        <f>'[10]TB-10'!BI42</f>
        <v>0</v>
      </c>
      <c r="BB59" s="73">
        <f>'[10]TB-10'!BJ42</f>
        <v>0</v>
      </c>
      <c r="BC59" s="73">
        <f>'[10]TB-10'!BK42</f>
        <v>0</v>
      </c>
      <c r="BD59" s="73">
        <f>'[10]TB-10'!BL42</f>
        <v>0</v>
      </c>
      <c r="BE59" s="73">
        <f>'[10]TB-10'!BM42</f>
        <v>0</v>
      </c>
      <c r="BF59" s="73">
        <f>'[10]TB-10'!BN42</f>
        <v>0</v>
      </c>
      <c r="BG59" s="73">
        <f>'[10]TB-10'!BO42</f>
        <v>0</v>
      </c>
      <c r="BH59" s="73">
        <f>'[10]TB-10'!BP42</f>
        <v>0</v>
      </c>
      <c r="BI59" s="73">
        <f>'[10]TB-10'!BQ42</f>
        <v>0</v>
      </c>
      <c r="BJ59" s="73">
        <f>'[10]TB-10'!BR42</f>
        <v>0</v>
      </c>
      <c r="BK59" s="73">
        <f>'[10]TB-10'!BS42</f>
        <v>0</v>
      </c>
      <c r="BL59" s="73">
        <f>'[10]TB-10'!BT42</f>
        <v>0</v>
      </c>
      <c r="BM59" s="73">
        <f>'[10]TB-10'!BU42</f>
        <v>0</v>
      </c>
      <c r="BN59" s="73">
        <f>'[10]TB-10'!BV42</f>
        <v>0</v>
      </c>
      <c r="BO59" s="73">
        <f>'[10]TB-10'!BW42</f>
        <v>0</v>
      </c>
      <c r="BP59" s="64">
        <f>'[10]TB-10'!BX42</f>
        <v>0</v>
      </c>
    </row>
    <row r="60" spans="1:68" x14ac:dyDescent="0.35">
      <c r="A60" s="13">
        <v>57</v>
      </c>
      <c r="B60" s="62">
        <f>'[5]Barge-2'!$C$8</f>
        <v>0</v>
      </c>
      <c r="C60" s="72">
        <f>'[5]Barge-2'!AG80</f>
        <v>0</v>
      </c>
      <c r="D60" s="72">
        <f>'[5]Barge-2'!AH80</f>
        <v>0</v>
      </c>
      <c r="E60" s="72">
        <f>'[5]Barge-2'!AI80</f>
        <v>0</v>
      </c>
      <c r="F60" s="72">
        <f>'[5]Barge-2'!AJ80</f>
        <v>0</v>
      </c>
      <c r="G60" s="72">
        <f>'[5]Barge-2'!AK80</f>
        <v>0</v>
      </c>
      <c r="H60" s="72">
        <f>'[5]Barge-2'!AL80</f>
        <v>0</v>
      </c>
      <c r="I60" s="72">
        <f>'[5]Barge-2'!AM80</f>
        <v>0</v>
      </c>
      <c r="J60" s="72">
        <f>'[5]Barge-2'!AN80</f>
        <v>0</v>
      </c>
      <c r="K60" s="72">
        <f>'[5]Barge-2'!AO80</f>
        <v>0</v>
      </c>
      <c r="L60" s="72">
        <f>'[5]Barge-2'!AP80</f>
        <v>0</v>
      </c>
      <c r="M60" s="72">
        <f>'[5]Barge-2'!AQ80</f>
        <v>0</v>
      </c>
      <c r="N60" s="72">
        <f>'[5]Barge-2'!AR80</f>
        <v>0</v>
      </c>
      <c r="O60" s="72">
        <f>'[5]Barge-2'!AS80</f>
        <v>0</v>
      </c>
      <c r="P60" s="72">
        <f>'[5]Barge-2'!AT80</f>
        <v>0</v>
      </c>
      <c r="Q60" s="72">
        <f>'[5]Barge-2'!AU80</f>
        <v>0</v>
      </c>
      <c r="R60" s="72">
        <f>'[5]Barge-2'!AV80</f>
        <v>0</v>
      </c>
      <c r="S60" s="72">
        <f>'[5]Barge-2'!AW80</f>
        <v>0</v>
      </c>
      <c r="T60" s="72">
        <f>'[5]Barge-2'!AX80</f>
        <v>0</v>
      </c>
      <c r="U60" s="72">
        <f>'[5]Barge-2'!AY80</f>
        <v>0</v>
      </c>
      <c r="V60" s="72">
        <f>'[5]Barge-2'!AZ80</f>
        <v>0</v>
      </c>
      <c r="W60" s="72">
        <f>'[5]Barge-2'!BA80</f>
        <v>0</v>
      </c>
      <c r="X60" s="72">
        <f>'[5]Barge-2'!BB80</f>
        <v>0</v>
      </c>
      <c r="Y60" s="74">
        <f>'[5]Barge-2'!AG42</f>
        <v>0</v>
      </c>
      <c r="Z60" s="74">
        <f>'[5]Barge-2'!AH42</f>
        <v>0</v>
      </c>
      <c r="AA60" s="74">
        <f>'[5]Barge-2'!AI42</f>
        <v>0</v>
      </c>
      <c r="AB60" s="74">
        <f>'[5]Barge-2'!AJ42</f>
        <v>0</v>
      </c>
      <c r="AC60" s="74">
        <f>'[5]Barge-2'!AK42</f>
        <v>0</v>
      </c>
      <c r="AD60" s="74">
        <f>'[5]Barge-2'!AL42</f>
        <v>0</v>
      </c>
      <c r="AE60" s="74">
        <f>'[5]Barge-2'!AM42</f>
        <v>0</v>
      </c>
      <c r="AF60" s="74">
        <f>'[5]Barge-2'!AN42</f>
        <v>0</v>
      </c>
      <c r="AG60" s="74">
        <f>'[5]Barge-2'!AO42</f>
        <v>0</v>
      </c>
      <c r="AH60" s="74">
        <f>'[5]Barge-2'!AP42</f>
        <v>0</v>
      </c>
      <c r="AI60" s="74">
        <f>'[5]Barge-2'!AQ42</f>
        <v>0</v>
      </c>
      <c r="AJ60" s="74">
        <f>'[5]Barge-2'!AR42</f>
        <v>0</v>
      </c>
      <c r="AK60" s="74">
        <f>'[5]Barge-2'!AS42</f>
        <v>0</v>
      </c>
      <c r="AL60" s="74">
        <f>'[5]Barge-2'!AT42</f>
        <v>0</v>
      </c>
      <c r="AM60" s="74">
        <f>'[5]Barge-2'!AU42</f>
        <v>0</v>
      </c>
      <c r="AN60" s="74">
        <f>'[5]Barge-2'!AV42</f>
        <v>0</v>
      </c>
      <c r="AO60" s="74">
        <f>'[5]Barge-2'!AW42</f>
        <v>0</v>
      </c>
      <c r="AP60" s="74">
        <f>'[5]Barge-2'!AX42</f>
        <v>0</v>
      </c>
      <c r="AQ60" s="74">
        <f>'[5]Barge-2'!AY42</f>
        <v>0</v>
      </c>
      <c r="AR60" s="74">
        <f>'[5]Barge-2'!AZ42</f>
        <v>0</v>
      </c>
      <c r="AS60" s="74">
        <f>'[5]Barge-2'!BA42</f>
        <v>0</v>
      </c>
      <c r="AT60" s="74">
        <f>'[5]Barge-2'!BB42</f>
        <v>0</v>
      </c>
      <c r="AU60" s="73">
        <f>'[5]Barge-2'!BC42</f>
        <v>0</v>
      </c>
      <c r="AV60" s="73">
        <f>'[5]Barge-2'!BD42</f>
        <v>0</v>
      </c>
      <c r="AW60" s="73">
        <f>'[5]Barge-2'!BE42</f>
        <v>0</v>
      </c>
      <c r="AX60" s="73">
        <f>'[5]Barge-2'!BF42</f>
        <v>0</v>
      </c>
      <c r="AY60" s="73">
        <f>'[5]Barge-2'!BG42</f>
        <v>0</v>
      </c>
      <c r="AZ60" s="73">
        <f>'[5]Barge-2'!BH42</f>
        <v>0</v>
      </c>
      <c r="BA60" s="73">
        <f>'[5]Barge-2'!BI42</f>
        <v>0</v>
      </c>
      <c r="BB60" s="73">
        <f>'[5]Barge-2'!BJ42</f>
        <v>0</v>
      </c>
      <c r="BC60" s="73">
        <f>'[5]Barge-2'!BK42</f>
        <v>0</v>
      </c>
      <c r="BD60" s="73">
        <f>'[5]Barge-2'!BL42</f>
        <v>0</v>
      </c>
      <c r="BE60" s="73">
        <f>'[5]Barge-2'!BM42</f>
        <v>0</v>
      </c>
      <c r="BF60" s="73">
        <f>'[5]Barge-2'!BN42</f>
        <v>0</v>
      </c>
      <c r="BG60" s="73">
        <f>'[5]Barge-2'!BO42</f>
        <v>0</v>
      </c>
      <c r="BH60" s="73">
        <f>'[5]Barge-2'!BP42</f>
        <v>0</v>
      </c>
      <c r="BI60" s="73">
        <f>'[5]Barge-2'!BQ42</f>
        <v>0</v>
      </c>
      <c r="BJ60" s="73">
        <f>'[5]Barge-2'!BR42</f>
        <v>0</v>
      </c>
      <c r="BK60" s="73">
        <f>'[5]Barge-2'!BS42</f>
        <v>0</v>
      </c>
      <c r="BL60" s="73">
        <f>'[5]Barge-2'!BT42</f>
        <v>0</v>
      </c>
      <c r="BM60" s="73">
        <f>'[5]Barge-2'!BU42</f>
        <v>0</v>
      </c>
      <c r="BN60" s="73">
        <f>'[5]Barge-2'!BV42</f>
        <v>0</v>
      </c>
      <c r="BO60" s="73">
        <f>'[5]Barge-2'!BW42</f>
        <v>0</v>
      </c>
      <c r="BP60" s="73">
        <f>'[5]Barge-2'!BX42</f>
        <v>0</v>
      </c>
    </row>
    <row r="61" spans="1:68" x14ac:dyDescent="0.35">
      <c r="A61" s="13">
        <v>58</v>
      </c>
      <c r="B61" s="62">
        <f>'[5]Barge-3'!$C$8</f>
        <v>0</v>
      </c>
      <c r="C61" s="72">
        <f>'[5]Barge-3'!AG80</f>
        <v>0</v>
      </c>
      <c r="D61" s="72">
        <f>'[5]Barge-3'!AH80</f>
        <v>0</v>
      </c>
      <c r="E61" s="72">
        <f>'[5]Barge-3'!AI80</f>
        <v>0</v>
      </c>
      <c r="F61" s="72">
        <f>'[5]Barge-3'!AJ80</f>
        <v>0</v>
      </c>
      <c r="G61" s="72">
        <f>'[5]Barge-3'!AK80</f>
        <v>0</v>
      </c>
      <c r="H61" s="72">
        <f>'[5]Barge-3'!AL80</f>
        <v>0</v>
      </c>
      <c r="I61" s="72">
        <f>'[5]Barge-3'!AM80</f>
        <v>0</v>
      </c>
      <c r="J61" s="72">
        <f>'[5]Barge-3'!AN80</f>
        <v>0</v>
      </c>
      <c r="K61" s="72">
        <f>'[5]Barge-3'!AO80</f>
        <v>0</v>
      </c>
      <c r="L61" s="72">
        <f>'[5]Barge-3'!AP80</f>
        <v>0</v>
      </c>
      <c r="M61" s="72">
        <f>'[5]Barge-3'!AQ80</f>
        <v>0</v>
      </c>
      <c r="N61" s="72">
        <f>'[5]Barge-3'!AR80</f>
        <v>0</v>
      </c>
      <c r="O61" s="72">
        <f>'[5]Barge-3'!AS80</f>
        <v>0</v>
      </c>
      <c r="P61" s="72">
        <f>'[5]Barge-3'!AT80</f>
        <v>0</v>
      </c>
      <c r="Q61" s="72">
        <f>'[5]Barge-3'!AU80</f>
        <v>0</v>
      </c>
      <c r="R61" s="72">
        <f>'[5]Barge-3'!AV80</f>
        <v>0</v>
      </c>
      <c r="S61" s="72">
        <f>'[5]Barge-3'!AW80</f>
        <v>0</v>
      </c>
      <c r="T61" s="72">
        <f>'[5]Barge-3'!AX80</f>
        <v>0</v>
      </c>
      <c r="U61" s="72">
        <f>'[5]Barge-3'!AY80</f>
        <v>0</v>
      </c>
      <c r="V61" s="72">
        <f>'[5]Barge-3'!AZ80</f>
        <v>0</v>
      </c>
      <c r="W61" s="72">
        <f>'[5]Barge-3'!BA80</f>
        <v>0</v>
      </c>
      <c r="X61" s="72">
        <f>'[5]Barge-3'!BB80</f>
        <v>0</v>
      </c>
      <c r="Y61" s="74">
        <f>'[5]Barge-3'!AG42</f>
        <v>0</v>
      </c>
      <c r="Z61" s="74">
        <f>'[5]Barge-3'!AH42</f>
        <v>0</v>
      </c>
      <c r="AA61" s="74">
        <f>'[5]Barge-3'!AI42</f>
        <v>0</v>
      </c>
      <c r="AB61" s="74">
        <f>'[5]Barge-3'!AJ42</f>
        <v>0</v>
      </c>
      <c r="AC61" s="74">
        <f>'[5]Barge-3'!AK42</f>
        <v>0</v>
      </c>
      <c r="AD61" s="74">
        <f>'[5]Barge-3'!AL42</f>
        <v>0</v>
      </c>
      <c r="AE61" s="74">
        <f>'[5]Barge-3'!AM42</f>
        <v>0</v>
      </c>
      <c r="AF61" s="74">
        <f>'[5]Barge-3'!AN42</f>
        <v>0</v>
      </c>
      <c r="AG61" s="74">
        <f>'[5]Barge-3'!AO42</f>
        <v>0</v>
      </c>
      <c r="AH61" s="74">
        <f>'[5]Barge-3'!AP42</f>
        <v>0</v>
      </c>
      <c r="AI61" s="74">
        <f>'[5]Barge-3'!AQ42</f>
        <v>0</v>
      </c>
      <c r="AJ61" s="74">
        <f>'[5]Barge-3'!AR42</f>
        <v>0</v>
      </c>
      <c r="AK61" s="74">
        <f>'[5]Barge-3'!AS42</f>
        <v>0</v>
      </c>
      <c r="AL61" s="74">
        <f>'[5]Barge-3'!AT42</f>
        <v>0</v>
      </c>
      <c r="AM61" s="74">
        <f>'[5]Barge-3'!AU42</f>
        <v>0</v>
      </c>
      <c r="AN61" s="74">
        <f>'[5]Barge-3'!AV42</f>
        <v>0</v>
      </c>
      <c r="AO61" s="74">
        <f>'[5]Barge-3'!AW42</f>
        <v>0</v>
      </c>
      <c r="AP61" s="74">
        <f>'[5]Barge-3'!AX42</f>
        <v>0</v>
      </c>
      <c r="AQ61" s="74">
        <f>'[5]Barge-3'!AY42</f>
        <v>0</v>
      </c>
      <c r="AR61" s="74">
        <f>'[5]Barge-3'!AZ42</f>
        <v>0</v>
      </c>
      <c r="AS61" s="74">
        <f>'[5]Barge-3'!BA42</f>
        <v>0</v>
      </c>
      <c r="AT61" s="74">
        <f>'[5]Barge-3'!BB42</f>
        <v>0</v>
      </c>
      <c r="AU61" s="73">
        <f>'[5]Barge-3'!BC42</f>
        <v>0</v>
      </c>
      <c r="AV61" s="73">
        <f>'[5]Barge-3'!BD42</f>
        <v>0</v>
      </c>
      <c r="AW61" s="73">
        <f>'[5]Barge-3'!BE42</f>
        <v>0</v>
      </c>
      <c r="AX61" s="73">
        <f>'[5]Barge-3'!BF42</f>
        <v>0</v>
      </c>
      <c r="AY61" s="73">
        <f>'[5]Barge-3'!BG42</f>
        <v>0</v>
      </c>
      <c r="AZ61" s="73">
        <f>'[5]Barge-3'!BH42</f>
        <v>0</v>
      </c>
      <c r="BA61" s="73">
        <f>'[5]Barge-3'!BI42</f>
        <v>0</v>
      </c>
      <c r="BB61" s="73">
        <f>'[5]Barge-3'!BJ42</f>
        <v>0</v>
      </c>
      <c r="BC61" s="73">
        <f>'[5]Barge-3'!BK42</f>
        <v>0</v>
      </c>
      <c r="BD61" s="73">
        <f>'[5]Barge-3'!BL42</f>
        <v>0</v>
      </c>
      <c r="BE61" s="73">
        <f>'[5]Barge-3'!BM42</f>
        <v>0</v>
      </c>
      <c r="BF61" s="73">
        <f>'[5]Barge-3'!BN42</f>
        <v>0</v>
      </c>
      <c r="BG61" s="73">
        <f>'[5]Barge-3'!BO42</f>
        <v>0</v>
      </c>
      <c r="BH61" s="73">
        <f>'[5]Barge-3'!BP42</f>
        <v>0</v>
      </c>
      <c r="BI61" s="73">
        <f>'[5]Barge-3'!BQ42</f>
        <v>0</v>
      </c>
      <c r="BJ61" s="73">
        <f>'[5]Barge-3'!BR42</f>
        <v>0</v>
      </c>
      <c r="BK61" s="73">
        <f>'[5]Barge-3'!BS42</f>
        <v>0</v>
      </c>
      <c r="BL61" s="73">
        <f>'[5]Barge-3'!BT42</f>
        <v>0</v>
      </c>
      <c r="BM61" s="73">
        <f>'[5]Barge-3'!BU42</f>
        <v>0</v>
      </c>
      <c r="BN61" s="73">
        <f>'[5]Barge-3'!BV42</f>
        <v>0</v>
      </c>
      <c r="BO61" s="73">
        <f>'[5]Barge-3'!BW42</f>
        <v>0</v>
      </c>
      <c r="BP61" s="73">
        <f>'[5]Barge-3'!BX42</f>
        <v>0</v>
      </c>
    </row>
    <row r="62" spans="1:68" x14ac:dyDescent="0.35">
      <c r="A62" s="13">
        <v>59</v>
      </c>
      <c r="B62" s="62">
        <f>'[5]Barge-4'!$C$8</f>
        <v>0</v>
      </c>
      <c r="C62" s="72">
        <f>'[5]Barge-4'!AG80</f>
        <v>0</v>
      </c>
      <c r="D62" s="72">
        <f>'[5]Barge-4'!AH80</f>
        <v>0</v>
      </c>
      <c r="E62" s="72">
        <f>'[5]Barge-4'!AI80</f>
        <v>0</v>
      </c>
      <c r="F62" s="72">
        <f>'[5]Barge-4'!AJ80</f>
        <v>0</v>
      </c>
      <c r="G62" s="72">
        <f>'[5]Barge-4'!AK80</f>
        <v>0</v>
      </c>
      <c r="H62" s="72">
        <f>'[5]Barge-4'!AL80</f>
        <v>0</v>
      </c>
      <c r="I62" s="72">
        <f>'[5]Barge-4'!AM80</f>
        <v>0</v>
      </c>
      <c r="J62" s="72">
        <f>'[5]Barge-4'!AN80</f>
        <v>0</v>
      </c>
      <c r="K62" s="72">
        <f>'[5]Barge-4'!AO80</f>
        <v>0</v>
      </c>
      <c r="L62" s="72">
        <f>'[5]Barge-4'!AP80</f>
        <v>0</v>
      </c>
      <c r="M62" s="72">
        <f>'[5]Barge-4'!AQ80</f>
        <v>0</v>
      </c>
      <c r="N62" s="72">
        <f>'[5]Barge-4'!AR80</f>
        <v>0</v>
      </c>
      <c r="O62" s="72">
        <f>'[5]Barge-4'!AS80</f>
        <v>0</v>
      </c>
      <c r="P62" s="72">
        <f>'[5]Barge-4'!AT80</f>
        <v>0</v>
      </c>
      <c r="Q62" s="72">
        <f>'[5]Barge-4'!AU80</f>
        <v>0</v>
      </c>
      <c r="R62" s="72">
        <f>'[5]Barge-4'!AV80</f>
        <v>0</v>
      </c>
      <c r="S62" s="72">
        <f>'[5]Barge-4'!AW80</f>
        <v>0</v>
      </c>
      <c r="T62" s="72">
        <f>'[5]Barge-4'!AX80</f>
        <v>0</v>
      </c>
      <c r="U62" s="72">
        <f>'[5]Barge-4'!AY80</f>
        <v>0</v>
      </c>
      <c r="V62" s="72">
        <f>'[5]Barge-4'!AZ80</f>
        <v>0</v>
      </c>
      <c r="W62" s="72">
        <f>'[5]Barge-4'!BA80</f>
        <v>0</v>
      </c>
      <c r="X62" s="72">
        <f>'[5]Barge-4'!BB80</f>
        <v>0</v>
      </c>
      <c r="Y62" s="74">
        <f>'[5]Barge-4'!AG42</f>
        <v>0</v>
      </c>
      <c r="Z62" s="74">
        <f>'[5]Barge-4'!AH42</f>
        <v>0</v>
      </c>
      <c r="AA62" s="74">
        <f>'[5]Barge-4'!AI42</f>
        <v>0</v>
      </c>
      <c r="AB62" s="74">
        <f>'[5]Barge-4'!AJ42</f>
        <v>0</v>
      </c>
      <c r="AC62" s="74">
        <f>'[5]Barge-4'!AK42</f>
        <v>0</v>
      </c>
      <c r="AD62" s="74">
        <f>'[5]Barge-4'!AL42</f>
        <v>0</v>
      </c>
      <c r="AE62" s="74">
        <f>'[5]Barge-4'!AM42</f>
        <v>0</v>
      </c>
      <c r="AF62" s="74">
        <f>'[5]Barge-4'!AN42</f>
        <v>0</v>
      </c>
      <c r="AG62" s="74">
        <f>'[5]Barge-4'!AO42</f>
        <v>0</v>
      </c>
      <c r="AH62" s="74">
        <f>'[5]Barge-4'!AP42</f>
        <v>0</v>
      </c>
      <c r="AI62" s="74">
        <f>'[5]Barge-4'!AQ42</f>
        <v>0</v>
      </c>
      <c r="AJ62" s="74">
        <f>'[5]Barge-4'!AR42</f>
        <v>0</v>
      </c>
      <c r="AK62" s="74">
        <f>'[5]Barge-4'!AS42</f>
        <v>0</v>
      </c>
      <c r="AL62" s="74">
        <f>'[5]Barge-4'!AT42</f>
        <v>0</v>
      </c>
      <c r="AM62" s="74">
        <f>'[5]Barge-4'!AU42</f>
        <v>0</v>
      </c>
      <c r="AN62" s="74">
        <f>'[5]Barge-4'!AV42</f>
        <v>0</v>
      </c>
      <c r="AO62" s="74">
        <f>'[5]Barge-4'!AW42</f>
        <v>0</v>
      </c>
      <c r="AP62" s="74">
        <f>'[5]Barge-4'!AX42</f>
        <v>0</v>
      </c>
      <c r="AQ62" s="74">
        <f>'[5]Barge-4'!AY42</f>
        <v>0</v>
      </c>
      <c r="AR62" s="74">
        <f>'[5]Barge-4'!AZ42</f>
        <v>0</v>
      </c>
      <c r="AS62" s="74">
        <f>'[5]Barge-4'!BA42</f>
        <v>0</v>
      </c>
      <c r="AT62" s="74">
        <f>'[5]Barge-4'!BB42</f>
        <v>0</v>
      </c>
      <c r="AU62" s="73">
        <f>'[5]Barge-4'!BC42</f>
        <v>0</v>
      </c>
      <c r="AV62" s="73">
        <f>'[5]Barge-4'!BD42</f>
        <v>0</v>
      </c>
      <c r="AW62" s="73">
        <f>'[5]Barge-4'!BE42</f>
        <v>0</v>
      </c>
      <c r="AX62" s="73">
        <f>'[5]Barge-4'!BF42</f>
        <v>0</v>
      </c>
      <c r="AY62" s="73">
        <f>'[5]Barge-4'!BG42</f>
        <v>0</v>
      </c>
      <c r="AZ62" s="73">
        <f>'[5]Barge-4'!BH42</f>
        <v>0</v>
      </c>
      <c r="BA62" s="73">
        <f>'[5]Barge-4'!BI42</f>
        <v>0</v>
      </c>
      <c r="BB62" s="73">
        <f>'[5]Barge-4'!BJ42</f>
        <v>0</v>
      </c>
      <c r="BC62" s="73">
        <f>'[5]Barge-4'!BK42</f>
        <v>0</v>
      </c>
      <c r="BD62" s="73">
        <f>'[5]Barge-4'!BL42</f>
        <v>0</v>
      </c>
      <c r="BE62" s="73">
        <f>'[5]Barge-4'!BM42</f>
        <v>0</v>
      </c>
      <c r="BF62" s="73">
        <f>'[5]Barge-4'!BN42</f>
        <v>0</v>
      </c>
      <c r="BG62" s="73">
        <f>'[5]Barge-4'!BO42</f>
        <v>0</v>
      </c>
      <c r="BH62" s="73">
        <f>'[5]Barge-4'!BP42</f>
        <v>0</v>
      </c>
      <c r="BI62" s="73">
        <f>'[5]Barge-4'!BQ42</f>
        <v>0</v>
      </c>
      <c r="BJ62" s="73">
        <f>'[5]Barge-4'!BR42</f>
        <v>0</v>
      </c>
      <c r="BK62" s="73">
        <f>'[5]Barge-4'!BS42</f>
        <v>0</v>
      </c>
      <c r="BL62" s="73">
        <f>'[5]Barge-4'!BT42</f>
        <v>0</v>
      </c>
      <c r="BM62" s="73">
        <f>'[5]Barge-4'!BU42</f>
        <v>0</v>
      </c>
      <c r="BN62" s="73">
        <f>'[5]Barge-4'!BV42</f>
        <v>0</v>
      </c>
      <c r="BO62" s="73">
        <f>'[5]Barge-4'!BW42</f>
        <v>0</v>
      </c>
      <c r="BP62" s="73">
        <f>'[5]Barge-4'!BX42</f>
        <v>0</v>
      </c>
    </row>
    <row r="63" spans="1:68" x14ac:dyDescent="0.35">
      <c r="A63" s="214" t="s">
        <v>30</v>
      </c>
      <c r="B63" s="214"/>
      <c r="C63" s="17">
        <f>SUM(C4:C62)</f>
        <v>0</v>
      </c>
      <c r="D63" s="17">
        <f t="shared" ref="D63:X63" si="0">SUM(D4:D62)</f>
        <v>0</v>
      </c>
      <c r="E63" s="17">
        <f t="shared" si="0"/>
        <v>0</v>
      </c>
      <c r="F63" s="17">
        <f t="shared" si="0"/>
        <v>0</v>
      </c>
      <c r="G63" s="17">
        <f t="shared" si="0"/>
        <v>0</v>
      </c>
      <c r="H63" s="17">
        <f t="shared" si="0"/>
        <v>0</v>
      </c>
      <c r="I63" s="17">
        <f t="shared" si="0"/>
        <v>0</v>
      </c>
      <c r="J63" s="17">
        <f t="shared" si="0"/>
        <v>0</v>
      </c>
      <c r="K63" s="17">
        <f t="shared" si="0"/>
        <v>0</v>
      </c>
      <c r="L63" s="17">
        <f t="shared" si="0"/>
        <v>0</v>
      </c>
      <c r="M63" s="17">
        <f t="shared" si="0"/>
        <v>0</v>
      </c>
      <c r="N63" s="17">
        <f t="shared" si="0"/>
        <v>0</v>
      </c>
      <c r="O63" s="17">
        <f t="shared" si="0"/>
        <v>0</v>
      </c>
      <c r="P63" s="17">
        <f>SUM(P4:P62)</f>
        <v>0</v>
      </c>
      <c r="Q63" s="17">
        <f>SUM(Q4:Q62)</f>
        <v>0</v>
      </c>
      <c r="R63" s="17">
        <f t="shared" si="0"/>
        <v>0</v>
      </c>
      <c r="S63" s="17">
        <f t="shared" si="0"/>
        <v>0</v>
      </c>
      <c r="T63" s="17">
        <f t="shared" si="0"/>
        <v>0</v>
      </c>
      <c r="U63" s="17">
        <f t="shared" si="0"/>
        <v>0</v>
      </c>
      <c r="V63" s="17">
        <f t="shared" si="0"/>
        <v>0</v>
      </c>
      <c r="W63" s="17">
        <f t="shared" si="0"/>
        <v>0</v>
      </c>
      <c r="X63" s="17">
        <f t="shared" si="0"/>
        <v>0</v>
      </c>
      <c r="Y63" s="18">
        <f>SUM(Y4:Y62)</f>
        <v>0</v>
      </c>
      <c r="Z63" s="18">
        <f t="shared" ref="Z63:BP63" si="1">SUM(Z4:Z62)</f>
        <v>0</v>
      </c>
      <c r="AA63" s="18">
        <f t="shared" si="1"/>
        <v>0</v>
      </c>
      <c r="AB63" s="18">
        <f t="shared" si="1"/>
        <v>0</v>
      </c>
      <c r="AC63" s="18">
        <f t="shared" si="1"/>
        <v>0</v>
      </c>
      <c r="AD63" s="18">
        <f t="shared" si="1"/>
        <v>0</v>
      </c>
      <c r="AE63" s="18">
        <f t="shared" si="1"/>
        <v>0</v>
      </c>
      <c r="AF63" s="18">
        <f t="shared" si="1"/>
        <v>0</v>
      </c>
      <c r="AG63" s="18">
        <f t="shared" si="1"/>
        <v>0</v>
      </c>
      <c r="AH63" s="18">
        <f t="shared" si="1"/>
        <v>0</v>
      </c>
      <c r="AI63" s="18">
        <f t="shared" si="1"/>
        <v>0</v>
      </c>
      <c r="AJ63" s="18">
        <f t="shared" si="1"/>
        <v>0</v>
      </c>
      <c r="AK63" s="18">
        <f t="shared" si="1"/>
        <v>0</v>
      </c>
      <c r="AL63" s="18">
        <f t="shared" si="1"/>
        <v>0</v>
      </c>
      <c r="AM63" s="18">
        <f t="shared" si="1"/>
        <v>0</v>
      </c>
      <c r="AN63" s="18">
        <f t="shared" si="1"/>
        <v>0</v>
      </c>
      <c r="AO63" s="18">
        <f t="shared" si="1"/>
        <v>0</v>
      </c>
      <c r="AP63" s="18">
        <f t="shared" si="1"/>
        <v>0</v>
      </c>
      <c r="AQ63" s="18">
        <f t="shared" si="1"/>
        <v>0</v>
      </c>
      <c r="AR63" s="18">
        <f t="shared" si="1"/>
        <v>0</v>
      </c>
      <c r="AS63" s="18">
        <f t="shared" si="1"/>
        <v>0</v>
      </c>
      <c r="AT63" s="18">
        <f t="shared" si="1"/>
        <v>0</v>
      </c>
      <c r="AU63" s="18">
        <f t="shared" si="1"/>
        <v>0</v>
      </c>
      <c r="AV63" s="18">
        <f t="shared" si="1"/>
        <v>0</v>
      </c>
      <c r="AW63" s="18">
        <f t="shared" si="1"/>
        <v>0</v>
      </c>
      <c r="AX63" s="18">
        <f t="shared" si="1"/>
        <v>0</v>
      </c>
      <c r="AY63" s="18">
        <f t="shared" si="1"/>
        <v>0</v>
      </c>
      <c r="AZ63" s="18">
        <f t="shared" si="1"/>
        <v>0</v>
      </c>
      <c r="BA63" s="18">
        <f t="shared" si="1"/>
        <v>0</v>
      </c>
      <c r="BB63" s="18">
        <f t="shared" si="1"/>
        <v>0</v>
      </c>
      <c r="BC63" s="18">
        <f t="shared" si="1"/>
        <v>0</v>
      </c>
      <c r="BD63" s="18">
        <f t="shared" si="1"/>
        <v>0</v>
      </c>
      <c r="BE63" s="18">
        <f t="shared" si="1"/>
        <v>0</v>
      </c>
      <c r="BF63" s="18">
        <f t="shared" si="1"/>
        <v>0</v>
      </c>
      <c r="BG63" s="18">
        <f t="shared" si="1"/>
        <v>0</v>
      </c>
      <c r="BH63" s="18">
        <f t="shared" si="1"/>
        <v>0</v>
      </c>
      <c r="BI63" s="18">
        <f t="shared" si="1"/>
        <v>0</v>
      </c>
      <c r="BJ63" s="18">
        <f t="shared" si="1"/>
        <v>0</v>
      </c>
      <c r="BK63" s="18">
        <f t="shared" si="1"/>
        <v>0</v>
      </c>
      <c r="BL63" s="18">
        <f t="shared" si="1"/>
        <v>0</v>
      </c>
      <c r="BM63" s="18">
        <f t="shared" si="1"/>
        <v>0</v>
      </c>
      <c r="BN63" s="18">
        <f t="shared" si="1"/>
        <v>0</v>
      </c>
      <c r="BO63" s="18">
        <f t="shared" si="1"/>
        <v>0</v>
      </c>
      <c r="BP63" s="18">
        <f t="shared" si="1"/>
        <v>0</v>
      </c>
    </row>
    <row r="65" spans="1:5" x14ac:dyDescent="0.35">
      <c r="B65" s="215" t="s">
        <v>31</v>
      </c>
      <c r="C65" s="214" t="s">
        <v>26</v>
      </c>
      <c r="D65" s="214"/>
      <c r="E65" s="215" t="s">
        <v>29</v>
      </c>
    </row>
    <row r="66" spans="1:5" x14ac:dyDescent="0.35">
      <c r="A66" s="11"/>
      <c r="B66" s="215"/>
      <c r="C66" s="19" t="s">
        <v>27</v>
      </c>
      <c r="D66" s="19" t="s">
        <v>28</v>
      </c>
      <c r="E66" s="215"/>
    </row>
    <row r="67" spans="1:5" x14ac:dyDescent="0.35">
      <c r="B67" s="12" t="str">
        <f>C3</f>
        <v>RUN EXPLOSIVE</v>
      </c>
      <c r="C67" s="15">
        <f>C63</f>
        <v>0</v>
      </c>
      <c r="D67" s="16">
        <f>Y63</f>
        <v>0</v>
      </c>
      <c r="E67" s="16">
        <f>AU$63</f>
        <v>0</v>
      </c>
    </row>
    <row r="68" spans="1:5" x14ac:dyDescent="0.35">
      <c r="B68" s="12" t="str">
        <f>D3</f>
        <v>ASSET</v>
      </c>
      <c r="C68" s="15">
        <f>D63</f>
        <v>0</v>
      </c>
      <c r="D68" s="16">
        <f>Z63</f>
        <v>0</v>
      </c>
      <c r="E68" s="16">
        <f>AV$63</f>
        <v>0</v>
      </c>
    </row>
    <row r="69" spans="1:5" x14ac:dyDescent="0.35">
      <c r="B69" s="12" t="str">
        <f>E3</f>
        <v>TIRTA RAJAWALI</v>
      </c>
      <c r="C69" s="15">
        <f>E63</f>
        <v>0</v>
      </c>
      <c r="D69" s="16">
        <f>AA$63</f>
        <v>0</v>
      </c>
      <c r="E69" s="16">
        <f>AW$63</f>
        <v>0</v>
      </c>
    </row>
    <row r="70" spans="1:5" x14ac:dyDescent="0.35">
      <c r="B70" s="12" t="str">
        <f>F3</f>
        <v>S: SLICKLINE UNIT</v>
      </c>
      <c r="C70" s="15">
        <f>F63</f>
        <v>0</v>
      </c>
      <c r="D70" s="16">
        <f>AB$63</f>
        <v>0</v>
      </c>
      <c r="E70" s="16">
        <f>AX$63</f>
        <v>0</v>
      </c>
    </row>
    <row r="71" spans="1:5" x14ac:dyDescent="0.35">
      <c r="B71" s="12" t="str">
        <f>G3</f>
        <v>N: SLICKLINE (1)</v>
      </c>
      <c r="C71" s="15">
        <f>G63</f>
        <v>0</v>
      </c>
      <c r="D71" s="16">
        <f>AC$63</f>
        <v>0</v>
      </c>
      <c r="E71" s="16">
        <f>AY$63</f>
        <v>0</v>
      </c>
    </row>
    <row r="72" spans="1:5" x14ac:dyDescent="0.35">
      <c r="B72" s="12" t="str">
        <f>H3</f>
        <v>LAIN-LAIN</v>
      </c>
      <c r="C72" s="15">
        <f>H63</f>
        <v>0</v>
      </c>
      <c r="D72" s="16">
        <f>AD$63</f>
        <v>0</v>
      </c>
      <c r="E72" s="16">
        <f>AZ$63</f>
        <v>0</v>
      </c>
    </row>
    <row r="73" spans="1:5" x14ac:dyDescent="0.35">
      <c r="B73" s="12" t="str">
        <f>I3</f>
        <v>SOIL BORING</v>
      </c>
      <c r="C73" s="15">
        <f>I63</f>
        <v>0</v>
      </c>
      <c r="D73" s="16">
        <f>AE$63</f>
        <v>0</v>
      </c>
      <c r="E73" s="16">
        <f>BA$63</f>
        <v>0</v>
      </c>
    </row>
    <row r="74" spans="1:5" x14ac:dyDescent="0.35">
      <c r="B74" s="12" t="str">
        <f>J3</f>
        <v>N: SLICKLINE
(2)</v>
      </c>
      <c r="C74" s="15">
        <f>J63</f>
        <v>0</v>
      </c>
      <c r="D74" s="16">
        <f>AF$63</f>
        <v>0</v>
      </c>
      <c r="E74" s="16">
        <f>BB$63</f>
        <v>0</v>
      </c>
    </row>
    <row r="75" spans="1:5" x14ac:dyDescent="0.35">
      <c r="B75" s="12" t="str">
        <f>K3</f>
        <v>DEBRIS SURVEY</v>
      </c>
      <c r="C75" s="15">
        <f>K63</f>
        <v>0</v>
      </c>
      <c r="D75" s="16">
        <f>AG$63</f>
        <v>0</v>
      </c>
      <c r="E75" s="16">
        <f>BC$63</f>
        <v>0</v>
      </c>
    </row>
    <row r="76" spans="1:5" x14ac:dyDescent="0.35">
      <c r="B76" s="12" t="str">
        <f>L3</f>
        <v>STORK
(WLI)</v>
      </c>
      <c r="C76" s="15">
        <f>L63</f>
        <v>0</v>
      </c>
      <c r="D76" s="16">
        <f>AH$63</f>
        <v>0</v>
      </c>
      <c r="E76" s="16">
        <f>BD$63</f>
        <v>0</v>
      </c>
    </row>
    <row r="77" spans="1:5" x14ac:dyDescent="0.35">
      <c r="B77" s="12" t="str">
        <f>M3</f>
        <v>-</v>
      </c>
      <c r="C77" s="15">
        <f>M63</f>
        <v>0</v>
      </c>
      <c r="D77" s="16">
        <f>AI$63</f>
        <v>0</v>
      </c>
      <c r="E77" s="16">
        <f>BE$63</f>
        <v>0</v>
      </c>
    </row>
    <row r="78" spans="1:5" x14ac:dyDescent="0.35">
      <c r="B78" s="12" t="str">
        <f>N3</f>
        <v>-</v>
      </c>
      <c r="C78" s="15">
        <f>N63</f>
        <v>0</v>
      </c>
      <c r="D78" s="16">
        <f>AJ$63</f>
        <v>0</v>
      </c>
      <c r="E78" s="16">
        <f>BF$63</f>
        <v>0</v>
      </c>
    </row>
    <row r="79" spans="1:5" x14ac:dyDescent="0.35">
      <c r="B79" s="12" t="str">
        <f>O3</f>
        <v>-</v>
      </c>
      <c r="C79" s="15">
        <f>O63</f>
        <v>0</v>
      </c>
      <c r="D79" s="16">
        <f>AK$63</f>
        <v>0</v>
      </c>
      <c r="E79" s="16">
        <f>BG$63</f>
        <v>0</v>
      </c>
    </row>
    <row r="80" spans="1:5" x14ac:dyDescent="0.35">
      <c r="B80" s="12"/>
      <c r="C80" s="12"/>
      <c r="D80" s="16"/>
      <c r="E80" s="16"/>
    </row>
    <row r="81" spans="1:5" x14ac:dyDescent="0.35">
      <c r="A81" s="11"/>
      <c r="B81" s="20" t="s">
        <v>81</v>
      </c>
      <c r="C81" s="12"/>
      <c r="D81" s="16"/>
      <c r="E81" s="16"/>
    </row>
    <row r="82" spans="1:5" x14ac:dyDescent="0.35">
      <c r="B82" s="12" t="str">
        <f>P3</f>
        <v>SOUTH
OSF</v>
      </c>
      <c r="C82" s="15">
        <f>P63</f>
        <v>0</v>
      </c>
      <c r="D82" s="16">
        <f>AL$63</f>
        <v>0</v>
      </c>
      <c r="E82" s="16">
        <f>BH$63</f>
        <v>0</v>
      </c>
    </row>
    <row r="83" spans="1:5" x14ac:dyDescent="0.35">
      <c r="B83" s="12" t="str">
        <f>Q3</f>
        <v>NORTH
OSF</v>
      </c>
      <c r="C83" s="15">
        <f>Q63</f>
        <v>0</v>
      </c>
      <c r="D83" s="16">
        <f>AM$63</f>
        <v>0</v>
      </c>
      <c r="E83" s="16">
        <f>BI$63</f>
        <v>0</v>
      </c>
    </row>
    <row r="84" spans="1:5" x14ac:dyDescent="0.35">
      <c r="B84" s="12"/>
      <c r="C84" s="12"/>
      <c r="D84" s="16"/>
      <c r="E84" s="16"/>
    </row>
    <row r="85" spans="1:5" x14ac:dyDescent="0.35">
      <c r="A85" s="11"/>
      <c r="B85" s="20" t="s">
        <v>32</v>
      </c>
      <c r="C85" s="12"/>
      <c r="D85" s="16"/>
      <c r="E85" s="16"/>
    </row>
    <row r="86" spans="1:5" x14ac:dyDescent="0.35">
      <c r="B86" s="12" t="str">
        <f>R3</f>
        <v>-</v>
      </c>
      <c r="C86" s="15">
        <f>$R$63</f>
        <v>0</v>
      </c>
      <c r="D86" s="16">
        <f>AN$63</f>
        <v>0</v>
      </c>
      <c r="E86" s="16">
        <f>BJ$63</f>
        <v>0</v>
      </c>
    </row>
    <row r="87" spans="1:5" x14ac:dyDescent="0.35">
      <c r="B87" s="12" t="str">
        <f>S3</f>
        <v xml:space="preserve"> P_NORTH
ATTAKA</v>
      </c>
      <c r="C87" s="15">
        <f>S$63</f>
        <v>0</v>
      </c>
      <c r="D87" s="16">
        <f>AO$63</f>
        <v>0</v>
      </c>
      <c r="E87" s="16">
        <f>BK$63</f>
        <v>0</v>
      </c>
    </row>
    <row r="88" spans="1:5" x14ac:dyDescent="0.35">
      <c r="B88" s="12" t="str">
        <f>T3</f>
        <v>P_NORTH
NIB</v>
      </c>
      <c r="C88" s="15">
        <f>T$63</f>
        <v>0</v>
      </c>
      <c r="D88" s="16">
        <f>AP$63</f>
        <v>0</v>
      </c>
      <c r="E88" s="16">
        <f>BL$63</f>
        <v>0</v>
      </c>
    </row>
    <row r="89" spans="1:5" x14ac:dyDescent="0.35">
      <c r="B89" s="12" t="str">
        <f>U3</f>
        <v>P_NORTH
SANTAN
TERMINAL</v>
      </c>
      <c r="C89" s="15">
        <f>U$63</f>
        <v>0</v>
      </c>
      <c r="D89" s="16">
        <f>AQ$63</f>
        <v>0</v>
      </c>
      <c r="E89" s="16">
        <f>BM$63</f>
        <v>0</v>
      </c>
    </row>
    <row r="90" spans="1:5" x14ac:dyDescent="0.35">
      <c r="B90" s="12" t="str">
        <f>V3</f>
        <v>P_NORTH
SECURITY PATROL</v>
      </c>
      <c r="C90" s="15">
        <f>V$63</f>
        <v>0</v>
      </c>
      <c r="D90" s="16">
        <f>AR$63</f>
        <v>0</v>
      </c>
      <c r="E90" s="16">
        <f>BN$63</f>
        <v>0</v>
      </c>
    </row>
    <row r="91" spans="1:5" x14ac:dyDescent="0.35">
      <c r="B91" s="12" t="str">
        <f>W3</f>
        <v>P_SOUTH</v>
      </c>
      <c r="C91" s="15">
        <f>W$63</f>
        <v>0</v>
      </c>
      <c r="D91" s="16">
        <f>AS$63</f>
        <v>0</v>
      </c>
      <c r="E91" s="16">
        <f>BO$63</f>
        <v>0</v>
      </c>
    </row>
    <row r="92" spans="1:5" x14ac:dyDescent="0.35">
      <c r="B92" s="12" t="str">
        <f>X3</f>
        <v>P_SOUTH SECURITY PATROL</v>
      </c>
      <c r="C92" s="15">
        <f>X$63</f>
        <v>0</v>
      </c>
      <c r="D92" s="16">
        <f>AT$63</f>
        <v>0</v>
      </c>
      <c r="E92" s="16">
        <f>BP$63</f>
        <v>0</v>
      </c>
    </row>
    <row r="93" spans="1:5" x14ac:dyDescent="0.35">
      <c r="B93" s="12"/>
      <c r="C93" s="12"/>
      <c r="D93" s="12"/>
      <c r="E93" s="12"/>
    </row>
    <row r="94" spans="1:5" x14ac:dyDescent="0.35">
      <c r="B94" s="20" t="s">
        <v>25</v>
      </c>
      <c r="C94" s="15">
        <f>'Actual Cost Marine'!C15</f>
        <v>0</v>
      </c>
      <c r="D94" s="16">
        <f>'Actual Cost Marine'!D15</f>
        <v>0</v>
      </c>
      <c r="E94" s="16">
        <f>'Actual Cost Marine'!E15</f>
        <v>0</v>
      </c>
    </row>
    <row r="96" spans="1:5" x14ac:dyDescent="0.35">
      <c r="B96" s="21">
        <f>SUM(C67:C92)</f>
        <v>0</v>
      </c>
      <c r="C96" s="21">
        <f>SUM(C63:X63)</f>
        <v>0</v>
      </c>
      <c r="D96" s="21"/>
      <c r="E96" s="21"/>
    </row>
    <row r="97" spans="2:3" x14ac:dyDescent="0.35">
      <c r="B97" s="22">
        <f>SUM(D67:D92)</f>
        <v>0</v>
      </c>
      <c r="C97" s="22">
        <f>SUM(Y63:AT63)</f>
        <v>0</v>
      </c>
    </row>
    <row r="98" spans="2:3" x14ac:dyDescent="0.35">
      <c r="B98" s="22">
        <f>SUM(E67:E92)</f>
        <v>0</v>
      </c>
      <c r="C98" s="22">
        <f>SUM(AU63:BP63)</f>
        <v>0</v>
      </c>
    </row>
  </sheetData>
  <mergeCells count="9">
    <mergeCell ref="A2:A3"/>
    <mergeCell ref="Y2:AT2"/>
    <mergeCell ref="AU2:BP2"/>
    <mergeCell ref="A63:B63"/>
    <mergeCell ref="C65:D65"/>
    <mergeCell ref="B65:B66"/>
    <mergeCell ref="E65:E66"/>
    <mergeCell ref="C2:X2"/>
    <mergeCell ref="B2:B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E15"/>
  <sheetViews>
    <sheetView showGridLines="0" zoomScale="85" zoomScaleNormal="85" workbookViewId="0">
      <selection activeCell="D17" sqref="D17"/>
    </sheetView>
  </sheetViews>
  <sheetFormatPr defaultColWidth="8.7265625" defaultRowHeight="13" x14ac:dyDescent="0.3"/>
  <cols>
    <col min="1" max="1" width="6.90625" style="164" customWidth="1"/>
    <col min="2" max="2" width="42.7265625" style="164" bestFit="1" customWidth="1"/>
    <col min="3" max="5" width="20.1796875" style="164" customWidth="1"/>
    <col min="6" max="16384" width="8.7265625" style="164"/>
  </cols>
  <sheetData>
    <row r="2" spans="1:5" x14ac:dyDescent="0.3">
      <c r="A2" s="163" t="s">
        <v>25</v>
      </c>
    </row>
    <row r="3" spans="1:5" x14ac:dyDescent="0.3">
      <c r="A3" s="219" t="s">
        <v>19</v>
      </c>
      <c r="B3" s="219" t="s">
        <v>24</v>
      </c>
      <c r="C3" s="217" t="s">
        <v>26</v>
      </c>
      <c r="D3" s="218"/>
      <c r="E3" s="219" t="s">
        <v>29</v>
      </c>
    </row>
    <row r="4" spans="1:5" x14ac:dyDescent="0.3">
      <c r="A4" s="220"/>
      <c r="B4" s="220"/>
      <c r="C4" s="165" t="s">
        <v>27</v>
      </c>
      <c r="D4" s="165" t="s">
        <v>28</v>
      </c>
      <c r="E4" s="220"/>
    </row>
    <row r="5" spans="1:5" ht="20" customHeight="1" x14ac:dyDescent="0.3">
      <c r="A5" s="166">
        <v>1</v>
      </c>
      <c r="B5" s="167">
        <f>[11]Marine1!$C$8</f>
        <v>0</v>
      </c>
      <c r="C5" s="168">
        <f>[11]Marine1!$G$42</f>
        <v>0</v>
      </c>
      <c r="D5" s="169">
        <f>[11]Marine1!$H$42</f>
        <v>0</v>
      </c>
      <c r="E5" s="169">
        <f>[11]Marine1!$K$42</f>
        <v>0</v>
      </c>
    </row>
    <row r="6" spans="1:5" ht="20" customHeight="1" x14ac:dyDescent="0.3">
      <c r="A6" s="166">
        <v>2</v>
      </c>
      <c r="B6" s="167">
        <f>[11]Marine2!$C$8</f>
        <v>0</v>
      </c>
      <c r="C6" s="168">
        <f>[11]Marine2!$G$42</f>
        <v>0</v>
      </c>
      <c r="D6" s="169">
        <f>[11]Marine2!$H$42</f>
        <v>0</v>
      </c>
      <c r="E6" s="169">
        <f>[11]Marine2!$K$42</f>
        <v>0</v>
      </c>
    </row>
    <row r="7" spans="1:5" ht="20" customHeight="1" x14ac:dyDescent="0.3">
      <c r="A7" s="166">
        <v>3</v>
      </c>
      <c r="B7" s="167">
        <f>[11]Marine3!$C$8</f>
        <v>0</v>
      </c>
      <c r="C7" s="168">
        <f>[11]Marine3!$G$42</f>
        <v>0</v>
      </c>
      <c r="D7" s="169">
        <f>[11]Marine3!$H$42</f>
        <v>0</v>
      </c>
      <c r="E7" s="169">
        <f>[11]Marine3!$K$42</f>
        <v>0</v>
      </c>
    </row>
    <row r="8" spans="1:5" ht="20" customHeight="1" x14ac:dyDescent="0.3">
      <c r="A8" s="166">
        <v>4</v>
      </c>
      <c r="B8" s="167">
        <f>[11]Marine4!$C$8</f>
        <v>0</v>
      </c>
      <c r="C8" s="168">
        <f>[11]Marine4!$G$42</f>
        <v>0</v>
      </c>
      <c r="D8" s="169">
        <f>[11]Marine4!$H$42</f>
        <v>0</v>
      </c>
      <c r="E8" s="169">
        <f>[11]Marine4!$K$42</f>
        <v>0</v>
      </c>
    </row>
    <row r="9" spans="1:5" ht="20" customHeight="1" x14ac:dyDescent="0.3">
      <c r="A9" s="166">
        <v>5</v>
      </c>
      <c r="B9" s="167">
        <f>[11]Marine5!$C$8</f>
        <v>0</v>
      </c>
      <c r="C9" s="168">
        <f>[11]Marine5!$G$42</f>
        <v>0</v>
      </c>
      <c r="D9" s="169">
        <f>[11]Marine5!$H$42</f>
        <v>0</v>
      </c>
      <c r="E9" s="169">
        <f>[11]Marine5!$K$42</f>
        <v>0</v>
      </c>
    </row>
    <row r="10" spans="1:5" ht="20" customHeight="1" x14ac:dyDescent="0.3">
      <c r="A10" s="166">
        <v>6</v>
      </c>
      <c r="B10" s="170">
        <f>[11]Marine6!$C$8</f>
        <v>0</v>
      </c>
      <c r="C10" s="168">
        <f>[11]Marine6!$G$42</f>
        <v>0</v>
      </c>
      <c r="D10" s="169">
        <f>[11]Marine6!$H$42</f>
        <v>0</v>
      </c>
      <c r="E10" s="169">
        <f>[11]Marine6!$K$42</f>
        <v>0</v>
      </c>
    </row>
    <row r="11" spans="1:5" ht="20" customHeight="1" x14ac:dyDescent="0.3">
      <c r="A11" s="166">
        <v>7</v>
      </c>
      <c r="B11" s="167">
        <f>[11]Marine7!$C$8</f>
        <v>0</v>
      </c>
      <c r="C11" s="168">
        <f>[11]Marine7!$G$42</f>
        <v>0</v>
      </c>
      <c r="D11" s="169">
        <f>[11]Marine7!$H$42</f>
        <v>0</v>
      </c>
      <c r="E11" s="169">
        <f>[11]Marine7!$K$42</f>
        <v>0</v>
      </c>
    </row>
    <row r="12" spans="1:5" ht="20" customHeight="1" x14ac:dyDescent="0.3">
      <c r="A12" s="166">
        <v>8</v>
      </c>
      <c r="B12" s="167">
        <f>[11]Marine8!$R$8</f>
        <v>0</v>
      </c>
      <c r="C12" s="168">
        <f>[11]Marine8!$V$42</f>
        <v>0</v>
      </c>
      <c r="D12" s="169">
        <f>[11]Marine8!$H$42</f>
        <v>0</v>
      </c>
      <c r="E12" s="169">
        <f>[11]Marine8!$K$42</f>
        <v>0</v>
      </c>
    </row>
    <row r="13" spans="1:5" ht="20" customHeight="1" x14ac:dyDescent="0.3">
      <c r="A13" s="166">
        <v>9</v>
      </c>
      <c r="B13" s="171">
        <f>[11]Marine9!$C$8</f>
        <v>0</v>
      </c>
      <c r="C13" s="168">
        <f>[11]Marine9!$G$42</f>
        <v>0</v>
      </c>
      <c r="D13" s="169">
        <f>[11]Marine9!$H$42</f>
        <v>0</v>
      </c>
      <c r="E13" s="169">
        <f>[11]Marine9!$K$42</f>
        <v>0</v>
      </c>
    </row>
    <row r="14" spans="1:5" ht="20" customHeight="1" x14ac:dyDescent="0.3">
      <c r="A14" s="166">
        <v>10</v>
      </c>
      <c r="B14" s="171">
        <f>[11]Marine10!$C$8</f>
        <v>0</v>
      </c>
      <c r="C14" s="168">
        <f>[11]Marine10!$G$42</f>
        <v>0</v>
      </c>
      <c r="D14" s="169">
        <f>[11]Marine10!$H$42</f>
        <v>0</v>
      </c>
      <c r="E14" s="169">
        <f>[11]Marine10!$K$42</f>
        <v>0</v>
      </c>
    </row>
    <row r="15" spans="1:5" ht="24.5" customHeight="1" x14ac:dyDescent="0.3">
      <c r="A15" s="221" t="s">
        <v>30</v>
      </c>
      <c r="B15" s="221"/>
      <c r="C15" s="172">
        <f>SUM(C5:C14)</f>
        <v>0</v>
      </c>
      <c r="D15" s="173">
        <f t="shared" ref="D15:E15" si="0">SUM(D5:D14)</f>
        <v>0</v>
      </c>
      <c r="E15" s="173">
        <f t="shared" si="0"/>
        <v>0</v>
      </c>
    </row>
  </sheetData>
  <sheetProtection algorithmName="SHA-512" hashValue="8APd8EsubvwJSp2lIlPkRGPW5reDdZl5QbDLoJWezWvMLNQi3LWYFJk5pp0QRkkrBTtAhqrNdxFK2AjMzqZApA==" saltValue="/xo/eK/g99rQBvA2lEBSKg==" spinCount="100000" sheet="1" objects="1" scenarios="1"/>
  <mergeCells count="5">
    <mergeCell ref="C3:D3"/>
    <mergeCell ref="B3:B4"/>
    <mergeCell ref="A3:A4"/>
    <mergeCell ref="A15:B15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Marine YTD 2023</vt:lpstr>
      <vt:lpstr>Mooring YTD 2023</vt:lpstr>
      <vt:lpstr>Security Patrol YTD 2023</vt:lpstr>
      <vt:lpstr>Actual Sewa &amp; BBM</vt:lpstr>
      <vt:lpstr>Marine</vt:lpstr>
      <vt:lpstr>Mooring</vt:lpstr>
      <vt:lpstr>Security Patrol</vt:lpstr>
      <vt:lpstr>Actual Cost per type</vt:lpstr>
      <vt:lpstr>Actual Cost Marine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Nuchan Nuchan</dc:creator>
  <cp:lastModifiedBy>Shachibul Hakam</cp:lastModifiedBy>
  <cp:lastPrinted>2019-02-01T05:59:45Z</cp:lastPrinted>
  <dcterms:created xsi:type="dcterms:W3CDTF">2018-08-16T06:51:10Z</dcterms:created>
  <dcterms:modified xsi:type="dcterms:W3CDTF">2025-11-25T04:48:25Z</dcterms:modified>
</cp:coreProperties>
</file>